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30720" windowHeight="13380" tabRatio="723" firstSheet="0" activeTab="1" autoFilterDateGrouping="1"/>
  </bookViews>
  <sheets>
    <sheet xmlns:r="http://schemas.openxmlformats.org/officeDocument/2006/relationships" name="填写说明" sheetId="1" state="visible" r:id="rId1"/>
    <sheet xmlns:r="http://schemas.openxmlformats.org/officeDocument/2006/relationships" name="功能点估算" sheetId="2" state="visible" r:id="rId2"/>
    <sheet xmlns:r="http://schemas.openxmlformats.org/officeDocument/2006/relationships" name="调整因子" sheetId="3" state="visible" r:id="rId3"/>
    <sheet xmlns:r="http://schemas.openxmlformats.org/officeDocument/2006/relationships" name="25年交付功能（不含废弃）" sheetId="4" state="hidden" r:id="rId4"/>
  </sheets>
  <externalReferences>
    <externalReference xmlns:r="http://schemas.openxmlformats.org/officeDocument/2006/relationships" r:id="rId5"/>
  </externalReferences>
  <definedNames>
    <definedName name="MmExcelLinker_906C69A3_41FD_4973_9FB2_54559DEDE127">业务卡全生命周期管理项目功能点估算-[1]大展!$B$3:$E$288</definedName>
    <definedName name="_xlnm.Print_Area" localSheetId="0">'填写说明'!$A$1:$M$9</definedName>
  </definedNames>
  <calcPr calcId="191029" fullCalcOnLoad="1" concurrentCalc="0"/>
</workbook>
</file>

<file path=xl/styles.xml><?xml version="1.0" encoding="utf-8"?>
<styleSheet xmlns="http://schemas.openxmlformats.org/spreadsheetml/2006/main">
  <numFmts count="4">
    <numFmt numFmtId="164" formatCode="0.0000_ "/>
    <numFmt numFmtId="165" formatCode="#\ ?/?"/>
    <numFmt numFmtId="166" formatCode="0.000_ "/>
    <numFmt numFmtId="167" formatCode="0.00_ "/>
  </numFmts>
  <fonts count="46">
    <font>
      <name val="宋体"/>
      <charset val="134"/>
      <sz val="12"/>
    </font>
    <font>
      <name val="宋体"/>
      <charset val="134"/>
      <b val="1"/>
      <color rgb="FF33CCCC"/>
      <sz val="12"/>
    </font>
    <font>
      <name val="Arial"/>
      <charset val="134"/>
      <color rgb="FF000000"/>
      <sz val="9"/>
    </font>
    <font>
      <name val="宋体"/>
      <charset val="134"/>
      <color rgb="FF000000"/>
      <sz val="9"/>
    </font>
    <font>
      <name val="宋体"/>
      <charset val="134"/>
      <color rgb="FF000000"/>
      <sz val="10"/>
    </font>
    <font>
      <name val="宋体"/>
      <charset val="134"/>
      <sz val="10"/>
    </font>
    <font>
      <name val="宋体"/>
      <charset val="134"/>
      <b val="1"/>
      <sz val="10"/>
    </font>
    <font>
      <name val="宋体"/>
      <charset val="134"/>
      <color indexed="8"/>
      <sz val="10"/>
    </font>
    <font>
      <name val="宋体"/>
      <charset val="134"/>
      <b val="1"/>
      <color indexed="8"/>
      <sz val="10"/>
    </font>
    <font>
      <name val="宋体"/>
      <charset val="134"/>
      <sz val="9"/>
    </font>
    <font>
      <name val="宋体"/>
      <charset val="0"/>
      <sz val="9"/>
    </font>
    <font>
      <name val="宋体"/>
      <charset val="134"/>
      <color theme="1"/>
      <sz val="9"/>
    </font>
    <font>
      <name val="宋体"/>
      <charset val="0"/>
      <b val="1"/>
      <sz val="9"/>
    </font>
    <font>
      <name val="宋体"/>
      <charset val="0"/>
      <color indexed="8"/>
      <sz val="9"/>
    </font>
    <font>
      <name val="宋体"/>
      <charset val="134"/>
      <sz val="8"/>
    </font>
    <font>
      <name val="宋体"/>
      <charset val="134"/>
      <sz val="11"/>
    </font>
    <font>
      <name val="华文细黑"/>
      <charset val="134"/>
      <b val="1"/>
      <sz val="14"/>
    </font>
    <font>
      <name val="Times New Roman"/>
      <charset val="0"/>
      <sz val="12"/>
    </font>
    <font>
      <name val="宋体"/>
      <charset val="134"/>
      <color rgb="FF0000FF"/>
      <sz val="11"/>
      <u val="single"/>
      <scheme val="minor"/>
    </font>
    <font>
      <name val="宋体"/>
      <charset val="134"/>
      <color rgb="FF800080"/>
      <sz val="11"/>
      <u val="single"/>
      <scheme val="minor"/>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宋体"/>
      <charset val="134"/>
      <color indexed="8"/>
      <sz val="11"/>
    </font>
    <font>
      <name val="Arial"/>
      <charset val="0"/>
      <sz val="10"/>
    </font>
    <font>
      <name val="돋움"/>
      <charset val="134"/>
      <sz val="11"/>
    </font>
    <font>
      <name val="宋体"/>
      <charset val="134"/>
      <b val="1"/>
      <sz val="9"/>
    </font>
    <font>
      <name val="宋体"/>
      <charset val="134"/>
      <b val="1"/>
      <sz val="10"/>
      <vertAlign val="subscript"/>
    </font>
    <font>
      <name val="宋体"/>
      <charset val="134"/>
      <b val="1"/>
      <sz val="11"/>
    </font>
    <font>
      <name val="宋体"/>
      <charset val="134"/>
      <b val="1"/>
      <sz val="10"/>
      <u val="single"/>
    </font>
    <font>
      <name val="宋体"/>
      <charset val="134"/>
      <b val="1"/>
      <sz val="9"/>
    </font>
    <font>
      <name val="宋体"/>
      <charset val="134"/>
      <sz val="9"/>
    </font>
  </fonts>
  <fills count="41">
    <fill>
      <patternFill/>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8" fillId="0" borderId="0" applyAlignment="1">
      <alignment vertical="center"/>
    </xf>
    <xf numFmtId="0" fontId="19" fillId="0" borderId="0" applyAlignment="1">
      <alignment vertical="center"/>
    </xf>
    <xf numFmtId="0" fontId="0" fillId="10" borderId="18"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19" applyAlignment="1">
      <alignment vertical="center"/>
    </xf>
    <xf numFmtId="0" fontId="24" fillId="0" borderId="20" applyAlignment="1">
      <alignment vertical="center"/>
    </xf>
    <xf numFmtId="0" fontId="25" fillId="0" borderId="21" applyAlignment="1">
      <alignment vertical="center"/>
    </xf>
    <xf numFmtId="0" fontId="25" fillId="0" borderId="0" applyAlignment="1">
      <alignment vertical="center"/>
    </xf>
    <xf numFmtId="0" fontId="26" fillId="11" borderId="22" applyAlignment="1">
      <alignment vertical="center"/>
    </xf>
    <xf numFmtId="0" fontId="27" fillId="12" borderId="23" applyAlignment="1">
      <alignment vertical="center"/>
    </xf>
    <xf numFmtId="0" fontId="28" fillId="12" borderId="22" applyAlignment="1">
      <alignment vertical="center"/>
    </xf>
    <xf numFmtId="0" fontId="29" fillId="13" borderId="24" applyAlignment="1">
      <alignment vertical="center"/>
    </xf>
    <xf numFmtId="0" fontId="30" fillId="0" borderId="25" applyAlignment="1">
      <alignment vertical="center"/>
    </xf>
    <xf numFmtId="0" fontId="31" fillId="0" borderId="26" applyAlignment="1">
      <alignment vertical="center"/>
    </xf>
    <xf numFmtId="0" fontId="32" fillId="14" borderId="0" applyAlignment="1">
      <alignment vertical="center"/>
    </xf>
    <xf numFmtId="0" fontId="33" fillId="15" borderId="0" applyAlignment="1">
      <alignment vertical="center"/>
    </xf>
    <xf numFmtId="0" fontId="34" fillId="16" borderId="0" applyAlignment="1">
      <alignment vertical="center"/>
    </xf>
    <xf numFmtId="0" fontId="35" fillId="17" borderId="0" applyAlignment="1">
      <alignment vertical="center"/>
    </xf>
    <xf numFmtId="0" fontId="36" fillId="18" borderId="0" applyAlignment="1">
      <alignment vertical="center"/>
    </xf>
    <xf numFmtId="0" fontId="36" fillId="19" borderId="0" applyAlignment="1">
      <alignment vertical="center"/>
    </xf>
    <xf numFmtId="0" fontId="35" fillId="20" borderId="0" applyAlignment="1">
      <alignment vertical="center"/>
    </xf>
    <xf numFmtId="0" fontId="35" fillId="21" borderId="0" applyAlignment="1">
      <alignment vertical="center"/>
    </xf>
    <xf numFmtId="0" fontId="36" fillId="22" borderId="0" applyAlignment="1">
      <alignment vertical="center"/>
    </xf>
    <xf numFmtId="0" fontId="36" fillId="23" borderId="0" applyAlignment="1">
      <alignment vertical="center"/>
    </xf>
    <xf numFmtId="0" fontId="35" fillId="24" borderId="0" applyAlignment="1">
      <alignment vertical="center"/>
    </xf>
    <xf numFmtId="0" fontId="35" fillId="25" borderId="0" applyAlignment="1">
      <alignment vertical="center"/>
    </xf>
    <xf numFmtId="0" fontId="36" fillId="26" borderId="0" applyAlignment="1">
      <alignment vertical="center"/>
    </xf>
    <xf numFmtId="0" fontId="36" fillId="27" borderId="0" applyAlignment="1">
      <alignment vertical="center"/>
    </xf>
    <xf numFmtId="0" fontId="35" fillId="28" borderId="0" applyAlignment="1">
      <alignment vertical="center"/>
    </xf>
    <xf numFmtId="0" fontId="35" fillId="29" borderId="0" applyAlignment="1">
      <alignment vertical="center"/>
    </xf>
    <xf numFmtId="0" fontId="36" fillId="30" borderId="0" applyAlignment="1">
      <alignment vertical="center"/>
    </xf>
    <xf numFmtId="0" fontId="36" fillId="31" borderId="0" applyAlignment="1">
      <alignment vertical="center"/>
    </xf>
    <xf numFmtId="0" fontId="35" fillId="32" borderId="0" applyAlignment="1">
      <alignment vertical="center"/>
    </xf>
    <xf numFmtId="0" fontId="35" fillId="33" borderId="0" applyAlignment="1">
      <alignment vertical="center"/>
    </xf>
    <xf numFmtId="0" fontId="36" fillId="34" borderId="0" applyAlignment="1">
      <alignment vertical="center"/>
    </xf>
    <xf numFmtId="0" fontId="36" fillId="35" borderId="0" applyAlignment="1">
      <alignment vertical="center"/>
    </xf>
    <xf numFmtId="0" fontId="35" fillId="36" borderId="0" applyAlignment="1">
      <alignment vertical="center"/>
    </xf>
    <xf numFmtId="0" fontId="35" fillId="37" borderId="0" applyAlignment="1">
      <alignment vertical="center"/>
    </xf>
    <xf numFmtId="0" fontId="36" fillId="38" borderId="0" applyAlignment="1">
      <alignment vertical="center"/>
    </xf>
    <xf numFmtId="0" fontId="36" fillId="39" borderId="0" applyAlignment="1">
      <alignment vertical="center"/>
    </xf>
    <xf numFmtId="0" fontId="35" fillId="40" borderId="0" applyAlignment="1">
      <alignment vertical="center"/>
    </xf>
    <xf numFmtId="0" fontId="0" fillId="0" borderId="0"/>
    <xf numFmtId="0" fontId="0" fillId="0" borderId="0"/>
    <xf numFmtId="0" fontId="0" fillId="0" borderId="0"/>
    <xf numFmtId="0" fontId="0" fillId="0" borderId="0"/>
    <xf numFmtId="0" fontId="37" fillId="0" borderId="0" applyAlignment="1">
      <alignment vertical="center"/>
    </xf>
    <xf numFmtId="0" fontId="36" fillId="0" borderId="0" applyAlignment="1">
      <alignment vertical="center"/>
    </xf>
    <xf numFmtId="0" fontId="38" fillId="0" borderId="0"/>
    <xf numFmtId="0" fontId="0" fillId="0" borderId="0" applyAlignment="1">
      <alignment vertical="center"/>
    </xf>
    <xf numFmtId="0" fontId="17" fillId="0" borderId="0"/>
    <xf numFmtId="0" fontId="39" fillId="0" borderId="0" applyAlignment="1">
      <alignment vertical="center"/>
    </xf>
  </cellStyleXfs>
  <cellXfs count="185">
    <xf numFmtId="0" fontId="0" fillId="0" borderId="0" pivotButton="0" quotePrefix="0" xfId="0"/>
    <xf numFmtId="0" fontId="1" fillId="0" borderId="1" applyAlignment="1" pivotButton="0" quotePrefix="0" xfId="0">
      <alignment horizontal="center" vertical="center" wrapText="1"/>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2" fillId="2" borderId="1" applyAlignment="1" pivotButton="0" quotePrefix="0" xfId="0">
      <alignment horizontal="left" vertical="center"/>
    </xf>
    <xf numFmtId="0" fontId="2" fillId="3" borderId="1" applyAlignment="1" pivotButton="0" quotePrefix="0" xfId="0">
      <alignment horizontal="left" vertical="center"/>
    </xf>
    <xf numFmtId="0" fontId="4" fillId="0" borderId="1" applyAlignment="1" pivotButton="0" quotePrefix="0" xfId="0">
      <alignment horizontal="left" vertical="center"/>
    </xf>
    <xf numFmtId="0" fontId="2" fillId="4" borderId="1" applyAlignment="1" pivotButton="0" quotePrefix="0" xfId="0">
      <alignment horizontal="left" vertical="center"/>
    </xf>
    <xf numFmtId="0" fontId="3" fillId="2" borderId="1" applyAlignment="1" pivotButton="0" quotePrefix="0" xfId="0">
      <alignment horizontal="left"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0" fontId="3" fillId="3" borderId="1" applyAlignment="1" pivotButton="0" quotePrefix="0" xfId="0">
      <alignment horizontal="left" vertical="center"/>
    </xf>
    <xf numFmtId="0" fontId="5" fillId="0" borderId="0" applyAlignment="1" pivotButton="0" quotePrefix="0" xfId="49">
      <alignment vertical="center"/>
    </xf>
    <xf numFmtId="0" fontId="6" fillId="0" borderId="0" applyAlignment="1" pivotButton="0" quotePrefix="0" xfId="49">
      <alignment vertical="center"/>
    </xf>
    <xf numFmtId="0" fontId="5" fillId="0" borderId="0" applyAlignment="1" pivotButton="0" quotePrefix="0" xfId="49">
      <alignment vertical="center"/>
    </xf>
    <xf numFmtId="0" fontId="6" fillId="0" borderId="2" applyAlignment="1" pivotButton="0" quotePrefix="0" xfId="49">
      <alignment horizontal="center" vertical="center"/>
    </xf>
    <xf numFmtId="0" fontId="6" fillId="0" borderId="3" applyAlignment="1" pivotButton="0" quotePrefix="0" xfId="49">
      <alignment horizontal="center" vertical="center" wrapText="1"/>
    </xf>
    <xf numFmtId="0" fontId="5" fillId="0" borderId="2" applyAlignment="1" pivotButton="0" quotePrefix="0" xfId="0">
      <alignment horizontal="justify" vertical="center" wrapText="1"/>
    </xf>
    <xf numFmtId="0" fontId="4" fillId="0" borderId="2" applyAlignment="1" pivotButton="0" quotePrefix="0" xfId="0">
      <alignment horizontal="left" vertical="center" wrapText="1" indent="1"/>
    </xf>
    <xf numFmtId="0" fontId="7" fillId="0" borderId="2" applyAlignment="1" pivotButton="0" quotePrefix="0" xfId="49">
      <alignment vertical="center" wrapText="1"/>
    </xf>
    <xf numFmtId="0" fontId="4" fillId="0" borderId="2" applyAlignment="1" pivotButton="0" quotePrefix="0" xfId="0">
      <alignment horizontal="center" vertical="center" wrapText="1"/>
    </xf>
    <xf numFmtId="0" fontId="5" fillId="0" borderId="2" applyAlignment="1" pivotButton="0" quotePrefix="0" xfId="49">
      <alignment horizontal="center" vertical="center" wrapText="1"/>
    </xf>
    <xf numFmtId="0" fontId="5" fillId="0" borderId="2" applyAlignment="1" pivotButton="0" quotePrefix="0" xfId="0">
      <alignment horizontal="left" vertical="center" wrapText="1"/>
    </xf>
    <xf numFmtId="0" fontId="7" fillId="0" borderId="2" applyAlignment="1" pivotButton="0" quotePrefix="0" xfId="49">
      <alignment horizontal="center" vertical="center" wrapText="1"/>
    </xf>
    <xf numFmtId="0" fontId="5" fillId="0" borderId="2" applyAlignment="1" pivotButton="0" quotePrefix="0" xfId="0">
      <alignment horizontal="left" vertical="center" wrapText="1" indent="1"/>
    </xf>
    <xf numFmtId="0" fontId="6" fillId="0" borderId="4" applyAlignment="1" pivotButton="0" quotePrefix="0" xfId="49">
      <alignment horizontal="center" vertical="center" wrapText="1"/>
    </xf>
    <xf numFmtId="0" fontId="6" fillId="0" borderId="5" applyAlignment="1" pivotButton="0" quotePrefix="0" xfId="49">
      <alignment horizontal="center" vertical="center" wrapText="1"/>
    </xf>
    <xf numFmtId="0" fontId="6" fillId="0" borderId="6" applyAlignment="1" pivotButton="0" quotePrefix="0" xfId="49">
      <alignment horizontal="center" vertical="center" wrapText="1"/>
    </xf>
    <xf numFmtId="164" fontId="6" fillId="0" borderId="7" applyAlignment="1" pivotButton="0" quotePrefix="0" xfId="49">
      <alignment horizontal="left" vertical="center" wrapText="1"/>
    </xf>
    <xf numFmtId="0" fontId="6" fillId="0" borderId="0" applyAlignment="1" pivotButton="0" quotePrefix="0" xfId="49">
      <alignment horizontal="right" vertical="center" wrapText="1"/>
    </xf>
    <xf numFmtId="0" fontId="6" fillId="0" borderId="0" applyAlignment="1" pivotButton="0" quotePrefix="0" xfId="49">
      <alignment horizontal="left" vertical="center" wrapText="1"/>
    </xf>
    <xf numFmtId="0" fontId="6" fillId="0" borderId="8" applyAlignment="1" pivotButton="0" quotePrefix="0" xfId="49">
      <alignment horizontal="right" vertical="center" wrapText="1"/>
    </xf>
    <xf numFmtId="0" fontId="6" fillId="0" borderId="9" applyAlignment="1" pivotButton="0" quotePrefix="0" xfId="49">
      <alignment horizontal="center" vertical="center"/>
    </xf>
    <xf numFmtId="0" fontId="6" fillId="0" borderId="10" applyAlignment="1" pivotButton="0" quotePrefix="0" xfId="49">
      <alignment horizontal="center" vertical="center" wrapText="1"/>
    </xf>
    <xf numFmtId="0" fontId="6" fillId="0" borderId="2" applyAlignment="1" pivotButton="0" quotePrefix="0" xfId="49">
      <alignment vertical="center"/>
    </xf>
    <xf numFmtId="0" fontId="4" fillId="0" borderId="0" applyAlignment="1" pivotButton="0" quotePrefix="0" xfId="0">
      <alignment horizontal="center" vertical="center"/>
    </xf>
    <xf numFmtId="0" fontId="5" fillId="0" borderId="8" applyAlignment="1" pivotButton="0" quotePrefix="0" xfId="49">
      <alignment horizontal="center" vertical="center"/>
    </xf>
    <xf numFmtId="0" fontId="6" fillId="0" borderId="9" applyAlignment="1" pivotButton="0" quotePrefix="0" xfId="49">
      <alignment horizontal="center" vertical="center" wrapText="1"/>
    </xf>
    <xf numFmtId="0" fontId="6" fillId="0" borderId="9" applyAlignment="1" pivotButton="0" quotePrefix="0" xfId="49">
      <alignment vertical="center" wrapText="1"/>
    </xf>
    <xf numFmtId="0" fontId="5" fillId="0" borderId="11" applyAlignment="1" pivotButton="0" quotePrefix="0" xfId="49">
      <alignment horizontal="center" vertical="center"/>
    </xf>
    <xf numFmtId="0" fontId="4" fillId="0" borderId="0" applyAlignment="1" pivotButton="0" quotePrefix="0" xfId="0">
      <alignment horizontal="justify" vertical="center"/>
    </xf>
    <xf numFmtId="0" fontId="5" fillId="0" borderId="12" applyAlignment="1" pivotButton="0" quotePrefix="0" xfId="49">
      <alignment horizontal="center" vertical="center"/>
    </xf>
    <xf numFmtId="0" fontId="6" fillId="0" borderId="0" applyAlignment="1" pivotButton="0" quotePrefix="0" xfId="49">
      <alignment horizontal="center" vertical="center" wrapText="1"/>
    </xf>
    <xf numFmtId="0" fontId="6" fillId="0" borderId="0" applyAlignment="1" pivotButton="0" quotePrefix="0" xfId="49">
      <alignment vertical="center" wrapText="1"/>
    </xf>
    <xf numFmtId="0" fontId="5" fillId="0" borderId="13" applyAlignment="1" pivotButton="0" quotePrefix="0" xfId="49">
      <alignment horizontal="center" vertical="center"/>
    </xf>
    <xf numFmtId="0" fontId="4" fillId="0" borderId="0" applyAlignment="1" pivotButton="0" quotePrefix="0" xfId="0">
      <alignment horizontal="right" vertical="center"/>
    </xf>
    <xf numFmtId="0" fontId="5" fillId="0" borderId="4" applyAlignment="1" pivotButton="0" quotePrefix="0" xfId="49">
      <alignment horizontal="center" vertical="center"/>
    </xf>
    <xf numFmtId="0" fontId="6" fillId="0" borderId="5" applyAlignment="1" pivotButton="0" quotePrefix="0" xfId="49">
      <alignment vertical="center" wrapText="1"/>
    </xf>
    <xf numFmtId="0" fontId="5" fillId="0" borderId="6" applyAlignment="1" pivotButton="0" quotePrefix="0" xfId="49">
      <alignment horizontal="center" vertical="center"/>
    </xf>
    <xf numFmtId="0" fontId="6" fillId="0" borderId="2" applyAlignment="1" pivotButton="0" quotePrefix="0" xfId="49">
      <alignment horizontal="center" vertical="center" wrapText="1"/>
    </xf>
    <xf numFmtId="0" fontId="8" fillId="0" borderId="2" applyAlignment="1" pivotButton="0" quotePrefix="0" xfId="49">
      <alignment horizontal="center" vertical="center" wrapText="1"/>
    </xf>
    <xf numFmtId="0" fontId="5" fillId="0" borderId="2" applyAlignment="1" pivotButton="0" quotePrefix="0" xfId="49">
      <alignment horizontal="center" vertical="center"/>
    </xf>
    <xf numFmtId="0" fontId="5" fillId="0" borderId="2" applyAlignment="1" pivotButton="0" quotePrefix="0" xfId="49">
      <alignment vertical="center"/>
    </xf>
    <xf numFmtId="0" fontId="5" fillId="0" borderId="14" applyAlignment="1" pivotButton="0" quotePrefix="0" xfId="49">
      <alignment horizontal="left" vertical="center"/>
    </xf>
    <xf numFmtId="0" fontId="5" fillId="0" borderId="2" applyAlignment="1" pivotButton="0" quotePrefix="0" xfId="49">
      <alignment horizontal="left" vertical="center"/>
    </xf>
    <xf numFmtId="0" fontId="5" fillId="0" borderId="3" applyAlignment="1" pivotButton="0" quotePrefix="0" xfId="49">
      <alignment horizontal="center" vertical="center"/>
    </xf>
    <xf numFmtId="0" fontId="5" fillId="0" borderId="15" applyAlignment="1" pivotButton="0" quotePrefix="0" xfId="49">
      <alignment horizontal="center" vertical="center"/>
    </xf>
    <xf numFmtId="0" fontId="5" fillId="0" borderId="7" applyAlignment="1" pivotButton="0" quotePrefix="0" xfId="49">
      <alignment horizontal="center" vertical="center"/>
    </xf>
    <xf numFmtId="0" fontId="6" fillId="0" borderId="14" applyAlignment="1" pivotButton="0" quotePrefix="0" xfId="49">
      <alignment horizontal="center" vertical="center" wrapText="1"/>
    </xf>
    <xf numFmtId="0" fontId="5" fillId="0" borderId="14" applyAlignment="1" pivotButton="0" quotePrefix="0" xfId="49">
      <alignment horizontal="center" vertical="center" wrapText="1"/>
    </xf>
    <xf numFmtId="0" fontId="5" fillId="0" borderId="0" applyAlignment="1" pivotButton="0" quotePrefix="0" xfId="49">
      <alignment horizontal="center" vertical="center"/>
    </xf>
    <xf numFmtId="0" fontId="5" fillId="0" borderId="0" applyAlignment="1" pivotButton="0" quotePrefix="0" xfId="49">
      <alignment horizontal="center" vertical="center" wrapText="1"/>
    </xf>
    <xf numFmtId="0" fontId="5" fillId="0" borderId="0" applyAlignment="1" pivotButton="0" quotePrefix="0" xfId="49">
      <alignment vertical="center" wrapText="1"/>
    </xf>
    <xf numFmtId="0" fontId="5" fillId="0" borderId="2" applyAlignment="1" pivotButton="0" quotePrefix="0" xfId="49">
      <alignment vertical="center" wrapText="1"/>
    </xf>
    <xf numFmtId="0" fontId="6" fillId="0" borderId="0" applyAlignment="1" pivotButton="0" quotePrefix="0" xfId="49">
      <alignment horizontal="center" vertical="center" wrapText="1"/>
    </xf>
    <xf numFmtId="0" fontId="9" fillId="0" borderId="0" applyAlignment="1" pivotButton="0" quotePrefix="0" xfId="49">
      <alignment horizontal="center" vertical="center" wrapText="1"/>
    </xf>
    <xf numFmtId="0" fontId="9" fillId="0" borderId="0" applyAlignment="1" pivotButton="0" quotePrefix="0" xfId="49">
      <alignment horizontal="center" vertical="center" wrapText="1"/>
    </xf>
    <xf numFmtId="0" fontId="9" fillId="0" borderId="0" applyAlignment="1" pivotButton="0" quotePrefix="0" xfId="49">
      <alignment vertical="center" wrapText="1"/>
    </xf>
    <xf numFmtId="0" fontId="9" fillId="0" borderId="2" applyAlignment="1" pivotButton="0" quotePrefix="0" xfId="49">
      <alignmen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0" fontId="9" fillId="0" borderId="10" applyAlignment="1" pivotButton="0" quotePrefix="0" xfId="49">
      <alignment horizontal="center" vertical="center" wrapText="1"/>
    </xf>
    <xf numFmtId="0" fontId="9" fillId="0" borderId="2" applyAlignment="1" pivotButton="0" quotePrefix="0" xfId="49">
      <alignment horizontal="center" vertical="center" wrapText="1"/>
    </xf>
    <xf numFmtId="0" fontId="9" fillId="6" borderId="2"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0" fontId="9" fillId="0" borderId="14" applyAlignment="1" pivotButton="0" quotePrefix="0" xfId="49">
      <alignment horizontal="center" vertical="center" wrapText="1"/>
    </xf>
    <xf numFmtId="0" fontId="9" fillId="0" borderId="2" applyAlignment="1" pivotButton="0" quotePrefix="0" xfId="0">
      <alignment horizontal="center" vertical="center" wrapText="1"/>
    </xf>
    <xf numFmtId="0" fontId="3" fillId="0" borderId="15" applyAlignment="1" pivotButton="0" quotePrefix="0" xfId="0">
      <alignment horizontal="center" vertical="center" wrapText="1"/>
    </xf>
    <xf numFmtId="0" fontId="10" fillId="0" borderId="2" applyAlignment="1" pivotButton="0" quotePrefix="0" xfId="0">
      <alignment horizontal="center" vertical="center"/>
    </xf>
    <xf numFmtId="0" fontId="10" fillId="0" borderId="2" applyAlignment="1" pivotButton="0" quotePrefix="0" xfId="0">
      <alignment horizontal="center" vertical="center" wrapText="1"/>
    </xf>
    <xf numFmtId="0" fontId="9" fillId="0" borderId="2" applyAlignment="1" pivotButton="0" quotePrefix="0" xfId="0">
      <alignment horizontal="center" vertical="center"/>
    </xf>
    <xf numFmtId="0" fontId="11" fillId="0" borderId="2" applyAlignment="1" pivotButton="0" quotePrefix="0" xfId="50">
      <alignment horizontal="center" vertical="center"/>
    </xf>
    <xf numFmtId="0" fontId="9" fillId="0" borderId="2" applyAlignment="1" pivotButton="0" quotePrefix="0" xfId="52">
      <alignment horizontal="center" vertical="center" wrapText="1"/>
    </xf>
    <xf numFmtId="0" fontId="9" fillId="0" borderId="2" applyAlignment="1" pivotButton="0" quotePrefix="0" xfId="56">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0" fontId="3" fillId="0" borderId="2" applyAlignment="1" pivotButton="0" quotePrefix="0" xfId="0">
      <alignment horizontal="center" vertical="center" wrapText="1"/>
    </xf>
    <xf numFmtId="0" fontId="3" fillId="0" borderId="2" applyAlignment="1" pivotButton="0" quotePrefix="0" xfId="0">
      <alignment horizontal="center" vertical="center"/>
    </xf>
    <xf numFmtId="0" fontId="9" fillId="0" borderId="2" applyAlignment="1" pivotButton="0" quotePrefix="0" xfId="49">
      <alignment horizontal="center" vertical="center" wrapText="1"/>
    </xf>
    <xf numFmtId="0" fontId="9" fillId="0" borderId="2" applyAlignment="1" pivotButton="0" quotePrefix="0" xfId="0">
      <alignment horizontal="center" vertical="center" wrapText="1"/>
    </xf>
    <xf numFmtId="0" fontId="12" fillId="0" borderId="2" applyAlignment="1" pivotButton="0" quotePrefix="0" xfId="0">
      <alignment horizontal="center" vertical="center"/>
    </xf>
    <xf numFmtId="0" fontId="13" fillId="0" borderId="2" applyAlignment="1" pivotButton="0" quotePrefix="0" xfId="0">
      <alignment horizontal="center" vertical="center" wrapText="1"/>
    </xf>
    <xf numFmtId="0" fontId="9" fillId="0" borderId="2" applyAlignment="1" pivotButton="0" quotePrefix="0" xfId="0">
      <alignment horizontal="center" vertical="center"/>
    </xf>
    <xf numFmtId="0" fontId="11" fillId="0" borderId="2" applyAlignment="1" pivotButton="0" quotePrefix="0" xfId="0">
      <alignment horizontal="center" vertical="center" wrapText="1"/>
    </xf>
    <xf numFmtId="0" fontId="9" fillId="0" borderId="2" applyAlignment="1" pivotButton="0" quotePrefix="0" xfId="0">
      <alignment horizontal="center" vertical="center"/>
    </xf>
    <xf numFmtId="0" fontId="9" fillId="5" borderId="2" applyAlignment="1" pivotButton="0" quotePrefix="0" xfId="0">
      <alignment horizontal="center" vertical="center"/>
    </xf>
    <xf numFmtId="0" fontId="9" fillId="4" borderId="2" applyAlignment="1" pivotButton="0" quotePrefix="0" xfId="0">
      <alignment horizontal="center" vertical="center"/>
    </xf>
    <xf numFmtId="0" fontId="9" fillId="6" borderId="2" applyAlignment="1" pivotButton="0" quotePrefix="0" xfId="0">
      <alignment horizontal="center" vertical="center"/>
    </xf>
    <xf numFmtId="0" fontId="11" fillId="0" borderId="2" applyAlignment="1" pivotButton="0" quotePrefix="0" xfId="50">
      <alignment horizontal="center" vertical="center" wrapText="1"/>
    </xf>
    <xf numFmtId="0" fontId="11" fillId="0" borderId="2" applyAlignment="1" pivotButton="0" quotePrefix="0" xfId="0">
      <alignment horizontal="center" vertical="center"/>
    </xf>
    <xf numFmtId="0" fontId="9" fillId="0" borderId="3" applyAlignment="1" pivotButton="0" quotePrefix="0" xfId="0">
      <alignment horizontal="center" vertical="center" wrapText="1"/>
    </xf>
    <xf numFmtId="0" fontId="9" fillId="0" borderId="15" applyAlignment="1" pivotButton="0" quotePrefix="0" xfId="0">
      <alignment horizontal="center" vertical="center" wrapText="1"/>
    </xf>
    <xf numFmtId="0" fontId="9" fillId="0" borderId="7" applyAlignment="1" pivotButton="0" quotePrefix="0" xfId="0">
      <alignment horizontal="center" vertical="center" wrapText="1"/>
    </xf>
    <xf numFmtId="0" fontId="9" fillId="0" borderId="12" applyAlignment="1" pivotButton="0" quotePrefix="0" xfId="0">
      <alignment horizontal="center" vertical="center" wrapText="1"/>
    </xf>
    <xf numFmtId="0" fontId="9" fillId="0" borderId="14" applyAlignment="1" pivotButton="0" quotePrefix="0" xfId="0">
      <alignment horizontal="center" vertical="center"/>
    </xf>
    <xf numFmtId="0" fontId="11" fillId="4" borderId="2" applyAlignment="1" pivotButton="0" quotePrefix="0" xfId="50">
      <alignment horizontal="center" vertical="center"/>
    </xf>
    <xf numFmtId="0" fontId="11" fillId="6" borderId="2" applyAlignment="1" pivotButton="0" quotePrefix="0" xfId="50">
      <alignment horizontal="center" vertical="center"/>
    </xf>
    <xf numFmtId="0" fontId="0" fillId="0" borderId="0" pivotButton="0" quotePrefix="0" xfId="0"/>
    <xf numFmtId="0" fontId="0" fillId="0" borderId="0" pivotButton="0" quotePrefix="0" xfId="0"/>
    <xf numFmtId="0" fontId="9" fillId="0" borderId="2" applyAlignment="1" pivotButton="0" quotePrefix="0" xfId="49">
      <alignment horizontal="center" vertical="center"/>
    </xf>
    <xf numFmtId="0" fontId="9" fillId="0" borderId="15" applyAlignment="1" pivotButton="0" quotePrefix="0" xfId="0">
      <alignment vertical="center" wrapText="1"/>
    </xf>
    <xf numFmtId="0" fontId="9" fillId="0" borderId="16" applyAlignment="1" pivotButton="0" quotePrefix="0" xfId="49">
      <alignment horizontal="center" vertical="center" wrapText="1"/>
    </xf>
    <xf numFmtId="0" fontId="10" fillId="7" borderId="2" applyAlignment="1" pivotButton="0" quotePrefix="0" xfId="0">
      <alignment horizontal="center" vertical="center"/>
    </xf>
    <xf numFmtId="0" fontId="9" fillId="7" borderId="2" applyAlignment="1" pivotButton="0" quotePrefix="0" xfId="0">
      <alignment horizontal="center" vertical="center"/>
    </xf>
    <xf numFmtId="0" fontId="3" fillId="0" borderId="2" applyAlignment="1" pivotButton="0" quotePrefix="0" xfId="49">
      <alignment horizontal="center" vertical="center" wrapText="1"/>
    </xf>
    <xf numFmtId="0" fontId="11" fillId="0" borderId="16" applyAlignment="1" pivotButton="0" quotePrefix="0" xfId="0">
      <alignment horizontal="center" vertical="center" wrapText="1"/>
    </xf>
    <xf numFmtId="0" fontId="10" fillId="0" borderId="16" applyAlignment="1" pivotButton="0" quotePrefix="0" xfId="0">
      <alignment horizontal="center" vertical="center"/>
    </xf>
    <xf numFmtId="0" fontId="9" fillId="0" borderId="16" applyAlignment="1" pivotButton="0" quotePrefix="0" xfId="0">
      <alignment horizontal="center" vertical="center"/>
    </xf>
    <xf numFmtId="0" fontId="10"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3" fillId="0" borderId="0" applyAlignment="1" pivotButton="0" quotePrefix="0" xfId="0">
      <alignment horizontal="center" vertical="center" wrapText="1"/>
    </xf>
    <xf numFmtId="0" fontId="9" fillId="0" borderId="0" applyAlignment="1" pivotButton="0" quotePrefix="0" xfId="49">
      <alignment vertical="center" wrapText="1"/>
    </xf>
    <xf numFmtId="0" fontId="11" fillId="0" borderId="3" applyAlignment="1" pivotButton="0" quotePrefix="0" xfId="0">
      <alignment horizontal="center" vertical="center" wrapText="1"/>
    </xf>
    <xf numFmtId="167" fontId="14" fillId="0" borderId="2" applyAlignment="1" pivotButton="0" quotePrefix="0" xfId="51">
      <alignment horizontal="center" vertical="center" wrapText="1"/>
    </xf>
    <xf numFmtId="0" fontId="11" fillId="0" borderId="15" applyAlignment="1" pivotButton="0" quotePrefix="0" xfId="0">
      <alignment horizontal="center" vertical="center" wrapText="1"/>
    </xf>
    <xf numFmtId="0" fontId="11" fillId="0" borderId="7" applyAlignment="1" pivotButton="0" quotePrefix="0" xfId="0">
      <alignment horizontal="center" vertical="center" wrapText="1"/>
    </xf>
    <xf numFmtId="0" fontId="9" fillId="0" borderId="7" applyAlignment="1" pivotButton="0" quotePrefix="0" xfId="49">
      <alignment vertical="center" wrapText="1"/>
    </xf>
    <xf numFmtId="0" fontId="3" fillId="0" borderId="7" applyAlignment="1" pivotButton="0" quotePrefix="0" xfId="0">
      <alignment horizontal="center" vertical="center" wrapText="1"/>
    </xf>
    <xf numFmtId="0" fontId="9" fillId="0" borderId="3" applyAlignment="1" pivotButton="0" quotePrefix="0" xfId="49">
      <alignment vertical="center" wrapText="1"/>
    </xf>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0" fontId="15" fillId="8" borderId="0" applyAlignment="1" pivotButton="0" quotePrefix="0" xfId="49">
      <alignment horizontal="center" vertical="center" wrapText="1"/>
    </xf>
    <xf numFmtId="0" fontId="15" fillId="8" borderId="5" applyAlignment="1" pivotButton="0" quotePrefix="0" xfId="49">
      <alignment horizontal="center" vertical="top" wrapText="1"/>
    </xf>
    <xf numFmtId="0" fontId="15" fillId="8" borderId="0" applyAlignment="1" pivotButton="0" quotePrefix="0" xfId="49">
      <alignment vertical="top" wrapText="1"/>
    </xf>
    <xf numFmtId="0" fontId="16" fillId="9" borderId="10" applyAlignment="1" pivotButton="0" quotePrefix="0" xfId="49">
      <alignment horizontal="left" vertical="center"/>
    </xf>
    <xf numFmtId="0" fontId="16" fillId="9" borderId="17" applyAlignment="1" pivotButton="0" quotePrefix="0" xfId="49">
      <alignment horizontal="left" vertical="center"/>
    </xf>
    <xf numFmtId="0" fontId="16" fillId="9" borderId="14" applyAlignment="1" pivotButton="0" quotePrefix="0" xfId="49">
      <alignment horizontal="left" vertical="center"/>
    </xf>
    <xf numFmtId="0" fontId="15" fillId="8" borderId="0" applyAlignment="1" pivotButton="0" quotePrefix="0" xfId="49">
      <alignment horizontal="left" vertical="top" wrapText="1"/>
    </xf>
    <xf numFmtId="0" fontId="15" fillId="8" borderId="2" applyAlignment="1" pivotButton="0" quotePrefix="0" xfId="49">
      <alignment horizontal="center" vertical="center" wrapText="1"/>
    </xf>
    <xf numFmtId="0" fontId="15" fillId="8" borderId="0" applyAlignment="1" pivotButton="0" quotePrefix="0" xfId="49">
      <alignment horizontal="center" vertical="center" wrapText="1"/>
    </xf>
    <xf numFmtId="0" fontId="17" fillId="0" borderId="0" pivotButton="0" quotePrefix="0" xfId="49"/>
    <xf numFmtId="0" fontId="15" fillId="8" borderId="2" applyAlignment="1" pivotButton="0" quotePrefix="0" xfId="49">
      <alignment horizontal="left" vertical="center" wrapText="1"/>
    </xf>
    <xf numFmtId="0" fontId="15" fillId="8" borderId="8" applyAlignment="1" pivotButton="0" quotePrefix="0" xfId="49">
      <alignment horizontal="left" vertical="center" wrapText="1"/>
    </xf>
    <xf numFmtId="0" fontId="15" fillId="8" borderId="9" applyAlignment="1" pivotButton="0" quotePrefix="0" xfId="49">
      <alignment horizontal="left" vertical="center" wrapText="1"/>
    </xf>
    <xf numFmtId="0" fontId="15" fillId="8" borderId="11" applyAlignment="1" pivotButton="0" quotePrefix="0" xfId="49">
      <alignment horizontal="left" vertical="center" wrapText="1"/>
    </xf>
    <xf numFmtId="0" fontId="15" fillId="8" borderId="12" applyAlignment="1" pivotButton="0" quotePrefix="0" xfId="49">
      <alignment horizontal="left" vertical="center" wrapText="1"/>
    </xf>
    <xf numFmtId="0" fontId="15" fillId="8" borderId="0" applyAlignment="1" pivotButton="0" quotePrefix="0" xfId="49">
      <alignment horizontal="left" vertical="center" wrapText="1"/>
    </xf>
    <xf numFmtId="0" fontId="15" fillId="8" borderId="13" applyAlignment="1" pivotButton="0" quotePrefix="0" xfId="49">
      <alignment horizontal="left" vertical="center" wrapText="1"/>
    </xf>
    <xf numFmtId="0" fontId="17" fillId="0" borderId="0" applyAlignment="1" pivotButton="0" quotePrefix="0" xfId="49">
      <alignment vertical="center"/>
    </xf>
    <xf numFmtId="0" fontId="15" fillId="8" borderId="4" applyAlignment="1" pivotButton="0" quotePrefix="0" xfId="49">
      <alignment horizontal="center" vertical="center" wrapText="1"/>
    </xf>
    <xf numFmtId="0" fontId="15" fillId="8" borderId="5" applyAlignment="1" pivotButton="0" quotePrefix="0" xfId="49">
      <alignment horizontal="center" vertical="center" wrapText="1"/>
    </xf>
    <xf numFmtId="0" fontId="15" fillId="8" borderId="6" applyAlignment="1" pivotButton="0" quotePrefix="0" xfId="49">
      <alignment horizontal="center" vertical="center" wrapText="1"/>
    </xf>
    <xf numFmtId="0" fontId="0" fillId="0" borderId="5" pivotButton="0" quotePrefix="0" xfId="0"/>
    <xf numFmtId="0" fontId="16" fillId="9" borderId="2" applyAlignment="1" pivotButton="0" quotePrefix="0" xfId="49">
      <alignment horizontal="left" vertical="center"/>
    </xf>
    <xf numFmtId="0" fontId="0" fillId="0" borderId="17" pivotButton="0" quotePrefix="0" xfId="0"/>
    <xf numFmtId="0" fontId="0" fillId="0" borderId="14" pivotButton="0" quotePrefix="0" xfId="0"/>
    <xf numFmtId="0" fontId="15" fillId="8" borderId="3" applyAlignment="1" pivotButton="0" quotePrefix="0" xfId="49">
      <alignment horizontal="left" vertical="center" wrapText="1"/>
    </xf>
    <xf numFmtId="0" fontId="0" fillId="0" borderId="9" pivotButton="0" quotePrefix="0" xfId="0"/>
    <xf numFmtId="0" fontId="0" fillId="0" borderId="11" pivotButton="0" quotePrefix="0" xfId="0"/>
    <xf numFmtId="0" fontId="0" fillId="0" borderId="12" pivotButton="0" quotePrefix="0" xfId="0"/>
    <xf numFmtId="0" fontId="0" fillId="0" borderId="13" pivotButton="0" quotePrefix="0" xfId="0"/>
    <xf numFmtId="165" fontId="9" fillId="0" borderId="0" applyAlignment="1" pivotButton="0" quotePrefix="0" xfId="49">
      <alignment horizontal="center" vertical="center" wrapText="1"/>
    </xf>
    <xf numFmtId="166" fontId="9" fillId="0" borderId="0" applyAlignment="1" pivotButton="0" quotePrefix="0" xfId="49">
      <alignment horizontal="center" vertical="center" wrapText="1"/>
    </xf>
    <xf numFmtId="167" fontId="9" fillId="0" borderId="0" applyAlignment="1" pivotButton="0" quotePrefix="0" xfId="49">
      <alignment horizontal="center" vertical="center" wrapText="1"/>
    </xf>
    <xf numFmtId="165" fontId="9" fillId="0" borderId="2" applyAlignment="1" pivotButton="0" quotePrefix="0" xfId="49">
      <alignment horizontal="center" vertical="center" wrapText="1"/>
    </xf>
    <xf numFmtId="166" fontId="9" fillId="0" borderId="2" applyAlignment="1" pivotButton="0" quotePrefix="0" xfId="49">
      <alignment horizontal="center" vertical="center" wrapText="1"/>
    </xf>
    <xf numFmtId="167" fontId="9" fillId="0" borderId="2" applyAlignment="1" pivotButton="0" quotePrefix="0" xfId="49">
      <alignment horizontal="center" vertical="center" wrapText="1"/>
    </xf>
    <xf numFmtId="165" fontId="9" fillId="0" borderId="2" applyAlignment="1" pivotButton="0" quotePrefix="0" xfId="0">
      <alignment horizontal="center" vertical="center" wrapText="1"/>
    </xf>
    <xf numFmtId="166" fontId="9" fillId="0" borderId="2" applyAlignment="1" pivotButton="0" quotePrefix="0" xfId="0">
      <alignment horizontal="center" vertical="center" wrapText="1"/>
    </xf>
    <xf numFmtId="167" fontId="9" fillId="0" borderId="2" applyAlignment="1" pivotButton="0" quotePrefix="0" xfId="51">
      <alignment horizontal="center" vertical="center" wrapText="1"/>
    </xf>
    <xf numFmtId="0" fontId="0" fillId="0" borderId="15" pivotButton="0" quotePrefix="0" xfId="0"/>
    <xf numFmtId="0" fontId="0" fillId="0" borderId="7" pivotButton="0" quotePrefix="0" xfId="0"/>
    <xf numFmtId="0" fontId="0" fillId="0" borderId="6" pivotButton="0" quotePrefix="0" xfId="0"/>
    <xf numFmtId="167" fontId="14" fillId="0" borderId="2" applyAlignment="1" pivotButton="0" quotePrefix="0" xfId="51">
      <alignment horizontal="center" vertical="center" wrapText="1"/>
    </xf>
    <xf numFmtId="0" fontId="6" fillId="0" borderId="7" applyAlignment="1" pivotButton="0" quotePrefix="0" xfId="49">
      <alignment horizontal="center" vertical="center" wrapText="1"/>
    </xf>
    <xf numFmtId="164" fontId="6" fillId="0" borderId="7" applyAlignment="1" pivotButton="0" quotePrefix="0" xfId="49">
      <alignment horizontal="left" vertical="center" wrapText="1"/>
    </xf>
    <xf numFmtId="0" fontId="5" fillId="0" borderId="10" applyAlignment="1" pivotButton="0" quotePrefix="0" xfId="49">
      <alignment horizontal="center" vertical="center"/>
    </xf>
    <xf numFmtId="0" fontId="6" fillId="0" borderId="17" applyAlignment="1" pivotButton="0" quotePrefix="0" xfId="49">
      <alignment horizontal="center" vertical="center" wrapText="1"/>
    </xf>
    <xf numFmtId="0" fontId="5" fillId="0" borderId="14" applyAlignment="1" pivotButton="0" quotePrefix="0" xfId="49">
      <alignment horizontal="center" vertical="center"/>
    </xf>
    <xf numFmtId="0" fontId="0" fillId="0" borderId="4" pivotButton="0" quotePrefix="0" xfId="0"/>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dell</author>
  </authors>
  <commentList>
    <comment ref="R1" authorId="0" shapeId="0">
      <text>
        <t xml:space="preserve">dell:
输入1，2/3，1/3，0.2,0.1
</t>
      </text>
    </comment>
  </commentList>
</comments>
</file>

<file path=xl/externalLinks/_rels/externalLink1.xml.rels><Relationships xmlns="http://schemas.openxmlformats.org/package/2006/relationships"><Relationship Type="http://schemas.openxmlformats.org/officeDocument/2006/relationships/externalLinkPath" Target="file:///F:\Users\wuling\Documents\WeChat%20Files\wxid_7izxqiqwl7o722\FileStorage\File\2020-09\&#22823;&#23637;"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J9"/>
  <sheetViews>
    <sheetView topLeftCell="A5" workbookViewId="0">
      <selection activeCell="E4" sqref="E4:G7"/>
    </sheetView>
  </sheetViews>
  <sheetFormatPr baseColWidth="8" defaultColWidth="8.58333333333333" defaultRowHeight="19.5" customHeight="1"/>
  <cols>
    <col width="7.08333333333333" customWidth="1" style="144" min="1" max="1"/>
    <col width="17" customWidth="1" style="144" min="2" max="2"/>
    <col width="23.5" customWidth="1" style="144" min="3" max="3"/>
    <col width="29" customWidth="1" style="144" min="4" max="4"/>
    <col width="14.0833333333333" customWidth="1" style="144" min="5" max="7"/>
    <col width="9" customWidth="1" style="144" min="8" max="32"/>
    <col width="8.58333333333333" customWidth="1" style="144" min="33" max="16384"/>
  </cols>
  <sheetData>
    <row r="1" ht="205.4" customHeight="1" s="112">
      <c r="A1" s="137" t="inlineStr">
        <is>
          <t xml:space="preserve">一个软件都被看作是由外部输入处理、外部输出处理、外部查询处理、内部逻辑文件和外部参照文件五种要素组成。
</t>
        </is>
      </c>
      <c r="B1" s="157" t="n"/>
      <c r="C1" s="157" t="n"/>
      <c r="D1" s="157" t="n"/>
      <c r="E1" s="157" t="n"/>
      <c r="F1" s="157" t="n"/>
      <c r="G1" s="157" t="n"/>
      <c r="H1" s="138" t="n"/>
      <c r="I1" s="138" t="n"/>
      <c r="J1" s="138" t="n"/>
    </row>
    <row r="2" ht="21.75" customHeight="1" s="112">
      <c r="A2" s="158" t="inlineStr">
        <is>
          <t>一、填写项目说明</t>
        </is>
      </c>
      <c r="B2" s="159" t="n"/>
      <c r="C2" s="159" t="n"/>
      <c r="D2" s="159" t="n"/>
      <c r="E2" s="159" t="n"/>
      <c r="F2" s="159" t="n"/>
      <c r="G2" s="160" t="n"/>
      <c r="H2" s="142" t="n"/>
      <c r="I2" s="142" t="n"/>
      <c r="J2" s="142" t="n"/>
    </row>
    <row r="3" s="112">
      <c r="A3" s="143" t="inlineStr">
        <is>
          <t>序号</t>
        </is>
      </c>
      <c r="B3" s="143" t="inlineStr">
        <is>
          <t>项目</t>
        </is>
      </c>
      <c r="C3" s="143" t="inlineStr">
        <is>
          <t>说明</t>
        </is>
      </c>
      <c r="D3" s="143" t="inlineStr">
        <is>
          <t>判定标准</t>
        </is>
      </c>
      <c r="E3" s="143" t="inlineStr">
        <is>
          <t>复杂度判断标准</t>
        </is>
      </c>
      <c r="F3" s="159" t="n"/>
      <c r="G3" s="160" t="n"/>
      <c r="H3" s="144" t="n"/>
      <c r="I3" s="145" t="inlineStr">
        <is>
          <t>EI的复杂度</t>
        </is>
      </c>
      <c r="J3" s="144" t="n"/>
    </row>
    <row r="4" ht="54" customHeight="1" s="112">
      <c r="A4" s="143" t="n">
        <v>1</v>
      </c>
      <c r="B4" s="146" t="inlineStr">
        <is>
          <t>EI(ExternalInput)
数据维护</t>
        </is>
      </c>
      <c r="C4" s="146" t="inlineStr">
        <is>
          <t>获得数据的过程，对终端用户的输入进行相关的处理</t>
        </is>
      </c>
      <c r="D4" s="146" t="inlineStr">
        <is>
          <t>1)数据是从系统边界外部获取的
2)事务处理是对ILF的插入、修改、删除操作</t>
        </is>
      </c>
      <c r="E4" s="161" t="inlineStr">
        <is>
          <t>1.如使用估算法，则默认ILF和EIF的复杂度取低，EI,EO,EQ的复杂度取中，按照复杂度参数表，则ILF、EIF、EI、EO、EQ分别取7、5、4、5、4。
2.如使用详细估算法，则文件ILF、EIF的复杂程度通常是用该文件的纪录种类数和项目数来度量的，记录种类越多，项目数越多，复杂程度就越高；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is>
      </c>
      <c r="F4" s="162" t="n"/>
      <c r="G4" s="163" t="n"/>
      <c r="H4" s="144" t="n"/>
      <c r="I4" s="144" t="n"/>
      <c r="J4" s="144" t="n"/>
    </row>
    <row r="5" ht="130.5" customHeight="1" s="112">
      <c r="A5" s="143" t="n">
        <v>2</v>
      </c>
      <c r="B5" s="146" t="inlineStr">
        <is>
          <t>EO(ExternalOutput)
数据编辑</t>
        </is>
      </c>
      <c r="C5" s="146" t="inlineStr">
        <is>
          <t>反馈数据的过程，完成对票据、报表等的输出</t>
        </is>
      </c>
      <c r="D5" s="146" t="inlineStr">
        <is>
          <t>1)向系统边界的外部输出数据
2)一般可以包含下列业务处理逻辑：
一个以上的数学运算处理
由基础数据生成新的数据
对一个以上的ILF进行插入、修改、删除操作
执行系统动作的变更</t>
        </is>
      </c>
      <c r="E5" s="164" t="n"/>
      <c r="G5" s="165" t="n"/>
      <c r="H5" s="144" t="n"/>
      <c r="I5" s="145" t="inlineStr">
        <is>
          <t>EO、EQ的复杂度</t>
        </is>
      </c>
      <c r="J5" s="144" t="n"/>
    </row>
    <row r="6" ht="129.6" customHeight="1" s="112">
      <c r="A6" s="143" t="n">
        <v>3</v>
      </c>
      <c r="B6" s="146" t="inlineStr">
        <is>
          <t>EQ(ExternalInquiry)
数据展现。</t>
        </is>
      </c>
      <c r="C6" s="146" t="inlineStr">
        <is>
          <t>针对终端用户的查询请求，输出相应的检索结果</t>
        </is>
      </c>
      <c r="D6" s="146" t="inlineStr">
        <is>
          <t>1)从系统边界外部获取数据
2)向系统边界外部输出数据
3)如果包含下列处理逻辑，则不是EQ：
一个以上的数学运算处理
由基础数据生成新的数据
对一个以上的ILF进行插入、修改、删除操作
执行系统动作的变更</t>
        </is>
      </c>
      <c r="E6" s="164" t="n"/>
      <c r="G6" s="165" t="n"/>
      <c r="H6" s="144" t="n"/>
      <c r="I6" s="144" t="n"/>
      <c r="J6" s="144" t="n"/>
    </row>
    <row r="7" ht="58.5" customHeight="1" s="112">
      <c r="A7" s="143" t="n">
        <v>4</v>
      </c>
      <c r="B7" s="146" t="inlineStr">
        <is>
          <t>ILF(InternalLogicalFile)
类表</t>
        </is>
      </c>
      <c r="C7" s="146" t="inlineStr">
        <is>
          <t>是在信息系统内部，为了完成相关功能使用的逻辑文件，包括顺序文件、数据库表、临时文件等</t>
        </is>
      </c>
      <c r="D7" s="146" t="inlineStr">
        <is>
          <t>在计测系统范围内，有检索操作，同时也有插入、更新、删除操作的数据</t>
        </is>
      </c>
      <c r="E7" s="164" t="n"/>
      <c r="G7" s="165" t="n"/>
      <c r="H7" s="144" t="n"/>
      <c r="I7" s="153" t="inlineStr">
        <is>
          <t>ILF、EIF的复杂程度</t>
        </is>
      </c>
      <c r="J7" s="144" t="n"/>
    </row>
    <row r="8" ht="111" customHeight="1" s="112">
      <c r="A8" s="143" t="n">
        <v>5</v>
      </c>
      <c r="B8" s="146" t="inlineStr">
        <is>
          <t>EIF(ExternalInterfaceFile)
接口类表</t>
        </is>
      </c>
      <c r="C8" s="146" t="inlineStr">
        <is>
          <t>该系统和外部其他信息系统为了交换数据而使用的接口文件</t>
        </is>
      </c>
      <c r="D8" s="146" t="inlineStr">
        <is>
          <t xml:space="preserve">1)在计测范围内的系统检索，在计测范围外的系统保存的数据
2)在计测系统范围内，没有插入、更新、删除等操作的数据
3)是计测范围外系统的ILF
</t>
        </is>
      </c>
      <c r="E8" s="154" t="n"/>
      <c r="F8" s="155" t="n"/>
      <c r="G8" s="156" t="n"/>
      <c r="H8" s="144" t="n"/>
      <c r="I8" s="144" t="n"/>
      <c r="J8" s="144" t="n"/>
    </row>
    <row r="9" ht="111" customHeight="1" s="112">
      <c r="A9" s="144" t="n"/>
      <c r="B9" s="151" t="n"/>
      <c r="C9" s="151" t="n"/>
      <c r="D9" s="151" t="n"/>
      <c r="E9" s="151" t="n"/>
      <c r="F9" s="151" t="n"/>
      <c r="G9" s="151" t="n"/>
      <c r="H9" s="144" t="n"/>
      <c r="I9" s="144" t="n"/>
      <c r="J9" s="144" t="n"/>
    </row>
  </sheetData>
  <mergeCells count="4">
    <mergeCell ref="A1:G1"/>
    <mergeCell ref="A2:G2"/>
    <mergeCell ref="E4:G7"/>
    <mergeCell ref="E3:G3"/>
  </mergeCells>
  <pageMargins left="0.75" right="0.75" top="1" bottom="1" header="0.5" footer="0.5"/>
  <pageSetup orientation="portrait" paperSize="9" scale="26"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worksheet>
</file>

<file path=xl/worksheets/sheet2.xml><?xml version="1.0" encoding="utf-8"?>
<worksheet xmlns="http://schemas.openxmlformats.org/spreadsheetml/2006/main">
  <sheetPr codeName="Sheet2">
    <outlinePr summaryBelow="1" summaryRight="1"/>
    <pageSetUpPr/>
  </sheetPr>
  <dimension ref="A1:AE1933"/>
  <sheetViews>
    <sheetView tabSelected="1" topLeftCell="F1" workbookViewId="0">
      <pane ySplit="1" topLeftCell="A2" activePane="bottomLeft" state="frozen"/>
      <selection activeCell="A1" sqref="A1"/>
      <selection pane="bottomLeft" activeCell="K7" sqref="K7"/>
    </sheetView>
  </sheetViews>
  <sheetFormatPr baseColWidth="8" defaultColWidth="8.58333333333333" defaultRowHeight="20" customHeight="1"/>
  <cols>
    <col width="7.5" customWidth="1" style="125" min="1" max="1"/>
    <col width="16.7" customWidth="1" style="68" min="2" max="2"/>
    <col width="4.375" customWidth="1" style="68" min="3" max="3"/>
    <col width="8.15" customWidth="1" style="68" min="4" max="4"/>
    <col width="21.8416666666667" customWidth="1" style="125" min="5" max="5"/>
    <col width="17.1" customWidth="1" style="68" min="6" max="6"/>
    <col width="9.699999999999999" customWidth="1" style="68" min="7" max="7"/>
    <col width="9.258333333333329" customWidth="1" style="68" min="8" max="8"/>
    <col width="37.125" customWidth="1" style="68" min="9" max="9"/>
    <col width="7.06666666666667" customWidth="1" style="66" min="10" max="10"/>
    <col width="32.4" customWidth="1" style="66" min="11" max="11"/>
    <col width="27" customWidth="1" style="66" min="12" max="12"/>
    <col width="5.08333333333333" customWidth="1" style="66" min="13" max="14"/>
    <col width="7" customWidth="1" style="66" min="15" max="15"/>
    <col width="5.08333333333333" customWidth="1" style="66" min="16" max="16"/>
    <col width="6.58333333333333" customWidth="1" style="66" min="17" max="17"/>
    <col width="5.3" customWidth="1" style="166" min="18" max="18"/>
    <col width="6.15833333333333" customWidth="1" style="167" min="19" max="20"/>
    <col width="5.875" customWidth="1" style="168" min="21" max="22"/>
    <col width="23.0083333333333" customWidth="1" style="66" min="23" max="23"/>
    <col width="20.7" customWidth="1" style="66" min="24" max="24"/>
    <col width="57.7" customWidth="1" style="66" min="25" max="25"/>
    <col width="9" customWidth="1" style="66" min="26" max="27"/>
    <col width="22" customWidth="1" style="66" min="28" max="28"/>
    <col width="4.99166666666667" customWidth="1" style="66" min="29" max="29"/>
    <col width="9" customWidth="1" style="66" min="30" max="31"/>
  </cols>
  <sheetData>
    <row r="1" ht="19" customHeight="1" s="112">
      <c r="A1" s="72" t="inlineStr">
        <is>
          <t>序号</t>
        </is>
      </c>
      <c r="B1" s="92" t="inlineStr">
        <is>
          <t>系统</t>
        </is>
      </c>
      <c r="C1" s="92" t="inlineStr">
        <is>
          <t>25/26</t>
        </is>
      </c>
      <c r="D1" s="74" t="inlineStr">
        <is>
          <t>责任人</t>
        </is>
      </c>
      <c r="E1" s="92" t="inlineStr">
        <is>
          <t>对应25期研发交付功能过程</t>
        </is>
      </c>
      <c r="F1" s="92" t="inlineStr">
        <is>
          <t>一级功能</t>
        </is>
      </c>
      <c r="G1" s="92" t="inlineStr">
        <is>
          <t>二级功能</t>
        </is>
      </c>
      <c r="H1" s="92" t="inlineStr">
        <is>
          <t>三级功能</t>
        </is>
      </c>
      <c r="I1" s="92" t="inlineStr">
        <is>
          <t>四级功能</t>
        </is>
      </c>
      <c r="J1" s="92" t="inlineStr">
        <is>
          <t>类型</t>
        </is>
      </c>
      <c r="K1" s="92" t="inlineStr">
        <is>
          <t>修改说明</t>
        </is>
      </c>
      <c r="L1" s="92" t="inlineStr">
        <is>
          <t>评估说明</t>
        </is>
      </c>
      <c r="M1" s="92" t="inlineStr">
        <is>
          <t>FTR</t>
        </is>
      </c>
      <c r="N1" s="92" t="inlineStr">
        <is>
          <t>RET</t>
        </is>
      </c>
      <c r="O1" s="92" t="inlineStr">
        <is>
          <t>DET</t>
        </is>
      </c>
      <c r="P1" s="92" t="inlineStr">
        <is>
          <t>复杂度</t>
        </is>
      </c>
      <c r="Q1" s="92" t="inlineStr">
        <is>
          <t>UFP</t>
        </is>
      </c>
      <c r="R1" s="169" t="inlineStr">
        <is>
          <t>复用度</t>
        </is>
      </c>
      <c r="S1" s="170" t="inlineStr">
        <is>
          <t>调整因子</t>
        </is>
      </c>
      <c r="T1" s="170" t="inlineStr">
        <is>
          <t>应用系数</t>
        </is>
      </c>
      <c r="U1" s="171" t="inlineStr">
        <is>
          <t>FP</t>
        </is>
      </c>
      <c r="V1" s="171" t="inlineStr">
        <is>
          <t>FP*应用系数</t>
        </is>
      </c>
      <c r="W1" s="92" t="inlineStr">
        <is>
          <t>FTR明细</t>
        </is>
      </c>
      <c r="X1" s="92" t="inlineStr">
        <is>
          <t>RET明细</t>
        </is>
      </c>
      <c r="Y1" s="92" t="inlineStr">
        <is>
          <t>DET明细（除启动触发器）</t>
        </is>
      </c>
      <c r="Z1" s="92" t="inlineStr">
        <is>
          <t>备注</t>
        </is>
      </c>
      <c r="AA1" s="92" t="n"/>
      <c r="AB1" s="92" t="inlineStr">
        <is>
          <t>备注</t>
        </is>
      </c>
      <c r="AC1" s="66" t="inlineStr">
        <is>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is>
      </c>
      <c r="AD1" s="78" t="inlineStr">
        <is>
          <t>评估方法：</t>
        </is>
      </c>
      <c r="AE1" s="93" t="inlineStr">
        <is>
          <t>NESMA</t>
        </is>
      </c>
    </row>
    <row r="2" customFormat="1" s="66">
      <c r="A2" s="72">
        <f>ROW()-1</f>
        <v/>
      </c>
      <c r="B2" s="131" t="inlineStr">
        <is>
          <t>新漏洞检测分析平台</t>
        </is>
      </c>
      <c r="C2" s="80" t="n">
        <v>2025</v>
      </c>
      <c r="D2" s="80" t="inlineStr">
        <is>
          <t>蔡云飞</t>
        </is>
      </c>
      <c r="E2" s="81">
        <f>VLOOKUP(I2,'25年交付功能（不含废弃）'!A:A,1,FALSE)</f>
        <v/>
      </c>
      <c r="F2" s="92" t="inlineStr">
        <is>
          <t>安全风险识别与利用分析</t>
        </is>
      </c>
      <c r="G2" s="82" t="inlineStr">
        <is>
          <t>CPE库管理</t>
        </is>
      </c>
      <c r="H2" s="82" t="inlineStr">
        <is>
          <t>CPE文档基础管理</t>
        </is>
      </c>
      <c r="I2" s="81" t="inlineStr">
        <is>
          <t>CPE文档查询</t>
        </is>
      </c>
      <c r="J2" s="98" t="inlineStr">
        <is>
          <t>EO</t>
        </is>
      </c>
      <c r="K2" s="84" t="n"/>
      <c r="L2" s="84" t="n"/>
      <c r="M2" s="85">
        <f>IF(OR(Y2="估算法",Y2="算法类",Y2="无法识别"),"",IF(W2="",IF(OR(J2="EI",J2="EO",J2="EQ"),0,""),LEN(W2)-LEN(SUBSTITUTE(W2,"、",""))+1))</f>
        <v/>
      </c>
      <c r="N2" s="85">
        <f>IF(OR(Y2="估算法",Y2="算法类",Y2="无法识别"),"",IF(X2="",IF(OR(J2="ILF",J2="EIF"),0,""),LEN(X2)-LEN(SUBSTITUTE(X2,"、",""))+1))</f>
        <v/>
      </c>
      <c r="O2" s="85">
        <f>IF(OR(Y2="估算法",Y2="算法类",Y2="无法识别"),"",IF(Y2="",IF(OR(J2="ILF",J2="EIF",J2="EI",J2="EO",J2="EQ"),0,""),LEN(Y2)-LEN(SUBSTITUTE(SUBSTITUTE(SUBSTITUTE(SUBSTITUTE(SUBSTITUTE(Y2,"|}","--"),"{|","--"),CHAR(10),""),"、",""),"|",""))+IF(AND(OR(J2="EI",J2="EO",J2="EQ"),$AE$1="NESMA"),2,1)))</f>
        <v/>
      </c>
      <c r="P2" s="86">
        <f>IF(J2="EI",IF(OR(Y2="估算法",Y2="算法类"),"中",IF(Y2="无法识别","低",IF(M2&lt;2,IF(O2&lt;16,"低","中"),IF(M2&lt;3,IF(O2&lt;5,"低",IF(O2&lt;16,"中","高")),IF(O2&lt;5,"中","高"))))),IF(OR(J2="EO",J2="EQ"),IF(OR(Y2="估算法",Y2="算法类"),"中",IF(Y2="无法识别","低",IF(M2&lt;2,IF(O2&lt;20,"低","中"),IF(M2&lt;4,IF(O2&lt;6,"低",IF(O2&lt;20,"中","高")),IF(O2&lt;6,"中","高"))))),IF(OR(J2="ILF",J2="EIF"),IF(OR(Y2="估算法",Y2="算法类",Y2="无法识别"),"低",IF(N2&lt;2,IF(O2&lt;51,"低","中"),IF(N2&lt;6,IF(O2&lt;20,"低",IF(O2&lt;51,"中","高")),IF(O2&lt;20,"中","高")))),"不计算")))</f>
        <v/>
      </c>
      <c r="Q2" s="172">
        <f>IFERROR(IF(J2="EI",IF(P2="低",3,IF(P2="中",4,6)),IF(J2="EO",IF(P2="低",4,IF(P2="中",5,7)),IF(J2="EQ",IF(P2="低",3,IF(P2="中",4,6)),IF(J2="ILF",IF(P2="低",7,IF(P2="中",10,15)),IF(J2="EIF",IF(P2="低",5,IF(P2="中",7,10)),"不计算")))))*R2,"不计算")</f>
        <v/>
      </c>
      <c r="R2" s="172" t="n">
        <v>1</v>
      </c>
      <c r="S2" s="173">
        <f>调整因子!$F$13</f>
        <v/>
      </c>
      <c r="T2" s="93" t="n">
        <v>1</v>
      </c>
      <c r="U2" s="174">
        <f>IFERROR(Q2*S2,0)</f>
        <v/>
      </c>
      <c r="V2" s="174">
        <f>U2*T2</f>
        <v/>
      </c>
      <c r="W2" s="90" t="inlineStr">
        <is>
          <t>CPE文档信息表</t>
        </is>
      </c>
      <c r="X2" s="91" t="n"/>
      <c r="Y2"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2" s="92" t="inlineStr">
        <is>
          <t>是否被引用</t>
        </is>
      </c>
      <c r="AA2" s="92" t="inlineStr">
        <is>
          <t>是否被维护</t>
        </is>
      </c>
      <c r="AB2" s="92" t="inlineStr">
        <is>
          <t>EI类型数据库表</t>
        </is>
      </c>
      <c r="AC2" s="66" t="n"/>
    </row>
    <row r="3" customFormat="1" s="66">
      <c r="A3" s="72">
        <f>ROW()-1</f>
        <v/>
      </c>
      <c r="B3" s="175" t="n"/>
      <c r="C3" s="80" t="n">
        <v>2025</v>
      </c>
      <c r="D3" s="80" t="inlineStr">
        <is>
          <t>蔡云飞</t>
        </is>
      </c>
      <c r="E3" s="81">
        <f>VLOOKUP(I3,'25年交付功能（不含废弃）'!A:A,1,FALSE)</f>
        <v/>
      </c>
      <c r="F3" s="175" t="n"/>
      <c r="G3" s="175" t="n"/>
      <c r="H3" s="175" t="n"/>
      <c r="I3" s="81" t="inlineStr">
        <is>
          <t>CPE文档创建</t>
        </is>
      </c>
      <c r="J3" s="98" t="inlineStr">
        <is>
          <t>EI</t>
        </is>
      </c>
      <c r="K3" s="84" t="n"/>
      <c r="L3" s="84" t="n"/>
      <c r="M3" s="85">
        <f>IF(OR(Y3="估算法",Y3="算法类",Y3="无法识别"),"",IF(W3="",IF(OR(J3="EI",J3="EO",J3="EQ"),0,""),LEN(W3)-LEN(SUBSTITUTE(W3,"、",""))+1))</f>
        <v/>
      </c>
      <c r="N3" s="85">
        <f>IF(OR(Y3="估算法",Y3="算法类",Y3="无法识别"),"",IF(X3="",IF(OR(J3="ILF",J3="EIF"),0,""),LEN(X3)-LEN(SUBSTITUTE(X3,"、",""))+1))</f>
        <v/>
      </c>
      <c r="O3" s="85">
        <f>IF(OR(Y3="估算法",Y3="算法类",Y3="无法识别"),"",IF(Y3="",IF(OR(J3="ILF",J3="EIF",J3="EI",J3="EO",J3="EQ"),0,""),LEN(Y3)-LEN(SUBSTITUTE(SUBSTITUTE(SUBSTITUTE(SUBSTITUTE(SUBSTITUTE(Y3,"|}","--"),"{|","--"),CHAR(10),""),"、",""),"|",""))+IF(AND(OR(J3="EI",J3="EO",J3="EQ"),$AE$1="NESMA"),2,1)))</f>
        <v/>
      </c>
      <c r="P3" s="86">
        <f>IF(J3="EI",IF(OR(Y3="估算法",Y3="算法类"),"中",IF(Y3="无法识别","低",IF(M3&lt;2,IF(O3&lt;16,"低","中"),IF(M3&lt;3,IF(O3&lt;5,"低",IF(O3&lt;16,"中","高")),IF(O3&lt;5,"中","高"))))),IF(OR(J3="EO",J3="EQ"),IF(OR(Y3="估算法",Y3="算法类"),"中",IF(Y3="无法识别","低",IF(M3&lt;2,IF(O3&lt;20,"低","中"),IF(M3&lt;4,IF(O3&lt;6,"低",IF(O3&lt;20,"中","高")),IF(O3&lt;6,"中","高"))))),IF(OR(J3="ILF",J3="EIF"),IF(OR(Y3="估算法",Y3="算法类",Y3="无法识别"),"低",IF(N3&lt;2,IF(O3&lt;51,"低","中"),IF(N3&lt;6,IF(O3&lt;20,"低",IF(O3&lt;51,"中","高")),IF(O3&lt;20,"中","高")))),"不计算")))</f>
        <v/>
      </c>
      <c r="Q3" s="172">
        <f>IFERROR(IF(J3="EI",IF(P3="低",3,IF(P3="中",4,6)),IF(J3="EO",IF(P3="低",4,IF(P3="中",5,7)),IF(J3="EQ",IF(P3="低",3,IF(P3="中",4,6)),IF(J3="ILF",IF(P3="低",7,IF(P3="中",10,15)),IF(J3="EIF",IF(P3="低",5,IF(P3="中",7,10)),"不计算")))))*R3,"不计算")</f>
        <v/>
      </c>
      <c r="R3" s="172" t="n">
        <v>1</v>
      </c>
      <c r="S3" s="173">
        <f>调整因子!$F$13</f>
        <v/>
      </c>
      <c r="T3" s="92" t="n">
        <v>1</v>
      </c>
      <c r="U3" s="174">
        <f>IFERROR(Q3*S3,0)</f>
        <v/>
      </c>
      <c r="V3" s="174">
        <f>U3*T3</f>
        <v/>
      </c>
      <c r="W3" s="90" t="inlineStr">
        <is>
          <t>CPE文档信息表</t>
        </is>
      </c>
      <c r="X3" s="91" t="n"/>
      <c r="Y3"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3" s="90" t="n"/>
      <c r="AA3" s="90" t="n"/>
      <c r="AB3" s="90" t="inlineStr">
        <is>
          <t>CPE文档信息表</t>
        </is>
      </c>
      <c r="AC3" s="66" t="n"/>
    </row>
    <row r="4" customFormat="1" s="66">
      <c r="A4" s="72">
        <f>ROW()-1</f>
        <v/>
      </c>
      <c r="B4" s="175" t="n"/>
      <c r="C4" s="80" t="n">
        <v>2025</v>
      </c>
      <c r="D4" s="80" t="inlineStr">
        <is>
          <t>蔡云飞</t>
        </is>
      </c>
      <c r="E4" s="81">
        <f>VLOOKUP(I4,'25年交付功能（不含废弃）'!A:A,1,FALSE)</f>
        <v/>
      </c>
      <c r="F4" s="175" t="n"/>
      <c r="G4" s="175" t="n"/>
      <c r="H4" s="175" t="n"/>
      <c r="I4" s="81" t="inlineStr">
        <is>
          <t>CPE文档编辑</t>
        </is>
      </c>
      <c r="J4" s="98" t="inlineStr">
        <is>
          <t>EI</t>
        </is>
      </c>
      <c r="K4" s="84" t="n"/>
      <c r="L4" s="84" t="n"/>
      <c r="M4" s="85">
        <f>IF(OR(Y4="估算法",Y4="算法类",Y4="无法识别"),"",IF(W4="",IF(OR(J4="EI",J4="EO",J4="EQ"),0,""),LEN(W4)-LEN(SUBSTITUTE(W4,"、",""))+1))</f>
        <v/>
      </c>
      <c r="N4" s="85">
        <f>IF(OR(Y4="估算法",Y4="算法类",Y4="无法识别"),"",IF(X4="",IF(OR(J4="ILF",J4="EIF"),0,""),LEN(X4)-LEN(SUBSTITUTE(X4,"、",""))+1))</f>
        <v/>
      </c>
      <c r="O4" s="85">
        <f>IF(OR(Y4="估算法",Y4="算法类",Y4="无法识别"),"",IF(Y4="",IF(OR(J4="ILF",J4="EIF",J4="EI",J4="EO",J4="EQ"),0,""),LEN(Y4)-LEN(SUBSTITUTE(SUBSTITUTE(SUBSTITUTE(SUBSTITUTE(SUBSTITUTE(Y4,"|}","--"),"{|","--"),CHAR(10),""),"、",""),"|",""))+IF(AND(OR(J4="EI",J4="EO",J4="EQ"),$AE$1="NESMA"),2,1)))</f>
        <v/>
      </c>
      <c r="P4" s="86">
        <f>IF(J4="EI",IF(OR(Y4="估算法",Y4="算法类"),"中",IF(Y4="无法识别","低",IF(M4&lt;2,IF(O4&lt;16,"低","中"),IF(M4&lt;3,IF(O4&lt;5,"低",IF(O4&lt;16,"中","高")),IF(O4&lt;5,"中","高"))))),IF(OR(J4="EO",J4="EQ"),IF(OR(Y4="估算法",Y4="算法类"),"中",IF(Y4="无法识别","低",IF(M4&lt;2,IF(O4&lt;20,"低","中"),IF(M4&lt;4,IF(O4&lt;6,"低",IF(O4&lt;20,"中","高")),IF(O4&lt;6,"中","高"))))),IF(OR(J4="ILF",J4="EIF"),IF(OR(Y4="估算法",Y4="算法类",Y4="无法识别"),"低",IF(N4&lt;2,IF(O4&lt;51,"低","中"),IF(N4&lt;6,IF(O4&lt;20,"低",IF(O4&lt;51,"中","高")),IF(O4&lt;20,"中","高")))),"不计算")))</f>
        <v/>
      </c>
      <c r="Q4" s="172">
        <f>IFERROR(IF(J4="EI",IF(P4="低",3,IF(P4="中",4,6)),IF(J4="EO",IF(P4="低",4,IF(P4="中",5,7)),IF(J4="EQ",IF(P4="低",3,IF(P4="中",4,6)),IF(J4="ILF",IF(P4="低",7,IF(P4="中",10,15)),IF(J4="EIF",IF(P4="低",5,IF(P4="中",7,10)),"不计算")))))*R4,"不计算")</f>
        <v/>
      </c>
      <c r="R4" s="172" t="n">
        <v>0.333333333333333</v>
      </c>
      <c r="S4" s="173">
        <f>调整因子!$F$13</f>
        <v/>
      </c>
      <c r="T4" s="92" t="n">
        <v>1</v>
      </c>
      <c r="U4" s="174">
        <f>IFERROR(Q4*S4,0)</f>
        <v/>
      </c>
      <c r="V4" s="174">
        <f>U4*T4</f>
        <v/>
      </c>
      <c r="W4" s="90" t="inlineStr">
        <is>
          <t>CPE文档信息表</t>
        </is>
      </c>
      <c r="X4" s="91" t="n"/>
      <c r="Y4"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4" s="90" t="n"/>
      <c r="AA4" s="90" t="n"/>
      <c r="AB4" s="90" t="inlineStr">
        <is>
          <t>CPE文档信息表</t>
        </is>
      </c>
      <c r="AC4" s="66" t="n"/>
    </row>
    <row r="5" customFormat="1" s="66">
      <c r="A5" s="72">
        <f>ROW()-1</f>
        <v/>
      </c>
      <c r="B5" s="175" t="n"/>
      <c r="C5" s="80" t="n">
        <v>2025</v>
      </c>
      <c r="D5" s="80" t="inlineStr">
        <is>
          <t>蔡云飞</t>
        </is>
      </c>
      <c r="E5" s="81">
        <f>VLOOKUP(I5,'25年交付功能（不含废弃）'!A:A,1,FALSE)</f>
        <v/>
      </c>
      <c r="F5" s="175" t="n"/>
      <c r="G5" s="175" t="n"/>
      <c r="H5" s="175" t="n"/>
      <c r="I5" s="81" t="inlineStr">
        <is>
          <t>CPE文档删除</t>
        </is>
      </c>
      <c r="J5" s="98" t="inlineStr">
        <is>
          <t>EI</t>
        </is>
      </c>
      <c r="K5" s="84" t="n"/>
      <c r="L5" s="84" t="n"/>
      <c r="M5" s="85">
        <f>IF(OR(Y5="估算法",Y5="算法类",Y5="无法识别"),"",IF(W5="",IF(OR(J5="EI",J5="EO",J5="EQ"),0,""),LEN(W5)-LEN(SUBSTITUTE(W5,"、",""))+1))</f>
        <v/>
      </c>
      <c r="N5" s="85">
        <f>IF(OR(Y5="估算法",Y5="算法类",Y5="无法识别"),"",IF(X5="",IF(OR(J5="ILF",J5="EIF"),0,""),LEN(X5)-LEN(SUBSTITUTE(X5,"、",""))+1))</f>
        <v/>
      </c>
      <c r="O5" s="85">
        <f>IF(OR(Y5="估算法",Y5="算法类",Y5="无法识别"),"",IF(Y5="",IF(OR(J5="ILF",J5="EIF",J5="EI",J5="EO",J5="EQ"),0,""),LEN(Y5)-LEN(SUBSTITUTE(SUBSTITUTE(SUBSTITUTE(SUBSTITUTE(SUBSTITUTE(Y5,"|}","--"),"{|","--"),CHAR(10),""),"、",""),"|",""))+IF(AND(OR(J5="EI",J5="EO",J5="EQ"),$AE$1="NESMA"),2,1)))</f>
        <v/>
      </c>
      <c r="P5" s="86">
        <f>IF(J5="EI",IF(OR(Y5="估算法",Y5="算法类"),"中",IF(Y5="无法识别","低",IF(M5&lt;2,IF(O5&lt;16,"低","中"),IF(M5&lt;3,IF(O5&lt;5,"低",IF(O5&lt;16,"中","高")),IF(O5&lt;5,"中","高"))))),IF(OR(J5="EO",J5="EQ"),IF(OR(Y5="估算法",Y5="算法类"),"中",IF(Y5="无法识别","低",IF(M5&lt;2,IF(O5&lt;20,"低","中"),IF(M5&lt;4,IF(O5&lt;6,"低",IF(O5&lt;20,"中","高")),IF(O5&lt;6,"中","高"))))),IF(OR(J5="ILF",J5="EIF"),IF(OR(Y5="估算法",Y5="算法类",Y5="无法识别"),"低",IF(N5&lt;2,IF(O5&lt;51,"低","中"),IF(N5&lt;6,IF(O5&lt;20,"低",IF(O5&lt;51,"中","高")),IF(O5&lt;20,"中","高")))),"不计算")))</f>
        <v/>
      </c>
      <c r="Q5" s="172">
        <f>IFERROR(IF(J5="EI",IF(P5="低",3,IF(P5="中",4,6)),IF(J5="EO",IF(P5="低",4,IF(P5="中",5,7)),IF(J5="EQ",IF(P5="低",3,IF(P5="中",4,6)),IF(J5="ILF",IF(P5="低",7,IF(P5="中",10,15)),IF(J5="EIF",IF(P5="低",5,IF(P5="中",7,10)),"不计算")))))*R5,"不计算")</f>
        <v/>
      </c>
      <c r="R5" s="172" t="n">
        <v>0.333333333333333</v>
      </c>
      <c r="S5" s="173">
        <f>调整因子!$F$13</f>
        <v/>
      </c>
      <c r="T5" s="93" t="n">
        <v>1</v>
      </c>
      <c r="U5" s="174">
        <f>IFERROR(Q5*S5,0)</f>
        <v/>
      </c>
      <c r="V5" s="174">
        <f>U5*T5</f>
        <v/>
      </c>
      <c r="W5" s="90" t="inlineStr">
        <is>
          <t>CPE文档信息表</t>
        </is>
      </c>
      <c r="X5" s="91" t="n"/>
      <c r="Y5"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5" s="90" t="n"/>
      <c r="AA5" s="90" t="n"/>
      <c r="AB5" s="90" t="inlineStr">
        <is>
          <t>CPE文档信息表</t>
        </is>
      </c>
      <c r="AC5" s="66" t="n"/>
    </row>
    <row r="6" customFormat="1" s="66">
      <c r="A6" s="72">
        <f>ROW()-1</f>
        <v/>
      </c>
      <c r="B6" s="175" t="n"/>
      <c r="C6" s="80" t="n">
        <v>2025</v>
      </c>
      <c r="D6" s="80" t="inlineStr">
        <is>
          <t>蔡云飞</t>
        </is>
      </c>
      <c r="E6" s="81">
        <f>VLOOKUP(I6,'25年交付功能（不含废弃）'!A:A,1,FALSE)</f>
        <v/>
      </c>
      <c r="F6" s="175" t="n"/>
      <c r="G6" s="175" t="n"/>
      <c r="H6" s="175" t="n"/>
      <c r="I6" s="81" t="inlineStr">
        <is>
          <t>CPE文档导入</t>
        </is>
      </c>
      <c r="J6" s="98" t="inlineStr">
        <is>
          <t>EI</t>
        </is>
      </c>
      <c r="K6" s="84" t="n"/>
      <c r="L6" s="84" t="n"/>
      <c r="M6" s="85">
        <f>IF(OR(Y6="估算法",Y6="算法类",Y6="无法识别"),"",IF(W6="",IF(OR(J6="EI",J6="EO",J6="EQ"),0,""),LEN(W6)-LEN(SUBSTITUTE(W6,"、",""))+1))</f>
        <v/>
      </c>
      <c r="N6" s="85">
        <f>IF(OR(Y6="估算法",Y6="算法类",Y6="无法识别"),"",IF(X6="",IF(OR(J6="ILF",J6="EIF"),0,""),LEN(X6)-LEN(SUBSTITUTE(X6,"、",""))+1))</f>
        <v/>
      </c>
      <c r="O6" s="85">
        <f>IF(OR(Y6="估算法",Y6="算法类",Y6="无法识别"),"",IF(Y6="",IF(OR(J6="ILF",J6="EIF",J6="EI",J6="EO",J6="EQ"),0,""),LEN(Y6)-LEN(SUBSTITUTE(SUBSTITUTE(SUBSTITUTE(SUBSTITUTE(SUBSTITUTE(Y6,"|}","--"),"{|","--"),CHAR(10),""),"、",""),"|",""))+IF(AND(OR(J6="EI",J6="EO",J6="EQ"),$AE$1="NESMA"),2,1)))</f>
        <v/>
      </c>
      <c r="P6" s="86">
        <f>IF(J6="EI",IF(OR(Y6="估算法",Y6="算法类"),"中",IF(Y6="无法识别","低",IF(M6&lt;2,IF(O6&lt;16,"低","中"),IF(M6&lt;3,IF(O6&lt;5,"低",IF(O6&lt;16,"中","高")),IF(O6&lt;5,"中","高"))))),IF(OR(J6="EO",J6="EQ"),IF(OR(Y6="估算法",Y6="算法类"),"中",IF(Y6="无法识别","低",IF(M6&lt;2,IF(O6&lt;20,"低","中"),IF(M6&lt;4,IF(O6&lt;6,"低",IF(O6&lt;20,"中","高")),IF(O6&lt;6,"中","高"))))),IF(OR(J6="ILF",J6="EIF"),IF(OR(Y6="估算法",Y6="算法类",Y6="无法识别"),"低",IF(N6&lt;2,IF(O6&lt;51,"低","中"),IF(N6&lt;6,IF(O6&lt;20,"低",IF(O6&lt;51,"中","高")),IF(O6&lt;20,"中","高")))),"不计算")))</f>
        <v/>
      </c>
      <c r="Q6" s="172">
        <f>IFERROR(IF(J6="EI",IF(P6="低",3,IF(P6="中",4,6)),IF(J6="EO",IF(P6="低",4,IF(P6="中",5,7)),IF(J6="EQ",IF(P6="低",3,IF(P6="中",4,6)),IF(J6="ILF",IF(P6="低",7,IF(P6="中",10,15)),IF(J6="EIF",IF(P6="低",5,IF(P6="中",7,10)),"不计算")))))*R6,"不计算")</f>
        <v/>
      </c>
      <c r="R6" s="172" t="n">
        <v>1</v>
      </c>
      <c r="S6" s="173">
        <f>调整因子!$F$13</f>
        <v/>
      </c>
      <c r="T6" s="92" t="n">
        <v>1</v>
      </c>
      <c r="U6" s="174">
        <f>IFERROR(Q6*S6,0)</f>
        <v/>
      </c>
      <c r="V6" s="174">
        <f>U6*T6</f>
        <v/>
      </c>
      <c r="W6" s="90" t="inlineStr">
        <is>
          <t>CPE文档信息表</t>
        </is>
      </c>
      <c r="X6" s="91" t="n"/>
      <c r="Y6"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6" s="90" t="n"/>
      <c r="AA6" s="90" t="n"/>
      <c r="AB6" s="90" t="inlineStr">
        <is>
          <t>CPE文档信息表</t>
        </is>
      </c>
      <c r="AC6" s="66" t="n"/>
    </row>
    <row r="7" customFormat="1" s="66">
      <c r="A7" s="72">
        <f>ROW()-1</f>
        <v/>
      </c>
      <c r="B7" s="175" t="n"/>
      <c r="C7" s="80" t="n">
        <v>2025</v>
      </c>
      <c r="D7" s="80" t="inlineStr">
        <is>
          <t>蔡云飞</t>
        </is>
      </c>
      <c r="E7" s="81">
        <f>VLOOKUP(I7,'25年交付功能（不含废弃）'!A:A,1,FALSE)</f>
        <v/>
      </c>
      <c r="F7" s="175" t="n"/>
      <c r="G7" s="175" t="n"/>
      <c r="H7" s="175" t="n"/>
      <c r="I7" s="81" t="inlineStr">
        <is>
          <t>CPE文档导出</t>
        </is>
      </c>
      <c r="J7" s="98" t="inlineStr">
        <is>
          <t>EO</t>
        </is>
      </c>
      <c r="K7" s="84" t="n"/>
      <c r="L7" s="84" t="n"/>
      <c r="M7" s="85">
        <f>IF(OR(Y7="估算法",Y7="算法类",Y7="无法识别"),"",IF(W7="",IF(OR(J7="EI",J7="EO",J7="EQ"),0,""),LEN(W7)-LEN(SUBSTITUTE(W7,"、",""))+1))</f>
        <v/>
      </c>
      <c r="N7" s="85">
        <f>IF(OR(Y7="估算法",Y7="算法类",Y7="无法识别"),"",IF(X7="",IF(OR(J7="ILF",J7="EIF"),0,""),LEN(X7)-LEN(SUBSTITUTE(X7,"、",""))+1))</f>
        <v/>
      </c>
      <c r="O7" s="85">
        <f>IF(OR(Y7="估算法",Y7="算法类",Y7="无法识别"),"",IF(Y7="",IF(OR(J7="ILF",J7="EIF",J7="EI",J7="EO",J7="EQ"),0,""),LEN(Y7)-LEN(SUBSTITUTE(SUBSTITUTE(SUBSTITUTE(SUBSTITUTE(SUBSTITUTE(Y7,"|}","--"),"{|","--"),CHAR(10),""),"、",""),"|",""))+IF(AND(OR(J7="EI",J7="EO",J7="EQ"),$AE$1="NESMA"),2,1)))</f>
        <v/>
      </c>
      <c r="P7" s="86">
        <f>IF(J7="EI",IF(OR(Y7="估算法",Y7="算法类"),"中",IF(Y7="无法识别","低",IF(M7&lt;2,IF(O7&lt;16,"低","中"),IF(M7&lt;3,IF(O7&lt;5,"低",IF(O7&lt;16,"中","高")),IF(O7&lt;5,"中","高"))))),IF(OR(J7="EO",J7="EQ"),IF(OR(Y7="估算法",Y7="算法类"),"中",IF(Y7="无法识别","低",IF(M7&lt;2,IF(O7&lt;20,"低","中"),IF(M7&lt;4,IF(O7&lt;6,"低",IF(O7&lt;20,"中","高")),IF(O7&lt;6,"中","高"))))),IF(OR(J7="ILF",J7="EIF"),IF(OR(Y7="估算法",Y7="算法类",Y7="无法识别"),"低",IF(N7&lt;2,IF(O7&lt;51,"低","中"),IF(N7&lt;6,IF(O7&lt;20,"低",IF(O7&lt;51,"中","高")),IF(O7&lt;20,"中","高")))),"不计算")))</f>
        <v/>
      </c>
      <c r="Q7" s="172">
        <f>IFERROR(IF(J7="EI",IF(P7="低",3,IF(P7="中",4,6)),IF(J7="EO",IF(P7="低",4,IF(P7="中",5,7)),IF(J7="EQ",IF(P7="低",3,IF(P7="中",4,6)),IF(J7="ILF",IF(P7="低",7,IF(P7="中",10,15)),IF(J7="EIF",IF(P7="低",5,IF(P7="中",7,10)),"不计算")))))*R7,"不计算")</f>
        <v/>
      </c>
      <c r="R7" s="172" t="n">
        <v>1</v>
      </c>
      <c r="S7" s="173">
        <f>调整因子!$F$13</f>
        <v/>
      </c>
      <c r="T7" s="92" t="n">
        <v>1</v>
      </c>
      <c r="U7" s="174">
        <f>IFERROR(Q7*S7,0)</f>
        <v/>
      </c>
      <c r="V7" s="174">
        <f>U7*T7</f>
        <v/>
      </c>
      <c r="W7" s="90" t="inlineStr">
        <is>
          <t>CPE文档信息表</t>
        </is>
      </c>
      <c r="X7" s="91" t="n"/>
      <c r="Y7"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7" s="90" t="n"/>
      <c r="AA7" s="90" t="n"/>
      <c r="AB7" s="93" t="inlineStr">
        <is>
          <t>VEX 文档基本信息表、VEX 文档操作日志表</t>
        </is>
      </c>
      <c r="AC7" s="66" t="n"/>
    </row>
    <row r="8" customFormat="1" s="66">
      <c r="A8" s="72">
        <f>ROW()-1</f>
        <v/>
      </c>
      <c r="B8" s="175" t="n"/>
      <c r="C8" s="80" t="n">
        <v>2025</v>
      </c>
      <c r="D8" s="80" t="inlineStr">
        <is>
          <t>蔡云飞</t>
        </is>
      </c>
      <c r="E8" s="81">
        <f>VLOOKUP(I8,'25年交付功能（不含废弃）'!A:A,1,FALSE)</f>
        <v/>
      </c>
      <c r="F8" s="175" t="n"/>
      <c r="G8" s="175" t="n"/>
      <c r="H8" s="175" t="n"/>
      <c r="I8" s="81" t="inlineStr">
        <is>
          <t>CPE文档信息表</t>
        </is>
      </c>
      <c r="J8" s="98" t="inlineStr">
        <is>
          <t>ILF</t>
        </is>
      </c>
      <c r="K8" s="84" t="n"/>
      <c r="L8" s="84" t="n"/>
      <c r="M8" s="85">
        <f>IF(OR(Y8="估算法",Y8="算法类",Y8="无法识别"),"",IF(W8="",IF(OR(J8="EI",J8="EO",J8="EQ"),0,""),LEN(W8)-LEN(SUBSTITUTE(W8,"、",""))+1))</f>
        <v/>
      </c>
      <c r="N8" s="85">
        <f>IF(OR(Y8="估算法",Y8="算法类",Y8="无法识别"),"",IF(X8="",IF(OR(J8="ILF",J8="EIF"),0,""),LEN(X8)-LEN(SUBSTITUTE(X8,"、",""))+1))</f>
        <v/>
      </c>
      <c r="O8" s="85">
        <f>IF(OR(Y8="估算法",Y8="算法类",Y8="无法识别"),"",IF(Y8="",IF(OR(J8="ILF",J8="EIF",J8="EI",J8="EO",J8="EQ"),0,""),LEN(Y8)-LEN(SUBSTITUTE(SUBSTITUTE(SUBSTITUTE(SUBSTITUTE(SUBSTITUTE(Y8,"|}","--"),"{|","--"),CHAR(10),""),"、",""),"|",""))+IF(AND(OR(J8="EI",J8="EO",J8="EQ"),$AE$1="NESMA"),2,1)))</f>
        <v/>
      </c>
      <c r="P8" s="86">
        <f>IF(J8="EI",IF(OR(Y8="估算法",Y8="算法类"),"中",IF(Y8="无法识别","低",IF(M8&lt;2,IF(O8&lt;16,"低","中"),IF(M8&lt;3,IF(O8&lt;5,"低",IF(O8&lt;16,"中","高")),IF(O8&lt;5,"中","高"))))),IF(OR(J8="EO",J8="EQ"),IF(OR(Y8="估算法",Y8="算法类"),"中",IF(Y8="无法识别","低",IF(M8&lt;2,IF(O8&lt;20,"低","中"),IF(M8&lt;4,IF(O8&lt;6,"低",IF(O8&lt;20,"中","高")),IF(O8&lt;6,"中","高"))))),IF(OR(J8="ILF",J8="EIF"),IF(OR(Y8="估算法",Y8="算法类",Y8="无法识别"),"低",IF(N8&lt;2,IF(O8&lt;51,"低","中"),IF(N8&lt;6,IF(O8&lt;20,"低",IF(O8&lt;51,"中","高")),IF(O8&lt;20,"中","高")))),"不计算")))</f>
        <v/>
      </c>
      <c r="Q8" s="172">
        <f>IFERROR(IF(J8="EI",IF(P8="低",3,IF(P8="中",4,6)),IF(J8="EO",IF(P8="低",4,IF(P8="中",5,7)),IF(J8="EQ",IF(P8="低",3,IF(P8="中",4,6)),IF(J8="ILF",IF(P8="低",7,IF(P8="中",10,15)),IF(J8="EIF",IF(P8="低",5,IF(P8="中",7,10)),"不计算")))))*R8,"不计算")</f>
        <v/>
      </c>
      <c r="R8" s="172" t="n">
        <v>1</v>
      </c>
      <c r="S8" s="173">
        <f>调整因子!$F$13</f>
        <v/>
      </c>
      <c r="T8" s="93" t="n">
        <v>1</v>
      </c>
      <c r="U8" s="174">
        <f>IFERROR(Q8*S8,0)</f>
        <v/>
      </c>
      <c r="V8" s="174">
        <f>U8*T8</f>
        <v/>
      </c>
      <c r="W8" s="91" t="n"/>
      <c r="X8" s="90" t="inlineStr">
        <is>
          <t>CPE文档信息表</t>
        </is>
      </c>
      <c r="Y8" s="90" t="inlineStr">
        <is>
          <t>CPE文档信息表 {文档ID、CPE名称、CPE URI、厂商、产品名称、版本、支持平台、语言、CPE类型、文档摘要、文档来源、文档链接、文档文件路径、关联漏洞、是否为官方数据、审核状态、创建人、创建时间、最近更新时间、收录时间、状态}</t>
        </is>
      </c>
      <c r="Z8" s="90">
        <f>IF(COUNTIFS(W:W,"*"&amp;I8&amp;"*")&gt;0,"存在","不存在")</f>
        <v/>
      </c>
      <c r="AA8" s="90">
        <f>IF(COUNTIFS(AB:AB,"*"&amp;I8&amp;"*")&gt;0,"存在","不存在")</f>
        <v/>
      </c>
      <c r="AB8" s="93" t="inlineStr">
        <is>
          <t>VEX 文档基本信息表、VEX 文档操作日志表</t>
        </is>
      </c>
      <c r="AC8" s="66" t="n"/>
    </row>
    <row r="9" customFormat="1" s="66">
      <c r="A9" s="72">
        <f>ROW()-1</f>
        <v/>
      </c>
      <c r="B9" s="175" t="n"/>
      <c r="C9" s="80" t="n">
        <v>2025</v>
      </c>
      <c r="D9" s="80" t="inlineStr">
        <is>
          <t>蔡云飞</t>
        </is>
      </c>
      <c r="E9" s="81">
        <f>VLOOKUP(I9,'25年交付功能（不含废弃）'!A:A,1,FALSE)</f>
        <v/>
      </c>
      <c r="F9" s="175" t="n"/>
      <c r="G9" s="175" t="n"/>
      <c r="H9" s="176" t="n"/>
      <c r="I9" s="81" t="inlineStr">
        <is>
          <t>CPE文档操作日志表</t>
        </is>
      </c>
      <c r="J9" s="98" t="n"/>
      <c r="K9" s="84" t="n"/>
      <c r="L9" s="84" t="inlineStr">
        <is>
          <t>数据库表未被本系统所使用</t>
        </is>
      </c>
      <c r="M9" s="85">
        <f>IF(OR(Y9="估算法",Y9="算法类",Y9="无法识别"),"",IF(W9="",IF(OR(J9="EI",J9="EO",J9="EQ"),0,""),LEN(W9)-LEN(SUBSTITUTE(W9,"、",""))+1))</f>
        <v/>
      </c>
      <c r="N9" s="85">
        <f>IF(OR(Y9="估算法",Y9="算法类",Y9="无法识别"),"",IF(X9="",IF(OR(J9="ILF",J9="EIF"),0,""),LEN(X9)-LEN(SUBSTITUTE(X9,"、",""))+1))</f>
        <v/>
      </c>
      <c r="O9" s="85">
        <f>IF(OR(Y9="估算法",Y9="算法类",Y9="无法识别"),"",IF(Y9="",IF(OR(J9="ILF",J9="EIF",J9="EI",J9="EO",J9="EQ"),0,""),LEN(Y9)-LEN(SUBSTITUTE(SUBSTITUTE(SUBSTITUTE(SUBSTITUTE(SUBSTITUTE(Y9,"|}","--"),"{|","--"),CHAR(10),""),"、",""),"|",""))+IF(AND(OR(J9="EI",J9="EO",J9="EQ"),$AE$1="NESMA"),2,1)))</f>
        <v/>
      </c>
      <c r="P9" s="86">
        <f>IF(J9="EI",IF(OR(Y9="估算法",Y9="算法类"),"中",IF(Y9="无法识别","低",IF(M9&lt;2,IF(O9&lt;16,"低","中"),IF(M9&lt;3,IF(O9&lt;5,"低",IF(O9&lt;16,"中","高")),IF(O9&lt;5,"中","高"))))),IF(OR(J9="EO",J9="EQ"),IF(OR(Y9="估算法",Y9="算法类"),"中",IF(Y9="无法识别","低",IF(M9&lt;2,IF(O9&lt;20,"低","中"),IF(M9&lt;4,IF(O9&lt;6,"低",IF(O9&lt;20,"中","高")),IF(O9&lt;6,"中","高"))))),IF(OR(J9="ILF",J9="EIF"),IF(OR(Y9="估算法",Y9="算法类",Y9="无法识别"),"低",IF(N9&lt;2,IF(O9&lt;51,"低","中"),IF(N9&lt;6,IF(O9&lt;20,"低",IF(O9&lt;51,"中","高")),IF(O9&lt;20,"中","高")))),"不计算")))</f>
        <v/>
      </c>
      <c r="Q9" s="172">
        <f>IFERROR(IF(J9="EI",IF(P9="低",3,IF(P9="中",4,6)),IF(J9="EO",IF(P9="低",4,IF(P9="中",5,7)),IF(J9="EQ",IF(P9="低",3,IF(P9="中",4,6)),IF(J9="ILF",IF(P9="低",7,IF(P9="中",10,15)),IF(J9="EIF",IF(P9="低",5,IF(P9="中",7,10)),"不计算")))))*R9,"不计算")</f>
        <v/>
      </c>
      <c r="R9" s="172" t="n">
        <v>1</v>
      </c>
      <c r="S9" s="173">
        <f>调整因子!$F$13</f>
        <v/>
      </c>
      <c r="T9" s="92" t="n">
        <v>1</v>
      </c>
      <c r="U9" s="174">
        <f>IFERROR(Q9*S9,0)</f>
        <v/>
      </c>
      <c r="V9" s="174">
        <f>U9*T9</f>
        <v/>
      </c>
      <c r="W9" s="91" t="n"/>
      <c r="X9" s="90" t="inlineStr">
        <is>
          <t>CPE文档操作日志表</t>
        </is>
      </c>
      <c r="Y9" s="90" t="inlineStr">
        <is>
          <t>CPE文档操作日志表 {日志ID、操作类型、操作人、操作时间、目标文档ID、操作内容、IP地址}</t>
        </is>
      </c>
      <c r="Z9" s="90">
        <f>IF(COUNTIFS(W:W,"*"&amp;I9&amp;"*")&gt;0,"存在","不存在")</f>
        <v/>
      </c>
      <c r="AA9" s="90">
        <f>IF(COUNTIFS(AB:AB,"*"&amp;I9&amp;"*")&gt;0,"存在","不存在")</f>
        <v/>
      </c>
      <c r="AB9" s="93" t="inlineStr">
        <is>
          <t>VEX 文档基本信息表</t>
        </is>
      </c>
      <c r="AC9" s="66" t="n"/>
    </row>
    <row r="10" customFormat="1" s="66">
      <c r="A10" s="72">
        <f>ROW()-1</f>
        <v/>
      </c>
      <c r="B10" s="175" t="n"/>
      <c r="C10" s="80" t="n">
        <v>2025</v>
      </c>
      <c r="D10" s="80" t="inlineStr">
        <is>
          <t>蔡云飞</t>
        </is>
      </c>
      <c r="E10" s="81">
        <f>VLOOKUP(I10,'25年交付功能（不含废弃）'!A:A,1,FALSE)</f>
        <v/>
      </c>
      <c r="F10" s="175" t="n"/>
      <c r="G10" s="175" t="n"/>
      <c r="H10" s="82" t="inlineStr">
        <is>
          <t>CPE数据标准化校验</t>
        </is>
      </c>
      <c r="I10" s="81" t="inlineStr">
        <is>
          <t>CPE数据格式校验</t>
        </is>
      </c>
      <c r="J10" s="98" t="n"/>
      <c r="K10" s="84" t="n"/>
      <c r="L10" s="84" t="inlineStr">
        <is>
          <t>非事务功能</t>
        </is>
      </c>
      <c r="M10" s="85">
        <f>IF(OR(Y10="估算法",Y10="算法类",Y10="无法识别"),"",IF(W10="",IF(OR(J10="EI",J10="EO",J10="EQ"),0,""),LEN(W10)-LEN(SUBSTITUTE(W10,"、",""))+1))</f>
        <v/>
      </c>
      <c r="N10" s="85">
        <f>IF(OR(Y10="估算法",Y10="算法类",Y10="无法识别"),"",IF(X10="",IF(OR(J10="ILF",J10="EIF"),0,""),LEN(X10)-LEN(SUBSTITUTE(X10,"、",""))+1))</f>
        <v/>
      </c>
      <c r="O10" s="85">
        <f>IF(OR(Y10="估算法",Y10="算法类",Y10="无法识别"),"",IF(Y10="",IF(OR(J10="ILF",J10="EIF",J10="EI",J10="EO",J10="EQ"),0,""),LEN(Y10)-LEN(SUBSTITUTE(SUBSTITUTE(SUBSTITUTE(SUBSTITUTE(SUBSTITUTE(Y10,"|}","--"),"{|","--"),CHAR(10),""),"、",""),"|",""))+IF(AND(OR(J10="EI",J10="EO",J10="EQ"),$AE$1="NESMA"),2,1)))</f>
        <v/>
      </c>
      <c r="P10" s="86">
        <f>IF(J10="EI",IF(OR(Y10="估算法",Y10="算法类"),"中",IF(Y10="无法识别","低",IF(M10&lt;2,IF(O10&lt;16,"低","中"),IF(M10&lt;3,IF(O10&lt;5,"低",IF(O10&lt;16,"中","高")),IF(O10&lt;5,"中","高"))))),IF(OR(J10="EO",J10="EQ"),IF(OR(Y10="估算法",Y10="算法类"),"中",IF(Y10="无法识别","低",IF(M10&lt;2,IF(O10&lt;20,"低","中"),IF(M10&lt;4,IF(O10&lt;6,"低",IF(O10&lt;20,"中","高")),IF(O10&lt;6,"中","高"))))),IF(OR(J10="ILF",J10="EIF"),IF(OR(Y10="估算法",Y10="算法类",Y10="无法识别"),"低",IF(N10&lt;2,IF(O10&lt;51,"低","中"),IF(N10&lt;6,IF(O10&lt;20,"低",IF(O10&lt;51,"中","高")),IF(O10&lt;20,"中","高")))),"不计算")))</f>
        <v/>
      </c>
      <c r="Q10" s="172">
        <f>IFERROR(IF(J10="EI",IF(P10="低",3,IF(P10="中",4,6)),IF(J10="EO",IF(P10="低",4,IF(P10="中",5,7)),IF(J10="EQ",IF(P10="低",3,IF(P10="中",4,6)),IF(J10="ILF",IF(P10="低",7,IF(P10="中",10,15)),IF(J10="EIF",IF(P10="低",5,IF(P10="中",7,10)),"不计算")))))*R10,"不计算")</f>
        <v/>
      </c>
      <c r="R10" s="172" t="n">
        <v>1</v>
      </c>
      <c r="S10" s="173">
        <f>调整因子!$F$13</f>
        <v/>
      </c>
      <c r="T10" s="92" t="n">
        <v>1</v>
      </c>
      <c r="U10" s="174">
        <f>IFERROR(Q10*S10,0)</f>
        <v/>
      </c>
      <c r="V10" s="174">
        <f>U10*T10</f>
        <v/>
      </c>
      <c r="W10" s="90" t="inlineStr">
        <is>
          <t>CPE标准化校验规则表</t>
        </is>
      </c>
      <c r="X10" s="91" t="n"/>
      <c r="Y10" s="90" t="inlineStr">
        <is>
          <t>CPE标准化校验规则表
{规则ID、规则名称、适用字段、适用产品类型、校验类型、正则表达式、校验优先级、校验说明、启用状态、创建人、创建时间、修改时间、备注}</t>
        </is>
      </c>
      <c r="Z10" s="90" t="n"/>
      <c r="AA10" s="90" t="n"/>
      <c r="AB10" s="93" t="inlineStr">
        <is>
          <t>VEX 文档基本信息表、VEX 文档操作日志表</t>
        </is>
      </c>
      <c r="AC10" s="66" t="n"/>
    </row>
    <row r="11" customFormat="1" s="66">
      <c r="A11" s="72">
        <f>ROW()-1</f>
        <v/>
      </c>
      <c r="B11" s="175" t="n"/>
      <c r="C11" s="80" t="n">
        <v>2025</v>
      </c>
      <c r="D11" s="80" t="inlineStr">
        <is>
          <t>蔡云飞</t>
        </is>
      </c>
      <c r="E11" s="81">
        <f>VLOOKUP(I11,'25年交付功能（不含废弃）'!A:A,1,FALSE)</f>
        <v/>
      </c>
      <c r="F11" s="175" t="n"/>
      <c r="G11" s="175" t="n"/>
      <c r="H11" s="175" t="n"/>
      <c r="I11" s="94" t="inlineStr">
        <is>
          <t>CPE标准化校验规则表</t>
        </is>
      </c>
      <c r="J11" s="98" t="inlineStr">
        <is>
          <t>ILF</t>
        </is>
      </c>
      <c r="K11" s="84" t="n"/>
      <c r="L11" s="84" t="inlineStr">
        <is>
          <t>数据库表未被本系统所维护</t>
        </is>
      </c>
      <c r="M11" s="85">
        <f>IF(OR(Y11="估算法",Y11="算法类",Y11="无法识别"),"",IF(W11="",IF(OR(J11="EI",J11="EO",J11="EQ"),0,""),LEN(W11)-LEN(SUBSTITUTE(W11,"、",""))+1))</f>
        <v/>
      </c>
      <c r="N11" s="85">
        <f>IF(OR(Y11="估算法",Y11="算法类",Y11="无法识别"),"",IF(X11="",IF(OR(J11="ILF",J11="EIF"),0,""),LEN(X11)-LEN(SUBSTITUTE(X11,"、",""))+1))</f>
        <v/>
      </c>
      <c r="O11" s="85">
        <f>IF(OR(Y11="估算法",Y11="算法类",Y11="无法识别"),"",IF(Y11="",IF(OR(J11="ILF",J11="EIF",J11="EI",J11="EO",J11="EQ"),0,""),LEN(Y11)-LEN(SUBSTITUTE(SUBSTITUTE(SUBSTITUTE(SUBSTITUTE(SUBSTITUTE(Y11,"|}","--"),"{|","--"),CHAR(10),""),"、",""),"|",""))+IF(AND(OR(J11="EI",J11="EO",J11="EQ"),$AE$1="NESMA"),2,1)))</f>
        <v/>
      </c>
      <c r="P11" s="86">
        <f>IF(J11="EI",IF(OR(Y11="估算法",Y11="算法类"),"中",IF(Y11="无法识别","低",IF(M11&lt;2,IF(O11&lt;16,"低","中"),IF(M11&lt;3,IF(O11&lt;5,"低",IF(O11&lt;16,"中","高")),IF(O11&lt;5,"中","高"))))),IF(OR(J11="EO",J11="EQ"),IF(OR(Y11="估算法",Y11="算法类"),"中",IF(Y11="无法识别","低",IF(M11&lt;2,IF(O11&lt;20,"低","中"),IF(M11&lt;4,IF(O11&lt;6,"低",IF(O11&lt;20,"中","高")),IF(O11&lt;6,"中","高"))))),IF(OR(J11="ILF",J11="EIF"),IF(OR(Y11="估算法",Y11="算法类",Y11="无法识别"),"低",IF(N11&lt;2,IF(O11&lt;51,"低","中"),IF(N11&lt;6,IF(O11&lt;20,"低",IF(O11&lt;51,"中","高")),IF(O11&lt;20,"中","高")))),"不计算")))</f>
        <v/>
      </c>
      <c r="Q11" s="172">
        <f>IFERROR(IF(J11="EI",IF(P11="低",3,IF(P11="中",4,6)),IF(J11="EO",IF(P11="低",4,IF(P11="中",5,7)),IF(J11="EQ",IF(P11="低",3,IF(P11="中",4,6)),IF(J11="ILF",IF(P11="低",7,IF(P11="中",10,15)),IF(J11="EIF",IF(P11="低",5,IF(P11="中",7,10)),"不计算")))))*R11,"不计算")</f>
        <v/>
      </c>
      <c r="R11" s="172" t="n">
        <v>0</v>
      </c>
      <c r="S11" s="173">
        <f>调整因子!$F$13</f>
        <v/>
      </c>
      <c r="T11" s="93" t="n">
        <v>1</v>
      </c>
      <c r="U11" s="174">
        <f>IFERROR(Q11*S11,0)</f>
        <v/>
      </c>
      <c r="V11" s="174">
        <f>U11*T11</f>
        <v/>
      </c>
      <c r="W11" s="91" t="n"/>
      <c r="X11" s="90" t="inlineStr">
        <is>
          <t>CPE标准化校验规则表</t>
        </is>
      </c>
      <c r="Y11" s="90" t="inlineStr">
        <is>
          <t>CPE标准化校验规则表
{规则ID、规则名称、适用字段、校验类型、正则表达式、校验说明、启用状态、创建时间、修改时间}</t>
        </is>
      </c>
      <c r="Z11" s="90">
        <f>IF(COUNTIFS(W:W,"*"&amp;I11&amp;"*")&gt;0,"存在","不存在")</f>
        <v/>
      </c>
      <c r="AA11" s="90">
        <f>IF(COUNTIFS(AB:AB,"*"&amp;I11&amp;"*")&gt;0,"存在","不存在")</f>
        <v/>
      </c>
      <c r="AB11" s="93" t="inlineStr">
        <is>
          <t>VEX 文档基本信息表、VEX 文档关联产品表</t>
        </is>
      </c>
      <c r="AC11" s="66" t="n"/>
    </row>
    <row r="12" customFormat="1" s="66">
      <c r="A12" s="72">
        <f>ROW()-1</f>
        <v/>
      </c>
      <c r="B12" s="175" t="n"/>
      <c r="C12" s="80" t="n">
        <v>2025</v>
      </c>
      <c r="D12" s="80" t="inlineStr">
        <is>
          <t>蔡云飞</t>
        </is>
      </c>
      <c r="E12" s="81">
        <f>VLOOKUP(I12,'25年交付功能（不含废弃）'!A:A,1,FALSE)</f>
        <v/>
      </c>
      <c r="F12" s="175" t="n"/>
      <c r="G12" s="176" t="n"/>
      <c r="H12" s="176" t="n"/>
      <c r="I12" s="81" t="inlineStr">
        <is>
          <t>CPE标准化校验结果表</t>
        </is>
      </c>
      <c r="J12" s="98" t="n"/>
      <c r="K12" s="84" t="n"/>
      <c r="L12" s="84" t="inlineStr">
        <is>
          <t>数据库表未被本系统所使用</t>
        </is>
      </c>
      <c r="M12" s="85">
        <f>IF(OR(Y12="估算法",Y12="算法类",Y12="无法识别"),"",IF(W12="",IF(OR(J12="EI",J12="EO",J12="EQ"),0,""),LEN(W12)-LEN(SUBSTITUTE(W12,"、",""))+1))</f>
        <v/>
      </c>
      <c r="N12" s="85">
        <f>IF(OR(Y12="估算法",Y12="算法类",Y12="无法识别"),"",IF(X12="",IF(OR(J12="ILF",J12="EIF"),0,""),LEN(X12)-LEN(SUBSTITUTE(X12,"、",""))+1))</f>
        <v/>
      </c>
      <c r="O12" s="85">
        <f>IF(OR(Y12="估算法",Y12="算法类",Y12="无法识别"),"",IF(Y12="",IF(OR(J12="ILF",J12="EIF",J12="EI",J12="EO",J12="EQ"),0,""),LEN(Y12)-LEN(SUBSTITUTE(SUBSTITUTE(SUBSTITUTE(SUBSTITUTE(SUBSTITUTE(Y12,"|}","--"),"{|","--"),CHAR(10),""),"、",""),"|",""))+IF(AND(OR(J12="EI",J12="EO",J12="EQ"),$AE$1="NESMA"),2,1)))</f>
        <v/>
      </c>
      <c r="P12" s="86">
        <f>IF(J12="EI",IF(OR(Y12="估算法",Y12="算法类"),"中",IF(Y12="无法识别","低",IF(M12&lt;2,IF(O12&lt;16,"低","中"),IF(M12&lt;3,IF(O12&lt;5,"低",IF(O12&lt;16,"中","高")),IF(O12&lt;5,"中","高"))))),IF(OR(J12="EO",J12="EQ"),IF(OR(Y12="估算法",Y12="算法类"),"中",IF(Y12="无法识别","低",IF(M12&lt;2,IF(O12&lt;20,"低","中"),IF(M12&lt;4,IF(O12&lt;6,"低",IF(O12&lt;20,"中","高")),IF(O12&lt;6,"中","高"))))),IF(OR(J12="ILF",J12="EIF"),IF(OR(Y12="估算法",Y12="算法类",Y12="无法识别"),"低",IF(N12&lt;2,IF(O12&lt;51,"低","中"),IF(N12&lt;6,IF(O12&lt;20,"低",IF(O12&lt;51,"中","高")),IF(O12&lt;20,"中","高")))),"不计算")))</f>
        <v/>
      </c>
      <c r="Q12" s="172">
        <f>IFERROR(IF(J12="EI",IF(P12="低",3,IF(P12="中",4,6)),IF(J12="EO",IF(P12="低",4,IF(P12="中",5,7)),IF(J12="EQ",IF(P12="低",3,IF(P12="中",4,6)),IF(J12="ILF",IF(P12="低",7,IF(P12="中",10,15)),IF(J12="EIF",IF(P12="低",5,IF(P12="中",7,10)),"不计算")))))*R12,"不计算")</f>
        <v/>
      </c>
      <c r="R12" s="172" t="n">
        <v>1</v>
      </c>
      <c r="S12" s="173">
        <f>调整因子!$F$13</f>
        <v/>
      </c>
      <c r="T12" s="92" t="n">
        <v>1</v>
      </c>
      <c r="U12" s="174">
        <f>IFERROR(Q12*S12,0)</f>
        <v/>
      </c>
      <c r="V12" s="174">
        <f>U12*T12</f>
        <v/>
      </c>
      <c r="W12" s="91" t="n"/>
      <c r="X12" s="90" t="inlineStr">
        <is>
          <t>CPE标准化校验结果表</t>
        </is>
      </c>
      <c r="Y12" s="90" t="inlineStr">
        <is>
          <t>CPE标准化校验结果表
{结果ID、文档ID、校验规则ID、字段名称、校验结果、错误信息、校验时间、处理状态}</t>
        </is>
      </c>
      <c r="Z12" s="90">
        <f>IF(COUNTIFS(W:W,"*"&amp;I12&amp;"*")&gt;0,"存在","不存在")</f>
        <v/>
      </c>
      <c r="AA12" s="90">
        <f>IF(COUNTIFS(AB:AB,"*"&amp;I12&amp;"*")&gt;0,"存在","不存在")</f>
        <v/>
      </c>
      <c r="AB12" s="93" t="inlineStr">
        <is>
          <t>VEX 基础模板信息表</t>
        </is>
      </c>
      <c r="AC12" s="66" t="n"/>
    </row>
    <row r="13" customFormat="1" s="66">
      <c r="A13" s="72">
        <f>ROW()-1</f>
        <v/>
      </c>
      <c r="B13" s="175" t="n"/>
      <c r="C13" s="80" t="n">
        <v>2025</v>
      </c>
      <c r="D13" s="80" t="inlineStr">
        <is>
          <t>窦鹏岐</t>
        </is>
      </c>
      <c r="E13" s="81">
        <f>VLOOKUP(I13,'25年交付功能（不含废弃）'!A:A,1,FALSE)</f>
        <v/>
      </c>
      <c r="F13" s="175" t="n"/>
      <c r="G13" s="82" t="inlineStr">
        <is>
          <t>VEX文档管理</t>
        </is>
      </c>
      <c r="H13" s="95" t="inlineStr">
        <is>
          <t>VEX文档全生命周期管理</t>
        </is>
      </c>
      <c r="I13" s="81" t="inlineStr">
        <is>
          <t>CISA VEX文档下载</t>
        </is>
      </c>
      <c r="J13" s="98" t="inlineStr">
        <is>
          <t>EO</t>
        </is>
      </c>
      <c r="K13" s="84" t="n"/>
      <c r="L13" s="84" t="n"/>
      <c r="M13" s="85">
        <f>IF(OR(Y13="估算法",Y13="算法类",Y13="无法识别"),"",IF(W13="",IF(OR(J13="EI",J13="EO",J13="EQ"),0,""),LEN(W13)-LEN(SUBSTITUTE(W13,"、",""))+1))</f>
        <v/>
      </c>
      <c r="N13" s="85">
        <f>IF(OR(Y13="估算法",Y13="算法类",Y13="无法识别"),"",IF(X13="",IF(OR(J13="ILF",J13="EIF"),0,""),LEN(X13)-LEN(SUBSTITUTE(X13,"、",""))+1))</f>
        <v/>
      </c>
      <c r="O13" s="85">
        <f>IF(OR(Y13="估算法",Y13="算法类",Y13="无法识别"),"",IF(Y13="",IF(OR(J13="ILF",J13="EIF",J13="EI",J13="EO",J13="EQ"),0,""),LEN(Y13)-LEN(SUBSTITUTE(SUBSTITUTE(SUBSTITUTE(SUBSTITUTE(SUBSTITUTE(Y13,"|}","--"),"{|","--"),CHAR(10),""),"、",""),"|",""))+IF(AND(OR(J13="EI",J13="EO",J13="EQ"),$AE$1="NESMA"),2,1)))</f>
        <v/>
      </c>
      <c r="P13" s="86">
        <f>IF(J13="EI",IF(OR(Y13="估算法",Y13="算法类"),"中",IF(Y13="无法识别","低",IF(M13&lt;2,IF(O13&lt;16,"低","中"),IF(M13&lt;3,IF(O13&lt;5,"低",IF(O13&lt;16,"中","高")),IF(O13&lt;5,"中","高"))))),IF(OR(J13="EO",J13="EQ"),IF(OR(Y13="估算法",Y13="算法类"),"中",IF(Y13="无法识别","低",IF(M13&lt;2,IF(O13&lt;20,"低","中"),IF(M13&lt;4,IF(O13&lt;6,"低",IF(O13&lt;20,"中","高")),IF(O13&lt;6,"中","高"))))),IF(OR(J13="ILF",J13="EIF"),IF(OR(Y13="估算法",Y13="算法类",Y13="无法识别"),"低",IF(N13&lt;2,IF(O13&lt;51,"低","中"),IF(N13&lt;6,IF(O13&lt;20,"低",IF(O13&lt;51,"中","高")),IF(O13&lt;20,"中","高")))),"不计算")))</f>
        <v/>
      </c>
      <c r="Q13" s="172">
        <f>IFERROR(IF(J13="EI",IF(P13="低",3,IF(P13="中",4,6)),IF(J13="EO",IF(P13="低",4,IF(P13="中",5,7)),IF(J13="EQ",IF(P13="低",3,IF(P13="中",4,6)),IF(J13="ILF",IF(P13="低",7,IF(P13="中",10,15)),IF(J13="EIF",IF(P13="低",5,IF(P13="中",7,10)),"不计算")))))*R13,"不计算")</f>
        <v/>
      </c>
      <c r="R13" s="172" t="n">
        <v>1</v>
      </c>
      <c r="S13" s="173">
        <f>调整因子!$F$13</f>
        <v/>
      </c>
      <c r="T13" s="92" t="n">
        <v>1</v>
      </c>
      <c r="U13" s="174">
        <f>IFERROR(Q13*S13,0)</f>
        <v/>
      </c>
      <c r="V13" s="174">
        <f>U13*T13</f>
        <v/>
      </c>
      <c r="W13" s="93" t="inlineStr">
        <is>
          <t>VEX 文档基本信息表、VEX 文档操作日志表</t>
        </is>
      </c>
      <c r="X13" s="98" t="n"/>
      <c r="Y13"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3" s="90" t="n"/>
      <c r="AA13" s="90" t="n"/>
      <c r="AB13" s="93" t="inlineStr">
        <is>
          <t>VEX 基础模板信息表</t>
        </is>
      </c>
      <c r="AC13" s="66" t="n"/>
    </row>
    <row r="14" customFormat="1" s="66">
      <c r="A14" s="72">
        <f>ROW()-1</f>
        <v/>
      </c>
      <c r="B14" s="175" t="n"/>
      <c r="C14" s="80" t="n">
        <v>2025</v>
      </c>
      <c r="D14" s="80" t="inlineStr">
        <is>
          <t>窦鹏岐</t>
        </is>
      </c>
      <c r="E14" s="81">
        <f>VLOOKUP(I14,'25年交付功能（不含废弃）'!A:A,1,FALSE)</f>
        <v/>
      </c>
      <c r="F14" s="175" t="n"/>
      <c r="G14" s="175" t="n"/>
      <c r="H14" s="175" t="n"/>
      <c r="I14" s="81" t="inlineStr">
        <is>
          <t>CISA VEX文档创建</t>
        </is>
      </c>
      <c r="J14" s="98" t="inlineStr">
        <is>
          <t>EI</t>
        </is>
      </c>
      <c r="K14" s="84" t="n"/>
      <c r="L14" s="84" t="n"/>
      <c r="M14" s="85">
        <f>IF(OR(Y14="估算法",Y14="算法类",Y14="无法识别"),"",IF(W14="",IF(OR(J14="EI",J14="EO",J14="EQ"),0,""),LEN(W14)-LEN(SUBSTITUTE(W14,"、",""))+1))</f>
        <v/>
      </c>
      <c r="N14" s="85">
        <f>IF(OR(Y14="估算法",Y14="算法类",Y14="无法识别"),"",IF(X14="",IF(OR(J14="ILF",J14="EIF"),0,""),LEN(X14)-LEN(SUBSTITUTE(X14,"、",""))+1))</f>
        <v/>
      </c>
      <c r="O14" s="85">
        <f>IF(OR(Y14="估算法",Y14="算法类",Y14="无法识别"),"",IF(Y14="",IF(OR(J14="ILF",J14="EIF",J14="EI",J14="EO",J14="EQ"),0,""),LEN(Y14)-LEN(SUBSTITUTE(SUBSTITUTE(SUBSTITUTE(SUBSTITUTE(SUBSTITUTE(Y14,"|}","--"),"{|","--"),CHAR(10),""),"、",""),"|",""))+IF(AND(OR(J14="EI",J14="EO",J14="EQ"),$AE$1="NESMA"),2,1)))</f>
        <v/>
      </c>
      <c r="P14" s="86">
        <f>IF(J14="EI",IF(OR(Y14="估算法",Y14="算法类"),"中",IF(Y14="无法识别","低",IF(M14&lt;2,IF(O14&lt;16,"低","中"),IF(M14&lt;3,IF(O14&lt;5,"低",IF(O14&lt;16,"中","高")),IF(O14&lt;5,"中","高"))))),IF(OR(J14="EO",J14="EQ"),IF(OR(Y14="估算法",Y14="算法类"),"中",IF(Y14="无法识别","低",IF(M14&lt;2,IF(O14&lt;20,"低","中"),IF(M14&lt;4,IF(O14&lt;6,"低",IF(O14&lt;20,"中","高")),IF(O14&lt;6,"中","高"))))),IF(OR(J14="ILF",J14="EIF"),IF(OR(Y14="估算法",Y14="算法类",Y14="无法识别"),"低",IF(N14&lt;2,IF(O14&lt;51,"低","中"),IF(N14&lt;6,IF(O14&lt;20,"低",IF(O14&lt;51,"中","高")),IF(O14&lt;20,"中","高")))),"不计算")))</f>
        <v/>
      </c>
      <c r="Q14" s="172">
        <f>IFERROR(IF(J14="EI",IF(P14="低",3,IF(P14="中",4,6)),IF(J14="EO",IF(P14="低",4,IF(P14="中",5,7)),IF(J14="EQ",IF(P14="低",3,IF(P14="中",4,6)),IF(J14="ILF",IF(P14="低",7,IF(P14="中",10,15)),IF(J14="EIF",IF(P14="低",5,IF(P14="中",7,10)),"不计算")))))*R14,"不计算")</f>
        <v/>
      </c>
      <c r="R14" s="172" t="n">
        <v>1</v>
      </c>
      <c r="S14" s="173">
        <f>调整因子!$F$13</f>
        <v/>
      </c>
      <c r="T14" s="93" t="n">
        <v>1</v>
      </c>
      <c r="U14" s="174">
        <f>IFERROR(Q14*S14,0)</f>
        <v/>
      </c>
      <c r="V14" s="174">
        <f>U14*T14</f>
        <v/>
      </c>
      <c r="W14" s="93" t="inlineStr">
        <is>
          <t>VEX 文档基本信息表、VEX 文档操作日志表</t>
        </is>
      </c>
      <c r="X14" s="98" t="n"/>
      <c r="Y14"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4" s="90" t="n"/>
      <c r="AA14" s="90" t="n"/>
      <c r="AB14" s="93" t="inlineStr">
        <is>
          <t>VEX 基础模板信息表</t>
        </is>
      </c>
      <c r="AC14" s="66" t="n"/>
    </row>
    <row r="15" customFormat="1" s="66">
      <c r="A15" s="72">
        <f>ROW()-1</f>
        <v/>
      </c>
      <c r="B15" s="175" t="n"/>
      <c r="C15" s="80" t="n">
        <v>2025</v>
      </c>
      <c r="D15" s="80" t="inlineStr">
        <is>
          <t>窦鹏岐</t>
        </is>
      </c>
      <c r="E15" s="81">
        <f>VLOOKUP(I15,'25年交付功能（不含废弃）'!A:A,1,FALSE)</f>
        <v/>
      </c>
      <c r="F15" s="175" t="n"/>
      <c r="G15" s="175" t="n"/>
      <c r="H15" s="175" t="n"/>
      <c r="I15" s="81" t="inlineStr">
        <is>
          <t>CISA VEX文档删除</t>
        </is>
      </c>
      <c r="J15" s="98" t="inlineStr">
        <is>
          <t>EI</t>
        </is>
      </c>
      <c r="K15" s="84" t="n"/>
      <c r="L15" s="84" t="n"/>
      <c r="M15" s="85">
        <f>IF(OR(Y15="估算法",Y15="算法类",Y15="无法识别"),"",IF(W15="",IF(OR(J15="EI",J15="EO",J15="EQ"),0,""),LEN(W15)-LEN(SUBSTITUTE(W15,"、",""))+1))</f>
        <v/>
      </c>
      <c r="N15" s="85">
        <f>IF(OR(Y15="估算法",Y15="算法类",Y15="无法识别"),"",IF(X15="",IF(OR(J15="ILF",J15="EIF"),0,""),LEN(X15)-LEN(SUBSTITUTE(X15,"、",""))+1))</f>
        <v/>
      </c>
      <c r="O15" s="85">
        <f>IF(OR(Y15="估算法",Y15="算法类",Y15="无法识别"),"",IF(Y15="",IF(OR(J15="ILF",J15="EIF",J15="EI",J15="EO",J15="EQ"),0,""),LEN(Y15)-LEN(SUBSTITUTE(SUBSTITUTE(SUBSTITUTE(SUBSTITUTE(SUBSTITUTE(Y15,"|}","--"),"{|","--"),CHAR(10),""),"、",""),"|",""))+IF(AND(OR(J15="EI",J15="EO",J15="EQ"),$AE$1="NESMA"),2,1)))</f>
        <v/>
      </c>
      <c r="P15" s="86">
        <f>IF(J15="EI",IF(OR(Y15="估算法",Y15="算法类"),"中",IF(Y15="无法识别","低",IF(M15&lt;2,IF(O15&lt;16,"低","中"),IF(M15&lt;3,IF(O15&lt;5,"低",IF(O15&lt;16,"中","高")),IF(O15&lt;5,"中","高"))))),IF(OR(J15="EO",J15="EQ"),IF(OR(Y15="估算法",Y15="算法类"),"中",IF(Y15="无法识别","低",IF(M15&lt;2,IF(O15&lt;20,"低","中"),IF(M15&lt;4,IF(O15&lt;6,"低",IF(O15&lt;20,"中","高")),IF(O15&lt;6,"中","高"))))),IF(OR(J15="ILF",J15="EIF"),IF(OR(Y15="估算法",Y15="算法类",Y15="无法识别"),"低",IF(N15&lt;2,IF(O15&lt;51,"低","中"),IF(N15&lt;6,IF(O15&lt;20,"低",IF(O15&lt;51,"中","高")),IF(O15&lt;20,"中","高")))),"不计算")))</f>
        <v/>
      </c>
      <c r="Q15" s="172">
        <f>IFERROR(IF(J15="EI",IF(P15="低",3,IF(P15="中",4,6)),IF(J15="EO",IF(P15="低",4,IF(P15="中",5,7)),IF(J15="EQ",IF(P15="低",3,IF(P15="中",4,6)),IF(J15="ILF",IF(P15="低",7,IF(P15="中",10,15)),IF(J15="EIF",IF(P15="低",5,IF(P15="中",7,10)),"不计算")))))*R15,"不计算")</f>
        <v/>
      </c>
      <c r="R15" s="172" t="n">
        <v>0.333333333333333</v>
      </c>
      <c r="S15" s="173">
        <f>调整因子!$F$13</f>
        <v/>
      </c>
      <c r="T15" s="92" t="n">
        <v>1</v>
      </c>
      <c r="U15" s="174">
        <f>IFERROR(Q15*S15,0)</f>
        <v/>
      </c>
      <c r="V15" s="174">
        <f>U15*T15</f>
        <v/>
      </c>
      <c r="W15" s="93" t="inlineStr">
        <is>
          <t>VEX 文档基本信息表、VEX 文档操作日志表</t>
        </is>
      </c>
      <c r="X15" s="98" t="n"/>
      <c r="Y15"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5" s="90" t="n"/>
      <c r="AA15" s="90" t="n"/>
      <c r="AB15" s="93" t="inlineStr">
        <is>
          <t>VEX 基础模板信息表</t>
        </is>
      </c>
      <c r="AC15" s="66" t="n"/>
    </row>
    <row r="16" customFormat="1" s="66">
      <c r="A16" s="72">
        <f>ROW()-1</f>
        <v/>
      </c>
      <c r="B16" s="175" t="n"/>
      <c r="C16" s="80" t="n">
        <v>2025</v>
      </c>
      <c r="D16" s="80" t="inlineStr">
        <is>
          <t>窦鹏岐</t>
        </is>
      </c>
      <c r="E16" s="81">
        <f>VLOOKUP(I16,'25年交付功能（不含废弃）'!A:A,1,FALSE)</f>
        <v/>
      </c>
      <c r="F16" s="175" t="n"/>
      <c r="G16" s="175" t="n"/>
      <c r="H16" s="175" t="n"/>
      <c r="I16" s="81" t="inlineStr">
        <is>
          <t>CISA VEX文档导入</t>
        </is>
      </c>
      <c r="J16" s="98" t="inlineStr">
        <is>
          <t>EI</t>
        </is>
      </c>
      <c r="K16" s="84" t="n"/>
      <c r="L16" s="84" t="n"/>
      <c r="M16" s="85">
        <f>IF(OR(Y16="估算法",Y16="算法类",Y16="无法识别"),"",IF(W16="",IF(OR(J16="EI",J16="EO",J16="EQ"),0,""),LEN(W16)-LEN(SUBSTITUTE(W16,"、",""))+1))</f>
        <v/>
      </c>
      <c r="N16" s="85">
        <f>IF(OR(Y16="估算法",Y16="算法类",Y16="无法识别"),"",IF(X16="",IF(OR(J16="ILF",J16="EIF"),0,""),LEN(X16)-LEN(SUBSTITUTE(X16,"、",""))+1))</f>
        <v/>
      </c>
      <c r="O16" s="85">
        <f>IF(OR(Y16="估算法",Y16="算法类",Y16="无法识别"),"",IF(Y16="",IF(OR(J16="ILF",J16="EIF",J16="EI",J16="EO",J16="EQ"),0,""),LEN(Y16)-LEN(SUBSTITUTE(SUBSTITUTE(SUBSTITUTE(SUBSTITUTE(SUBSTITUTE(Y16,"|}","--"),"{|","--"),CHAR(10),""),"、",""),"|",""))+IF(AND(OR(J16="EI",J16="EO",J16="EQ"),$AE$1="NESMA"),2,1)))</f>
        <v/>
      </c>
      <c r="P16" s="86">
        <f>IF(J16="EI",IF(OR(Y16="估算法",Y16="算法类"),"中",IF(Y16="无法识别","低",IF(M16&lt;2,IF(O16&lt;16,"低","中"),IF(M16&lt;3,IF(O16&lt;5,"低",IF(O16&lt;16,"中","高")),IF(O16&lt;5,"中","高"))))),IF(OR(J16="EO",J16="EQ"),IF(OR(Y16="估算法",Y16="算法类"),"中",IF(Y16="无法识别","低",IF(M16&lt;2,IF(O16&lt;20,"低","中"),IF(M16&lt;4,IF(O16&lt;6,"低",IF(O16&lt;20,"中","高")),IF(O16&lt;6,"中","高"))))),IF(OR(J16="ILF",J16="EIF"),IF(OR(Y16="估算法",Y16="算法类",Y16="无法识别"),"低",IF(N16&lt;2,IF(O16&lt;51,"低","中"),IF(N16&lt;6,IF(O16&lt;20,"低",IF(O16&lt;51,"中","高")),IF(O16&lt;20,"中","高")))),"不计算")))</f>
        <v/>
      </c>
      <c r="Q16" s="172">
        <f>IFERROR(IF(J16="EI",IF(P16="低",3,IF(P16="中",4,6)),IF(J16="EO",IF(P16="低",4,IF(P16="中",5,7)),IF(J16="EQ",IF(P16="低",3,IF(P16="中",4,6)),IF(J16="ILF",IF(P16="低",7,IF(P16="中",10,15)),IF(J16="EIF",IF(P16="低",5,IF(P16="中",7,10)),"不计算")))))*R16,"不计算")</f>
        <v/>
      </c>
      <c r="R16" s="172" t="n">
        <v>1</v>
      </c>
      <c r="S16" s="173">
        <f>调整因子!$F$13</f>
        <v/>
      </c>
      <c r="T16" s="92" t="n">
        <v>1</v>
      </c>
      <c r="U16" s="174">
        <f>IFERROR(Q16*S16,0)</f>
        <v/>
      </c>
      <c r="V16" s="174">
        <f>U16*T16</f>
        <v/>
      </c>
      <c r="W16" s="93" t="inlineStr">
        <is>
          <t>VEX 文档基本信息表</t>
        </is>
      </c>
      <c r="X16" s="98" t="n"/>
      <c r="Y16" s="93" t="inlineStr">
        <is>
          <t>VEX 文档基本信息表{主键 id、文档名称、文档内容、创建时间、更新时间、是否删除}</t>
        </is>
      </c>
      <c r="Z16" s="90" t="n"/>
      <c r="AA16" s="90" t="n"/>
      <c r="AB16" s="90" t="inlineStr">
        <is>
          <t>资产指纹信息表</t>
        </is>
      </c>
      <c r="AC16" s="66" t="n"/>
    </row>
    <row r="17" customFormat="1" s="66">
      <c r="A17" s="72">
        <f>ROW()-1</f>
        <v/>
      </c>
      <c r="B17" s="175" t="n"/>
      <c r="C17" s="80" t="n">
        <v>2025</v>
      </c>
      <c r="D17" s="80" t="inlineStr">
        <is>
          <t>窦鹏岐</t>
        </is>
      </c>
      <c r="E17" s="81">
        <f>VLOOKUP(I17,'25年交付功能（不含废弃）'!A:A,1,FALSE)</f>
        <v/>
      </c>
      <c r="F17" s="175" t="n"/>
      <c r="G17" s="175" t="n"/>
      <c r="H17" s="175" t="n"/>
      <c r="I17" s="81" t="inlineStr">
        <is>
          <t>CISA VEX文档导出</t>
        </is>
      </c>
      <c r="J17" s="98" t="inlineStr">
        <is>
          <t>EO</t>
        </is>
      </c>
      <c r="K17" s="84" t="n"/>
      <c r="L17" s="84" t="n"/>
      <c r="M17" s="85">
        <f>IF(OR(Y17="估算法",Y17="算法类",Y17="无法识别"),"",IF(W17="",IF(OR(J17="EI",J17="EO",J17="EQ"),0,""),LEN(W17)-LEN(SUBSTITUTE(W17,"、",""))+1))</f>
        <v/>
      </c>
      <c r="N17" s="85">
        <f>IF(OR(Y17="估算法",Y17="算法类",Y17="无法识别"),"",IF(X17="",IF(OR(J17="ILF",J17="EIF"),0,""),LEN(X17)-LEN(SUBSTITUTE(X17,"、",""))+1))</f>
        <v/>
      </c>
      <c r="O17" s="85">
        <f>IF(OR(Y17="估算法",Y17="算法类",Y17="无法识别"),"",IF(Y17="",IF(OR(J17="ILF",J17="EIF",J17="EI",J17="EO",J17="EQ"),0,""),LEN(Y17)-LEN(SUBSTITUTE(SUBSTITUTE(SUBSTITUTE(SUBSTITUTE(SUBSTITUTE(Y17,"|}","--"),"{|","--"),CHAR(10),""),"、",""),"|",""))+IF(AND(OR(J17="EI",J17="EO",J17="EQ"),$AE$1="NESMA"),2,1)))</f>
        <v/>
      </c>
      <c r="P17" s="86">
        <f>IF(J17="EI",IF(OR(Y17="估算法",Y17="算法类"),"中",IF(Y17="无法识别","低",IF(M17&lt;2,IF(O17&lt;16,"低","中"),IF(M17&lt;3,IF(O17&lt;5,"低",IF(O17&lt;16,"中","高")),IF(O17&lt;5,"中","高"))))),IF(OR(J17="EO",J17="EQ"),IF(OR(Y17="估算法",Y17="算法类"),"中",IF(Y17="无法识别","低",IF(M17&lt;2,IF(O17&lt;20,"低","中"),IF(M17&lt;4,IF(O17&lt;6,"低",IF(O17&lt;20,"中","高")),IF(O17&lt;6,"中","高"))))),IF(OR(J17="ILF",J17="EIF"),IF(OR(Y17="估算法",Y17="算法类",Y17="无法识别"),"低",IF(N17&lt;2,IF(O17&lt;51,"低","中"),IF(N17&lt;6,IF(O17&lt;20,"低",IF(O17&lt;51,"中","高")),IF(O17&lt;20,"中","高")))),"不计算")))</f>
        <v/>
      </c>
      <c r="Q17" s="172">
        <f>IFERROR(IF(J17="EI",IF(P17="低",3,IF(P17="中",4,6)),IF(J17="EO",IF(P17="低",4,IF(P17="中",5,7)),IF(J17="EQ",IF(P17="低",3,IF(P17="中",4,6)),IF(J17="ILF",IF(P17="低",7,IF(P17="中",10,15)),IF(J17="EIF",IF(P17="低",5,IF(P17="中",7,10)),"不计算")))))*R17,"不计算")</f>
        <v/>
      </c>
      <c r="R17" s="172" t="n">
        <v>1</v>
      </c>
      <c r="S17" s="173">
        <f>调整因子!$F$13</f>
        <v/>
      </c>
      <c r="T17" s="93" t="n">
        <v>1</v>
      </c>
      <c r="U17" s="174">
        <f>IFERROR(Q17*S17,0)</f>
        <v/>
      </c>
      <c r="V17" s="174">
        <f>U17*T17</f>
        <v/>
      </c>
      <c r="W17" s="93" t="inlineStr">
        <is>
          <t>VEX 文档基本信息表</t>
        </is>
      </c>
      <c r="X17" s="98" t="n"/>
      <c r="Y17" s="93" t="inlineStr">
        <is>
          <t>VEX 文档基本信息表{主键 id、文档名称、文档内容、创建时间、更新时间、是否删除}</t>
        </is>
      </c>
      <c r="Z17" s="90" t="n"/>
      <c r="AA17" s="90" t="n"/>
      <c r="AB17" s="90" t="inlineStr">
        <is>
          <t>资产指纹信息表</t>
        </is>
      </c>
      <c r="AC17" s="66" t="n"/>
    </row>
    <row r="18" customFormat="1" s="66">
      <c r="A18" s="72">
        <f>ROW()-1</f>
        <v/>
      </c>
      <c r="B18" s="175" t="n"/>
      <c r="C18" s="80" t="n">
        <v>2025</v>
      </c>
      <c r="D18" s="80" t="inlineStr">
        <is>
          <t>窦鹏岐</t>
        </is>
      </c>
      <c r="E18" s="81">
        <f>VLOOKUP(I18,'25年交付功能（不含废弃）'!A:A,1,FALSE)</f>
        <v/>
      </c>
      <c r="F18" s="175" t="n"/>
      <c r="G18" s="175" t="n"/>
      <c r="H18" s="175" t="n"/>
      <c r="I18" s="81" t="inlineStr">
        <is>
          <t>CISA VEX文档查看</t>
        </is>
      </c>
      <c r="J18" s="98" t="inlineStr">
        <is>
          <t>EQ</t>
        </is>
      </c>
      <c r="K18" s="84" t="n"/>
      <c r="L18" s="84" t="n"/>
      <c r="M18" s="85">
        <f>IF(OR(Y18="估算法",Y18="算法类",Y18="无法识别"),"",IF(W18="",IF(OR(J18="EI",J18="EO",J18="EQ"),0,""),LEN(W18)-LEN(SUBSTITUTE(W18,"、",""))+1))</f>
        <v/>
      </c>
      <c r="N18" s="85">
        <f>IF(OR(Y18="估算法",Y18="算法类",Y18="无法识别"),"",IF(X18="",IF(OR(J18="ILF",J18="EIF"),0,""),LEN(X18)-LEN(SUBSTITUTE(X18,"、",""))+1))</f>
        <v/>
      </c>
      <c r="O18" s="85">
        <f>IF(OR(Y18="估算法",Y18="算法类",Y18="无法识别"),"",IF(Y18="",IF(OR(J18="ILF",J18="EIF",J18="EI",J18="EO",J18="EQ"),0,""),LEN(Y18)-LEN(SUBSTITUTE(SUBSTITUTE(SUBSTITUTE(SUBSTITUTE(SUBSTITUTE(Y18,"|}","--"),"{|","--"),CHAR(10),""),"、",""),"|",""))+IF(AND(OR(J18="EI",J18="EO",J18="EQ"),$AE$1="NESMA"),2,1)))</f>
        <v/>
      </c>
      <c r="P18" s="86">
        <f>IF(J18="EI",IF(OR(Y18="估算法",Y18="算法类"),"中",IF(Y18="无法识别","低",IF(M18&lt;2,IF(O18&lt;16,"低","中"),IF(M18&lt;3,IF(O18&lt;5,"低",IF(O18&lt;16,"中","高")),IF(O18&lt;5,"中","高"))))),IF(OR(J18="EO",J18="EQ"),IF(OR(Y18="估算法",Y18="算法类"),"中",IF(Y18="无法识别","低",IF(M18&lt;2,IF(O18&lt;20,"低","中"),IF(M18&lt;4,IF(O18&lt;6,"低",IF(O18&lt;20,"中","高")),IF(O18&lt;6,"中","高"))))),IF(OR(J18="ILF",J18="EIF"),IF(OR(Y18="估算法",Y18="算法类",Y18="无法识别"),"低",IF(N18&lt;2,IF(O18&lt;51,"低","中"),IF(N18&lt;6,IF(O18&lt;20,"低",IF(O18&lt;51,"中","高")),IF(O18&lt;20,"中","高")))),"不计算")))</f>
        <v/>
      </c>
      <c r="Q18" s="172">
        <f>IFERROR(IF(J18="EI",IF(P18="低",3,IF(P18="中",4,6)),IF(J18="EO",IF(P18="低",4,IF(P18="中",5,7)),IF(J18="EQ",IF(P18="低",3,IF(P18="中",4,6)),IF(J18="ILF",IF(P18="低",7,IF(P18="中",10,15)),IF(J18="EIF",IF(P18="低",5,IF(P18="中",7,10)),"不计算")))))*R18,"不计算")</f>
        <v/>
      </c>
      <c r="R18" s="172" t="n">
        <v>1</v>
      </c>
      <c r="S18" s="173">
        <f>调整因子!$F$13</f>
        <v/>
      </c>
      <c r="T18" s="92" t="n">
        <v>1</v>
      </c>
      <c r="U18" s="174">
        <f>IFERROR(Q18*S18,0)</f>
        <v/>
      </c>
      <c r="V18" s="174">
        <f>U18*T18</f>
        <v/>
      </c>
      <c r="W18" s="93" t="inlineStr">
        <is>
          <t>VEX 文档基本信息表</t>
        </is>
      </c>
      <c r="X18" s="98" t="n"/>
      <c r="Y18" s="93" t="inlineStr">
        <is>
          <t>VEX 文档基本信息表{主键 id、文档名称、文档内容、创建时间、更新时间、是否删除}</t>
        </is>
      </c>
      <c r="Z18" s="90" t="n"/>
      <c r="AA18" s="90" t="n"/>
      <c r="AB18" s="90" t="inlineStr">
        <is>
          <t>资产指纹信息表</t>
        </is>
      </c>
      <c r="AC18" s="66" t="n"/>
    </row>
    <row r="19" customFormat="1" s="66">
      <c r="A19" s="72">
        <f>ROW()-1</f>
        <v/>
      </c>
      <c r="B19" s="175" t="n"/>
      <c r="C19" s="80" t="n">
        <v>2025</v>
      </c>
      <c r="D19" s="80" t="inlineStr">
        <is>
          <t>窦鹏岐</t>
        </is>
      </c>
      <c r="E19" s="81">
        <f>VLOOKUP(I19,'25年交付功能（不含废弃）'!A:A,1,FALSE)</f>
        <v/>
      </c>
      <c r="F19" s="175" t="n"/>
      <c r="G19" s="175" t="n"/>
      <c r="H19" s="175" t="n"/>
      <c r="I19" s="81" t="inlineStr">
        <is>
          <t>CISA VEX文档编辑</t>
        </is>
      </c>
      <c r="J19" s="98" t="inlineStr">
        <is>
          <t>EI</t>
        </is>
      </c>
      <c r="K19" s="84" t="n"/>
      <c r="L19" s="84" t="n"/>
      <c r="M19" s="85">
        <f>IF(OR(Y19="估算法",Y19="算法类",Y19="无法识别"),"",IF(W19="",IF(OR(J19="EI",J19="EO",J19="EQ"),0,""),LEN(W19)-LEN(SUBSTITUTE(W19,"、",""))+1))</f>
        <v/>
      </c>
      <c r="N19" s="85">
        <f>IF(OR(Y19="估算法",Y19="算法类",Y19="无法识别"),"",IF(X19="",IF(OR(J19="ILF",J19="EIF"),0,""),LEN(X19)-LEN(SUBSTITUTE(X19,"、",""))+1))</f>
        <v/>
      </c>
      <c r="O19" s="85">
        <f>IF(OR(Y19="估算法",Y19="算法类",Y19="无法识别"),"",IF(Y19="",IF(OR(J19="ILF",J19="EIF",J19="EI",J19="EO",J19="EQ"),0,""),LEN(Y19)-LEN(SUBSTITUTE(SUBSTITUTE(SUBSTITUTE(SUBSTITUTE(SUBSTITUTE(Y19,"|}","--"),"{|","--"),CHAR(10),""),"、",""),"|",""))+IF(AND(OR(J19="EI",J19="EO",J19="EQ"),$AE$1="NESMA"),2,1)))</f>
        <v/>
      </c>
      <c r="P19" s="86">
        <f>IF(J19="EI",IF(OR(Y19="估算法",Y19="算法类"),"中",IF(Y19="无法识别","低",IF(M19&lt;2,IF(O19&lt;16,"低","中"),IF(M19&lt;3,IF(O19&lt;5,"低",IF(O19&lt;16,"中","高")),IF(O19&lt;5,"中","高"))))),IF(OR(J19="EO",J19="EQ"),IF(OR(Y19="估算法",Y19="算法类"),"中",IF(Y19="无法识别","低",IF(M19&lt;2,IF(O19&lt;20,"低","中"),IF(M19&lt;4,IF(O19&lt;6,"低",IF(O19&lt;20,"中","高")),IF(O19&lt;6,"中","高"))))),IF(OR(J19="ILF",J19="EIF"),IF(OR(Y19="估算法",Y19="算法类",Y19="无法识别"),"低",IF(N19&lt;2,IF(O19&lt;51,"低","中"),IF(N19&lt;6,IF(O19&lt;20,"低",IF(O19&lt;51,"中","高")),IF(O19&lt;20,"中","高")))),"不计算")))</f>
        <v/>
      </c>
      <c r="Q19" s="172">
        <f>IFERROR(IF(J19="EI",IF(P19="低",3,IF(P19="中",4,6)),IF(J19="EO",IF(P19="低",4,IF(P19="中",5,7)),IF(J19="EQ",IF(P19="低",3,IF(P19="中",4,6)),IF(J19="ILF",IF(P19="低",7,IF(P19="中",10,15)),IF(J19="EIF",IF(P19="低",5,IF(P19="中",7,10)),"不计算")))))*R19,"不计算")</f>
        <v/>
      </c>
      <c r="R19" s="172" t="n">
        <v>0.333333333333333</v>
      </c>
      <c r="S19" s="173">
        <f>调整因子!$F$13</f>
        <v/>
      </c>
      <c r="T19" s="92" t="n">
        <v>1</v>
      </c>
      <c r="U19" s="174">
        <f>IFERROR(Q19*S19,0)</f>
        <v/>
      </c>
      <c r="V19" s="174">
        <f>U19*T19</f>
        <v/>
      </c>
      <c r="W19" s="93" t="inlineStr">
        <is>
          <t>VEX 文档基本信息表、VEX 文档操作日志表</t>
        </is>
      </c>
      <c r="X19" s="98" t="n"/>
      <c r="Y19" s="93" t="inlineStr">
        <is>
          <t>VEX 文档基本信息表{主键 id、文档名称、文档内容、创建时间、更新时间、是否删除}
VEX 文档操作日志表{主键 id、VEX 文档基本信息表主键 id （用于关联对应的文档）、操作类型 （如 “下载”“创建”“删除” 等）、操作时间操作人}</t>
        </is>
      </c>
      <c r="Z19" s="90" t="n"/>
      <c r="AA19" s="90" t="n"/>
      <c r="AB19" s="90" t="inlineStr">
        <is>
          <t>风险资产组件评分表</t>
        </is>
      </c>
      <c r="AC19" s="66" t="n"/>
    </row>
    <row r="20" customFormat="1" s="66">
      <c r="A20" s="72">
        <f>ROW()-1</f>
        <v/>
      </c>
      <c r="B20" s="175" t="n"/>
      <c r="C20" s="80" t="n">
        <v>2025</v>
      </c>
      <c r="D20" s="80" t="inlineStr">
        <is>
          <t>窦鹏岐</t>
        </is>
      </c>
      <c r="E20" s="81">
        <f>VLOOKUP(I20,'25年交付功能（不含废弃）'!A:A,1,FALSE)</f>
        <v/>
      </c>
      <c r="F20" s="175" t="n"/>
      <c r="G20" s="175" t="n"/>
      <c r="H20" s="176" t="n"/>
      <c r="I20" s="81" t="inlineStr">
        <is>
          <t>CISA单个VEX文档关联产品</t>
        </is>
      </c>
      <c r="J20" s="98" t="inlineStr">
        <is>
          <t>EI</t>
        </is>
      </c>
      <c r="K20" s="84" t="n"/>
      <c r="L20" s="84" t="n"/>
      <c r="M20" s="85">
        <f>IF(OR(Y20="估算法",Y20="算法类",Y20="无法识别"),"",IF(W20="",IF(OR(J20="EI",J20="EO",J20="EQ"),0,""),LEN(W20)-LEN(SUBSTITUTE(W20,"、",""))+1))</f>
        <v/>
      </c>
      <c r="N20" s="85">
        <f>IF(OR(Y20="估算法",Y20="算法类",Y20="无法识别"),"",IF(X20="",IF(OR(J20="ILF",J20="EIF"),0,""),LEN(X20)-LEN(SUBSTITUTE(X20,"、",""))+1))</f>
        <v/>
      </c>
      <c r="O20" s="85">
        <f>IF(OR(Y20="估算法",Y20="算法类",Y20="无法识别"),"",IF(Y20="",IF(OR(J20="ILF",J20="EIF",J20="EI",J20="EO",J20="EQ"),0,""),LEN(Y20)-LEN(SUBSTITUTE(SUBSTITUTE(SUBSTITUTE(SUBSTITUTE(SUBSTITUTE(Y20,"|}","--"),"{|","--"),CHAR(10),""),"、",""),"|",""))+IF(AND(OR(J20="EI",J20="EO",J20="EQ"),$AE$1="NESMA"),2,1)))</f>
        <v/>
      </c>
      <c r="P20" s="86">
        <f>IF(J20="EI",IF(OR(Y20="估算法",Y20="算法类"),"中",IF(Y20="无法识别","低",IF(M20&lt;2,IF(O20&lt;16,"低","中"),IF(M20&lt;3,IF(O20&lt;5,"低",IF(O20&lt;16,"中","高")),IF(O20&lt;5,"中","高"))))),IF(OR(J20="EO",J20="EQ"),IF(OR(Y20="估算法",Y20="算法类"),"中",IF(Y20="无法识别","低",IF(M20&lt;2,IF(O20&lt;20,"低","中"),IF(M20&lt;4,IF(O20&lt;6,"低",IF(O20&lt;20,"中","高")),IF(O20&lt;6,"中","高"))))),IF(OR(J20="ILF",J20="EIF"),IF(OR(Y20="估算法",Y20="算法类",Y20="无法识别"),"低",IF(N20&lt;2,IF(O20&lt;51,"低","中"),IF(N20&lt;6,IF(O20&lt;20,"低",IF(O20&lt;51,"中","高")),IF(O20&lt;20,"中","高")))),"不计算")))</f>
        <v/>
      </c>
      <c r="Q20" s="172">
        <f>IFERROR(IF(J20="EI",IF(P20="低",3,IF(P20="中",4,6)),IF(J20="EO",IF(P20="低",4,IF(P20="中",5,7)),IF(J20="EQ",IF(P20="低",3,IF(P20="中",4,6)),IF(J20="ILF",IF(P20="低",7,IF(P20="中",10,15)),IF(J20="EIF",IF(P20="低",5,IF(P20="中",7,10)),"不计算")))))*R20,"不计算")</f>
        <v/>
      </c>
      <c r="R20" s="172" t="n">
        <v>1</v>
      </c>
      <c r="S20" s="173">
        <f>调整因子!$F$13</f>
        <v/>
      </c>
      <c r="T20" s="93" t="n">
        <v>1</v>
      </c>
      <c r="U20" s="174">
        <f>IFERROR(Q20*S20,0)</f>
        <v/>
      </c>
      <c r="V20" s="174">
        <f>U20*T20</f>
        <v/>
      </c>
      <c r="W20" s="93" t="inlineStr">
        <is>
          <t>VEX 文档基本信息表、VEX 文档关联产品表</t>
        </is>
      </c>
      <c r="X20" s="98" t="n"/>
      <c r="Y20" s="93" t="inlineStr">
        <is>
          <t>VEX 文档基本信息表{主键 id、文档名称、文档内容、创建时间、更新时间、是否删除}
VEX 文档关联产品表{主键 id、VEX 文档基本信息表主键 id （用于关联对应的文档）、产品 id、 关联时间}</t>
        </is>
      </c>
      <c r="Z20" s="90" t="n"/>
      <c r="AA20" s="90" t="n"/>
      <c r="AB20" s="90" t="inlineStr">
        <is>
          <t>弱账号管理表、弱密码管理表、弱口令组合管理表、口令字典同步明细记录表</t>
        </is>
      </c>
      <c r="AC20" s="66" t="n"/>
    </row>
    <row r="21" customFormat="1" s="66">
      <c r="A21" s="72">
        <f>ROW()-1</f>
        <v/>
      </c>
      <c r="B21" s="175" t="n"/>
      <c r="C21" s="80" t="n">
        <v>2025</v>
      </c>
      <c r="D21" s="80" t="inlineStr">
        <is>
          <t>窦鹏岐</t>
        </is>
      </c>
      <c r="E21" s="81">
        <f>VLOOKUP(I21,'25年交付功能（不含废弃）'!A:A,1,FALSE)</f>
        <v/>
      </c>
      <c r="F21" s="175" t="n"/>
      <c r="G21" s="175" t="n"/>
      <c r="H21" s="95" t="inlineStr">
        <is>
          <t>VEX文档解析展示</t>
        </is>
      </c>
      <c r="I21" s="81" t="inlineStr">
        <is>
          <t>修改基础模板</t>
        </is>
      </c>
      <c r="J21" s="98" t="inlineStr">
        <is>
          <t>EI</t>
        </is>
      </c>
      <c r="K21" s="84" t="n"/>
      <c r="L21" s="84" t="n"/>
      <c r="M21" s="85">
        <f>IF(OR(Y21="估算法",Y21="算法类",Y21="无法识别"),"",IF(W21="",IF(OR(J21="EI",J21="EO",J21="EQ"),0,""),LEN(W21)-LEN(SUBSTITUTE(W21,"、",""))+1))</f>
        <v/>
      </c>
      <c r="N21" s="85">
        <f>IF(OR(Y21="估算法",Y21="算法类",Y21="无法识别"),"",IF(X21="",IF(OR(J21="ILF",J21="EIF"),0,""),LEN(X21)-LEN(SUBSTITUTE(X21,"、",""))+1))</f>
        <v/>
      </c>
      <c r="O21" s="85">
        <f>IF(OR(Y21="估算法",Y21="算法类",Y21="无法识别"),"",IF(Y21="",IF(OR(J21="ILF",J21="EIF",J21="EI",J21="EO",J21="EQ"),0,""),LEN(Y21)-LEN(SUBSTITUTE(SUBSTITUTE(SUBSTITUTE(SUBSTITUTE(SUBSTITUTE(Y21,"|}","--"),"{|","--"),CHAR(10),""),"、",""),"|",""))+IF(AND(OR(J21="EI",J21="EO",J21="EQ"),$AE$1="NESMA"),2,1)))</f>
        <v/>
      </c>
      <c r="P21" s="86">
        <f>IF(J21="EI",IF(OR(Y21="估算法",Y21="算法类"),"中",IF(Y21="无法识别","低",IF(M21&lt;2,IF(O21&lt;16,"低","中"),IF(M21&lt;3,IF(O21&lt;5,"低",IF(O21&lt;16,"中","高")),IF(O21&lt;5,"中","高"))))),IF(OR(J21="EO",J21="EQ"),IF(OR(Y21="估算法",Y21="算法类"),"中",IF(Y21="无法识别","低",IF(M21&lt;2,IF(O21&lt;20,"低","中"),IF(M21&lt;4,IF(O21&lt;6,"低",IF(O21&lt;20,"中","高")),IF(O21&lt;6,"中","高"))))),IF(OR(J21="ILF",J21="EIF"),IF(OR(Y21="估算法",Y21="算法类",Y21="无法识别"),"低",IF(N21&lt;2,IF(O21&lt;51,"低","中"),IF(N21&lt;6,IF(O21&lt;20,"低",IF(O21&lt;51,"中","高")),IF(O21&lt;20,"中","高")))),"不计算")))</f>
        <v/>
      </c>
      <c r="Q21" s="172">
        <f>IFERROR(IF(J21="EI",IF(P21="低",3,IF(P21="中",4,6)),IF(J21="EO",IF(P21="低",4,IF(P21="中",5,7)),IF(J21="EQ",IF(P21="低",3,IF(P21="中",4,6)),IF(J21="ILF",IF(P21="低",7,IF(P21="中",10,15)),IF(J21="EIF",IF(P21="低",5,IF(P21="中",7,10)),"不计算")))))*R21,"不计算")</f>
        <v/>
      </c>
      <c r="R21" s="172" t="n">
        <v>1</v>
      </c>
      <c r="S21" s="173">
        <f>调整因子!$F$13</f>
        <v/>
      </c>
      <c r="T21" s="92" t="n">
        <v>1</v>
      </c>
      <c r="U21" s="174">
        <f>IFERROR(Q21*S21,0)</f>
        <v/>
      </c>
      <c r="V21" s="174">
        <f>U21*T21</f>
        <v/>
      </c>
      <c r="W21" s="93" t="inlineStr">
        <is>
          <t>VEX 基础模板信息表</t>
        </is>
      </c>
      <c r="X21" s="98" t="n"/>
      <c r="Y21" s="93" t="inlineStr">
        <is>
          <t>VEX 文档基本信息表{主键 id、文档名称、文档内容、创建时间、更新时间、是否删除}</t>
        </is>
      </c>
      <c r="Z21" s="90" t="n"/>
      <c r="AA21" s="90" t="n"/>
      <c r="AB21" s="90" t="inlineStr">
        <is>
          <t>弱账号管理表、弱密码管理表、弱口令组合管理表</t>
        </is>
      </c>
      <c r="AC21" s="66" t="n"/>
    </row>
    <row r="22" customFormat="1" s="66">
      <c r="A22" s="72">
        <f>ROW()-1</f>
        <v/>
      </c>
      <c r="B22" s="175" t="n"/>
      <c r="C22" s="80" t="n">
        <v>2025</v>
      </c>
      <c r="D22" s="80" t="inlineStr">
        <is>
          <t>窦鹏岐</t>
        </is>
      </c>
      <c r="E22" s="81">
        <f>VLOOKUP(I22,'25年交付功能（不含废弃）'!A:A,1,FALSE)</f>
        <v/>
      </c>
      <c r="F22" s="175" t="n"/>
      <c r="G22" s="175" t="n"/>
      <c r="H22" s="175" t="n"/>
      <c r="I22" s="81" t="inlineStr">
        <is>
          <t>删除基础模板</t>
        </is>
      </c>
      <c r="J22" s="98" t="inlineStr">
        <is>
          <t>EI</t>
        </is>
      </c>
      <c r="K22" s="84" t="n"/>
      <c r="L22" s="84" t="n"/>
      <c r="M22" s="85">
        <f>IF(OR(Y22="估算法",Y22="算法类",Y22="无法识别"),"",IF(W22="",IF(OR(J22="EI",J22="EO",J22="EQ"),0,""),LEN(W22)-LEN(SUBSTITUTE(W22,"、",""))+1))</f>
        <v/>
      </c>
      <c r="N22" s="85">
        <f>IF(OR(Y22="估算法",Y22="算法类",Y22="无法识别"),"",IF(X22="",IF(OR(J22="ILF",J22="EIF"),0,""),LEN(X22)-LEN(SUBSTITUTE(X22,"、",""))+1))</f>
        <v/>
      </c>
      <c r="O22" s="85">
        <f>IF(OR(Y22="估算法",Y22="算法类",Y22="无法识别"),"",IF(Y22="",IF(OR(J22="ILF",J22="EIF",J22="EI",J22="EO",J22="EQ"),0,""),LEN(Y22)-LEN(SUBSTITUTE(SUBSTITUTE(SUBSTITUTE(SUBSTITUTE(SUBSTITUTE(Y22,"|}","--"),"{|","--"),CHAR(10),""),"、",""),"|",""))+IF(AND(OR(J22="EI",J22="EO",J22="EQ"),$AE$1="NESMA"),2,1)))</f>
        <v/>
      </c>
      <c r="P22" s="86">
        <f>IF(J22="EI",IF(OR(Y22="估算法",Y22="算法类"),"中",IF(Y22="无法识别","低",IF(M22&lt;2,IF(O22&lt;16,"低","中"),IF(M22&lt;3,IF(O22&lt;5,"低",IF(O22&lt;16,"中","高")),IF(O22&lt;5,"中","高"))))),IF(OR(J22="EO",J22="EQ"),IF(OR(Y22="估算法",Y22="算法类"),"中",IF(Y22="无法识别","低",IF(M22&lt;2,IF(O22&lt;20,"低","中"),IF(M22&lt;4,IF(O22&lt;6,"低",IF(O22&lt;20,"中","高")),IF(O22&lt;6,"中","高"))))),IF(OR(J22="ILF",J22="EIF"),IF(OR(Y22="估算法",Y22="算法类",Y22="无法识别"),"低",IF(N22&lt;2,IF(O22&lt;51,"低","中"),IF(N22&lt;6,IF(O22&lt;20,"低",IF(O22&lt;51,"中","高")),IF(O22&lt;20,"中","高")))),"不计算")))</f>
        <v/>
      </c>
      <c r="Q22" s="172">
        <f>IFERROR(IF(J22="EI",IF(P22="低",3,IF(P22="中",4,6)),IF(J22="EO",IF(P22="低",4,IF(P22="中",5,7)),IF(J22="EQ",IF(P22="低",3,IF(P22="中",4,6)),IF(J22="ILF",IF(P22="低",7,IF(P22="中",10,15)),IF(J22="EIF",IF(P22="低",5,IF(P22="中",7,10)),"不计算")))))*R22,"不计算")</f>
        <v/>
      </c>
      <c r="R22" s="172" t="n">
        <v>0.333333333333333</v>
      </c>
      <c r="S22" s="173">
        <f>调整因子!$F$13</f>
        <v/>
      </c>
      <c r="T22" s="92" t="n">
        <v>1</v>
      </c>
      <c r="U22" s="174">
        <f>IFERROR(Q22*S22,0)</f>
        <v/>
      </c>
      <c r="V22" s="174">
        <f>U22*T22</f>
        <v/>
      </c>
      <c r="W22" s="93" t="inlineStr">
        <is>
          <t>VEX 基础模板信息表</t>
        </is>
      </c>
      <c r="X22" s="98" t="n"/>
      <c r="Y22" s="93" t="inlineStr">
        <is>
          <t>VEX 文档基本信息表{主键 id、文档名称、文档内容、创建时间、更新时间、是否删除}</t>
        </is>
      </c>
      <c r="Z22" s="90" t="n"/>
      <c r="AA22" s="90" t="n"/>
      <c r="AB22" s="90" t="inlineStr">
        <is>
          <t>弱账号管理表、弱密码管理表、弱口令组合管理表</t>
        </is>
      </c>
      <c r="AC22" s="66" t="n"/>
    </row>
    <row r="23" customFormat="1" s="66">
      <c r="A23" s="72">
        <f>ROW()-1</f>
        <v/>
      </c>
      <c r="B23" s="175" t="n"/>
      <c r="C23" s="80" t="n">
        <v>2025</v>
      </c>
      <c r="D23" s="80" t="inlineStr">
        <is>
          <t>窦鹏岐</t>
        </is>
      </c>
      <c r="E23" s="81">
        <f>VLOOKUP(I23,'25年交付功能（不含废弃）'!A:A,1,FALSE)</f>
        <v/>
      </c>
      <c r="F23" s="175" t="n"/>
      <c r="G23" s="175" t="n"/>
      <c r="H23" s="175" t="n"/>
      <c r="I23" s="81" t="inlineStr">
        <is>
          <t>导入基础模板</t>
        </is>
      </c>
      <c r="J23" s="98" t="inlineStr">
        <is>
          <t>EI</t>
        </is>
      </c>
      <c r="K23" s="84" t="n"/>
      <c r="L23" s="84" t="n"/>
      <c r="M23" s="85">
        <f>IF(OR(Y23="估算法",Y23="算法类",Y23="无法识别"),"",IF(W23="",IF(OR(J23="EI",J23="EO",J23="EQ"),0,""),LEN(W23)-LEN(SUBSTITUTE(W23,"、",""))+1))</f>
        <v/>
      </c>
      <c r="N23" s="85">
        <f>IF(OR(Y23="估算法",Y23="算法类",Y23="无法识别"),"",IF(X23="",IF(OR(J23="ILF",J23="EIF"),0,""),LEN(X23)-LEN(SUBSTITUTE(X23,"、",""))+1))</f>
        <v/>
      </c>
      <c r="O23" s="85">
        <f>IF(OR(Y23="估算法",Y23="算法类",Y23="无法识别"),"",IF(Y23="",IF(OR(J23="ILF",J23="EIF",J23="EI",J23="EO",J23="EQ"),0,""),LEN(Y23)-LEN(SUBSTITUTE(SUBSTITUTE(SUBSTITUTE(SUBSTITUTE(SUBSTITUTE(Y23,"|}","--"),"{|","--"),CHAR(10),""),"、",""),"|",""))+IF(AND(OR(J23="EI",J23="EO",J23="EQ"),$AE$1="NESMA"),2,1)))</f>
        <v/>
      </c>
      <c r="P23" s="86">
        <f>IF(J23="EI",IF(OR(Y23="估算法",Y23="算法类"),"中",IF(Y23="无法识别","低",IF(M23&lt;2,IF(O23&lt;16,"低","中"),IF(M23&lt;3,IF(O23&lt;5,"低",IF(O23&lt;16,"中","高")),IF(O23&lt;5,"中","高"))))),IF(OR(J23="EO",J23="EQ"),IF(OR(Y23="估算法",Y23="算法类"),"中",IF(Y23="无法识别","低",IF(M23&lt;2,IF(O23&lt;20,"低","中"),IF(M23&lt;4,IF(O23&lt;6,"低",IF(O23&lt;20,"中","高")),IF(O23&lt;6,"中","高"))))),IF(OR(J23="ILF",J23="EIF"),IF(OR(Y23="估算法",Y23="算法类",Y23="无法识别"),"低",IF(N23&lt;2,IF(O23&lt;51,"低","中"),IF(N23&lt;6,IF(O23&lt;20,"低",IF(O23&lt;51,"中","高")),IF(O23&lt;20,"中","高")))),"不计算")))</f>
        <v/>
      </c>
      <c r="Q23" s="172">
        <f>IFERROR(IF(J23="EI",IF(P23="低",3,IF(P23="中",4,6)),IF(J23="EO",IF(P23="低",4,IF(P23="中",5,7)),IF(J23="EQ",IF(P23="低",3,IF(P23="中",4,6)),IF(J23="ILF",IF(P23="低",7,IF(P23="中",10,15)),IF(J23="EIF",IF(P23="低",5,IF(P23="中",7,10)),"不计算")))))*R23,"不计算")</f>
        <v/>
      </c>
      <c r="R23" s="172" t="n">
        <v>1</v>
      </c>
      <c r="S23" s="173">
        <f>调整因子!$F$13</f>
        <v/>
      </c>
      <c r="T23" s="93" t="n">
        <v>1</v>
      </c>
      <c r="U23" s="174">
        <f>IFERROR(Q23*S23,0)</f>
        <v/>
      </c>
      <c r="V23" s="174">
        <f>U23*T23</f>
        <v/>
      </c>
      <c r="W23" s="93" t="inlineStr">
        <is>
          <t>VEX 基础模板信息表</t>
        </is>
      </c>
      <c r="X23" s="98" t="n"/>
      <c r="Y23" s="93" t="inlineStr">
        <is>
          <t>VEX 文档基本信息表{主键 id、文档名称、文档内容、创建时间、更新时间、是否删除}</t>
        </is>
      </c>
      <c r="Z23" s="90" t="n"/>
      <c r="AA23" s="90" t="n"/>
      <c r="AB23" s="90" t="inlineStr">
        <is>
          <t>弱账号管理表、弱密码管理表、弱口令组合管理表</t>
        </is>
      </c>
      <c r="AC23" s="66" t="n"/>
    </row>
    <row r="24" customFormat="1" s="66">
      <c r="A24" s="72">
        <f>ROW()-1</f>
        <v/>
      </c>
      <c r="B24" s="175" t="n"/>
      <c r="C24" s="80" t="n">
        <v>2025</v>
      </c>
      <c r="D24" s="80" t="inlineStr">
        <is>
          <t>窦鹏岐</t>
        </is>
      </c>
      <c r="E24" s="81">
        <f>VLOOKUP(I24,'25年交付功能（不含废弃）'!A:A,1,FALSE)</f>
        <v/>
      </c>
      <c r="F24" s="175" t="n"/>
      <c r="G24" s="175" t="n"/>
      <c r="H24" s="175" t="n"/>
      <c r="I24" s="81" t="inlineStr">
        <is>
          <t>导出基础模板</t>
        </is>
      </c>
      <c r="J24" s="98" t="inlineStr">
        <is>
          <t>EO</t>
        </is>
      </c>
      <c r="K24" s="84" t="n"/>
      <c r="L24" s="84" t="n"/>
      <c r="M24" s="85">
        <f>IF(OR(Y24="估算法",Y24="算法类",Y24="无法识别"),"",IF(W24="",IF(OR(J24="EI",J24="EO",J24="EQ"),0,""),LEN(W24)-LEN(SUBSTITUTE(W24,"、",""))+1))</f>
        <v/>
      </c>
      <c r="N24" s="85">
        <f>IF(OR(Y24="估算法",Y24="算法类",Y24="无法识别"),"",IF(X24="",IF(OR(J24="ILF",J24="EIF"),0,""),LEN(X24)-LEN(SUBSTITUTE(X24,"、",""))+1))</f>
        <v/>
      </c>
      <c r="O24" s="85">
        <f>IF(OR(Y24="估算法",Y24="算法类",Y24="无法识别"),"",IF(Y24="",IF(OR(J24="ILF",J24="EIF",J24="EI",J24="EO",J24="EQ"),0,""),LEN(Y24)-LEN(SUBSTITUTE(SUBSTITUTE(SUBSTITUTE(SUBSTITUTE(SUBSTITUTE(Y24,"|}","--"),"{|","--"),CHAR(10),""),"、",""),"|",""))+IF(AND(OR(J24="EI",J24="EO",J24="EQ"),$AE$1="NESMA"),2,1)))</f>
        <v/>
      </c>
      <c r="P24" s="86">
        <f>IF(J24="EI",IF(OR(Y24="估算法",Y24="算法类"),"中",IF(Y24="无法识别","低",IF(M24&lt;2,IF(O24&lt;16,"低","中"),IF(M24&lt;3,IF(O24&lt;5,"低",IF(O24&lt;16,"中","高")),IF(O24&lt;5,"中","高"))))),IF(OR(J24="EO",J24="EQ"),IF(OR(Y24="估算法",Y24="算法类"),"中",IF(Y24="无法识别","低",IF(M24&lt;2,IF(O24&lt;20,"低","中"),IF(M24&lt;4,IF(O24&lt;6,"低",IF(O24&lt;20,"中","高")),IF(O24&lt;6,"中","高"))))),IF(OR(J24="ILF",J24="EIF"),IF(OR(Y24="估算法",Y24="算法类",Y24="无法识别"),"低",IF(N24&lt;2,IF(O24&lt;51,"低","中"),IF(N24&lt;6,IF(O24&lt;20,"低",IF(O24&lt;51,"中","高")),IF(O24&lt;20,"中","高")))),"不计算")))</f>
        <v/>
      </c>
      <c r="Q24" s="172">
        <f>IFERROR(IF(J24="EI",IF(P24="低",3,IF(P24="中",4,6)),IF(J24="EO",IF(P24="低",4,IF(P24="中",5,7)),IF(J24="EQ",IF(P24="低",3,IF(P24="中",4,6)),IF(J24="ILF",IF(P24="低",7,IF(P24="中",10,15)),IF(J24="EIF",IF(P24="低",5,IF(P24="中",7,10)),"不计算")))))*R24,"不计算")</f>
        <v/>
      </c>
      <c r="R24" s="172" t="n">
        <v>1</v>
      </c>
      <c r="S24" s="173">
        <f>调整因子!$F$13</f>
        <v/>
      </c>
      <c r="T24" s="92" t="n">
        <v>1</v>
      </c>
      <c r="U24" s="174">
        <f>IFERROR(Q24*S24,0)</f>
        <v/>
      </c>
      <c r="V24" s="174">
        <f>U24*T24</f>
        <v/>
      </c>
      <c r="W24" s="93" t="inlineStr">
        <is>
          <t>VEX 基础模板信息表</t>
        </is>
      </c>
      <c r="X24" s="98" t="n"/>
      <c r="Y24" s="93" t="inlineStr">
        <is>
          <t>VEX 文档基本信息表{主键 id、文档名称、文档内容、创建时间、更新时间、是否删除}</t>
        </is>
      </c>
      <c r="Z24" s="90" t="n"/>
      <c r="AA24" s="90" t="n"/>
      <c r="AB24" s="90" t="inlineStr">
        <is>
          <t>弱账号管理表、弱密码管理表、弱口令组合管理表</t>
        </is>
      </c>
      <c r="AC24" s="66" t="n"/>
    </row>
    <row r="25" customFormat="1" s="66">
      <c r="A25" s="72">
        <f>ROW()-1</f>
        <v/>
      </c>
      <c r="B25" s="175" t="n"/>
      <c r="C25" s="80" t="n">
        <v>2025</v>
      </c>
      <c r="D25" s="80" t="inlineStr">
        <is>
          <t>窦鹏岐</t>
        </is>
      </c>
      <c r="E25" s="81">
        <f>VLOOKUP(I25,'25年交付功能（不含废弃）'!A:A,1,FALSE)</f>
        <v/>
      </c>
      <c r="F25" s="175" t="n"/>
      <c r="G25" s="175" t="n"/>
      <c r="H25" s="175" t="n"/>
      <c r="I25" s="81" t="inlineStr">
        <is>
          <t>查询基础模板</t>
        </is>
      </c>
      <c r="J25" s="98" t="inlineStr">
        <is>
          <t>EQ</t>
        </is>
      </c>
      <c r="K25" s="84" t="n"/>
      <c r="L25" s="84" t="n"/>
      <c r="M25" s="85">
        <f>IF(OR(Y25="估算法",Y25="算法类",Y25="无法识别"),"",IF(W25="",IF(OR(J25="EI",J25="EO",J25="EQ"),0,""),LEN(W25)-LEN(SUBSTITUTE(W25,"、",""))+1))</f>
        <v/>
      </c>
      <c r="N25" s="85">
        <f>IF(OR(Y25="估算法",Y25="算法类",Y25="无法识别"),"",IF(X25="",IF(OR(J25="ILF",J25="EIF"),0,""),LEN(X25)-LEN(SUBSTITUTE(X25,"、",""))+1))</f>
        <v/>
      </c>
      <c r="O25" s="85">
        <f>IF(OR(Y25="估算法",Y25="算法类",Y25="无法识别"),"",IF(Y25="",IF(OR(J25="ILF",J25="EIF",J25="EI",J25="EO",J25="EQ"),0,""),LEN(Y25)-LEN(SUBSTITUTE(SUBSTITUTE(SUBSTITUTE(SUBSTITUTE(SUBSTITUTE(Y25,"|}","--"),"{|","--"),CHAR(10),""),"、",""),"|",""))+IF(AND(OR(J25="EI",J25="EO",J25="EQ"),$AE$1="NESMA"),2,1)))</f>
        <v/>
      </c>
      <c r="P25" s="86">
        <f>IF(J25="EI",IF(OR(Y25="估算法",Y25="算法类"),"中",IF(Y25="无法识别","低",IF(M25&lt;2,IF(O25&lt;16,"低","中"),IF(M25&lt;3,IF(O25&lt;5,"低",IF(O25&lt;16,"中","高")),IF(O25&lt;5,"中","高"))))),IF(OR(J25="EO",J25="EQ"),IF(OR(Y25="估算法",Y25="算法类"),"中",IF(Y25="无法识别","低",IF(M25&lt;2,IF(O25&lt;20,"低","中"),IF(M25&lt;4,IF(O25&lt;6,"低",IF(O25&lt;20,"中","高")),IF(O25&lt;6,"中","高"))))),IF(OR(J25="ILF",J25="EIF"),IF(OR(Y25="估算法",Y25="算法类",Y25="无法识别"),"低",IF(N25&lt;2,IF(O25&lt;51,"低","中"),IF(N25&lt;6,IF(O25&lt;20,"低",IF(O25&lt;51,"中","高")),IF(O25&lt;20,"中","高")))),"不计算")))</f>
        <v/>
      </c>
      <c r="Q25" s="172">
        <f>IFERROR(IF(J25="EI",IF(P25="低",3,IF(P25="中",4,6)),IF(J25="EO",IF(P25="低",4,IF(P25="中",5,7)),IF(J25="EQ",IF(P25="低",3,IF(P25="中",4,6)),IF(J25="ILF",IF(P25="低",7,IF(P25="中",10,15)),IF(J25="EIF",IF(P25="低",5,IF(P25="中",7,10)),"不计算")))))*R25,"不计算")</f>
        <v/>
      </c>
      <c r="R25" s="172" t="n">
        <v>1</v>
      </c>
      <c r="S25" s="173">
        <f>调整因子!$F$13</f>
        <v/>
      </c>
      <c r="T25" s="92" t="n">
        <v>1</v>
      </c>
      <c r="U25" s="174">
        <f>IFERROR(Q25*S25,0)</f>
        <v/>
      </c>
      <c r="V25" s="174">
        <f>U25*T25</f>
        <v/>
      </c>
      <c r="W25" s="93" t="inlineStr">
        <is>
          <t>VEX 基础模板信息表</t>
        </is>
      </c>
      <c r="X25" s="98" t="n"/>
      <c r="Y25" s="93" t="inlineStr">
        <is>
          <t>VEX 文档基本信息表{主键 id、文档名称、文档内容、创建时间、更新时间、是否删除}</t>
        </is>
      </c>
      <c r="Z25" s="90" t="n"/>
      <c r="AA25" s="90" t="n"/>
      <c r="AB25" s="90" t="inlineStr">
        <is>
          <t>弱账号管理表、弱密码管理表、弱口令组合管理表</t>
        </is>
      </c>
      <c r="AC25" s="66" t="n"/>
    </row>
    <row r="26" customFormat="1" s="66">
      <c r="A26" s="72">
        <f>ROW()-1</f>
        <v/>
      </c>
      <c r="B26" s="175" t="n"/>
      <c r="C26" s="80" t="n">
        <v>2025</v>
      </c>
      <c r="D26" s="80" t="inlineStr">
        <is>
          <t>窦鹏岐</t>
        </is>
      </c>
      <c r="E26" s="81">
        <f>VLOOKUP(I26,'25年交付功能（不含废弃）'!A:A,1,FALSE)</f>
        <v/>
      </c>
      <c r="F26" s="175" t="n"/>
      <c r="G26" s="175" t="n"/>
      <c r="H26" s="176" t="n"/>
      <c r="I26" s="81" t="inlineStr">
        <is>
          <t>添加基础模板</t>
        </is>
      </c>
      <c r="J26" s="98" t="inlineStr">
        <is>
          <t>EI</t>
        </is>
      </c>
      <c r="K26" s="84" t="n"/>
      <c r="L26" s="84" t="n"/>
      <c r="M26" s="85">
        <f>IF(OR(Y26="估算法",Y26="算法类",Y26="无法识别"),"",IF(W26="",IF(OR(J26="EI",J26="EO",J26="EQ"),0,""),LEN(W26)-LEN(SUBSTITUTE(W26,"、",""))+1))</f>
        <v/>
      </c>
      <c r="N26" s="85">
        <f>IF(OR(Y26="估算法",Y26="算法类",Y26="无法识别"),"",IF(X26="",IF(OR(J26="ILF",J26="EIF"),0,""),LEN(X26)-LEN(SUBSTITUTE(X26,"、",""))+1))</f>
        <v/>
      </c>
      <c r="O26" s="85">
        <f>IF(OR(Y26="估算法",Y26="算法类",Y26="无法识别"),"",IF(Y26="",IF(OR(J26="ILF",J26="EIF",J26="EI",J26="EO",J26="EQ"),0,""),LEN(Y26)-LEN(SUBSTITUTE(SUBSTITUTE(SUBSTITUTE(SUBSTITUTE(SUBSTITUTE(Y26,"|}","--"),"{|","--"),CHAR(10),""),"、",""),"|",""))+IF(AND(OR(J26="EI",J26="EO",J26="EQ"),$AE$1="NESMA"),2,1)))</f>
        <v/>
      </c>
      <c r="P26" s="86">
        <f>IF(J26="EI",IF(OR(Y26="估算法",Y26="算法类"),"中",IF(Y26="无法识别","低",IF(M26&lt;2,IF(O26&lt;16,"低","中"),IF(M26&lt;3,IF(O26&lt;5,"低",IF(O26&lt;16,"中","高")),IF(O26&lt;5,"中","高"))))),IF(OR(J26="EO",J26="EQ"),IF(OR(Y26="估算法",Y26="算法类"),"中",IF(Y26="无法识别","低",IF(M26&lt;2,IF(O26&lt;20,"低","中"),IF(M26&lt;4,IF(O26&lt;6,"低",IF(O26&lt;20,"中","高")),IF(O26&lt;6,"中","高"))))),IF(OR(J26="ILF",J26="EIF"),IF(OR(Y26="估算法",Y26="算法类",Y26="无法识别"),"低",IF(N26&lt;2,IF(O26&lt;51,"低","中"),IF(N26&lt;6,IF(O26&lt;20,"低",IF(O26&lt;51,"中","高")),IF(O26&lt;20,"中","高")))),"不计算")))</f>
        <v/>
      </c>
      <c r="Q26" s="172">
        <f>IFERROR(IF(J26="EI",IF(P26="低",3,IF(P26="中",4,6)),IF(J26="EO",IF(P26="低",4,IF(P26="中",5,7)),IF(J26="EQ",IF(P26="低",3,IF(P26="中",4,6)),IF(J26="ILF",IF(P26="低",7,IF(P26="中",10,15)),IF(J26="EIF",IF(P26="低",5,IF(P26="中",7,10)),"不计算")))))*R26,"不计算")</f>
        <v/>
      </c>
      <c r="R26" s="172" t="n">
        <v>1</v>
      </c>
      <c r="S26" s="173">
        <f>调整因子!$F$13</f>
        <v/>
      </c>
      <c r="T26" s="93" t="n">
        <v>1</v>
      </c>
      <c r="U26" s="174">
        <f>IFERROR(Q26*S26,0)</f>
        <v/>
      </c>
      <c r="V26" s="174">
        <f>U26*T26</f>
        <v/>
      </c>
      <c r="W26" s="93" t="inlineStr">
        <is>
          <t>VEX 基础模板信息表</t>
        </is>
      </c>
      <c r="X26" s="98" t="n"/>
      <c r="Y26" s="93" t="inlineStr">
        <is>
          <t>VEX 文档基本信息表{主键 id、文档名称、文档内容、创建时间、更新时间、是否删除}</t>
        </is>
      </c>
      <c r="Z26" s="90" t="n"/>
      <c r="AA26" s="90" t="n"/>
      <c r="AB26" s="90" t="inlineStr">
        <is>
          <t>弱账号管理表、弱密码管理表、弱口令组合管理表</t>
        </is>
      </c>
      <c r="AC26" s="66" t="n"/>
    </row>
    <row r="27" customFormat="1" s="66">
      <c r="A27" s="72">
        <f>ROW()-1</f>
        <v/>
      </c>
      <c r="B27" s="175" t="n"/>
      <c r="C27" s="80" t="n">
        <v>2025</v>
      </c>
      <c r="D27" s="80" t="inlineStr">
        <is>
          <t>窦鹏岐</t>
        </is>
      </c>
      <c r="E27" s="81">
        <f>VLOOKUP(I27,'25年交付功能（不含废弃）'!A:A,1,FALSE)</f>
        <v/>
      </c>
      <c r="F27" s="175" t="n"/>
      <c r="G27" s="175" t="n"/>
      <c r="H27" s="95" t="inlineStr">
        <is>
          <t>VEX合规性自动化检测</t>
        </is>
      </c>
      <c r="I27" s="81" t="inlineStr">
        <is>
          <t>问题文档拦截</t>
        </is>
      </c>
      <c r="J27" s="98" t="n"/>
      <c r="K27" s="84" t="n"/>
      <c r="L27" s="84" t="inlineStr">
        <is>
          <t>非事务功能</t>
        </is>
      </c>
      <c r="M27" s="85">
        <f>IF(OR(Y27="估算法",Y27="算法类",Y27="无法识别"),"",IF(W27="",IF(OR(J27="EI",J27="EO",J27="EQ"),0,""),LEN(W27)-LEN(SUBSTITUTE(W27,"、",""))+1))</f>
        <v/>
      </c>
      <c r="N27" s="85">
        <f>IF(OR(Y27="估算法",Y27="算法类",Y27="无法识别"),"",IF(X27="",IF(OR(J27="ILF",J27="EIF"),0,""),LEN(X27)-LEN(SUBSTITUTE(X27,"、",""))+1))</f>
        <v/>
      </c>
      <c r="O27" s="85">
        <f>IF(OR(Y27="估算法",Y27="算法类",Y27="无法识别"),"",IF(Y27="",IF(OR(J27="ILF",J27="EIF",J27="EI",J27="EO",J27="EQ"),0,""),LEN(Y27)-LEN(SUBSTITUTE(SUBSTITUTE(SUBSTITUTE(SUBSTITUTE(SUBSTITUTE(Y27,"|}","--"),"{|","--"),CHAR(10),""),"、",""),"|",""))+IF(AND(OR(J27="EI",J27="EO",J27="EQ"),$AE$1="NESMA"),2,1)))</f>
        <v/>
      </c>
      <c r="P27" s="86">
        <f>IF(J27="EI",IF(OR(Y27="估算法",Y27="算法类"),"中",IF(Y27="无法识别","低",IF(M27&lt;2,IF(O27&lt;16,"低","中"),IF(M27&lt;3,IF(O27&lt;5,"低",IF(O27&lt;16,"中","高")),IF(O27&lt;5,"中","高"))))),IF(OR(J27="EO",J27="EQ"),IF(OR(Y27="估算法",Y27="算法类"),"中",IF(Y27="无法识别","低",IF(M27&lt;2,IF(O27&lt;20,"低","中"),IF(M27&lt;4,IF(O27&lt;6,"低",IF(O27&lt;20,"中","高")),IF(O27&lt;6,"中","高"))))),IF(OR(J27="ILF",J27="EIF"),IF(OR(Y27="估算法",Y27="算法类",Y27="无法识别"),"低",IF(N27&lt;2,IF(O27&lt;51,"低","中"),IF(N27&lt;6,IF(O27&lt;20,"低",IF(O27&lt;51,"中","高")),IF(O27&lt;20,"中","高")))),"不计算")))</f>
        <v/>
      </c>
      <c r="Q27" s="172">
        <f>IFERROR(IF(J27="EI",IF(P27="低",3,IF(P27="中",4,6)),IF(J27="EO",IF(P27="低",4,IF(P27="中",5,7)),IF(J27="EQ",IF(P27="低",3,IF(P27="中",4,6)),IF(J27="ILF",IF(P27="低",7,IF(P27="中",10,15)),IF(J27="EIF",IF(P27="低",5,IF(P27="中",7,10)),"不计算")))))*R27,"不计算")</f>
        <v/>
      </c>
      <c r="R27" s="172" t="n">
        <v>1</v>
      </c>
      <c r="S27" s="173">
        <f>调整因子!$F$13</f>
        <v/>
      </c>
      <c r="T27" s="92" t="n">
        <v>1</v>
      </c>
      <c r="U27" s="174">
        <f>IFERROR(Q27*S27,0)</f>
        <v/>
      </c>
      <c r="V27" s="174">
        <f>U27*T27</f>
        <v/>
      </c>
      <c r="W27" s="93" t="inlineStr">
        <is>
          <t>VEX 文档基本信息表、问题文档拦截记录表、VEX 合规性检测结果表</t>
        </is>
      </c>
      <c r="X27" s="98" t="n"/>
      <c r="Y27" s="93" t="inlineStr">
        <is>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is>
      </c>
      <c r="Z27" s="90" t="n"/>
      <c r="AA27" s="90" t="n"/>
      <c r="AB27" s="90" t="inlineStr">
        <is>
          <t>弱账号管理表、弱密码管理表、弱口令组合管理表、弱口令配置表、扫描节点表、扫描器分类表、安全厂商信息</t>
        </is>
      </c>
      <c r="AC27" s="66" t="n"/>
    </row>
    <row r="28" customFormat="1" s="66">
      <c r="A28" s="72">
        <f>ROW()-1</f>
        <v/>
      </c>
      <c r="B28" s="175" t="n"/>
      <c r="C28" s="80" t="n">
        <v>2025</v>
      </c>
      <c r="D28" s="80" t="inlineStr">
        <is>
          <t>窦鹏岐</t>
        </is>
      </c>
      <c r="E28" s="81">
        <f>VLOOKUP(I28,'25年交付功能（不含废弃）'!A:A,1,FALSE)</f>
        <v/>
      </c>
      <c r="F28" s="175" t="n"/>
      <c r="G28" s="175" t="n"/>
      <c r="H28" s="175" t="n"/>
      <c r="I28" s="81" t="inlineStr">
        <is>
          <t>VEX 文档基本信息表</t>
        </is>
      </c>
      <c r="J28" s="98" t="inlineStr">
        <is>
          <t>ILF</t>
        </is>
      </c>
      <c r="K28" s="84" t="n"/>
      <c r="L28" s="84" t="n"/>
      <c r="M28" s="85">
        <f>IF(OR(Y28="估算法",Y28="算法类",Y28="无法识别"),"",IF(W28="",IF(OR(J28="EI",J28="EO",J28="EQ"),0,""),LEN(W28)-LEN(SUBSTITUTE(W28,"、",""))+1))</f>
        <v/>
      </c>
      <c r="N28" s="85">
        <f>IF(OR(Y28="估算法",Y28="算法类",Y28="无法识别"),"",IF(X28="",IF(OR(J28="ILF",J28="EIF"),0,""),LEN(X28)-LEN(SUBSTITUTE(X28,"、",""))+1))</f>
        <v/>
      </c>
      <c r="O28" s="85">
        <f>IF(OR(Y28="估算法",Y28="算法类",Y28="无法识别"),"",IF(Y28="",IF(OR(J28="ILF",J28="EIF",J28="EI",J28="EO",J28="EQ"),0,""),LEN(Y28)-LEN(SUBSTITUTE(SUBSTITUTE(SUBSTITUTE(SUBSTITUTE(SUBSTITUTE(Y28,"|}","--"),"{|","--"),CHAR(10),""),"、",""),"|",""))+IF(AND(OR(J28="EI",J28="EO",J28="EQ"),$AE$1="NESMA"),2,1)))</f>
        <v/>
      </c>
      <c r="P28" s="86">
        <f>IF(J28="EI",IF(OR(Y28="估算法",Y28="算法类"),"中",IF(Y28="无法识别","低",IF(M28&lt;2,IF(O28&lt;16,"低","中"),IF(M28&lt;3,IF(O28&lt;5,"低",IF(O28&lt;16,"中","高")),IF(O28&lt;5,"中","高"))))),IF(OR(J28="EO",J28="EQ"),IF(OR(Y28="估算法",Y28="算法类"),"中",IF(Y28="无法识别","低",IF(M28&lt;2,IF(O28&lt;20,"低","中"),IF(M28&lt;4,IF(O28&lt;6,"低",IF(O28&lt;20,"中","高")),IF(O28&lt;6,"中","高"))))),IF(OR(J28="ILF",J28="EIF"),IF(OR(Y28="估算法",Y28="算法类",Y28="无法识别"),"低",IF(N28&lt;2,IF(O28&lt;51,"低","中"),IF(N28&lt;6,IF(O28&lt;20,"低",IF(O28&lt;51,"中","高")),IF(O28&lt;20,"中","高")))),"不计算")))</f>
        <v/>
      </c>
      <c r="Q28" s="172">
        <f>IFERROR(IF(J28="EI",IF(P28="低",3,IF(P28="中",4,6)),IF(J28="EO",IF(P28="低",4,IF(P28="中",5,7)),IF(J28="EQ",IF(P28="低",3,IF(P28="中",4,6)),IF(J28="ILF",IF(P28="低",7,IF(P28="中",10,15)),IF(J28="EIF",IF(P28="低",5,IF(P28="中",7,10)),"不计算")))))*R28,"不计算")</f>
        <v/>
      </c>
      <c r="R28" s="172" t="n">
        <v>1</v>
      </c>
      <c r="S28" s="173">
        <f>调整因子!$F$13</f>
        <v/>
      </c>
      <c r="T28" s="92" t="n">
        <v>1</v>
      </c>
      <c r="U28" s="174">
        <f>IFERROR(Q28*S28,0)</f>
        <v/>
      </c>
      <c r="V28" s="174">
        <f>U28*T28</f>
        <v/>
      </c>
      <c r="W28" s="98" t="n"/>
      <c r="X28" s="93" t="inlineStr">
        <is>
          <t>VEX 文档基本信息表</t>
        </is>
      </c>
      <c r="Y28" s="93" t="inlineStr">
        <is>
          <t>VEX 文档基本信息表{主键 id、文档名称、文档内容、创建时间、更新时间、是否删除}</t>
        </is>
      </c>
      <c r="Z28" s="90">
        <f>IF(COUNTIFS(W:W,"*"&amp;I28&amp;"*")&gt;0,"存在","不存在")</f>
        <v/>
      </c>
      <c r="AA28" s="90">
        <f>IF(COUNTIFS(AB:AB,"*"&amp;I28&amp;"*")&gt;0,"存在","不存在")</f>
        <v/>
      </c>
      <c r="AB28" s="90" t="inlineStr">
        <is>
          <t>弱账号管理表、弱密码管理表、弱口令组合管理表、弱口令配置表、扫描节点表、扫描器分类表、安全厂商信息</t>
        </is>
      </c>
      <c r="AC28" s="66" t="n"/>
    </row>
    <row r="29" customFormat="1" s="66">
      <c r="A29" s="72">
        <f>ROW()-1</f>
        <v/>
      </c>
      <c r="B29" s="175" t="n"/>
      <c r="C29" s="80" t="n">
        <v>2025</v>
      </c>
      <c r="D29" s="80" t="inlineStr">
        <is>
          <t>窦鹏岐</t>
        </is>
      </c>
      <c r="E29" s="81">
        <f>VLOOKUP(I29,'25年交付功能（不含废弃）'!A:A,1,FALSE)</f>
        <v/>
      </c>
      <c r="F29" s="175" t="n"/>
      <c r="G29" s="175" t="n"/>
      <c r="H29" s="175" t="n"/>
      <c r="I29" s="81" t="inlineStr">
        <is>
          <t>VEX 文档操作日志表</t>
        </is>
      </c>
      <c r="J29" s="98" t="n"/>
      <c r="K29" s="84" t="n"/>
      <c r="L29" s="84" t="inlineStr">
        <is>
          <t>日志表</t>
        </is>
      </c>
      <c r="M29" s="85">
        <f>IF(OR(Y29="估算法",Y29="算法类",Y29="无法识别"),"",IF(W29="",IF(OR(J29="EI",J29="EO",J29="EQ"),0,""),LEN(W29)-LEN(SUBSTITUTE(W29,"、",""))+1))</f>
        <v/>
      </c>
      <c r="N29" s="85">
        <f>IF(OR(Y29="估算法",Y29="算法类",Y29="无法识别"),"",IF(X29="",IF(OR(J29="ILF",J29="EIF"),0,""),LEN(X29)-LEN(SUBSTITUTE(X29,"、",""))+1))</f>
        <v/>
      </c>
      <c r="O29" s="85">
        <f>IF(OR(Y29="估算法",Y29="算法类",Y29="无法识别"),"",IF(Y29="",IF(OR(J29="ILF",J29="EIF",J29="EI",J29="EO",J29="EQ"),0,""),LEN(Y29)-LEN(SUBSTITUTE(SUBSTITUTE(SUBSTITUTE(SUBSTITUTE(SUBSTITUTE(Y29,"|}","--"),"{|","--"),CHAR(10),""),"、",""),"|",""))+IF(AND(OR(J29="EI",J29="EO",J29="EQ"),$AE$1="NESMA"),2,1)))</f>
        <v/>
      </c>
      <c r="P29" s="86">
        <f>IF(J29="EI",IF(OR(Y29="估算法",Y29="算法类"),"中",IF(Y29="无法识别","低",IF(M29&lt;2,IF(O29&lt;16,"低","中"),IF(M29&lt;3,IF(O29&lt;5,"低",IF(O29&lt;16,"中","高")),IF(O29&lt;5,"中","高"))))),IF(OR(J29="EO",J29="EQ"),IF(OR(Y29="估算法",Y29="算法类"),"中",IF(Y29="无法识别","低",IF(M29&lt;2,IF(O29&lt;20,"低","中"),IF(M29&lt;4,IF(O29&lt;6,"低",IF(O29&lt;20,"中","高")),IF(O29&lt;6,"中","高"))))),IF(OR(J29="ILF",J29="EIF"),IF(OR(Y29="估算法",Y29="算法类",Y29="无法识别"),"低",IF(N29&lt;2,IF(O29&lt;51,"低","中"),IF(N29&lt;6,IF(O29&lt;20,"低",IF(O29&lt;51,"中","高")),IF(O29&lt;20,"中","高")))),"不计算")))</f>
        <v/>
      </c>
      <c r="Q29" s="172">
        <f>IFERROR(IF(J29="EI",IF(P29="低",3,IF(P29="中",4,6)),IF(J29="EO",IF(P29="低",4,IF(P29="中",5,7)),IF(J29="EQ",IF(P29="低",3,IF(P29="中",4,6)),IF(J29="ILF",IF(P29="低",7,IF(P29="中",10,15)),IF(J29="EIF",IF(P29="低",5,IF(P29="中",7,10)),"不计算")))))*R29,"不计算")</f>
        <v/>
      </c>
      <c r="R29" s="172" t="n">
        <v>1</v>
      </c>
      <c r="S29" s="173">
        <f>调整因子!$F$13</f>
        <v/>
      </c>
      <c r="T29" s="93" t="n">
        <v>1</v>
      </c>
      <c r="U29" s="174">
        <f>IFERROR(Q29*S29,0)</f>
        <v/>
      </c>
      <c r="V29" s="174">
        <f>U29*T29</f>
        <v/>
      </c>
      <c r="W29" s="98" t="n"/>
      <c r="X29" s="93" t="inlineStr">
        <is>
          <t>VEX 文档操作日志表</t>
        </is>
      </c>
      <c r="Y29" s="93" t="inlineStr">
        <is>
          <t>VEX 文档操作日志表{主键 id、VEX 文档基本信息表主键 id （用于关联对应的文档）、操作类型 （如 “下载”“创建”“删除” 等）、操作时间操作人}</t>
        </is>
      </c>
      <c r="Z29" s="90">
        <f>IF(COUNTIFS(W:W,"*"&amp;I29&amp;"*")&gt;0,"存在","不存在")</f>
        <v/>
      </c>
      <c r="AA29" s="90">
        <f>IF(COUNTIFS(AB:AB,"*"&amp;I29&amp;"*")&gt;0,"存在","不存在")</f>
        <v/>
      </c>
      <c r="AB29" s="90" t="inlineStr">
        <is>
          <t>弱账号管理表、弱密码管理表、弱口令组合管理表、弱口令配置表、扫描节点表、扫描器分类表、安全厂商信息</t>
        </is>
      </c>
      <c r="AC29" s="66" t="n"/>
    </row>
    <row r="30" customFormat="1" s="66">
      <c r="A30" s="72">
        <f>ROW()-1</f>
        <v/>
      </c>
      <c r="B30" s="175" t="n"/>
      <c r="C30" s="80" t="n">
        <v>2025</v>
      </c>
      <c r="D30" s="80" t="inlineStr">
        <is>
          <t>窦鹏岐</t>
        </is>
      </c>
      <c r="E30" s="81">
        <f>VLOOKUP(I30,'25年交付功能（不含废弃）'!A:A,1,FALSE)</f>
        <v/>
      </c>
      <c r="F30" s="175" t="n"/>
      <c r="G30" s="175" t="n"/>
      <c r="H30" s="175" t="n"/>
      <c r="I30" s="81" t="inlineStr">
        <is>
          <t>VEX 文档关联产品表</t>
        </is>
      </c>
      <c r="J30" s="98" t="n"/>
      <c r="K30" s="84" t="n"/>
      <c r="L30" s="84" t="inlineStr">
        <is>
          <t>关联表、中间表</t>
        </is>
      </c>
      <c r="M30" s="85">
        <f>IF(OR(Y30="估算法",Y30="算法类",Y30="无法识别"),"",IF(W30="",IF(OR(J30="EI",J30="EO",J30="EQ"),0,""),LEN(W30)-LEN(SUBSTITUTE(W30,"、",""))+1))</f>
        <v/>
      </c>
      <c r="N30" s="85">
        <f>IF(OR(Y30="估算法",Y30="算法类",Y30="无法识别"),"",IF(X30="",IF(OR(J30="ILF",J30="EIF"),0,""),LEN(X30)-LEN(SUBSTITUTE(X30,"、",""))+1))</f>
        <v/>
      </c>
      <c r="O30" s="85">
        <f>IF(OR(Y30="估算法",Y30="算法类",Y30="无法识别"),"",IF(Y30="",IF(OR(J30="ILF",J30="EIF",J30="EI",J30="EO",J30="EQ"),0,""),LEN(Y30)-LEN(SUBSTITUTE(SUBSTITUTE(SUBSTITUTE(SUBSTITUTE(SUBSTITUTE(Y30,"|}","--"),"{|","--"),CHAR(10),""),"、",""),"|",""))+IF(AND(OR(J30="EI",J30="EO",J30="EQ"),$AE$1="NESMA"),2,1)))</f>
        <v/>
      </c>
      <c r="P30" s="86">
        <f>IF(J30="EI",IF(OR(Y30="估算法",Y30="算法类"),"中",IF(Y30="无法识别","低",IF(M30&lt;2,IF(O30&lt;16,"低","中"),IF(M30&lt;3,IF(O30&lt;5,"低",IF(O30&lt;16,"中","高")),IF(O30&lt;5,"中","高"))))),IF(OR(J30="EO",J30="EQ"),IF(OR(Y30="估算法",Y30="算法类"),"中",IF(Y30="无法识别","低",IF(M30&lt;2,IF(O30&lt;20,"低","中"),IF(M30&lt;4,IF(O30&lt;6,"低",IF(O30&lt;20,"中","高")),IF(O30&lt;6,"中","高"))))),IF(OR(J30="ILF",J30="EIF"),IF(OR(Y30="估算法",Y30="算法类",Y30="无法识别"),"低",IF(N30&lt;2,IF(O30&lt;51,"低","中"),IF(N30&lt;6,IF(O30&lt;20,"低",IF(O30&lt;51,"中","高")),IF(O30&lt;20,"中","高")))),"不计算")))</f>
        <v/>
      </c>
      <c r="Q30" s="172">
        <f>IFERROR(IF(J30="EI",IF(P30="低",3,IF(P30="中",4,6)),IF(J30="EO",IF(P30="低",4,IF(P30="中",5,7)),IF(J30="EQ",IF(P30="低",3,IF(P30="中",4,6)),IF(J30="ILF",IF(P30="低",7,IF(P30="中",10,15)),IF(J30="EIF",IF(P30="低",5,IF(P30="中",7,10)),"不计算")))))*R30,"不计算")</f>
        <v/>
      </c>
      <c r="R30" s="172" t="n">
        <v>1</v>
      </c>
      <c r="S30" s="173">
        <f>调整因子!$F$13</f>
        <v/>
      </c>
      <c r="T30" s="92" t="n">
        <v>1</v>
      </c>
      <c r="U30" s="174">
        <f>IFERROR(Q30*S30,0)</f>
        <v/>
      </c>
      <c r="V30" s="174">
        <f>U30*T30</f>
        <v/>
      </c>
      <c r="W30" s="98" t="n"/>
      <c r="X30" s="93" t="inlineStr">
        <is>
          <t>VEX 文档关联产品表</t>
        </is>
      </c>
      <c r="Y30" s="93" t="inlineStr">
        <is>
          <t>VEX 文档关联产品表{主键 id、VEX 文档基本信息表主键 id （用于关联对应的文档）、产品 id、 关联时间}</t>
        </is>
      </c>
      <c r="Z30" s="90">
        <f>IF(COUNTIFS(W:W,"*"&amp;I30&amp;"*")&gt;0,"存在","不存在")</f>
        <v/>
      </c>
      <c r="AA30" s="90">
        <f>IF(COUNTIFS(AB:AB,"*"&amp;I30&amp;"*")&gt;0,"存在","不存在")</f>
        <v/>
      </c>
      <c r="AB30" s="90" t="inlineStr">
        <is>
          <t>弱账号管理表、弱密码管理表、弱口令组合管理表、弱口令配置表、扫描节点表、扫描器分类表、安全厂商信息</t>
        </is>
      </c>
      <c r="AC30" s="66" t="n"/>
    </row>
    <row r="31" customFormat="1" s="66">
      <c r="A31" s="72">
        <f>ROW()-1</f>
        <v/>
      </c>
      <c r="B31" s="175" t="n"/>
      <c r="C31" s="80" t="n">
        <v>2025</v>
      </c>
      <c r="D31" s="80" t="inlineStr">
        <is>
          <t>窦鹏岐</t>
        </is>
      </c>
      <c r="E31" s="81">
        <f>VLOOKUP(I31,'25年交付功能（不含废弃）'!A:A,1,FALSE)</f>
        <v/>
      </c>
      <c r="F31" s="175" t="n"/>
      <c r="G31" s="175" t="n"/>
      <c r="H31" s="175" t="n"/>
      <c r="I31" s="81" t="inlineStr">
        <is>
          <t>VEX 基础模板信息表</t>
        </is>
      </c>
      <c r="J31" s="98" t="inlineStr">
        <is>
          <t>ILF</t>
        </is>
      </c>
      <c r="K31" s="84" t="n"/>
      <c r="L31" s="84" t="n"/>
      <c r="M31" s="85">
        <f>IF(OR(Y31="估算法",Y31="算法类",Y31="无法识别"),"",IF(W31="",IF(OR(J31="EI",J31="EO",J31="EQ"),0,""),LEN(W31)-LEN(SUBSTITUTE(W31,"、",""))+1))</f>
        <v/>
      </c>
      <c r="N31" s="85">
        <f>IF(OR(Y31="估算法",Y31="算法类",Y31="无法识别"),"",IF(X31="",IF(OR(J31="ILF",J31="EIF"),0,""),LEN(X31)-LEN(SUBSTITUTE(X31,"、",""))+1))</f>
        <v/>
      </c>
      <c r="O31" s="85">
        <f>IF(OR(Y31="估算法",Y31="算法类",Y31="无法识别"),"",IF(Y31="",IF(OR(J31="ILF",J31="EIF",J31="EI",J31="EO",J31="EQ"),0,""),LEN(Y31)-LEN(SUBSTITUTE(SUBSTITUTE(SUBSTITUTE(SUBSTITUTE(SUBSTITUTE(Y31,"|}","--"),"{|","--"),CHAR(10),""),"、",""),"|",""))+IF(AND(OR(J31="EI",J31="EO",J31="EQ"),$AE$1="NESMA"),2,1)))</f>
        <v/>
      </c>
      <c r="P31" s="86">
        <f>IF(J31="EI",IF(OR(Y31="估算法",Y31="算法类"),"中",IF(Y31="无法识别","低",IF(M31&lt;2,IF(O31&lt;16,"低","中"),IF(M31&lt;3,IF(O31&lt;5,"低",IF(O31&lt;16,"中","高")),IF(O31&lt;5,"中","高"))))),IF(OR(J31="EO",J31="EQ"),IF(OR(Y31="估算法",Y31="算法类"),"中",IF(Y31="无法识别","低",IF(M31&lt;2,IF(O31&lt;20,"低","中"),IF(M31&lt;4,IF(O31&lt;6,"低",IF(O31&lt;20,"中","高")),IF(O31&lt;6,"中","高"))))),IF(OR(J31="ILF",J31="EIF"),IF(OR(Y31="估算法",Y31="算法类",Y31="无法识别"),"低",IF(N31&lt;2,IF(O31&lt;51,"低","中"),IF(N31&lt;6,IF(O31&lt;20,"低",IF(O31&lt;51,"中","高")),IF(O31&lt;20,"中","高")))),"不计算")))</f>
        <v/>
      </c>
      <c r="Q31" s="172">
        <f>IFERROR(IF(J31="EI",IF(P31="低",3,IF(P31="中",4,6)),IF(J31="EO",IF(P31="低",4,IF(P31="中",5,7)),IF(J31="EQ",IF(P31="低",3,IF(P31="中",4,6)),IF(J31="ILF",IF(P31="低",7,IF(P31="中",10,15)),IF(J31="EIF",IF(P31="低",5,IF(P31="中",7,10)),"不计算")))))*R31,"不计算")</f>
        <v/>
      </c>
      <c r="R31" s="172" t="n">
        <v>1</v>
      </c>
      <c r="S31" s="173">
        <f>调整因子!$F$13</f>
        <v/>
      </c>
      <c r="T31" s="92" t="n">
        <v>1</v>
      </c>
      <c r="U31" s="174">
        <f>IFERROR(Q31*S31,0)</f>
        <v/>
      </c>
      <c r="V31" s="174">
        <f>U31*T31</f>
        <v/>
      </c>
      <c r="W31" s="98" t="n"/>
      <c r="X31" s="93" t="inlineStr">
        <is>
          <t>VEX 基础模板信息表</t>
        </is>
      </c>
      <c r="Y31" s="93" t="inlineStr">
        <is>
          <t>VEX 基础模板信息表{主键 id 、模板名称、模板内容、创建时间、更新时间、是否删除}</t>
        </is>
      </c>
      <c r="Z31" s="90">
        <f>IF(COUNTIFS(W:W,"*"&amp;I31&amp;"*")&gt;0,"存在","不存在")</f>
        <v/>
      </c>
      <c r="AA31" s="90">
        <f>IF(COUNTIFS(AB:AB,"*"&amp;I31&amp;"*")&gt;0,"存在","不存在")</f>
        <v/>
      </c>
      <c r="AB31" s="90" t="inlineStr">
        <is>
          <t>弱账号管理表、弱密码管理表、弱口令组合管理表、口令字典同步明细记录表</t>
        </is>
      </c>
      <c r="AC31" s="66" t="n"/>
    </row>
    <row r="32" customFormat="1" s="66">
      <c r="A32" s="72">
        <f>ROW()-1</f>
        <v/>
      </c>
      <c r="B32" s="175" t="n"/>
      <c r="C32" s="80" t="n">
        <v>2025</v>
      </c>
      <c r="D32" s="80" t="inlineStr">
        <is>
          <t>窦鹏岐</t>
        </is>
      </c>
      <c r="E32" s="81">
        <f>VLOOKUP(I32,'25年交付功能（不含废弃）'!A:A,1,FALSE)</f>
        <v/>
      </c>
      <c r="F32" s="175" t="n"/>
      <c r="G32" s="175" t="n"/>
      <c r="H32" s="175" t="n"/>
      <c r="I32" s="81" t="inlineStr">
        <is>
          <t>VEX 合规性检测结果表</t>
        </is>
      </c>
      <c r="J32" s="98" t="inlineStr">
        <is>
          <t>ILF</t>
        </is>
      </c>
      <c r="K32" s="84" t="n"/>
      <c r="L32" s="84" t="inlineStr">
        <is>
          <t>数据库表未被本系统所维护</t>
        </is>
      </c>
      <c r="M32" s="85">
        <f>IF(OR(Y32="估算法",Y32="算法类",Y32="无法识别"),"",IF(W32="",IF(OR(J32="EI",J32="EO",J32="EQ"),0,""),LEN(W32)-LEN(SUBSTITUTE(W32,"、",""))+1))</f>
        <v/>
      </c>
      <c r="N32" s="85">
        <f>IF(OR(Y32="估算法",Y32="算法类",Y32="无法识别"),"",IF(X32="",IF(OR(J32="ILF",J32="EIF"),0,""),LEN(X32)-LEN(SUBSTITUTE(X32,"、",""))+1))</f>
        <v/>
      </c>
      <c r="O32" s="85">
        <f>IF(OR(Y32="估算法",Y32="算法类",Y32="无法识别"),"",IF(Y32="",IF(OR(J32="ILF",J32="EIF",J32="EI",J32="EO",J32="EQ"),0,""),LEN(Y32)-LEN(SUBSTITUTE(SUBSTITUTE(SUBSTITUTE(SUBSTITUTE(SUBSTITUTE(Y32,"|}","--"),"{|","--"),CHAR(10),""),"、",""),"|",""))+IF(AND(OR(J32="EI",J32="EO",J32="EQ"),$AE$1="NESMA"),2,1)))</f>
        <v/>
      </c>
      <c r="P32" s="86">
        <f>IF(J32="EI",IF(OR(Y32="估算法",Y32="算法类"),"中",IF(Y32="无法识别","低",IF(M32&lt;2,IF(O32&lt;16,"低","中"),IF(M32&lt;3,IF(O32&lt;5,"低",IF(O32&lt;16,"中","高")),IF(O32&lt;5,"中","高"))))),IF(OR(J32="EO",J32="EQ"),IF(OR(Y32="估算法",Y32="算法类"),"中",IF(Y32="无法识别","低",IF(M32&lt;2,IF(O32&lt;20,"低","中"),IF(M32&lt;4,IF(O32&lt;6,"低",IF(O32&lt;20,"中","高")),IF(O32&lt;6,"中","高"))))),IF(OR(J32="ILF",J32="EIF"),IF(OR(Y32="估算法",Y32="算法类",Y32="无法识别"),"低",IF(N32&lt;2,IF(O32&lt;51,"低","中"),IF(N32&lt;6,IF(O32&lt;20,"低",IF(O32&lt;51,"中","高")),IF(O32&lt;20,"中","高")))),"不计算")))</f>
        <v/>
      </c>
      <c r="Q32" s="172">
        <f>IFERROR(IF(J32="EI",IF(P32="低",3,IF(P32="中",4,6)),IF(J32="EO",IF(P32="低",4,IF(P32="中",5,7)),IF(J32="EQ",IF(P32="低",3,IF(P32="中",4,6)),IF(J32="ILF",IF(P32="低",7,IF(P32="中",10,15)),IF(J32="EIF",IF(P32="低",5,IF(P32="中",7,10)),"不计算")))))*R32,"不计算")</f>
        <v/>
      </c>
      <c r="R32" s="172" t="n">
        <v>0</v>
      </c>
      <c r="S32" s="173">
        <f>调整因子!$F$13</f>
        <v/>
      </c>
      <c r="T32" s="93" t="n">
        <v>1</v>
      </c>
      <c r="U32" s="174">
        <f>IFERROR(Q32*S32,0)</f>
        <v/>
      </c>
      <c r="V32" s="174">
        <f>U32*T32</f>
        <v/>
      </c>
      <c r="W32" s="98" t="n"/>
      <c r="X32" s="93" t="inlineStr">
        <is>
          <t>VEX 合规性检测结果表</t>
        </is>
      </c>
      <c r="Y32" s="93" t="inlineStr">
        <is>
          <t>VEX 合规性检测结果表{主键 id 、VEX 文档基本信息表主键 id （用于关联对应的文档）、合规性检测规则表主键 id （用于关联对应的规则）、检测时间、是否合规、不合规详情}</t>
        </is>
      </c>
      <c r="Z32" s="90">
        <f>IF(COUNTIFS(W:W,"*"&amp;I32&amp;"*")&gt;0,"存在","不存在")</f>
        <v/>
      </c>
      <c r="AA32" s="90">
        <f>IF(COUNTIFS(AB:AB,"*"&amp;I32&amp;"*")&gt;0,"存在","不存在")</f>
        <v/>
      </c>
      <c r="AB32" s="90" t="inlineStr">
        <is>
          <t>产品漏洞预警任务表、产品漏洞表、扫描资产表、资产组件表</t>
        </is>
      </c>
      <c r="AC32" s="66" t="n"/>
    </row>
    <row r="33" customFormat="1" s="66">
      <c r="A33" s="72">
        <f>ROW()-1</f>
        <v/>
      </c>
      <c r="B33" s="175" t="n"/>
      <c r="C33" s="80" t="n">
        <v>2025</v>
      </c>
      <c r="D33" s="80" t="inlineStr">
        <is>
          <t>窦鹏岐</t>
        </is>
      </c>
      <c r="E33" s="81">
        <f>VLOOKUP(I33,'25年交付功能（不含废弃）'!A:A,1,FALSE)</f>
        <v/>
      </c>
      <c r="F33" s="175" t="n"/>
      <c r="G33" s="176" t="n"/>
      <c r="H33" s="176" t="n"/>
      <c r="I33" s="81" t="inlineStr">
        <is>
          <t>问题文档拦截记录表</t>
        </is>
      </c>
      <c r="J33" s="98" t="inlineStr">
        <is>
          <t>ILF</t>
        </is>
      </c>
      <c r="K33" s="84" t="n"/>
      <c r="L33" s="84" t="inlineStr">
        <is>
          <t>数据库表未被本系统所维护</t>
        </is>
      </c>
      <c r="M33" s="85">
        <f>IF(OR(Y33="估算法",Y33="算法类",Y33="无法识别"),"",IF(W33="",IF(OR(J33="EI",J33="EO",J33="EQ"),0,""),LEN(W33)-LEN(SUBSTITUTE(W33,"、",""))+1))</f>
        <v/>
      </c>
      <c r="N33" s="85">
        <f>IF(OR(Y33="估算法",Y33="算法类",Y33="无法识别"),"",IF(X33="",IF(OR(J33="ILF",J33="EIF"),0,""),LEN(X33)-LEN(SUBSTITUTE(X33,"、",""))+1))</f>
        <v/>
      </c>
      <c r="O33" s="85">
        <f>IF(OR(Y33="估算法",Y33="算法类",Y33="无法识别"),"",IF(Y33="",IF(OR(J33="ILF",J33="EIF",J33="EI",J33="EO",J33="EQ"),0,""),LEN(Y33)-LEN(SUBSTITUTE(SUBSTITUTE(SUBSTITUTE(SUBSTITUTE(SUBSTITUTE(Y33,"|}","--"),"{|","--"),CHAR(10),""),"、",""),"|",""))+IF(AND(OR(J33="EI",J33="EO",J33="EQ"),$AE$1="NESMA"),2,1)))</f>
        <v/>
      </c>
      <c r="P33" s="86">
        <f>IF(J33="EI",IF(OR(Y33="估算法",Y33="算法类"),"中",IF(Y33="无法识别","低",IF(M33&lt;2,IF(O33&lt;16,"低","中"),IF(M33&lt;3,IF(O33&lt;5,"低",IF(O33&lt;16,"中","高")),IF(O33&lt;5,"中","高"))))),IF(OR(J33="EO",J33="EQ"),IF(OR(Y33="估算法",Y33="算法类"),"中",IF(Y33="无法识别","低",IF(M33&lt;2,IF(O33&lt;20,"低","中"),IF(M33&lt;4,IF(O33&lt;6,"低",IF(O33&lt;20,"中","高")),IF(O33&lt;6,"中","高"))))),IF(OR(J33="ILF",J33="EIF"),IF(OR(Y33="估算法",Y33="算法类",Y33="无法识别"),"低",IF(N33&lt;2,IF(O33&lt;51,"低","中"),IF(N33&lt;6,IF(O33&lt;20,"低",IF(O33&lt;51,"中","高")),IF(O33&lt;20,"中","高")))),"不计算")))</f>
        <v/>
      </c>
      <c r="Q33" s="172">
        <f>IFERROR(IF(J33="EI",IF(P33="低",3,IF(P33="中",4,6)),IF(J33="EO",IF(P33="低",4,IF(P33="中",5,7)),IF(J33="EQ",IF(P33="低",3,IF(P33="中",4,6)),IF(J33="ILF",IF(P33="低",7,IF(P33="中",10,15)),IF(J33="EIF",IF(P33="低",5,IF(P33="中",7,10)),"不计算")))))*R33,"不计算")</f>
        <v/>
      </c>
      <c r="R33" s="172" t="n">
        <v>0</v>
      </c>
      <c r="S33" s="173">
        <f>调整因子!$F$13</f>
        <v/>
      </c>
      <c r="T33" s="92" t="n">
        <v>1</v>
      </c>
      <c r="U33" s="174">
        <f>IFERROR(Q33*S33,0)</f>
        <v/>
      </c>
      <c r="V33" s="174">
        <f>U33*T33</f>
        <v/>
      </c>
      <c r="W33" s="98" t="n"/>
      <c r="X33" s="93" t="inlineStr">
        <is>
          <t>问题文档拦截记录表</t>
        </is>
      </c>
      <c r="Y33" s="93" t="inlineStr">
        <is>
          <t>问题文档拦截记录表{主键 id 、VEX 文档基本信息表主键 id （用于关联对应的文档）、拦截时间、拦截原因}</t>
        </is>
      </c>
      <c r="Z33" s="90">
        <f>IF(COUNTIFS(W:W,"*"&amp;I33&amp;"*")&gt;0,"存在","不存在")</f>
        <v/>
      </c>
      <c r="AA33" s="90">
        <f>IF(COUNTIFS(AB:AB,"*"&amp;I33&amp;"*")&gt;0,"存在","不存在")</f>
        <v/>
      </c>
      <c r="AB33" s="90" t="inlineStr">
        <is>
          <t>产品漏洞预警任务表、任务实例表</t>
        </is>
      </c>
      <c r="AC33" s="66" t="n"/>
    </row>
    <row r="34" customFormat="1" s="66">
      <c r="A34" s="72">
        <f>ROW()-1</f>
        <v/>
      </c>
      <c r="B34" s="175" t="n"/>
      <c r="C34" s="80" t="n">
        <v>2025</v>
      </c>
      <c r="D34" s="80" t="inlineStr">
        <is>
          <t>蔡云飞</t>
        </is>
      </c>
      <c r="E34" s="81">
        <f>VLOOKUP(I34,'25年交付功能（不含废弃）'!A:A,1,FALSE)</f>
        <v/>
      </c>
      <c r="F34" s="175" t="n"/>
      <c r="G34" s="93" t="inlineStr">
        <is>
          <t>风险组件库管理</t>
        </is>
      </c>
      <c r="H34" s="82" t="inlineStr">
        <is>
          <t>已知风险资产组件管理</t>
        </is>
      </c>
      <c r="I34" s="81" t="inlineStr">
        <is>
          <t>已知风险资产组件查询</t>
        </is>
      </c>
      <c r="J34" s="93" t="inlineStr">
        <is>
          <t>EO</t>
        </is>
      </c>
      <c r="K34" s="84" t="n"/>
      <c r="L34" s="84" t="n"/>
      <c r="M34" s="85">
        <f>IF(OR(Y34="估算法",Y34="算法类",Y34="无法识别"),"",IF(W34="",IF(OR(J34="EI",J34="EO",J34="EQ"),0,""),LEN(W34)-LEN(SUBSTITUTE(W34,"、",""))+1))</f>
        <v/>
      </c>
      <c r="N34" s="85">
        <f>IF(OR(Y34="估算法",Y34="算法类",Y34="无法识别"),"",IF(X34="",IF(OR(J34="ILF",J34="EIF"),0,""),LEN(X34)-LEN(SUBSTITUTE(X34,"、",""))+1))</f>
        <v/>
      </c>
      <c r="O34" s="85">
        <f>IF(OR(Y34="估算法",Y34="算法类",Y34="无法识别"),"",IF(Y34="",IF(OR(J34="ILF",J34="EIF",J34="EI",J34="EO",J34="EQ"),0,""),LEN(Y34)-LEN(SUBSTITUTE(SUBSTITUTE(SUBSTITUTE(SUBSTITUTE(SUBSTITUTE(Y34,"|}","--"),"{|","--"),CHAR(10),""),"、",""),"|",""))+IF(AND(OR(J34="EI",J34="EO",J34="EQ"),$AE$1="NESMA"),2,1)))</f>
        <v/>
      </c>
      <c r="P34" s="86">
        <f>IF(J34="EI",IF(OR(Y34="估算法",Y34="算法类"),"中",IF(Y34="无法识别","低",IF(M34&lt;2,IF(O34&lt;16,"低","中"),IF(M34&lt;3,IF(O34&lt;5,"低",IF(O34&lt;16,"中","高")),IF(O34&lt;5,"中","高"))))),IF(OR(J34="EO",J34="EQ"),IF(OR(Y34="估算法",Y34="算法类"),"中",IF(Y34="无法识别","低",IF(M34&lt;2,IF(O34&lt;20,"低","中"),IF(M34&lt;4,IF(O34&lt;6,"低",IF(O34&lt;20,"中","高")),IF(O34&lt;6,"中","高"))))),IF(OR(J34="ILF",J34="EIF"),IF(OR(Y34="估算法",Y34="算法类",Y34="无法识别"),"低",IF(N34&lt;2,IF(O34&lt;51,"低","中"),IF(N34&lt;6,IF(O34&lt;20,"低",IF(O34&lt;51,"中","高")),IF(O34&lt;20,"中","高")))),"不计算")))</f>
        <v/>
      </c>
      <c r="Q34" s="172">
        <f>IFERROR(IF(J34="EI",IF(P34="低",3,IF(P34="中",4,6)),IF(J34="EO",IF(P34="低",4,IF(P34="中",5,7)),IF(J34="EQ",IF(P34="低",3,IF(P34="中",4,6)),IF(J34="ILF",IF(P34="低",7,IF(P34="中",10,15)),IF(J34="EIF",IF(P34="低",5,IF(P34="中",7,10)),"不计算")))))*R34,"不计算")</f>
        <v/>
      </c>
      <c r="R34" s="172" t="n">
        <v>1</v>
      </c>
      <c r="S34" s="173">
        <f>调整因子!$F$13</f>
        <v/>
      </c>
      <c r="T34" s="92" t="n">
        <v>1</v>
      </c>
      <c r="U34" s="174">
        <f>IFERROR(Q34*S34,0)</f>
        <v/>
      </c>
      <c r="V34" s="174">
        <f>U34*T34</f>
        <v/>
      </c>
      <c r="W34" s="90" t="inlineStr">
        <is>
          <t>资产指纹信息表</t>
        </is>
      </c>
      <c r="X34" s="91" t="n"/>
      <c r="Y34" s="90" t="inlineStr">
        <is>
          <t>资产指纹信息表
{指纹ID、指纹名称、指纹类型、匹配规则、匹配字段、匹配方式、适用协议、适用端口、操作系统类型、厂商、产品、版本、CPE名称、来源类型、来源说明、优先级、适用范围、创建人、创建时间、状态
}</t>
        </is>
      </c>
      <c r="Z34" s="90" t="n"/>
      <c r="AA34" s="90" t="n"/>
      <c r="AB34" s="90" t="inlineStr">
        <is>
          <t>关联分析成功资产表、关联分析失败资产表</t>
        </is>
      </c>
      <c r="AC34" s="66" t="n"/>
    </row>
    <row r="35" customFormat="1" s="66">
      <c r="A35" s="72">
        <f>ROW()-1</f>
        <v/>
      </c>
      <c r="B35" s="175" t="n"/>
      <c r="C35" s="80" t="n">
        <v>2025</v>
      </c>
      <c r="D35" s="80" t="inlineStr">
        <is>
          <t>蔡云飞</t>
        </is>
      </c>
      <c r="E35" s="81">
        <f>VLOOKUP(I35,'25年交付功能（不含废弃）'!A:A,1,FALSE)</f>
        <v/>
      </c>
      <c r="F35" s="175" t="n"/>
      <c r="G35" s="175" t="n"/>
      <c r="H35" s="175" t="n"/>
      <c r="I35" s="81" t="inlineStr">
        <is>
          <t>已知风险资产组件新增</t>
        </is>
      </c>
      <c r="J35" s="93" t="inlineStr">
        <is>
          <t>EI</t>
        </is>
      </c>
      <c r="K35" s="84" t="n"/>
      <c r="L35" s="84" t="n"/>
      <c r="M35" s="85">
        <f>IF(OR(Y35="估算法",Y35="算法类",Y35="无法识别"),"",IF(W35="",IF(OR(J35="EI",J35="EO",J35="EQ"),0,""),LEN(W35)-LEN(SUBSTITUTE(W35,"、",""))+1))</f>
        <v/>
      </c>
      <c r="N35" s="85">
        <f>IF(OR(Y35="估算法",Y35="算法类",Y35="无法识别"),"",IF(X35="",IF(OR(J35="ILF",J35="EIF"),0,""),LEN(X35)-LEN(SUBSTITUTE(X35,"、",""))+1))</f>
        <v/>
      </c>
      <c r="O35" s="85">
        <f>IF(OR(Y35="估算法",Y35="算法类",Y35="无法识别"),"",IF(Y35="",IF(OR(J35="ILF",J35="EIF",J35="EI",J35="EO",J35="EQ"),0,""),LEN(Y35)-LEN(SUBSTITUTE(SUBSTITUTE(SUBSTITUTE(SUBSTITUTE(SUBSTITUTE(Y35,"|}","--"),"{|","--"),CHAR(10),""),"、",""),"|",""))+IF(AND(OR(J35="EI",J35="EO",J35="EQ"),$AE$1="NESMA"),2,1)))</f>
        <v/>
      </c>
      <c r="P35" s="86">
        <f>IF(J35="EI",IF(OR(Y35="估算法",Y35="算法类"),"中",IF(Y35="无法识别","低",IF(M35&lt;2,IF(O35&lt;16,"低","中"),IF(M35&lt;3,IF(O35&lt;5,"低",IF(O35&lt;16,"中","高")),IF(O35&lt;5,"中","高"))))),IF(OR(J35="EO",J35="EQ"),IF(OR(Y35="估算法",Y35="算法类"),"中",IF(Y35="无法识别","低",IF(M35&lt;2,IF(O35&lt;20,"低","中"),IF(M35&lt;4,IF(O35&lt;6,"低",IF(O35&lt;20,"中","高")),IF(O35&lt;6,"中","高"))))),IF(OR(J35="ILF",J35="EIF"),IF(OR(Y35="估算法",Y35="算法类",Y35="无法识别"),"低",IF(N35&lt;2,IF(O35&lt;51,"低","中"),IF(N35&lt;6,IF(O35&lt;20,"低",IF(O35&lt;51,"中","高")),IF(O35&lt;20,"中","高")))),"不计算")))</f>
        <v/>
      </c>
      <c r="Q35" s="172">
        <f>IFERROR(IF(J35="EI",IF(P35="低",3,IF(P35="中",4,6)),IF(J35="EO",IF(P35="低",4,IF(P35="中",5,7)),IF(J35="EQ",IF(P35="低",3,IF(P35="中",4,6)),IF(J35="ILF",IF(P35="低",7,IF(P35="中",10,15)),IF(J35="EIF",IF(P35="低",5,IF(P35="中",7,10)),"不计算")))))*R35,"不计算")</f>
        <v/>
      </c>
      <c r="R35" s="172" t="n">
        <v>1</v>
      </c>
      <c r="S35" s="173">
        <f>调整因子!$F$13</f>
        <v/>
      </c>
      <c r="T35" s="93" t="n">
        <v>1</v>
      </c>
      <c r="U35" s="174">
        <f>IFERROR(Q35*S35,0)</f>
        <v/>
      </c>
      <c r="V35" s="174">
        <f>U35*T35</f>
        <v/>
      </c>
      <c r="W35" s="90" t="inlineStr">
        <is>
          <t>资产指纹信息表</t>
        </is>
      </c>
      <c r="X35" s="91" t="n"/>
      <c r="Y35" s="90" t="inlineStr">
        <is>
          <t>资产指纹信息表
{指纹ID、指纹名称、指纹类型、匹配规则、匹配字段、匹配方式、适用协议、适用端口、操作系统类型、厂商、产品、版本、CPE名称、来源类型、来源说明、优先级、适用范围、创建人、创建时间、状态
}</t>
        </is>
      </c>
      <c r="Z35" s="90" t="n"/>
      <c r="AA35" s="90" t="n"/>
      <c r="AB35" s="90" t="inlineStr">
        <is>
          <t>产品漏洞预警任务历史表</t>
        </is>
      </c>
      <c r="AC35" s="66" t="n"/>
    </row>
    <row r="36" customFormat="1" s="66">
      <c r="A36" s="72">
        <f>ROW()-1</f>
        <v/>
      </c>
      <c r="B36" s="175" t="n"/>
      <c r="C36" s="80" t="n">
        <v>2025</v>
      </c>
      <c r="D36" s="80" t="inlineStr">
        <is>
          <t>蔡云飞</t>
        </is>
      </c>
      <c r="E36" s="81">
        <f>VLOOKUP(I36,'25年交付功能（不含废弃）'!A:A,1,FALSE)</f>
        <v/>
      </c>
      <c r="F36" s="175" t="n"/>
      <c r="G36" s="175" t="n"/>
      <c r="H36" s="175" t="n"/>
      <c r="I36" s="81" t="inlineStr">
        <is>
          <t>已知风险资产组件删除</t>
        </is>
      </c>
      <c r="J36" s="93" t="inlineStr">
        <is>
          <t>EI</t>
        </is>
      </c>
      <c r="K36" s="84" t="n"/>
      <c r="L36" s="84" t="n"/>
      <c r="M36" s="85">
        <f>IF(OR(Y36="估算法",Y36="算法类",Y36="无法识别"),"",IF(W36="",IF(OR(J36="EI",J36="EO",J36="EQ"),0,""),LEN(W36)-LEN(SUBSTITUTE(W36,"、",""))+1))</f>
        <v/>
      </c>
      <c r="N36" s="85">
        <f>IF(OR(Y36="估算法",Y36="算法类",Y36="无法识别"),"",IF(X36="",IF(OR(J36="ILF",J36="EIF"),0,""),LEN(X36)-LEN(SUBSTITUTE(X36,"、",""))+1))</f>
        <v/>
      </c>
      <c r="O36" s="85">
        <f>IF(OR(Y36="估算法",Y36="算法类",Y36="无法识别"),"",IF(Y36="",IF(OR(J36="ILF",J36="EIF",J36="EI",J36="EO",J36="EQ"),0,""),LEN(Y36)-LEN(SUBSTITUTE(SUBSTITUTE(SUBSTITUTE(SUBSTITUTE(SUBSTITUTE(Y36,"|}","--"),"{|","--"),CHAR(10),""),"、",""),"|",""))+IF(AND(OR(J36="EI",J36="EO",J36="EQ"),$AE$1="NESMA"),2,1)))</f>
        <v/>
      </c>
      <c r="P36" s="86">
        <f>IF(J36="EI",IF(OR(Y36="估算法",Y36="算法类"),"中",IF(Y36="无法识别","低",IF(M36&lt;2,IF(O36&lt;16,"低","中"),IF(M36&lt;3,IF(O36&lt;5,"低",IF(O36&lt;16,"中","高")),IF(O36&lt;5,"中","高"))))),IF(OR(J36="EO",J36="EQ"),IF(OR(Y36="估算法",Y36="算法类"),"中",IF(Y36="无法识别","低",IF(M36&lt;2,IF(O36&lt;20,"低","中"),IF(M36&lt;4,IF(O36&lt;6,"低",IF(O36&lt;20,"中","高")),IF(O36&lt;6,"中","高"))))),IF(OR(J36="ILF",J36="EIF"),IF(OR(Y36="估算法",Y36="算法类",Y36="无法识别"),"低",IF(N36&lt;2,IF(O36&lt;51,"低","中"),IF(N36&lt;6,IF(O36&lt;20,"低",IF(O36&lt;51,"中","高")),IF(O36&lt;20,"中","高")))),"不计算")))</f>
        <v/>
      </c>
      <c r="Q36" s="172">
        <f>IFERROR(IF(J36="EI",IF(P36="低",3,IF(P36="中",4,6)),IF(J36="EO",IF(P36="低",4,IF(P36="中",5,7)),IF(J36="EQ",IF(P36="低",3,IF(P36="中",4,6)),IF(J36="ILF",IF(P36="低",7,IF(P36="中",10,15)),IF(J36="EIF",IF(P36="低",5,IF(P36="中",7,10)),"不计算")))))*R36,"不计算")</f>
        <v/>
      </c>
      <c r="R36" s="172" t="n">
        <v>0.333333333333333</v>
      </c>
      <c r="S36" s="173">
        <f>调整因子!$F$13</f>
        <v/>
      </c>
      <c r="T36" s="92" t="n">
        <v>1</v>
      </c>
      <c r="U36" s="174">
        <f>IFERROR(Q36*S36,0)</f>
        <v/>
      </c>
      <c r="V36" s="174">
        <f>U36*T36</f>
        <v/>
      </c>
      <c r="W36" s="90" t="inlineStr">
        <is>
          <t>资产指纹信息表</t>
        </is>
      </c>
      <c r="X36" s="91" t="n"/>
      <c r="Y36" s="90" t="inlineStr">
        <is>
          <t>资产指纹信息表
{指纹ID、指纹名称、指纹类型、匹配规则、匹配字段、匹配方式、适用协议、适用端口、操作系统类型、厂商、产品、版本、CPE名称、来源类型、来源说明、优先级、适用范围、创建人、创建时间、状态
}</t>
        </is>
      </c>
      <c r="Z36" s="90" t="n"/>
      <c r="AA36" s="90" t="n"/>
      <c r="AB36" s="90" t="inlineStr">
        <is>
          <t>函数定义表、函数语言类型表</t>
        </is>
      </c>
      <c r="AC36" s="66" t="n"/>
    </row>
    <row r="37" customFormat="1" s="66">
      <c r="A37" s="72">
        <f>ROW()-1</f>
        <v/>
      </c>
      <c r="B37" s="175" t="n"/>
      <c r="C37" s="80" t="n">
        <v>2025</v>
      </c>
      <c r="D37" s="80" t="inlineStr">
        <is>
          <t>蔡云飞</t>
        </is>
      </c>
      <c r="E37" s="81">
        <f>VLOOKUP(I37,'25年交付功能（不含废弃）'!A:A,1,FALSE)</f>
        <v/>
      </c>
      <c r="F37" s="175" t="n"/>
      <c r="G37" s="175" t="n"/>
      <c r="H37" s="175" t="n"/>
      <c r="I37" s="81" t="inlineStr">
        <is>
          <t>已知风险资产组件修改</t>
        </is>
      </c>
      <c r="J37" s="93" t="inlineStr">
        <is>
          <t>EI</t>
        </is>
      </c>
      <c r="K37" s="84" t="n"/>
      <c r="L37" s="84" t="n"/>
      <c r="M37" s="85">
        <f>IF(OR(Y37="估算法",Y37="算法类",Y37="无法识别"),"",IF(W37="",IF(OR(J37="EI",J37="EO",J37="EQ"),0,""),LEN(W37)-LEN(SUBSTITUTE(W37,"、",""))+1))</f>
        <v/>
      </c>
      <c r="N37" s="85">
        <f>IF(OR(Y37="估算法",Y37="算法类",Y37="无法识别"),"",IF(X37="",IF(OR(J37="ILF",J37="EIF"),0,""),LEN(X37)-LEN(SUBSTITUTE(X37,"、",""))+1))</f>
        <v/>
      </c>
      <c r="O37" s="85">
        <f>IF(OR(Y37="估算法",Y37="算法类",Y37="无法识别"),"",IF(Y37="",IF(OR(J37="ILF",J37="EIF",J37="EI",J37="EO",J37="EQ"),0,""),LEN(Y37)-LEN(SUBSTITUTE(SUBSTITUTE(SUBSTITUTE(SUBSTITUTE(SUBSTITUTE(Y37,"|}","--"),"{|","--"),CHAR(10),""),"、",""),"|",""))+IF(AND(OR(J37="EI",J37="EO",J37="EQ"),$AE$1="NESMA"),2,1)))</f>
        <v/>
      </c>
      <c r="P37" s="86">
        <f>IF(J37="EI",IF(OR(Y37="估算法",Y37="算法类"),"中",IF(Y37="无法识别","低",IF(M37&lt;2,IF(O37&lt;16,"低","中"),IF(M37&lt;3,IF(O37&lt;5,"低",IF(O37&lt;16,"中","高")),IF(O37&lt;5,"中","高"))))),IF(OR(J37="EO",J37="EQ"),IF(OR(Y37="估算法",Y37="算法类"),"中",IF(Y37="无法识别","低",IF(M37&lt;2,IF(O37&lt;20,"低","中"),IF(M37&lt;4,IF(O37&lt;6,"低",IF(O37&lt;20,"中","高")),IF(O37&lt;6,"中","高"))))),IF(OR(J37="ILF",J37="EIF"),IF(OR(Y37="估算法",Y37="算法类",Y37="无法识别"),"低",IF(N37&lt;2,IF(O37&lt;51,"低","中"),IF(N37&lt;6,IF(O37&lt;20,"低",IF(O37&lt;51,"中","高")),IF(O37&lt;20,"中","高")))),"不计算")))</f>
        <v/>
      </c>
      <c r="Q37" s="172">
        <f>IFERROR(IF(J37="EI",IF(P37="低",3,IF(P37="中",4,6)),IF(J37="EO",IF(P37="低",4,IF(P37="中",5,7)),IF(J37="EQ",IF(P37="低",3,IF(P37="中",4,6)),IF(J37="ILF",IF(P37="低",7,IF(P37="中",10,15)),IF(J37="EIF",IF(P37="低",5,IF(P37="中",7,10)),"不计算")))))*R37,"不计算")</f>
        <v/>
      </c>
      <c r="R37" s="172" t="n">
        <v>0.333333333333333</v>
      </c>
      <c r="S37" s="173">
        <f>调整因子!$F$13</f>
        <v/>
      </c>
      <c r="T37" s="92" t="n">
        <v>1</v>
      </c>
      <c r="U37" s="174">
        <f>IFERROR(Q37*S37,0)</f>
        <v/>
      </c>
      <c r="V37" s="174">
        <f>U37*T37</f>
        <v/>
      </c>
      <c r="W37" s="90" t="inlineStr">
        <is>
          <t>资产指纹信息表</t>
        </is>
      </c>
      <c r="X37" s="91" t="n"/>
      <c r="Y37" s="90" t="inlineStr">
        <is>
          <t>资产指纹信息表
{指纹ID、指纹名称、指纹类型、匹配规则、匹配字段、匹配方式、适用协议、适用端口、操作系统类型、厂商、产品、版本、CPE名称、来源类型、来源说明、优先级、适用范围、创建人、创建时间、状态
}</t>
        </is>
      </c>
      <c r="Z37" s="90" t="n"/>
      <c r="AA37" s="90" t="n"/>
      <c r="AB37" s="90" t="inlineStr">
        <is>
          <t>函数语言类型表、函数定义表</t>
        </is>
      </c>
      <c r="AC37" s="66" t="n"/>
    </row>
    <row r="38" customFormat="1" s="66">
      <c r="A38" s="72">
        <f>ROW()-1</f>
        <v/>
      </c>
      <c r="B38" s="175" t="n"/>
      <c r="C38" s="80" t="n">
        <v>2025</v>
      </c>
      <c r="D38" s="80" t="inlineStr">
        <is>
          <t>蔡云飞</t>
        </is>
      </c>
      <c r="E38" s="81">
        <f>VLOOKUP(I38,'25年交付功能（不含废弃）'!A:A,1,FALSE)</f>
        <v/>
      </c>
      <c r="F38" s="175" t="n"/>
      <c r="G38" s="175" t="n"/>
      <c r="H38" s="175" t="n"/>
      <c r="I38" s="98" t="inlineStr">
        <is>
          <t>已知风险资产组件表</t>
        </is>
      </c>
      <c r="J38" s="93" t="n"/>
      <c r="K38" s="84" t="n"/>
      <c r="L38" s="84" t="inlineStr">
        <is>
          <t>数据库表未被本系统所使用</t>
        </is>
      </c>
      <c r="M38" s="85">
        <f>IF(OR(Y38="估算法",Y38="算法类",Y38="无法识别"),"",IF(W38="",IF(OR(J38="EI",J38="EO",J38="EQ"),0,""),LEN(W38)-LEN(SUBSTITUTE(W38,"、",""))+1))</f>
        <v/>
      </c>
      <c r="N38" s="85">
        <f>IF(OR(Y38="估算法",Y38="算法类",Y38="无法识别"),"",IF(X38="",IF(OR(J38="ILF",J38="EIF"),0,""),LEN(X38)-LEN(SUBSTITUTE(X38,"、",""))+1))</f>
        <v/>
      </c>
      <c r="O38" s="85">
        <f>IF(OR(Y38="估算法",Y38="算法类",Y38="无法识别"),"",IF(Y38="",IF(OR(J38="ILF",J38="EIF",J38="EI",J38="EO",J38="EQ"),0,""),LEN(Y38)-LEN(SUBSTITUTE(SUBSTITUTE(SUBSTITUTE(SUBSTITUTE(SUBSTITUTE(Y38,"|}","--"),"{|","--"),CHAR(10),""),"、",""),"|",""))+IF(AND(OR(J38="EI",J38="EO",J38="EQ"),$AE$1="NESMA"),2,1)))</f>
        <v/>
      </c>
      <c r="P38" s="86">
        <f>IF(J38="EI",IF(OR(Y38="估算法",Y38="算法类"),"中",IF(Y38="无法识别","低",IF(M38&lt;2,IF(O38&lt;16,"低","中"),IF(M38&lt;3,IF(O38&lt;5,"低",IF(O38&lt;16,"中","高")),IF(O38&lt;5,"中","高"))))),IF(OR(J38="EO",J38="EQ"),IF(OR(Y38="估算法",Y38="算法类"),"中",IF(Y38="无法识别","低",IF(M38&lt;2,IF(O38&lt;20,"低","中"),IF(M38&lt;4,IF(O38&lt;6,"低",IF(O38&lt;20,"中","高")),IF(O38&lt;6,"中","高"))))),IF(OR(J38="ILF",J38="EIF"),IF(OR(Y38="估算法",Y38="算法类",Y38="无法识别"),"低",IF(N38&lt;2,IF(O38&lt;51,"低","中"),IF(N38&lt;6,IF(O38&lt;20,"低",IF(O38&lt;51,"中","高")),IF(O38&lt;20,"中","高")))),"不计算")))</f>
        <v/>
      </c>
      <c r="Q38" s="172">
        <f>IFERROR(IF(J38="EI",IF(P38="低",3,IF(P38="中",4,6)),IF(J38="EO",IF(P38="低",4,IF(P38="中",5,7)),IF(J38="EQ",IF(P38="低",3,IF(P38="中",4,6)),IF(J38="ILF",IF(P38="低",7,IF(P38="中",10,15)),IF(J38="EIF",IF(P38="低",5,IF(P38="中",7,10)),"不计算")))))*R38,"不计算")</f>
        <v/>
      </c>
      <c r="R38" s="172" t="n">
        <v>1</v>
      </c>
      <c r="S38" s="173">
        <f>调整因子!$F$13</f>
        <v/>
      </c>
      <c r="T38" s="93" t="n">
        <v>1</v>
      </c>
      <c r="U38" s="174">
        <f>IFERROR(Q38*S38,0)</f>
        <v/>
      </c>
      <c r="V38" s="174">
        <f>U38*T38</f>
        <v/>
      </c>
      <c r="W38" s="91" t="n"/>
      <c r="X38" s="90" t="inlineStr">
        <is>
          <t>已知风险资产组件表</t>
        </is>
      </c>
      <c r="Y38" s="90" t="inlineStr">
        <is>
          <t>已知风险资产组件表
{资产ID、资产名称、IP地址、端口、所属系统、所属单位、组件名称、组件版本、CPE名称、风险等级、关联漏洞、识别方式、识别时间、状态、备注}</t>
        </is>
      </c>
      <c r="Z38" s="90">
        <f>IF(COUNTIFS(W:W,"*"&amp;I38&amp;"*")&gt;0,"存在","不存在")</f>
        <v/>
      </c>
      <c r="AA38" s="90">
        <f>IF(COUNTIFS(AB:AB,"*"&amp;I38&amp;"*")&gt;0,"存在","不存在")</f>
        <v/>
      </c>
      <c r="AB38" s="90" t="inlineStr">
        <is>
          <t>函数定义表</t>
        </is>
      </c>
      <c r="AC38" s="66" t="n"/>
    </row>
    <row r="39" customFormat="1" s="66">
      <c r="A39" s="72">
        <f>ROW()-1</f>
        <v/>
      </c>
      <c r="B39" s="175" t="n"/>
      <c r="C39" s="80" t="n">
        <v>2025</v>
      </c>
      <c r="D39" s="80" t="inlineStr">
        <is>
          <t>蔡云飞</t>
        </is>
      </c>
      <c r="E39" s="81">
        <f>VLOOKUP(I39,'25年交付功能（不含废弃）'!A:A,1,FALSE)</f>
        <v/>
      </c>
      <c r="F39" s="175" t="n"/>
      <c r="G39" s="175" t="n"/>
      <c r="H39" s="175" t="n"/>
      <c r="I39" s="98" t="inlineStr">
        <is>
          <t>资产组件操作日志表</t>
        </is>
      </c>
      <c r="J39" s="93" t="inlineStr">
        <is>
          <t>ILF</t>
        </is>
      </c>
      <c r="K39" s="84" t="n"/>
      <c r="L39" s="84" t="inlineStr">
        <is>
          <t>数据库表未被本系统所维护</t>
        </is>
      </c>
      <c r="M39" s="85">
        <f>IF(OR(Y39="估算法",Y39="算法类",Y39="无法识别"),"",IF(W39="",IF(OR(J39="EI",J39="EO",J39="EQ"),0,""),LEN(W39)-LEN(SUBSTITUTE(W39,"、",""))+1))</f>
        <v/>
      </c>
      <c r="N39" s="85">
        <f>IF(OR(Y39="估算法",Y39="算法类",Y39="无法识别"),"",IF(X39="",IF(OR(J39="ILF",J39="EIF"),0,""),LEN(X39)-LEN(SUBSTITUTE(X39,"、",""))+1))</f>
        <v/>
      </c>
      <c r="O39" s="85">
        <f>IF(OR(Y39="估算法",Y39="算法类",Y39="无法识别"),"",IF(Y39="",IF(OR(J39="ILF",J39="EIF",J39="EI",J39="EO",J39="EQ"),0,""),LEN(Y39)-LEN(SUBSTITUTE(SUBSTITUTE(SUBSTITUTE(SUBSTITUTE(SUBSTITUTE(Y39,"|}","--"),"{|","--"),CHAR(10),""),"、",""),"|",""))+IF(AND(OR(J39="EI",J39="EO",J39="EQ"),$AE$1="NESMA"),2,1)))</f>
        <v/>
      </c>
      <c r="P39" s="86">
        <f>IF(J39="EI",IF(OR(Y39="估算法",Y39="算法类"),"中",IF(Y39="无法识别","低",IF(M39&lt;2,IF(O39&lt;16,"低","中"),IF(M39&lt;3,IF(O39&lt;5,"低",IF(O39&lt;16,"中","高")),IF(O39&lt;5,"中","高"))))),IF(OR(J39="EO",J39="EQ"),IF(OR(Y39="估算法",Y39="算法类"),"中",IF(Y39="无法识别","低",IF(M39&lt;2,IF(O39&lt;20,"低","中"),IF(M39&lt;4,IF(O39&lt;6,"低",IF(O39&lt;20,"中","高")),IF(O39&lt;6,"中","高"))))),IF(OR(J39="ILF",J39="EIF"),IF(OR(Y39="估算法",Y39="算法类",Y39="无法识别"),"低",IF(N39&lt;2,IF(O39&lt;51,"低","中"),IF(N39&lt;6,IF(O39&lt;20,"低",IF(O39&lt;51,"中","高")),IF(O39&lt;20,"中","高")))),"不计算")))</f>
        <v/>
      </c>
      <c r="Q39" s="172">
        <f>IFERROR(IF(J39="EI",IF(P39="低",3,IF(P39="中",4,6)),IF(J39="EO",IF(P39="低",4,IF(P39="中",5,7)),IF(J39="EQ",IF(P39="低",3,IF(P39="中",4,6)),IF(J39="ILF",IF(P39="低",7,IF(P39="中",10,15)),IF(J39="EIF",IF(P39="低",5,IF(P39="中",7,10)),"不计算")))))*R39,"不计算")</f>
        <v/>
      </c>
      <c r="R39" s="172" t="n">
        <v>0</v>
      </c>
      <c r="S39" s="173">
        <f>调整因子!$F$13</f>
        <v/>
      </c>
      <c r="T39" s="92" t="n">
        <v>1</v>
      </c>
      <c r="U39" s="174">
        <f>IFERROR(Q39*S39,0)</f>
        <v/>
      </c>
      <c r="V39" s="174">
        <f>U39*T39</f>
        <v/>
      </c>
      <c r="W39" s="91" t="n"/>
      <c r="X39" s="90" t="inlineStr">
        <is>
          <t>资产组件操作日志表</t>
        </is>
      </c>
      <c r="Y39" s="90" t="inlineStr">
        <is>
          <t>资产组件操作日志表
{日志ID、操作类型、操作人、操作时间、目标资产ID、变更内容、操作来源、IP地址}</t>
        </is>
      </c>
      <c r="Z39" s="90">
        <f>IF(COUNTIFS(W:W,"*"&amp;I39&amp;"*")&gt;0,"存在","不存在")</f>
        <v/>
      </c>
      <c r="AA39" s="90">
        <f>IF(COUNTIFS(AB:AB,"*"&amp;I39&amp;"*")&gt;0,"存在","不存在")</f>
        <v/>
      </c>
      <c r="AB39" s="90" t="inlineStr">
        <is>
          <t>纠偏运算符表</t>
        </is>
      </c>
      <c r="AC39" s="66" t="n"/>
    </row>
    <row r="40" customFormat="1" s="66">
      <c r="A40" s="72">
        <f>ROW()-1</f>
        <v/>
      </c>
      <c r="B40" s="175" t="n"/>
      <c r="C40" s="80" t="n">
        <v>2025</v>
      </c>
      <c r="D40" s="80" t="inlineStr">
        <is>
          <t>蔡云飞</t>
        </is>
      </c>
      <c r="E40" s="81">
        <f>VLOOKUP(I40,'25年交付功能（不含废弃）'!A:A,1,FALSE)</f>
        <v/>
      </c>
      <c r="F40" s="175" t="n"/>
      <c r="G40" s="175" t="n"/>
      <c r="H40" s="175" t="n"/>
      <c r="I40" s="98" t="inlineStr">
        <is>
          <t>资产指纹信息表</t>
        </is>
      </c>
      <c r="J40" s="93" t="inlineStr">
        <is>
          <t>ILF</t>
        </is>
      </c>
      <c r="K40" s="84" t="n"/>
      <c r="L40" s="84" t="n"/>
      <c r="M40" s="85">
        <f>IF(OR(Y40="估算法",Y40="算法类",Y40="无法识别"),"",IF(W40="",IF(OR(J40="EI",J40="EO",J40="EQ"),0,""),LEN(W40)-LEN(SUBSTITUTE(W40,"、",""))+1))</f>
        <v/>
      </c>
      <c r="N40" s="85">
        <f>IF(OR(Y40="估算法",Y40="算法类",Y40="无法识别"),"",IF(X40="",IF(OR(J40="ILF",J40="EIF"),0,""),LEN(X40)-LEN(SUBSTITUTE(X40,"、",""))+1))</f>
        <v/>
      </c>
      <c r="O40" s="85">
        <f>IF(OR(Y40="估算法",Y40="算法类",Y40="无法识别"),"",IF(Y40="",IF(OR(J40="ILF",J40="EIF",J40="EI",J40="EO",J40="EQ"),0,""),LEN(Y40)-LEN(SUBSTITUTE(SUBSTITUTE(SUBSTITUTE(SUBSTITUTE(SUBSTITUTE(Y40,"|}","--"),"{|","--"),CHAR(10),""),"、",""),"|",""))+IF(AND(OR(J40="EI",J40="EO",J40="EQ"),$AE$1="NESMA"),2,1)))</f>
        <v/>
      </c>
      <c r="P40" s="86">
        <f>IF(J40="EI",IF(OR(Y40="估算法",Y40="算法类"),"中",IF(Y40="无法识别","低",IF(M40&lt;2,IF(O40&lt;16,"低","中"),IF(M40&lt;3,IF(O40&lt;5,"低",IF(O40&lt;16,"中","高")),IF(O40&lt;5,"中","高"))))),IF(OR(J40="EO",J40="EQ"),IF(OR(Y40="估算法",Y40="算法类"),"中",IF(Y40="无法识别","低",IF(M40&lt;2,IF(O40&lt;20,"低","中"),IF(M40&lt;4,IF(O40&lt;6,"低",IF(O40&lt;20,"中","高")),IF(O40&lt;6,"中","高"))))),IF(OR(J40="ILF",J40="EIF"),IF(OR(Y40="估算法",Y40="算法类",Y40="无法识别"),"低",IF(N40&lt;2,IF(O40&lt;51,"低","中"),IF(N40&lt;6,IF(O40&lt;20,"低",IF(O40&lt;51,"中","高")),IF(O40&lt;20,"中","高")))),"不计算")))</f>
        <v/>
      </c>
      <c r="Q40" s="172">
        <f>IFERROR(IF(J40="EI",IF(P40="低",3,IF(P40="中",4,6)),IF(J40="EO",IF(P40="低",4,IF(P40="中",5,7)),IF(J40="EQ",IF(P40="低",3,IF(P40="中",4,6)),IF(J40="ILF",IF(P40="低",7,IF(P40="中",10,15)),IF(J40="EIF",IF(P40="低",5,IF(P40="中",7,10)),"不计算")))))*R40,"不计算")</f>
        <v/>
      </c>
      <c r="R40" s="172" t="n">
        <v>1</v>
      </c>
      <c r="S40" s="173">
        <f>调整因子!$F$13</f>
        <v/>
      </c>
      <c r="T40" s="92" t="n">
        <v>1</v>
      </c>
      <c r="U40" s="174">
        <f>IFERROR(Q40*S40,0)</f>
        <v/>
      </c>
      <c r="V40" s="174">
        <f>U40*T40</f>
        <v/>
      </c>
      <c r="W40" s="91" t="n"/>
      <c r="X40" s="90" t="inlineStr">
        <is>
          <t>资产指纹信息表</t>
        </is>
      </c>
      <c r="Y40" s="90" t="inlineStr">
        <is>
          <t>资产指纹信息表
{指纹ID、指纹名称、匹配规则、适用协议、厂商、产品、版本、CPE名称、创建时间、状态}</t>
        </is>
      </c>
      <c r="Z40" s="90">
        <f>IF(COUNTIFS(W:W,"*"&amp;I40&amp;"*")&gt;0,"存在","不存在")</f>
        <v/>
      </c>
      <c r="AA40" s="90">
        <f>IF(COUNTIFS(AB:AB,"*"&amp;I40&amp;"*")&gt;0,"存在","不存在")</f>
        <v/>
      </c>
      <c r="AB40" s="90" t="inlineStr">
        <is>
          <t>纠偏运算符表</t>
        </is>
      </c>
      <c r="AC40" s="66" t="n"/>
    </row>
    <row r="41" customFormat="1" s="66">
      <c r="A41" s="72">
        <f>ROW()-1</f>
        <v/>
      </c>
      <c r="B41" s="175" t="n"/>
      <c r="C41" s="80" t="n">
        <v>2025</v>
      </c>
      <c r="D41" s="80" t="inlineStr">
        <is>
          <t>蔡云飞</t>
        </is>
      </c>
      <c r="E41" s="81">
        <f>VLOOKUP(I41,'25年交付功能（不含废弃）'!A:A,1,FALSE)</f>
        <v/>
      </c>
      <c r="F41" s="175" t="n"/>
      <c r="G41" s="175" t="n"/>
      <c r="H41" s="175" t="n"/>
      <c r="I41" s="81" t="inlineStr">
        <is>
          <t>CPE标准库表</t>
        </is>
      </c>
      <c r="J41" s="93" t="inlineStr">
        <is>
          <t>ILF</t>
        </is>
      </c>
      <c r="K41" s="84" t="n"/>
      <c r="L41" s="84" t="inlineStr">
        <is>
          <t>数据库表未被本系统所维护</t>
        </is>
      </c>
      <c r="M41" s="85">
        <f>IF(OR(Y41="估算法",Y41="算法类",Y41="无法识别"),"",IF(W41="",IF(OR(J41="EI",J41="EO",J41="EQ"),0,""),LEN(W41)-LEN(SUBSTITUTE(W41,"、",""))+1))</f>
        <v/>
      </c>
      <c r="N41" s="85">
        <f>IF(OR(Y41="估算法",Y41="算法类",Y41="无法识别"),"",IF(X41="",IF(OR(J41="ILF",J41="EIF"),0,""),LEN(X41)-LEN(SUBSTITUTE(X41,"、",""))+1))</f>
        <v/>
      </c>
      <c r="O41" s="85">
        <f>IF(OR(Y41="估算法",Y41="算法类",Y41="无法识别"),"",IF(Y41="",IF(OR(J41="ILF",J41="EIF",J41="EI",J41="EO",J41="EQ"),0,""),LEN(Y41)-LEN(SUBSTITUTE(SUBSTITUTE(SUBSTITUTE(SUBSTITUTE(SUBSTITUTE(Y41,"|}","--"),"{|","--"),CHAR(10),""),"、",""),"|",""))+IF(AND(OR(J41="EI",J41="EO",J41="EQ"),$AE$1="NESMA"),2,1)))</f>
        <v/>
      </c>
      <c r="P41" s="86">
        <f>IF(J41="EI",IF(OR(Y41="估算法",Y41="算法类"),"中",IF(Y41="无法识别","低",IF(M41&lt;2,IF(O41&lt;16,"低","中"),IF(M41&lt;3,IF(O41&lt;5,"低",IF(O41&lt;16,"中","高")),IF(O41&lt;5,"中","高"))))),IF(OR(J41="EO",J41="EQ"),IF(OR(Y41="估算法",Y41="算法类"),"中",IF(Y41="无法识别","低",IF(M41&lt;2,IF(O41&lt;20,"低","中"),IF(M41&lt;4,IF(O41&lt;6,"低",IF(O41&lt;20,"中","高")),IF(O41&lt;6,"中","高"))))),IF(OR(J41="ILF",J41="EIF"),IF(OR(Y41="估算法",Y41="算法类",Y41="无法识别"),"低",IF(N41&lt;2,IF(O41&lt;51,"低","中"),IF(N41&lt;6,IF(O41&lt;20,"低",IF(O41&lt;51,"中","高")),IF(O41&lt;20,"中","高")))),"不计算")))</f>
        <v/>
      </c>
      <c r="Q41" s="172">
        <f>IFERROR(IF(J41="EI",IF(P41="低",3,IF(P41="中",4,6)),IF(J41="EO",IF(P41="低",4,IF(P41="中",5,7)),IF(J41="EQ",IF(P41="低",3,IF(P41="中",4,6)),IF(J41="ILF",IF(P41="低",7,IF(P41="中",10,15)),IF(J41="EIF",IF(P41="低",5,IF(P41="中",7,10)),"不计算")))))*R41,"不计算")</f>
        <v/>
      </c>
      <c r="R41" s="172" t="n">
        <v>0</v>
      </c>
      <c r="S41" s="173">
        <f>调整因子!$F$13</f>
        <v/>
      </c>
      <c r="T41" s="93" t="n">
        <v>1</v>
      </c>
      <c r="U41" s="174">
        <f>IFERROR(Q41*S41,0)</f>
        <v/>
      </c>
      <c r="V41" s="174">
        <f>U41*T41</f>
        <v/>
      </c>
      <c r="W41" s="91" t="n"/>
      <c r="X41" s="90" t="inlineStr">
        <is>
          <t>CPE标准库表</t>
        </is>
      </c>
      <c r="Y41" s="90" t="inlineStr">
        <is>
          <t>CPE标准库表
{CPE ID、CPE URI、厂商、产品名称、版本、CPE类型、语言、平台、收录时间、状态}</t>
        </is>
      </c>
      <c r="Z41" s="90">
        <f>IF(COUNTIFS(W:W,"*"&amp;I41&amp;"*")&gt;0,"存在","不存在")</f>
        <v/>
      </c>
      <c r="AA41" s="90">
        <f>IF(COUNTIFS(AB:AB,"*"&amp;I41&amp;"*")&gt;0,"存在","不存在")</f>
        <v/>
      </c>
      <c r="AB41" s="90" t="inlineStr">
        <is>
          <t>纠偏运算符表</t>
        </is>
      </c>
      <c r="AC41" s="66" t="n"/>
    </row>
    <row r="42" customFormat="1" s="66">
      <c r="A42" s="72">
        <f>ROW()-1</f>
        <v/>
      </c>
      <c r="B42" s="175" t="n"/>
      <c r="C42" s="80" t="n">
        <v>2025</v>
      </c>
      <c r="D42" s="80" t="inlineStr">
        <is>
          <t>蔡云飞</t>
        </is>
      </c>
      <c r="E42" s="81">
        <f>VLOOKUP(I42,'25年交付功能（不含废弃）'!A:A,1,FALSE)</f>
        <v/>
      </c>
      <c r="F42" s="175" t="n"/>
      <c r="G42" s="175" t="n"/>
      <c r="H42" s="175" t="n"/>
      <c r="I42" s="81" t="inlineStr">
        <is>
          <t>VEX文档索引表</t>
        </is>
      </c>
      <c r="J42" s="93" t="inlineStr">
        <is>
          <t>ILF</t>
        </is>
      </c>
      <c r="K42" s="84" t="n"/>
      <c r="L42" s="84" t="inlineStr">
        <is>
          <t>数据库表未被本系统所维护</t>
        </is>
      </c>
      <c r="M42" s="85">
        <f>IF(OR(Y42="估算法",Y42="算法类",Y42="无法识别"),"",IF(W42="",IF(OR(J42="EI",J42="EO",J42="EQ"),0,""),LEN(W42)-LEN(SUBSTITUTE(W42,"、",""))+1))</f>
        <v/>
      </c>
      <c r="N42" s="85">
        <f>IF(OR(Y42="估算法",Y42="算法类",Y42="无法识别"),"",IF(X42="",IF(OR(J42="ILF",J42="EIF"),0,""),LEN(X42)-LEN(SUBSTITUTE(X42,"、",""))+1))</f>
        <v/>
      </c>
      <c r="O42" s="85">
        <f>IF(OR(Y42="估算法",Y42="算法类",Y42="无法识别"),"",IF(Y42="",IF(OR(J42="ILF",J42="EIF",J42="EI",J42="EO",J42="EQ"),0,""),LEN(Y42)-LEN(SUBSTITUTE(SUBSTITUTE(SUBSTITUTE(SUBSTITUTE(SUBSTITUTE(Y42,"|}","--"),"{|","--"),CHAR(10),""),"、",""),"|",""))+IF(AND(OR(J42="EI",J42="EO",J42="EQ"),$AE$1="NESMA"),2,1)))</f>
        <v/>
      </c>
      <c r="P42" s="86">
        <f>IF(J42="EI",IF(OR(Y42="估算法",Y42="算法类"),"中",IF(Y42="无法识别","低",IF(M42&lt;2,IF(O42&lt;16,"低","中"),IF(M42&lt;3,IF(O42&lt;5,"低",IF(O42&lt;16,"中","高")),IF(O42&lt;5,"中","高"))))),IF(OR(J42="EO",J42="EQ"),IF(OR(Y42="估算法",Y42="算法类"),"中",IF(Y42="无法识别","低",IF(M42&lt;2,IF(O42&lt;20,"低","中"),IF(M42&lt;4,IF(O42&lt;6,"低",IF(O42&lt;20,"中","高")),IF(O42&lt;6,"中","高"))))),IF(OR(J42="ILF",J42="EIF"),IF(OR(Y42="估算法",Y42="算法类",Y42="无法识别"),"低",IF(N42&lt;2,IF(O42&lt;51,"低","中"),IF(N42&lt;6,IF(O42&lt;20,"低",IF(O42&lt;51,"中","高")),IF(O42&lt;20,"中","高")))),"不计算")))</f>
        <v/>
      </c>
      <c r="Q42" s="172">
        <f>IFERROR(IF(J42="EI",IF(P42="低",3,IF(P42="中",4,6)),IF(J42="EO",IF(P42="低",4,IF(P42="中",5,7)),IF(J42="EQ",IF(P42="低",3,IF(P42="中",4,6)),IF(J42="ILF",IF(P42="低",7,IF(P42="中",10,15)),IF(J42="EIF",IF(P42="低",5,IF(P42="中",7,10)),"不计算")))))*R42,"不计算")</f>
        <v/>
      </c>
      <c r="R42" s="172" t="n">
        <v>0</v>
      </c>
      <c r="S42" s="173">
        <f>调整因子!$F$13</f>
        <v/>
      </c>
      <c r="T42" s="92" t="n">
        <v>1</v>
      </c>
      <c r="U42" s="174">
        <f>IFERROR(Q42*S42,0)</f>
        <v/>
      </c>
      <c r="V42" s="174">
        <f>U42*T42</f>
        <v/>
      </c>
      <c r="W42" s="91" t="n"/>
      <c r="X42" s="90" t="inlineStr">
        <is>
          <t>整理VEX文档索引表</t>
        </is>
      </c>
      <c r="Y42" s="90" t="inlineStr">
        <is>
          <t>VEX文档索引表
{文档ID、文档名称、CISA编号、文档类型、适用产品、适用版本、状态说明、处理建议、发布时间、整理时间、状态}</t>
        </is>
      </c>
      <c r="Z42" s="90">
        <f>IF(COUNTIFS(W:W,"*"&amp;I42&amp;"*")&gt;0,"存在","不存在")</f>
        <v/>
      </c>
      <c r="AA42" s="90">
        <f>IF(COUNTIFS(AB:AB,"*"&amp;I42&amp;"*")&gt;0,"存在","不存在")</f>
        <v/>
      </c>
      <c r="AB42" s="90" t="inlineStr">
        <is>
          <t>资产类型对齐规则表</t>
        </is>
      </c>
      <c r="AC42" s="66" t="n"/>
    </row>
    <row r="43" customFormat="1" s="66">
      <c r="A43" s="72">
        <f>ROW()-1</f>
        <v/>
      </c>
      <c r="B43" s="175" t="n"/>
      <c r="C43" s="80" t="n">
        <v>2025</v>
      </c>
      <c r="D43" s="80" t="inlineStr">
        <is>
          <t>蔡云飞</t>
        </is>
      </c>
      <c r="E43" s="81">
        <f>VLOOKUP(I43,'25年交付功能（不含废弃）'!A:A,1,FALSE)</f>
        <v/>
      </c>
      <c r="F43" s="175" t="n"/>
      <c r="G43" s="175" t="n"/>
      <c r="H43" s="176" t="n"/>
      <c r="I43" s="98" t="inlineStr">
        <is>
          <t>整理资产指纹、CPE库、VEX文档数据(查询)</t>
        </is>
      </c>
      <c r="J43" s="93" t="inlineStr">
        <is>
          <t>EQ</t>
        </is>
      </c>
      <c r="K43" s="84" t="n"/>
      <c r="L43" s="84" t="n"/>
      <c r="M43" s="85">
        <f>IF(OR(Y43="估算法",Y43="算法类",Y43="无法识别"),"",IF(W43="",IF(OR(J43="EI",J43="EO",J43="EQ"),0,""),LEN(W43)-LEN(SUBSTITUTE(W43,"、",""))+1))</f>
        <v/>
      </c>
      <c r="N43" s="85">
        <f>IF(OR(Y43="估算法",Y43="算法类",Y43="无法识别"),"",IF(X43="",IF(OR(J43="ILF",J43="EIF"),0,""),LEN(X43)-LEN(SUBSTITUTE(X43,"、",""))+1))</f>
        <v/>
      </c>
      <c r="O43" s="85">
        <f>IF(OR(Y43="估算法",Y43="算法类",Y43="无法识别"),"",IF(Y43="",IF(OR(J43="ILF",J43="EIF",J43="EI",J43="EO",J43="EQ"),0,""),LEN(Y43)-LEN(SUBSTITUTE(SUBSTITUTE(SUBSTITUTE(SUBSTITUTE(SUBSTITUTE(Y43,"|}","--"),"{|","--"),CHAR(10),""),"、",""),"|",""))+IF(AND(OR(J43="EI",J43="EO",J43="EQ"),$AE$1="NESMA"),2,1)))</f>
        <v/>
      </c>
      <c r="P43" s="86">
        <f>IF(J43="EI",IF(OR(Y43="估算法",Y43="算法类"),"中",IF(Y43="无法识别","低",IF(M43&lt;2,IF(O43&lt;16,"低","中"),IF(M43&lt;3,IF(O43&lt;5,"低",IF(O43&lt;16,"中","高")),IF(O43&lt;5,"中","高"))))),IF(OR(J43="EO",J43="EQ"),IF(OR(Y43="估算法",Y43="算法类"),"中",IF(Y43="无法识别","低",IF(M43&lt;2,IF(O43&lt;20,"低","中"),IF(M43&lt;4,IF(O43&lt;6,"低",IF(O43&lt;20,"中","高")),IF(O43&lt;6,"中","高"))))),IF(OR(J43="ILF",J43="EIF"),IF(OR(Y43="估算法",Y43="算法类",Y43="无法识别"),"低",IF(N43&lt;2,IF(O43&lt;51,"低","中"),IF(N43&lt;6,IF(O43&lt;20,"低",IF(O43&lt;51,"中","高")),IF(O43&lt;20,"中","高")))),"不计算")))</f>
        <v/>
      </c>
      <c r="Q43" s="172">
        <f>IFERROR(IF(J43="EI",IF(P43="低",3,IF(P43="中",4,6)),IF(J43="EO",IF(P43="低",4,IF(P43="中",5,7)),IF(J43="EQ",IF(P43="低",3,IF(P43="中",4,6)),IF(J43="ILF",IF(P43="低",7,IF(P43="中",10,15)),IF(J43="EIF",IF(P43="低",5,IF(P43="中",7,10)),"不计算")))))*R43,"不计算")</f>
        <v/>
      </c>
      <c r="R43" s="172" t="n">
        <v>1</v>
      </c>
      <c r="S43" s="173">
        <f>调整因子!$F$13</f>
        <v/>
      </c>
      <c r="T43" s="92" t="n">
        <v>1</v>
      </c>
      <c r="U43" s="174">
        <f>IFERROR(Q43*S43,0)</f>
        <v/>
      </c>
      <c r="V43" s="174">
        <f>U43*T43</f>
        <v/>
      </c>
      <c r="W43" s="90" t="inlineStr">
        <is>
          <t>资产组件操作日志表,CPE标准库表,整理VEX文档索引表</t>
        </is>
      </c>
      <c r="X43" s="91" t="n"/>
      <c r="Y43" s="90" t="inlineStr">
        <is>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is>
      </c>
      <c r="Z43" s="90" t="n"/>
      <c r="AA43" s="90" t="n"/>
      <c r="AB43" s="90" t="inlineStr">
        <is>
          <t>资产类型对齐规则表</t>
        </is>
      </c>
      <c r="AC43" s="66" t="n"/>
    </row>
    <row r="44" customFormat="1" s="66">
      <c r="A44" s="72">
        <f>ROW()-1</f>
        <v/>
      </c>
      <c r="B44" s="175" t="n"/>
      <c r="C44" s="80" t="n">
        <v>2025</v>
      </c>
      <c r="D44" s="80" t="inlineStr">
        <is>
          <t>蔡云飞</t>
        </is>
      </c>
      <c r="E44" s="81">
        <f>VLOOKUP(I44,'25年交付功能（不含废弃）'!A:A,1,FALSE)</f>
        <v/>
      </c>
      <c r="F44" s="175" t="n"/>
      <c r="G44" s="175" t="n"/>
      <c r="H44" s="82" t="inlineStr">
        <is>
          <t>风险资产组件评分</t>
        </is>
      </c>
      <c r="I44" s="81" t="inlineStr">
        <is>
          <t>风险资产组件评分计算</t>
        </is>
      </c>
      <c r="J44" s="93" t="n"/>
      <c r="K44" s="84" t="n"/>
      <c r="L44" s="84" t="inlineStr">
        <is>
          <t>和下行合并，相同数据输入输出</t>
        </is>
      </c>
      <c r="M44" s="85">
        <f>IF(OR(Y44="估算法",Y44="算法类",Y44="无法识别"),"",IF(W44="",IF(OR(J44="EI",J44="EO",J44="EQ"),0,""),LEN(W44)-LEN(SUBSTITUTE(W44,"、",""))+1))</f>
        <v/>
      </c>
      <c r="N44" s="85">
        <f>IF(OR(Y44="估算法",Y44="算法类",Y44="无法识别"),"",IF(X44="",IF(OR(J44="ILF",J44="EIF"),0,""),LEN(X44)-LEN(SUBSTITUTE(X44,"、",""))+1))</f>
        <v/>
      </c>
      <c r="O44" s="85">
        <f>IF(OR(Y44="估算法",Y44="算法类",Y44="无法识别"),"",IF(Y44="",IF(OR(J44="ILF",J44="EIF",J44="EI",J44="EO",J44="EQ"),0,""),LEN(Y44)-LEN(SUBSTITUTE(SUBSTITUTE(SUBSTITUTE(SUBSTITUTE(SUBSTITUTE(Y44,"|}","--"),"{|","--"),CHAR(10),""),"、",""),"|",""))+IF(AND(OR(J44="EI",J44="EO",J44="EQ"),$AE$1="NESMA"),2,1)))</f>
        <v/>
      </c>
      <c r="P44" s="86">
        <f>IF(J44="EI",IF(OR(Y44="估算法",Y44="算法类"),"中",IF(Y44="无法识别","低",IF(M44&lt;2,IF(O44&lt;16,"低","中"),IF(M44&lt;3,IF(O44&lt;5,"低",IF(O44&lt;16,"中","高")),IF(O44&lt;5,"中","高"))))),IF(OR(J44="EO",J44="EQ"),IF(OR(Y44="估算法",Y44="算法类"),"中",IF(Y44="无法识别","低",IF(M44&lt;2,IF(O44&lt;20,"低","中"),IF(M44&lt;4,IF(O44&lt;6,"低",IF(O44&lt;20,"中","高")),IF(O44&lt;6,"中","高"))))),IF(OR(J44="ILF",J44="EIF"),IF(OR(Y44="估算法",Y44="算法类",Y44="无法识别"),"低",IF(N44&lt;2,IF(O44&lt;51,"低","中"),IF(N44&lt;6,IF(O44&lt;20,"低",IF(O44&lt;51,"中","高")),IF(O44&lt;20,"中","高")))),"不计算")))</f>
        <v/>
      </c>
      <c r="Q44" s="172">
        <f>IFERROR(IF(J44="EI",IF(P44="低",3,IF(P44="中",4,6)),IF(J44="EO",IF(P44="低",4,IF(P44="中",5,7)),IF(J44="EQ",IF(P44="低",3,IF(P44="中",4,6)),IF(J44="ILF",IF(P44="低",7,IF(P44="中",10,15)),IF(J44="EIF",IF(P44="低",5,IF(P44="中",7,10)),"不计算")))))*R44,"不计算")</f>
        <v/>
      </c>
      <c r="R44" s="172" t="n">
        <v>1</v>
      </c>
      <c r="S44" s="173">
        <f>调整因子!$F$13</f>
        <v/>
      </c>
      <c r="T44" s="93" t="n">
        <v>1</v>
      </c>
      <c r="U44" s="174">
        <f>IFERROR(Q44*S44,0)</f>
        <v/>
      </c>
      <c r="V44" s="174">
        <f>U44*T44</f>
        <v/>
      </c>
      <c r="W44" s="90" t="inlineStr">
        <is>
          <t>风险资产组件评分表</t>
        </is>
      </c>
      <c r="X44" s="91" t="n"/>
      <c r="Y44" s="90" t="inlineStr">
        <is>
          <t>风险资产组件评分表
{评分ID、资产ID、资产名称、资产IP、组件名称、组件版本、组件类型、CPE名称、所属系统、关联漏洞数、评分值、评分等级、评分方法、评分来源、评分维度、评分时间、评分人、状态、备注、创建时间
}</t>
        </is>
      </c>
      <c r="Z44" s="90" t="n"/>
      <c r="AA44" s="90" t="n"/>
      <c r="AB44" s="90" t="inlineStr">
        <is>
          <t>资产类型对齐规则表</t>
        </is>
      </c>
      <c r="AC44" s="66" t="n"/>
    </row>
    <row r="45" customFormat="1" s="66">
      <c r="A45" s="72">
        <f>ROW()-1</f>
        <v/>
      </c>
      <c r="B45" s="175" t="n"/>
      <c r="C45" s="80" t="n">
        <v>2025</v>
      </c>
      <c r="D45" s="80" t="inlineStr">
        <is>
          <t>蔡云飞</t>
        </is>
      </c>
      <c r="E45" s="81">
        <f>VLOOKUP(I45,'25年交付功能（不含废弃）'!A:A,1,FALSE)</f>
        <v/>
      </c>
      <c r="F45" s="175" t="n"/>
      <c r="G45" s="175" t="n"/>
      <c r="H45" s="175" t="n"/>
      <c r="I45" s="81" t="inlineStr">
        <is>
          <t>风险资产组件评分手动调整</t>
        </is>
      </c>
      <c r="J45" s="93" t="n"/>
      <c r="K45" s="84" t="n"/>
      <c r="L45" s="84" t="inlineStr">
        <is>
          <t>和下行合并，相同数据输入输出</t>
        </is>
      </c>
      <c r="M45" s="85">
        <f>IF(OR(Y45="估算法",Y45="算法类",Y45="无法识别"),"",IF(W45="",IF(OR(J45="EI",J45="EO",J45="EQ"),0,""),LEN(W45)-LEN(SUBSTITUTE(W45,"、",""))+1))</f>
        <v/>
      </c>
      <c r="N45" s="85">
        <f>IF(OR(Y45="估算法",Y45="算法类",Y45="无法识别"),"",IF(X45="",IF(OR(J45="ILF",J45="EIF"),0,""),LEN(X45)-LEN(SUBSTITUTE(X45,"、",""))+1))</f>
        <v/>
      </c>
      <c r="O45" s="85">
        <f>IF(OR(Y45="估算法",Y45="算法类",Y45="无法识别"),"",IF(Y45="",IF(OR(J45="ILF",J45="EIF",J45="EI",J45="EO",J45="EQ"),0,""),LEN(Y45)-LEN(SUBSTITUTE(SUBSTITUTE(SUBSTITUTE(SUBSTITUTE(SUBSTITUTE(Y45,"|}","--"),"{|","--"),CHAR(10),""),"、",""),"|",""))+IF(AND(OR(J45="EI",J45="EO",J45="EQ"),$AE$1="NESMA"),2,1)))</f>
        <v/>
      </c>
      <c r="P45" s="86">
        <f>IF(J45="EI",IF(OR(Y45="估算法",Y45="算法类"),"中",IF(Y45="无法识别","低",IF(M45&lt;2,IF(O45&lt;16,"低","中"),IF(M45&lt;3,IF(O45&lt;5,"低",IF(O45&lt;16,"中","高")),IF(O45&lt;5,"中","高"))))),IF(OR(J45="EO",J45="EQ"),IF(OR(Y45="估算法",Y45="算法类"),"中",IF(Y45="无法识别","低",IF(M45&lt;2,IF(O45&lt;20,"低","中"),IF(M45&lt;4,IF(O45&lt;6,"低",IF(O45&lt;20,"中","高")),IF(O45&lt;6,"中","高"))))),IF(OR(J45="ILF",J45="EIF"),IF(OR(Y45="估算法",Y45="算法类",Y45="无法识别"),"低",IF(N45&lt;2,IF(O45&lt;51,"低","中"),IF(N45&lt;6,IF(O45&lt;20,"低",IF(O45&lt;51,"中","高")),IF(O45&lt;20,"中","高")))),"不计算")))</f>
        <v/>
      </c>
      <c r="Q45" s="172">
        <f>IFERROR(IF(J45="EI",IF(P45="低",3,IF(P45="中",4,6)),IF(J45="EO",IF(P45="低",4,IF(P45="中",5,7)),IF(J45="EQ",IF(P45="低",3,IF(P45="中",4,6)),IF(J45="ILF",IF(P45="低",7,IF(P45="中",10,15)),IF(J45="EIF",IF(P45="低",5,IF(P45="中",7,10)),"不计算")))))*R45,"不计算")</f>
        <v/>
      </c>
      <c r="R45" s="172" t="n">
        <v>1</v>
      </c>
      <c r="S45" s="173">
        <f>调整因子!$F$13</f>
        <v/>
      </c>
      <c r="T45" s="92" t="n">
        <v>1</v>
      </c>
      <c r="U45" s="174">
        <f>IFERROR(Q45*S45,0)</f>
        <v/>
      </c>
      <c r="V45" s="174">
        <f>U45*T45</f>
        <v/>
      </c>
      <c r="W45" s="90" t="inlineStr">
        <is>
          <t>风险资产组件评分表</t>
        </is>
      </c>
      <c r="X45" s="91" t="n"/>
      <c r="Y45" s="90" t="inlineStr">
        <is>
          <t>风险资产组件评分表
{评分ID、资产ID、资产名称、资产IP、组件名称、组件版本、组件类型、CPE名称、所属系统、关联漏洞数、评分值、评分等级、评分方法、评分来源、评分维度、评分时间、评分人、状态、备注、创建时间
}</t>
        </is>
      </c>
      <c r="Z45" s="90" t="n"/>
      <c r="AA45" s="90" t="n"/>
      <c r="AB45" s="90" t="inlineStr">
        <is>
          <t>同源纠偏任务表</t>
        </is>
      </c>
      <c r="AC45" s="66" t="n"/>
    </row>
    <row r="46" customFormat="1" s="66">
      <c r="A46" s="72">
        <f>ROW()-1</f>
        <v/>
      </c>
      <c r="B46" s="175" t="n"/>
      <c r="C46" s="80" t="n">
        <v>2025</v>
      </c>
      <c r="D46" s="80" t="inlineStr">
        <is>
          <t>蔡云飞</t>
        </is>
      </c>
      <c r="E46" s="81">
        <f>VLOOKUP(I46,'25年交付功能（不含废弃）'!A:A,1,FALSE)</f>
        <v/>
      </c>
      <c r="F46" s="175" t="n"/>
      <c r="G46" s="175" t="n"/>
      <c r="H46" s="175" t="n"/>
      <c r="I46" s="81" t="inlineStr">
        <is>
          <t>风险资产组件评分规则配置</t>
        </is>
      </c>
      <c r="J46" s="93" t="inlineStr">
        <is>
          <t>EI</t>
        </is>
      </c>
      <c r="K46" s="84" t="n"/>
      <c r="L46" s="84" t="n"/>
      <c r="M46" s="85">
        <f>IF(OR(Y46="估算法",Y46="算法类",Y46="无法识别"),"",IF(W46="",IF(OR(J46="EI",J46="EO",J46="EQ"),0,""),LEN(W46)-LEN(SUBSTITUTE(W46,"、",""))+1))</f>
        <v/>
      </c>
      <c r="N46" s="85">
        <f>IF(OR(Y46="估算法",Y46="算法类",Y46="无法识别"),"",IF(X46="",IF(OR(J46="ILF",J46="EIF"),0,""),LEN(X46)-LEN(SUBSTITUTE(X46,"、",""))+1))</f>
        <v/>
      </c>
      <c r="O46" s="85">
        <f>IF(OR(Y46="估算法",Y46="算法类",Y46="无法识别"),"",IF(Y46="",IF(OR(J46="ILF",J46="EIF",J46="EI",J46="EO",J46="EQ"),0,""),LEN(Y46)-LEN(SUBSTITUTE(SUBSTITUTE(SUBSTITUTE(SUBSTITUTE(SUBSTITUTE(Y46,"|}","--"),"{|","--"),CHAR(10),""),"、",""),"|",""))+IF(AND(OR(J46="EI",J46="EO",J46="EQ"),$AE$1="NESMA"),2,1)))</f>
        <v/>
      </c>
      <c r="P46" s="86">
        <f>IF(J46="EI",IF(OR(Y46="估算法",Y46="算法类"),"中",IF(Y46="无法识别","低",IF(M46&lt;2,IF(O46&lt;16,"低","中"),IF(M46&lt;3,IF(O46&lt;5,"低",IF(O46&lt;16,"中","高")),IF(O46&lt;5,"中","高"))))),IF(OR(J46="EO",J46="EQ"),IF(OR(Y46="估算法",Y46="算法类"),"中",IF(Y46="无法识别","低",IF(M46&lt;2,IF(O46&lt;20,"低","中"),IF(M46&lt;4,IF(O46&lt;6,"低",IF(O46&lt;20,"中","高")),IF(O46&lt;6,"中","高"))))),IF(OR(J46="ILF",J46="EIF"),IF(OR(Y46="估算法",Y46="算法类",Y46="无法识别"),"低",IF(N46&lt;2,IF(O46&lt;51,"低","中"),IF(N46&lt;6,IF(O46&lt;20,"低",IF(O46&lt;51,"中","高")),IF(O46&lt;20,"中","高")))),"不计算")))</f>
        <v/>
      </c>
      <c r="Q46" s="172">
        <f>IFERROR(IF(J46="EI",IF(P46="低",3,IF(P46="中",4,6)),IF(J46="EO",IF(P46="低",4,IF(P46="中",5,7)),IF(J46="EQ",IF(P46="低",3,IF(P46="中",4,6)),IF(J46="ILF",IF(P46="低",7,IF(P46="中",10,15)),IF(J46="EIF",IF(P46="低",5,IF(P46="中",7,10)),"不计算")))))*R46,"不计算")</f>
        <v/>
      </c>
      <c r="R46" s="172" t="n">
        <v>1</v>
      </c>
      <c r="S46" s="173">
        <f>调整因子!$F$13</f>
        <v/>
      </c>
      <c r="T46" s="92" t="n">
        <v>1</v>
      </c>
      <c r="U46" s="174">
        <f>IFERROR(Q46*S46,0)</f>
        <v/>
      </c>
      <c r="V46" s="174">
        <f>U46*T46</f>
        <v/>
      </c>
      <c r="W46" s="90" t="inlineStr">
        <is>
          <t>风险资产组件评分表</t>
        </is>
      </c>
      <c r="X46" s="91" t="n"/>
      <c r="Y46" s="90" t="inlineStr">
        <is>
          <t>风险资产组件评分表
{评分ID、资产ID、资产名称、资产IP、组件名称、组件版本、组件类型、CPE名称、所属系统、关联漏洞数、评分值、评分等级、评分方法、评分来源、评分维度、评分时间、评分人、状态、备注、创建时间
}</t>
        </is>
      </c>
      <c r="Z46" s="90" t="n"/>
      <c r="AA46" s="90" t="n"/>
      <c r="AB46" s="90" t="inlineStr">
        <is>
          <t>同源纠偏任务表、纠偏结果表</t>
        </is>
      </c>
      <c r="AC46" s="66" t="n"/>
    </row>
    <row r="47" customFormat="1" s="66">
      <c r="A47" s="72">
        <f>ROW()-1</f>
        <v/>
      </c>
      <c r="B47" s="175" t="n"/>
      <c r="C47" s="80" t="n">
        <v>2025</v>
      </c>
      <c r="D47" s="80" t="inlineStr">
        <is>
          <t>蔡云飞</t>
        </is>
      </c>
      <c r="E47" s="81">
        <f>VLOOKUP(I47,'25年交付功能（不含废弃）'!A:A,1,FALSE)</f>
        <v/>
      </c>
      <c r="F47" s="175" t="n"/>
      <c r="G47" s="175" t="n"/>
      <c r="H47" s="175" t="n"/>
      <c r="I47" s="91" t="inlineStr">
        <is>
          <t>风险资产组件评分表</t>
        </is>
      </c>
      <c r="J47" s="93" t="n"/>
      <c r="K47" s="84" t="n"/>
      <c r="L47" s="84" t="inlineStr">
        <is>
          <t>衍生/计算结果表</t>
        </is>
      </c>
      <c r="M47" s="85">
        <f>IF(OR(Y47="估算法",Y47="算法类",Y47="无法识别"),"",IF(W47="",IF(OR(J47="EI",J47="EO",J47="EQ"),0,""),LEN(W47)-LEN(SUBSTITUTE(W47,"、",""))+1))</f>
        <v/>
      </c>
      <c r="N47" s="85">
        <f>IF(OR(Y47="估算法",Y47="算法类",Y47="无法识别"),"",IF(X47="",IF(OR(J47="ILF",J47="EIF"),0,""),LEN(X47)-LEN(SUBSTITUTE(X47,"、",""))+1))</f>
        <v/>
      </c>
      <c r="O47" s="85">
        <f>IF(OR(Y47="估算法",Y47="算法类",Y47="无法识别"),"",IF(Y47="",IF(OR(J47="ILF",J47="EIF",J47="EI",J47="EO",J47="EQ"),0,""),LEN(Y47)-LEN(SUBSTITUTE(SUBSTITUTE(SUBSTITUTE(SUBSTITUTE(SUBSTITUTE(Y47,"|}","--"),"{|","--"),CHAR(10),""),"、",""),"|",""))+IF(AND(OR(J47="EI",J47="EO",J47="EQ"),$AE$1="NESMA"),2,1)))</f>
        <v/>
      </c>
      <c r="P47" s="86">
        <f>IF(J47="EI",IF(OR(Y47="估算法",Y47="算法类"),"中",IF(Y47="无法识别","低",IF(M47&lt;2,IF(O47&lt;16,"低","中"),IF(M47&lt;3,IF(O47&lt;5,"低",IF(O47&lt;16,"中","高")),IF(O47&lt;5,"中","高"))))),IF(OR(J47="EO",J47="EQ"),IF(OR(Y47="估算法",Y47="算法类"),"中",IF(Y47="无法识别","低",IF(M47&lt;2,IF(O47&lt;20,"低","中"),IF(M47&lt;4,IF(O47&lt;6,"低",IF(O47&lt;20,"中","高")),IF(O47&lt;6,"中","高"))))),IF(OR(J47="ILF",J47="EIF"),IF(OR(Y47="估算法",Y47="算法类",Y47="无法识别"),"低",IF(N47&lt;2,IF(O47&lt;51,"低","中"),IF(N47&lt;6,IF(O47&lt;20,"低",IF(O47&lt;51,"中","高")),IF(O47&lt;20,"中","高")))),"不计算")))</f>
        <v/>
      </c>
      <c r="Q47" s="172">
        <f>IFERROR(IF(J47="EI",IF(P47="低",3,IF(P47="中",4,6)),IF(J47="EO",IF(P47="低",4,IF(P47="中",5,7)),IF(J47="EQ",IF(P47="低",3,IF(P47="中",4,6)),IF(J47="ILF",IF(P47="低",7,IF(P47="中",10,15)),IF(J47="EIF",IF(P47="低",5,IF(P47="中",7,10)),"不计算")))))*R47,"不计算")</f>
        <v/>
      </c>
      <c r="R47" s="172" t="n">
        <v>1</v>
      </c>
      <c r="S47" s="173">
        <f>调整因子!$F$13</f>
        <v/>
      </c>
      <c r="T47" s="93" t="n">
        <v>1</v>
      </c>
      <c r="U47" s="174">
        <f>IFERROR(Q47*S47,0)</f>
        <v/>
      </c>
      <c r="V47" s="174">
        <f>U47*T47</f>
        <v/>
      </c>
      <c r="W47" s="91" t="n"/>
      <c r="X47" s="90" t="inlineStr">
        <is>
          <t>风险资产组件评分表</t>
        </is>
      </c>
      <c r="Y47" s="90" t="inlineStr">
        <is>
          <t>风险资产组件评分表
{评分ID、资产ID、组件名称、组件版本、CPE名称、评分值、评分等级、评分时间、评分来源、状态、备注}</t>
        </is>
      </c>
      <c r="Z47" s="90">
        <f>IF(COUNTIFS(W:W,"*"&amp;I47&amp;"*")&gt;0,"存在","不存在")</f>
        <v/>
      </c>
      <c r="AA47" s="90">
        <f>IF(COUNTIFS(AB:AB,"*"&amp;I47&amp;"*")&gt;0,"存在","不存在")</f>
        <v/>
      </c>
      <c r="AB47" s="90" t="inlineStr">
        <is>
          <t>漏洞指纹同步接口文件、漏洞指纹启动或停止记录表</t>
        </is>
      </c>
      <c r="AC47" s="66" t="n"/>
    </row>
    <row r="48" customFormat="1" s="66">
      <c r="A48" s="72">
        <f>ROW()-1</f>
        <v/>
      </c>
      <c r="B48" s="175" t="n"/>
      <c r="C48" s="80" t="n">
        <v>2025</v>
      </c>
      <c r="D48" s="80" t="inlineStr">
        <is>
          <t>蔡云飞</t>
        </is>
      </c>
      <c r="E48" s="81">
        <f>VLOOKUP(I48,'25年交付功能（不含废弃）'!A:A,1,FALSE)</f>
        <v/>
      </c>
      <c r="F48" s="175" t="n"/>
      <c r="G48" s="175" t="n"/>
      <c r="H48" s="175" t="n"/>
      <c r="I48" s="91" t="inlineStr">
        <is>
          <t>风险资产组件评分调整记录表</t>
        </is>
      </c>
      <c r="J48" s="93" t="n"/>
      <c r="K48" s="84" t="n"/>
      <c r="L48" s="84" t="inlineStr">
        <is>
          <t>数据库表未被本系统所使用</t>
        </is>
      </c>
      <c r="M48" s="85">
        <f>IF(OR(Y48="估算法",Y48="算法类",Y48="无法识别"),"",IF(W48="",IF(OR(J48="EI",J48="EO",J48="EQ"),0,""),LEN(W48)-LEN(SUBSTITUTE(W48,"、",""))+1))</f>
        <v/>
      </c>
      <c r="N48" s="85">
        <f>IF(OR(Y48="估算法",Y48="算法类",Y48="无法识别"),"",IF(X48="",IF(OR(J48="ILF",J48="EIF"),0,""),LEN(X48)-LEN(SUBSTITUTE(X48,"、",""))+1))</f>
        <v/>
      </c>
      <c r="O48" s="85">
        <f>IF(OR(Y48="估算法",Y48="算法类",Y48="无法识别"),"",IF(Y48="",IF(OR(J48="ILF",J48="EIF",J48="EI",J48="EO",J48="EQ"),0,""),LEN(Y48)-LEN(SUBSTITUTE(SUBSTITUTE(SUBSTITUTE(SUBSTITUTE(SUBSTITUTE(Y48,"|}","--"),"{|","--"),CHAR(10),""),"、",""),"|",""))+IF(AND(OR(J48="EI",J48="EO",J48="EQ"),$AE$1="NESMA"),2,1)))</f>
        <v/>
      </c>
      <c r="P48" s="86">
        <f>IF(J48="EI",IF(OR(Y48="估算法",Y48="算法类"),"中",IF(Y48="无法识别","低",IF(M48&lt;2,IF(O48&lt;16,"低","中"),IF(M48&lt;3,IF(O48&lt;5,"低",IF(O48&lt;16,"中","高")),IF(O48&lt;5,"中","高"))))),IF(OR(J48="EO",J48="EQ"),IF(OR(Y48="估算法",Y48="算法类"),"中",IF(Y48="无法识别","低",IF(M48&lt;2,IF(O48&lt;20,"低","中"),IF(M48&lt;4,IF(O48&lt;6,"低",IF(O48&lt;20,"中","高")),IF(O48&lt;6,"中","高"))))),IF(OR(J48="ILF",J48="EIF"),IF(OR(Y48="估算法",Y48="算法类",Y48="无法识别"),"低",IF(N48&lt;2,IF(O48&lt;51,"低","中"),IF(N48&lt;6,IF(O48&lt;20,"低",IF(O48&lt;51,"中","高")),IF(O48&lt;20,"中","高")))),"不计算")))</f>
        <v/>
      </c>
      <c r="Q48" s="172">
        <f>IFERROR(IF(J48="EI",IF(P48="低",3,IF(P48="中",4,6)),IF(J48="EO",IF(P48="低",4,IF(P48="中",5,7)),IF(J48="EQ",IF(P48="低",3,IF(P48="中",4,6)),IF(J48="ILF",IF(P48="低",7,IF(P48="中",10,15)),IF(J48="EIF",IF(P48="低",5,IF(P48="中",7,10)),"不计算")))))*R48,"不计算")</f>
        <v/>
      </c>
      <c r="R48" s="172" t="n">
        <v>1</v>
      </c>
      <c r="S48" s="173">
        <f>调整因子!$F$13</f>
        <v/>
      </c>
      <c r="T48" s="92" t="n">
        <v>1</v>
      </c>
      <c r="U48" s="174">
        <f>IFERROR(Q48*S48,0)</f>
        <v/>
      </c>
      <c r="V48" s="174">
        <f>U48*T48</f>
        <v/>
      </c>
      <c r="W48" s="91" t="n"/>
      <c r="X48" s="90" t="inlineStr">
        <is>
          <t>风险资产组件评分调整记录表</t>
        </is>
      </c>
      <c r="Y48" s="90" t="inlineStr">
        <is>
          <t>风险资产组件评分调整记录表
{调整ID、评分ID、资产ID、调整前评分、调整后评分、调整人、调整时间、调整原因、备注}</t>
        </is>
      </c>
      <c r="Z48" s="90">
        <f>IF(COUNTIFS(W:W,"*"&amp;I48&amp;"*")&gt;0,"存在","不存在")</f>
        <v/>
      </c>
      <c r="AA48" s="90">
        <f>IF(COUNTIFS(AB:AB,"*"&amp;I48&amp;"*")&gt;0,"存在","不存在")</f>
        <v/>
      </c>
      <c r="AB48" s="90" t="inlineStr">
        <is>
          <t>漏洞指纹同步配置表、漏洞指纹同步类型表</t>
        </is>
      </c>
      <c r="AC48" s="66" t="n"/>
    </row>
    <row r="49" customFormat="1" s="66">
      <c r="A49" s="72">
        <f>ROW()-1</f>
        <v/>
      </c>
      <c r="B49" s="175" t="n"/>
      <c r="C49" s="80" t="n">
        <v>2025</v>
      </c>
      <c r="D49" s="80" t="inlineStr">
        <is>
          <t>蔡云飞</t>
        </is>
      </c>
      <c r="E49" s="81">
        <f>VLOOKUP(I49,'25年交付功能（不含废弃）'!A:A,1,FALSE)</f>
        <v/>
      </c>
      <c r="F49" s="175" t="n"/>
      <c r="G49" s="176" t="n"/>
      <c r="H49" s="176" t="n"/>
      <c r="I49" s="91" t="inlineStr">
        <is>
          <t>风险资产组件评分规则表</t>
        </is>
      </c>
      <c r="J49" s="93" t="n"/>
      <c r="K49" s="84" t="n"/>
      <c r="L49" s="84" t="inlineStr">
        <is>
          <t>数据库表未被本系统所使用</t>
        </is>
      </c>
      <c r="M49" s="85">
        <f>IF(OR(Y49="估算法",Y49="算法类",Y49="无法识别"),"",IF(W49="",IF(OR(J49="EI",J49="EO",J49="EQ"),0,""),LEN(W49)-LEN(SUBSTITUTE(W49,"、",""))+1))</f>
        <v/>
      </c>
      <c r="N49" s="85">
        <f>IF(OR(Y49="估算法",Y49="算法类",Y49="无法识别"),"",IF(X49="",IF(OR(J49="ILF",J49="EIF"),0,""),LEN(X49)-LEN(SUBSTITUTE(X49,"、",""))+1))</f>
        <v/>
      </c>
      <c r="O49" s="85">
        <f>IF(OR(Y49="估算法",Y49="算法类",Y49="无法识别"),"",IF(Y49="",IF(OR(J49="ILF",J49="EIF",J49="EI",J49="EO",J49="EQ"),0,""),LEN(Y49)-LEN(SUBSTITUTE(SUBSTITUTE(SUBSTITUTE(SUBSTITUTE(SUBSTITUTE(Y49,"|}","--"),"{|","--"),CHAR(10),""),"、",""),"|",""))+IF(AND(OR(J49="EI",J49="EO",J49="EQ"),$AE$1="NESMA"),2,1)))</f>
        <v/>
      </c>
      <c r="P49" s="86">
        <f>IF(J49="EI",IF(OR(Y49="估算法",Y49="算法类"),"中",IF(Y49="无法识别","低",IF(M49&lt;2,IF(O49&lt;16,"低","中"),IF(M49&lt;3,IF(O49&lt;5,"低",IF(O49&lt;16,"中","高")),IF(O49&lt;5,"中","高"))))),IF(OR(J49="EO",J49="EQ"),IF(OR(Y49="估算法",Y49="算法类"),"中",IF(Y49="无法识别","低",IF(M49&lt;2,IF(O49&lt;20,"低","中"),IF(M49&lt;4,IF(O49&lt;6,"低",IF(O49&lt;20,"中","高")),IF(O49&lt;6,"中","高"))))),IF(OR(J49="ILF",J49="EIF"),IF(OR(Y49="估算法",Y49="算法类",Y49="无法识别"),"低",IF(N49&lt;2,IF(O49&lt;51,"低","中"),IF(N49&lt;6,IF(O49&lt;20,"低",IF(O49&lt;51,"中","高")),IF(O49&lt;20,"中","高")))),"不计算")))</f>
        <v/>
      </c>
      <c r="Q49" s="172">
        <f>IFERROR(IF(J49="EI",IF(P49="低",3,IF(P49="中",4,6)),IF(J49="EO",IF(P49="低",4,IF(P49="中",5,7)),IF(J49="EQ",IF(P49="低",3,IF(P49="中",4,6)),IF(J49="ILF",IF(P49="低",7,IF(P49="中",10,15)),IF(J49="EIF",IF(P49="低",5,IF(P49="中",7,10)),"不计算")))))*R49,"不计算")</f>
        <v/>
      </c>
      <c r="R49" s="172" t="n">
        <v>1</v>
      </c>
      <c r="S49" s="173">
        <f>调整因子!$F$13</f>
        <v/>
      </c>
      <c r="T49" s="92" t="n">
        <v>1</v>
      </c>
      <c r="U49" s="174">
        <f>IFERROR(Q49*S49,0)</f>
        <v/>
      </c>
      <c r="V49" s="174">
        <f>U49*T49</f>
        <v/>
      </c>
      <c r="W49" s="91" t="n"/>
      <c r="X49" s="90" t="inlineStr">
        <is>
          <t>风险资产组件评分规则表</t>
        </is>
      </c>
      <c r="Y49" s="90" t="inlineStr">
        <is>
          <t>风险资产组件评分规则表
{规则ID、规则名称、适用范围、计算因子、权重配置、评分算法类型、启用状态、创建人、创建时间、备注}</t>
        </is>
      </c>
      <c r="Z49" s="90">
        <f>IF(COUNTIFS(W:W,"*"&amp;I49&amp;"*")&gt;0,"存在","不存在")</f>
        <v/>
      </c>
      <c r="AA49" s="90">
        <f>IF(COUNTIFS(AB:AB,"*"&amp;I49&amp;"*")&gt;0,"存在","不存在")</f>
        <v/>
      </c>
      <c r="AB49" s="90" t="inlineStr">
        <is>
          <t>漏洞指纹启动或停止记录表</t>
        </is>
      </c>
      <c r="AC49" s="66" t="n"/>
    </row>
    <row r="50" customFormat="1" s="66">
      <c r="A50" s="72">
        <f>ROW()-1</f>
        <v/>
      </c>
      <c r="B50" s="175" t="n"/>
      <c r="C50" s="80" t="n">
        <v>2025</v>
      </c>
      <c r="D50" s="80" t="inlineStr">
        <is>
          <t>仲光华</t>
        </is>
      </c>
      <c r="E50" s="81">
        <f>VLOOKUP(I50,'25年交付功能（不含废弃）'!A:A,1,FALSE)</f>
        <v/>
      </c>
      <c r="F50" s="175" t="n"/>
      <c r="G50" s="93" t="inlineStr">
        <is>
          <t>弱口令字典库管理</t>
        </is>
      </c>
      <c r="H50" s="82" t="inlineStr">
        <is>
          <t>口令字典接收与同步</t>
        </is>
      </c>
      <c r="I50" s="81" t="inlineStr">
        <is>
          <t>接收口令字典</t>
        </is>
      </c>
      <c r="J50" s="93" t="n"/>
      <c r="K50" s="84" t="n"/>
      <c r="L50" s="84" t="inlineStr">
        <is>
          <t>和下行合并，相同数据输入输出</t>
        </is>
      </c>
      <c r="M50" s="85">
        <f>IF(OR(Y50="估算法",Y50="算法类",Y50="无法识别"),"",IF(W50="",IF(OR(J50="EI",J50="EO",J50="EQ"),0,""),LEN(W50)-LEN(SUBSTITUTE(W50,"、",""))+1))</f>
        <v/>
      </c>
      <c r="N50" s="85">
        <f>IF(OR(Y50="估算法",Y50="算法类",Y50="无法识别"),"",IF(X50="",IF(OR(J50="ILF",J50="EIF"),0,""),LEN(X50)-LEN(SUBSTITUTE(X50,"、",""))+1))</f>
        <v/>
      </c>
      <c r="O50" s="85">
        <f>IF(OR(Y50="估算法",Y50="算法类",Y50="无法识别"),"",IF(Y50="",IF(OR(J50="ILF",J50="EIF",J50="EI",J50="EO",J50="EQ"),0,""),LEN(Y50)-LEN(SUBSTITUTE(SUBSTITUTE(SUBSTITUTE(SUBSTITUTE(SUBSTITUTE(Y50,"|}","--"),"{|","--"),CHAR(10),""),"、",""),"|",""))+IF(AND(OR(J50="EI",J50="EO",J50="EQ"),$AE$1="NESMA"),2,1)))</f>
        <v/>
      </c>
      <c r="P50" s="86">
        <f>IF(J50="EI",IF(OR(Y50="估算法",Y50="算法类"),"中",IF(Y50="无法识别","低",IF(M50&lt;2,IF(O50&lt;16,"低","中"),IF(M50&lt;3,IF(O50&lt;5,"低",IF(O50&lt;16,"中","高")),IF(O50&lt;5,"中","高"))))),IF(OR(J50="EO",J50="EQ"),IF(OR(Y50="估算法",Y50="算法类"),"中",IF(Y50="无法识别","低",IF(M50&lt;2,IF(O50&lt;20,"低","中"),IF(M50&lt;4,IF(O50&lt;6,"低",IF(O50&lt;20,"中","高")),IF(O50&lt;6,"中","高"))))),IF(OR(J50="ILF",J50="EIF"),IF(OR(Y50="估算法",Y50="算法类",Y50="无法识别"),"低",IF(N50&lt;2,IF(O50&lt;51,"低","中"),IF(N50&lt;6,IF(O50&lt;20,"低",IF(O50&lt;51,"中","高")),IF(O50&lt;20,"中","高")))),"不计算")))</f>
        <v/>
      </c>
      <c r="Q50" s="172">
        <f>IFERROR(IF(J50="EI",IF(P50="低",3,IF(P50="中",4,6)),IF(J50="EO",IF(P50="低",4,IF(P50="中",5,7)),IF(J50="EQ",IF(P50="低",3,IF(P50="中",4,6)),IF(J50="ILF",IF(P50="低",7,IF(P50="中",10,15)),IF(J50="EIF",IF(P50="低",5,IF(P50="中",7,10)),"不计算")))))*R50,"不计算")</f>
        <v/>
      </c>
      <c r="R50" s="172" t="n">
        <v>1</v>
      </c>
      <c r="S50" s="173">
        <f>调整因子!$F$13</f>
        <v/>
      </c>
      <c r="T50" s="93" t="n">
        <v>1</v>
      </c>
      <c r="U50" s="174">
        <f>IFERROR(Q50*S50,0)</f>
        <v/>
      </c>
      <c r="V50" s="174">
        <f>U50*T50</f>
        <v/>
      </c>
      <c r="W50" s="90" t="inlineStr">
        <is>
          <t>弱账号管理表、弱密码管理表、弱口令组合管理表、口令字典同步明细记录表</t>
        </is>
      </c>
      <c r="X50" s="91" t="n"/>
      <c r="Y5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0" s="90" t="n"/>
      <c r="AA50" s="90" t="n"/>
      <c r="AB50" s="93" t="inlineStr">
        <is>
          <t>VEX 文档上传记录表</t>
        </is>
      </c>
      <c r="AC50" s="66" t="n"/>
    </row>
    <row r="51" customFormat="1" s="66">
      <c r="A51" s="72">
        <f>ROW()-1</f>
        <v/>
      </c>
      <c r="B51" s="175" t="n"/>
      <c r="C51" s="80" t="n">
        <v>2025</v>
      </c>
      <c r="D51" s="80" t="inlineStr">
        <is>
          <t>仲光华</t>
        </is>
      </c>
      <c r="E51" s="81">
        <f>VLOOKUP(I51,'25年交付功能（不含废弃）'!A:A,1,FALSE)</f>
        <v/>
      </c>
      <c r="F51" s="175" t="n"/>
      <c r="G51" s="175" t="n"/>
      <c r="H51" s="175" t="n"/>
      <c r="I51" s="81" t="inlineStr">
        <is>
          <t>同步口令字典</t>
        </is>
      </c>
      <c r="J51" s="93" t="n"/>
      <c r="K51" s="84" t="n"/>
      <c r="L51" s="84" t="inlineStr">
        <is>
          <t>和下行合并，相同数据输入输出</t>
        </is>
      </c>
      <c r="M51" s="85">
        <f>IF(OR(Y51="估算法",Y51="算法类",Y51="无法识别"),"",IF(W51="",IF(OR(J51="EI",J51="EO",J51="EQ"),0,""),LEN(W51)-LEN(SUBSTITUTE(W51,"、",""))+1))</f>
        <v/>
      </c>
      <c r="N51" s="85">
        <f>IF(OR(Y51="估算法",Y51="算法类",Y51="无法识别"),"",IF(X51="",IF(OR(J51="ILF",J51="EIF"),0,""),LEN(X51)-LEN(SUBSTITUTE(X51,"、",""))+1))</f>
        <v/>
      </c>
      <c r="O51" s="85">
        <f>IF(OR(Y51="估算法",Y51="算法类",Y51="无法识别"),"",IF(Y51="",IF(OR(J51="ILF",J51="EIF",J51="EI",J51="EO",J51="EQ"),0,""),LEN(Y51)-LEN(SUBSTITUTE(SUBSTITUTE(SUBSTITUTE(SUBSTITUTE(SUBSTITUTE(Y51,"|}","--"),"{|","--"),CHAR(10),""),"、",""),"|",""))+IF(AND(OR(J51="EI",J51="EO",J51="EQ"),$AE$1="NESMA"),2,1)))</f>
        <v/>
      </c>
      <c r="P51" s="86">
        <f>IF(J51="EI",IF(OR(Y51="估算法",Y51="算法类"),"中",IF(Y51="无法识别","低",IF(M51&lt;2,IF(O51&lt;16,"低","中"),IF(M51&lt;3,IF(O51&lt;5,"低",IF(O51&lt;16,"中","高")),IF(O51&lt;5,"中","高"))))),IF(OR(J51="EO",J51="EQ"),IF(OR(Y51="估算法",Y51="算法类"),"中",IF(Y51="无法识别","低",IF(M51&lt;2,IF(O51&lt;20,"低","中"),IF(M51&lt;4,IF(O51&lt;6,"低",IF(O51&lt;20,"中","高")),IF(O51&lt;6,"中","高"))))),IF(OR(J51="ILF",J51="EIF"),IF(OR(Y51="估算法",Y51="算法类",Y51="无法识别"),"低",IF(N51&lt;2,IF(O51&lt;51,"低","中"),IF(N51&lt;6,IF(O51&lt;20,"低",IF(O51&lt;51,"中","高")),IF(O51&lt;20,"中","高")))),"不计算")))</f>
        <v/>
      </c>
      <c r="Q51" s="172">
        <f>IFERROR(IF(J51="EI",IF(P51="低",3,IF(P51="中",4,6)),IF(J51="EO",IF(P51="低",4,IF(P51="中",5,7)),IF(J51="EQ",IF(P51="低",3,IF(P51="中",4,6)),IF(J51="ILF",IF(P51="低",7,IF(P51="中",10,15)),IF(J51="EIF",IF(P51="低",5,IF(P51="中",7,10)),"不计算")))))*R51,"不计算")</f>
        <v/>
      </c>
      <c r="R51" s="172" t="n">
        <v>1</v>
      </c>
      <c r="S51" s="173">
        <f>调整因子!$F$13</f>
        <v/>
      </c>
      <c r="T51" s="92" t="n">
        <v>1</v>
      </c>
      <c r="U51" s="174">
        <f>IFERROR(Q51*S51,0)</f>
        <v/>
      </c>
      <c r="V51" s="174">
        <f>U51*T51</f>
        <v/>
      </c>
      <c r="W51" s="90" t="inlineStr">
        <is>
          <t>弱账号管理表、弱密码管理表、弱口令组合管理表、口令字典同步明细记录表</t>
        </is>
      </c>
      <c r="X51" s="91" t="n"/>
      <c r="Y5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1" s="90" t="n"/>
      <c r="AA51" s="90" t="n"/>
      <c r="AB51" s="93" t="inlineStr">
        <is>
          <t>VEX 文档接收记录表</t>
        </is>
      </c>
      <c r="AC51" s="66" t="n"/>
    </row>
    <row r="52" customFormat="1" s="66">
      <c r="A52" s="72">
        <f>ROW()-1</f>
        <v/>
      </c>
      <c r="B52" s="175" t="n"/>
      <c r="C52" s="80" t="n">
        <v>2025</v>
      </c>
      <c r="D52" s="80" t="inlineStr">
        <is>
          <t>仲光华</t>
        </is>
      </c>
      <c r="E52" s="81">
        <f>VLOOKUP(I52,'25年交付功能（不含废弃）'!A:A,1,FALSE)</f>
        <v/>
      </c>
      <c r="F52" s="175" t="n"/>
      <c r="G52" s="175" t="n"/>
      <c r="H52" s="175" t="n"/>
      <c r="I52" s="81" t="inlineStr">
        <is>
          <t>口令字典批量同步至扫描器</t>
        </is>
      </c>
      <c r="J52" s="93" t="inlineStr">
        <is>
          <t>EI</t>
        </is>
      </c>
      <c r="K52" s="84" t="n"/>
      <c r="L52" s="84" t="n"/>
      <c r="M52" s="85">
        <f>IF(OR(Y52="估算法",Y52="算法类",Y52="无法识别"),"",IF(W52="",IF(OR(J52="EI",J52="EO",J52="EQ"),0,""),LEN(W52)-LEN(SUBSTITUTE(W52,"、",""))+1))</f>
        <v/>
      </c>
      <c r="N52" s="85">
        <f>IF(OR(Y52="估算法",Y52="算法类",Y52="无法识别"),"",IF(X52="",IF(OR(J52="ILF",J52="EIF"),0,""),LEN(X52)-LEN(SUBSTITUTE(X52,"、",""))+1))</f>
        <v/>
      </c>
      <c r="O52" s="85">
        <f>IF(OR(Y52="估算法",Y52="算法类",Y52="无法识别"),"",IF(Y52="",IF(OR(J52="ILF",J52="EIF",J52="EI",J52="EO",J52="EQ"),0,""),LEN(Y52)-LEN(SUBSTITUTE(SUBSTITUTE(SUBSTITUTE(SUBSTITUTE(SUBSTITUTE(Y52,"|}","--"),"{|","--"),CHAR(10),""),"、",""),"|",""))+IF(AND(OR(J52="EI",J52="EO",J52="EQ"),$AE$1="NESMA"),2,1)))</f>
        <v/>
      </c>
      <c r="P52" s="86">
        <f>IF(J52="EI",IF(OR(Y52="估算法",Y52="算法类"),"中",IF(Y52="无法识别","低",IF(M52&lt;2,IF(O52&lt;16,"低","中"),IF(M52&lt;3,IF(O52&lt;5,"低",IF(O52&lt;16,"中","高")),IF(O52&lt;5,"中","高"))))),IF(OR(J52="EO",J52="EQ"),IF(OR(Y52="估算法",Y52="算法类"),"中",IF(Y52="无法识别","低",IF(M52&lt;2,IF(O52&lt;20,"低","中"),IF(M52&lt;4,IF(O52&lt;6,"低",IF(O52&lt;20,"中","高")),IF(O52&lt;6,"中","高"))))),IF(OR(J52="ILF",J52="EIF"),IF(OR(Y52="估算法",Y52="算法类",Y52="无法识别"),"低",IF(N52&lt;2,IF(O52&lt;51,"低","中"),IF(N52&lt;6,IF(O52&lt;20,"低",IF(O52&lt;51,"中","高")),IF(O52&lt;20,"中","高")))),"不计算")))</f>
        <v/>
      </c>
      <c r="Q52" s="172">
        <f>IFERROR(IF(J52="EI",IF(P52="低",3,IF(P52="中",4,6)),IF(J52="EO",IF(P52="低",4,IF(P52="中",5,7)),IF(J52="EQ",IF(P52="低",3,IF(P52="中",4,6)),IF(J52="ILF",IF(P52="低",7,IF(P52="中",10,15)),IF(J52="EIF",IF(P52="低",5,IF(P52="中",7,10)),"不计算")))))*R52,"不计算")</f>
        <v/>
      </c>
      <c r="R52" s="172" t="n">
        <v>1</v>
      </c>
      <c r="S52" s="173">
        <f>调整因子!$F$13</f>
        <v/>
      </c>
      <c r="T52" s="92" t="n">
        <v>1</v>
      </c>
      <c r="U52" s="174">
        <f>IFERROR(Q52*S52,0)</f>
        <v/>
      </c>
      <c r="V52" s="174">
        <f>U52*T52</f>
        <v/>
      </c>
      <c r="W52" s="90" t="inlineStr">
        <is>
          <t>弱账号管理表、弱密码管理表、弱口令组合管理表、口令字典同步明细记录表</t>
        </is>
      </c>
      <c r="X52" s="91" t="n"/>
      <c r="Y5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2" s="90" t="n"/>
      <c r="AA52" s="90" t="n"/>
      <c r="AB52" s="90" t="inlineStr">
        <is>
          <t>数据一致性审批表</t>
        </is>
      </c>
      <c r="AC52" s="66" t="n"/>
    </row>
    <row r="53" customFormat="1" s="66">
      <c r="A53" s="72">
        <f>ROW()-1</f>
        <v/>
      </c>
      <c r="B53" s="175" t="n"/>
      <c r="C53" s="80" t="n">
        <v>2025</v>
      </c>
      <c r="D53" s="80" t="inlineStr">
        <is>
          <t>仲光华</t>
        </is>
      </c>
      <c r="E53" s="81">
        <f>VLOOKUP(I53,'25年交付功能（不含废弃）'!A:A,1,FALSE)</f>
        <v/>
      </c>
      <c r="F53" s="175" t="n"/>
      <c r="G53" s="175" t="n"/>
      <c r="H53" s="175" t="n"/>
      <c r="I53" s="81" t="inlineStr">
        <is>
          <t>记录口令字典同步历史</t>
        </is>
      </c>
      <c r="J53" s="93" t="n"/>
      <c r="K53" s="84" t="n"/>
      <c r="L53" s="84" t="inlineStr">
        <is>
          <t>和上行合并</t>
        </is>
      </c>
      <c r="M53" s="85">
        <f>IF(OR(Y53="估算法",Y53="算法类",Y53="无法识别"),"",IF(W53="",IF(OR(J53="EI",J53="EO",J53="EQ"),0,""),LEN(W53)-LEN(SUBSTITUTE(W53,"、",""))+1))</f>
        <v/>
      </c>
      <c r="N53" s="85">
        <f>IF(OR(Y53="估算法",Y53="算法类",Y53="无法识别"),"",IF(X53="",IF(OR(J53="ILF",J53="EIF"),0,""),LEN(X53)-LEN(SUBSTITUTE(X53,"、",""))+1))</f>
        <v/>
      </c>
      <c r="O53" s="85">
        <f>IF(OR(Y53="估算法",Y53="算法类",Y53="无法识别"),"",IF(Y53="",IF(OR(J53="ILF",J53="EIF",J53="EI",J53="EO",J53="EQ"),0,""),LEN(Y53)-LEN(SUBSTITUTE(SUBSTITUTE(SUBSTITUTE(SUBSTITUTE(SUBSTITUTE(Y53,"|}","--"),"{|","--"),CHAR(10),""),"、",""),"|",""))+IF(AND(OR(J53="EI",J53="EO",J53="EQ"),$AE$1="NESMA"),2,1)))</f>
        <v/>
      </c>
      <c r="P53" s="86">
        <f>IF(J53="EI",IF(OR(Y53="估算法",Y53="算法类"),"中",IF(Y53="无法识别","低",IF(M53&lt;2,IF(O53&lt;16,"低","中"),IF(M53&lt;3,IF(O53&lt;5,"低",IF(O53&lt;16,"中","高")),IF(O53&lt;5,"中","高"))))),IF(OR(J53="EO",J53="EQ"),IF(OR(Y53="估算法",Y53="算法类"),"中",IF(Y53="无法识别","低",IF(M53&lt;2,IF(O53&lt;20,"低","中"),IF(M53&lt;4,IF(O53&lt;6,"低",IF(O53&lt;20,"中","高")),IF(O53&lt;6,"中","高"))))),IF(OR(J53="ILF",J53="EIF"),IF(OR(Y53="估算法",Y53="算法类",Y53="无法识别"),"低",IF(N53&lt;2,IF(O53&lt;51,"低","中"),IF(N53&lt;6,IF(O53&lt;20,"低",IF(O53&lt;51,"中","高")),IF(O53&lt;20,"中","高")))),"不计算")))</f>
        <v/>
      </c>
      <c r="Q53" s="172">
        <f>IFERROR(IF(J53="EI",IF(P53="低",3,IF(P53="中",4,6)),IF(J53="EO",IF(P53="低",4,IF(P53="中",5,7)),IF(J53="EQ",IF(P53="低",3,IF(P53="中",4,6)),IF(J53="ILF",IF(P53="低",7,IF(P53="中",10,15)),IF(J53="EIF",IF(P53="低",5,IF(P53="中",7,10)),"不计算")))))*R53,"不计算")</f>
        <v/>
      </c>
      <c r="R53" s="172" t="n">
        <v>1</v>
      </c>
      <c r="S53" s="173">
        <f>调整因子!$F$13</f>
        <v/>
      </c>
      <c r="T53" s="93" t="n">
        <v>1</v>
      </c>
      <c r="U53" s="174">
        <f>IFERROR(Q53*S53,0)</f>
        <v/>
      </c>
      <c r="V53" s="174">
        <f>U53*T53</f>
        <v/>
      </c>
      <c r="W53" s="90" t="inlineStr">
        <is>
          <t>弱账号管理表、弱密码管理表、弱口令组合管理表、口令字典同步明细记录表</t>
        </is>
      </c>
      <c r="X53" s="91" t="n"/>
      <c r="Y53"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3" s="90" t="n"/>
      <c r="AA53" s="90" t="n"/>
      <c r="AB53" s="90" t="inlineStr">
        <is>
          <t>数据一致性审批表</t>
        </is>
      </c>
      <c r="AC53" s="66" t="n"/>
    </row>
    <row r="54" customFormat="1" s="66">
      <c r="A54" s="72">
        <f>ROW()-1</f>
        <v/>
      </c>
      <c r="B54" s="175" t="n"/>
      <c r="C54" s="80" t="n">
        <v>2025</v>
      </c>
      <c r="D54" s="80" t="inlineStr">
        <is>
          <t>仲光华</t>
        </is>
      </c>
      <c r="E54" s="81">
        <f>VLOOKUP(I54,'25年交付功能（不含废弃）'!A:A,1,FALSE)</f>
        <v/>
      </c>
      <c r="F54" s="175" t="n"/>
      <c r="G54" s="175" t="n"/>
      <c r="H54" s="176" t="n"/>
      <c r="I54" s="81" t="inlineStr">
        <is>
          <t>查询口令字典同步历史</t>
        </is>
      </c>
      <c r="J54" s="93" t="inlineStr">
        <is>
          <t>EQ</t>
        </is>
      </c>
      <c r="K54" s="84" t="n"/>
      <c r="L54" s="84" t="n"/>
      <c r="M54" s="85">
        <f>IF(OR(Y54="估算法",Y54="算法类",Y54="无法识别"),"",IF(W54="",IF(OR(J54="EI",J54="EO",J54="EQ"),0,""),LEN(W54)-LEN(SUBSTITUTE(W54,"、",""))+1))</f>
        <v/>
      </c>
      <c r="N54" s="85">
        <f>IF(OR(Y54="估算法",Y54="算法类",Y54="无法识别"),"",IF(X54="",IF(OR(J54="ILF",J54="EIF"),0,""),LEN(X54)-LEN(SUBSTITUTE(X54,"、",""))+1))</f>
        <v/>
      </c>
      <c r="O54" s="85">
        <f>IF(OR(Y54="估算法",Y54="算法类",Y54="无法识别"),"",IF(Y54="",IF(OR(J54="ILF",J54="EIF",J54="EI",J54="EO",J54="EQ"),0,""),LEN(Y54)-LEN(SUBSTITUTE(SUBSTITUTE(SUBSTITUTE(SUBSTITUTE(SUBSTITUTE(Y54,"|}","--"),"{|","--"),CHAR(10),""),"、",""),"|",""))+IF(AND(OR(J54="EI",J54="EO",J54="EQ"),$AE$1="NESMA"),2,1)))</f>
        <v/>
      </c>
      <c r="P54" s="86">
        <f>IF(J54="EI",IF(OR(Y54="估算法",Y54="算法类"),"中",IF(Y54="无法识别","低",IF(M54&lt;2,IF(O54&lt;16,"低","中"),IF(M54&lt;3,IF(O54&lt;5,"低",IF(O54&lt;16,"中","高")),IF(O54&lt;5,"中","高"))))),IF(OR(J54="EO",J54="EQ"),IF(OR(Y54="估算法",Y54="算法类"),"中",IF(Y54="无法识别","低",IF(M54&lt;2,IF(O54&lt;20,"低","中"),IF(M54&lt;4,IF(O54&lt;6,"低",IF(O54&lt;20,"中","高")),IF(O54&lt;6,"中","高"))))),IF(OR(J54="ILF",J54="EIF"),IF(OR(Y54="估算法",Y54="算法类",Y54="无法识别"),"低",IF(N54&lt;2,IF(O54&lt;51,"低","中"),IF(N54&lt;6,IF(O54&lt;20,"低",IF(O54&lt;51,"中","高")),IF(O54&lt;20,"中","高")))),"不计算")))</f>
        <v/>
      </c>
      <c r="Q54" s="172">
        <f>IFERROR(IF(J54="EI",IF(P54="低",3,IF(P54="中",4,6)),IF(J54="EO",IF(P54="低",4,IF(P54="中",5,7)),IF(J54="EQ",IF(P54="低",3,IF(P54="中",4,6)),IF(J54="ILF",IF(P54="低",7,IF(P54="中",10,15)),IF(J54="EIF",IF(P54="低",5,IF(P54="中",7,10)),"不计算")))))*R54,"不计算")</f>
        <v/>
      </c>
      <c r="R54" s="172" t="n">
        <v>1</v>
      </c>
      <c r="S54" s="173">
        <f>调整因子!$F$13</f>
        <v/>
      </c>
      <c r="T54" s="92" t="n">
        <v>1</v>
      </c>
      <c r="U54" s="174">
        <f>IFERROR(Q54*S54,0)</f>
        <v/>
      </c>
      <c r="V54" s="174">
        <f>U54*T54</f>
        <v/>
      </c>
      <c r="W54" s="90" t="inlineStr">
        <is>
          <t>弱账号管理表、弱密码管理表、弱口令组合管理表、口令字典同步明细记录表</t>
        </is>
      </c>
      <c r="X54" s="91" t="n"/>
      <c r="Y54"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4" s="90" t="n"/>
      <c r="AA54" s="90" t="n"/>
      <c r="AB54" s="90" t="inlineStr">
        <is>
          <t>插件模板表、插件规范表、插件审计表</t>
        </is>
      </c>
      <c r="AC54" s="66" t="n"/>
    </row>
    <row r="55" customFormat="1" s="66">
      <c r="A55" s="72">
        <f>ROW()-1</f>
        <v/>
      </c>
      <c r="B55" s="175" t="n"/>
      <c r="C55" s="80" t="n">
        <v>2025</v>
      </c>
      <c r="D55" s="80" t="inlineStr">
        <is>
          <t>仲光华</t>
        </is>
      </c>
      <c r="E55" s="81">
        <f>VLOOKUP(I55,'25年交付功能（不含废弃）'!A:A,1,FALSE)</f>
        <v/>
      </c>
      <c r="F55" s="175" t="n"/>
      <c r="G55" s="175" t="n"/>
      <c r="H55" s="82" t="inlineStr">
        <is>
          <t>口令字典内容管理</t>
        </is>
      </c>
      <c r="I55" s="81" t="inlineStr">
        <is>
          <t>查询口令字典列表</t>
        </is>
      </c>
      <c r="J55" s="93" t="inlineStr">
        <is>
          <t>EQ</t>
        </is>
      </c>
      <c r="K55" s="84" t="n"/>
      <c r="L55" s="84" t="n"/>
      <c r="M55" s="85">
        <f>IF(OR(Y55="估算法",Y55="算法类",Y55="无法识别"),"",IF(W55="",IF(OR(J55="EI",J55="EO",J55="EQ"),0,""),LEN(W55)-LEN(SUBSTITUTE(W55,"、",""))+1))</f>
        <v/>
      </c>
      <c r="N55" s="85">
        <f>IF(OR(Y55="估算法",Y55="算法类",Y55="无法识别"),"",IF(X55="",IF(OR(J55="ILF",J55="EIF"),0,""),LEN(X55)-LEN(SUBSTITUTE(X55,"、",""))+1))</f>
        <v/>
      </c>
      <c r="O55" s="85">
        <f>IF(OR(Y55="估算法",Y55="算法类",Y55="无法识别"),"",IF(Y55="",IF(OR(J55="ILF",J55="EIF",J55="EI",J55="EO",J55="EQ"),0,""),LEN(Y55)-LEN(SUBSTITUTE(SUBSTITUTE(SUBSTITUTE(SUBSTITUTE(SUBSTITUTE(Y55,"|}","--"),"{|","--"),CHAR(10),""),"、",""),"|",""))+IF(AND(OR(J55="EI",J55="EO",J55="EQ"),$AE$1="NESMA"),2,1)))</f>
        <v/>
      </c>
      <c r="P55" s="86">
        <f>IF(J55="EI",IF(OR(Y55="估算法",Y55="算法类"),"中",IF(Y55="无法识别","低",IF(M55&lt;2,IF(O55&lt;16,"低","中"),IF(M55&lt;3,IF(O55&lt;5,"低",IF(O55&lt;16,"中","高")),IF(O55&lt;5,"中","高"))))),IF(OR(J55="EO",J55="EQ"),IF(OR(Y55="估算法",Y55="算法类"),"中",IF(Y55="无法识别","低",IF(M55&lt;2,IF(O55&lt;20,"低","中"),IF(M55&lt;4,IF(O55&lt;6,"低",IF(O55&lt;20,"中","高")),IF(O55&lt;6,"中","高"))))),IF(OR(J55="ILF",J55="EIF"),IF(OR(Y55="估算法",Y55="算法类",Y55="无法识别"),"低",IF(N55&lt;2,IF(O55&lt;51,"低","中"),IF(N55&lt;6,IF(O55&lt;20,"低",IF(O55&lt;51,"中","高")),IF(O55&lt;20,"中","高")))),"不计算")))</f>
        <v/>
      </c>
      <c r="Q55" s="172">
        <f>IFERROR(IF(J55="EI",IF(P55="低",3,IF(P55="中",4,6)),IF(J55="EO",IF(P55="低",4,IF(P55="中",5,7)),IF(J55="EQ",IF(P55="低",3,IF(P55="中",4,6)),IF(J55="ILF",IF(P55="低",7,IF(P55="中",10,15)),IF(J55="EIF",IF(P55="低",5,IF(P55="中",7,10)),"不计算")))))*R55,"不计算")</f>
        <v/>
      </c>
      <c r="R55" s="172" t="n">
        <v>1</v>
      </c>
      <c r="S55" s="173">
        <f>调整因子!$F$13</f>
        <v/>
      </c>
      <c r="T55" s="92" t="n">
        <v>1</v>
      </c>
      <c r="U55" s="174">
        <f>IFERROR(Q55*S55,0)</f>
        <v/>
      </c>
      <c r="V55" s="174">
        <f>U55*T55</f>
        <v/>
      </c>
      <c r="W55" s="90" t="inlineStr">
        <is>
          <t>弱账号管理表、弱密码管理表、弱口令组合管理表</t>
        </is>
      </c>
      <c r="X55" s="91" t="n"/>
      <c r="Y55"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5" s="90" t="n"/>
      <c r="AA55" s="90" t="n"/>
      <c r="AB55" s="90" t="inlineStr">
        <is>
          <t>插件规范表、插件模板表、插件审计表</t>
        </is>
      </c>
      <c r="AC55" s="66" t="n"/>
    </row>
    <row r="56" customFormat="1" s="66">
      <c r="A56" s="72">
        <f>ROW()-1</f>
        <v/>
      </c>
      <c r="B56" s="175" t="n"/>
      <c r="C56" s="80" t="n">
        <v>2025</v>
      </c>
      <c r="D56" s="80" t="inlineStr">
        <is>
          <t>仲光华</t>
        </is>
      </c>
      <c r="E56" s="81">
        <f>VLOOKUP(I56,'25年交付功能（不含废弃）'!A:A,1,FALSE)</f>
        <v/>
      </c>
      <c r="F56" s="175" t="n"/>
      <c r="G56" s="175" t="n"/>
      <c r="H56" s="175" t="n"/>
      <c r="I56" s="81" t="inlineStr">
        <is>
          <t>新增口令字典</t>
        </is>
      </c>
      <c r="J56" s="93" t="inlineStr">
        <is>
          <t>EI</t>
        </is>
      </c>
      <c r="K56" s="84" t="n"/>
      <c r="L56" s="84" t="n"/>
      <c r="M56" s="85">
        <f>IF(OR(Y56="估算法",Y56="算法类",Y56="无法识别"),"",IF(W56="",IF(OR(J56="EI",J56="EO",J56="EQ"),0,""),LEN(W56)-LEN(SUBSTITUTE(W56,"、",""))+1))</f>
        <v/>
      </c>
      <c r="N56" s="85">
        <f>IF(OR(Y56="估算法",Y56="算法类",Y56="无法识别"),"",IF(X56="",IF(OR(J56="ILF",J56="EIF"),0,""),LEN(X56)-LEN(SUBSTITUTE(X56,"、",""))+1))</f>
        <v/>
      </c>
      <c r="O56" s="85">
        <f>IF(OR(Y56="估算法",Y56="算法类",Y56="无法识别"),"",IF(Y56="",IF(OR(J56="ILF",J56="EIF",J56="EI",J56="EO",J56="EQ"),0,""),LEN(Y56)-LEN(SUBSTITUTE(SUBSTITUTE(SUBSTITUTE(SUBSTITUTE(SUBSTITUTE(Y56,"|}","--"),"{|","--"),CHAR(10),""),"、",""),"|",""))+IF(AND(OR(J56="EI",J56="EO",J56="EQ"),$AE$1="NESMA"),2,1)))</f>
        <v/>
      </c>
      <c r="P56" s="86">
        <f>IF(J56="EI",IF(OR(Y56="估算法",Y56="算法类"),"中",IF(Y56="无法识别","低",IF(M56&lt;2,IF(O56&lt;16,"低","中"),IF(M56&lt;3,IF(O56&lt;5,"低",IF(O56&lt;16,"中","高")),IF(O56&lt;5,"中","高"))))),IF(OR(J56="EO",J56="EQ"),IF(OR(Y56="估算法",Y56="算法类"),"中",IF(Y56="无法识别","低",IF(M56&lt;2,IF(O56&lt;20,"低","中"),IF(M56&lt;4,IF(O56&lt;6,"低",IF(O56&lt;20,"中","高")),IF(O56&lt;6,"中","高"))))),IF(OR(J56="ILF",J56="EIF"),IF(OR(Y56="估算法",Y56="算法类",Y56="无法识别"),"低",IF(N56&lt;2,IF(O56&lt;51,"低","中"),IF(N56&lt;6,IF(O56&lt;20,"低",IF(O56&lt;51,"中","高")),IF(O56&lt;20,"中","高")))),"不计算")))</f>
        <v/>
      </c>
      <c r="Q56" s="172">
        <f>IFERROR(IF(J56="EI",IF(P56="低",3,IF(P56="中",4,6)),IF(J56="EO",IF(P56="低",4,IF(P56="中",5,7)),IF(J56="EQ",IF(P56="低",3,IF(P56="中",4,6)),IF(J56="ILF",IF(P56="低",7,IF(P56="中",10,15)),IF(J56="EIF",IF(P56="低",5,IF(P56="中",7,10)),"不计算")))))*R56,"不计算")</f>
        <v/>
      </c>
      <c r="R56" s="172" t="n">
        <v>1</v>
      </c>
      <c r="S56" s="173">
        <f>调整因子!$F$13</f>
        <v/>
      </c>
      <c r="T56" s="93" t="n">
        <v>1</v>
      </c>
      <c r="U56" s="174">
        <f>IFERROR(Q56*S56,0)</f>
        <v/>
      </c>
      <c r="V56" s="174">
        <f>U56*T56</f>
        <v/>
      </c>
      <c r="W56" s="90" t="inlineStr">
        <is>
          <t>弱账号管理表、弱密码管理表、弱口令组合管理表</t>
        </is>
      </c>
      <c r="X56" s="91" t="n"/>
      <c r="Y56"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6" s="90" t="n"/>
      <c r="AA56" s="90" t="n"/>
      <c r="AB56" s="90" t="inlineStr">
        <is>
          <t>插件模板表</t>
        </is>
      </c>
      <c r="AC56" s="66" t="n"/>
    </row>
    <row r="57" customFormat="1" s="66">
      <c r="A57" s="72">
        <f>ROW()-1</f>
        <v/>
      </c>
      <c r="B57" s="175" t="n"/>
      <c r="C57" s="80" t="n">
        <v>2025</v>
      </c>
      <c r="D57" s="80" t="inlineStr">
        <is>
          <t>仲光华</t>
        </is>
      </c>
      <c r="E57" s="81">
        <f>VLOOKUP(I57,'25年交付功能（不含废弃）'!A:A,1,FALSE)</f>
        <v/>
      </c>
      <c r="F57" s="175" t="n"/>
      <c r="G57" s="175" t="n"/>
      <c r="H57" s="175" t="n"/>
      <c r="I57" s="81" t="inlineStr">
        <is>
          <t>修改口令字典</t>
        </is>
      </c>
      <c r="J57" s="93" t="inlineStr">
        <is>
          <t>EI</t>
        </is>
      </c>
      <c r="K57" s="84" t="n"/>
      <c r="L57" s="84" t="n"/>
      <c r="M57" s="85">
        <f>IF(OR(Y57="估算法",Y57="算法类",Y57="无法识别"),"",IF(W57="",IF(OR(J57="EI",J57="EO",J57="EQ"),0,""),LEN(W57)-LEN(SUBSTITUTE(W57,"、",""))+1))</f>
        <v/>
      </c>
      <c r="N57" s="85">
        <f>IF(OR(Y57="估算法",Y57="算法类",Y57="无法识别"),"",IF(X57="",IF(OR(J57="ILF",J57="EIF"),0,""),LEN(X57)-LEN(SUBSTITUTE(X57,"、",""))+1))</f>
        <v/>
      </c>
      <c r="O57" s="85">
        <f>IF(OR(Y57="估算法",Y57="算法类",Y57="无法识别"),"",IF(Y57="",IF(OR(J57="ILF",J57="EIF",J57="EI",J57="EO",J57="EQ"),0,""),LEN(Y57)-LEN(SUBSTITUTE(SUBSTITUTE(SUBSTITUTE(SUBSTITUTE(SUBSTITUTE(Y57,"|}","--"),"{|","--"),CHAR(10),""),"、",""),"|",""))+IF(AND(OR(J57="EI",J57="EO",J57="EQ"),$AE$1="NESMA"),2,1)))</f>
        <v/>
      </c>
      <c r="P57" s="86">
        <f>IF(J57="EI",IF(OR(Y57="估算法",Y57="算法类"),"中",IF(Y57="无法识别","低",IF(M57&lt;2,IF(O57&lt;16,"低","中"),IF(M57&lt;3,IF(O57&lt;5,"低",IF(O57&lt;16,"中","高")),IF(O57&lt;5,"中","高"))))),IF(OR(J57="EO",J57="EQ"),IF(OR(Y57="估算法",Y57="算法类"),"中",IF(Y57="无法识别","低",IF(M57&lt;2,IF(O57&lt;20,"低","中"),IF(M57&lt;4,IF(O57&lt;6,"低",IF(O57&lt;20,"中","高")),IF(O57&lt;6,"中","高"))))),IF(OR(J57="ILF",J57="EIF"),IF(OR(Y57="估算法",Y57="算法类",Y57="无法识别"),"低",IF(N57&lt;2,IF(O57&lt;51,"低","中"),IF(N57&lt;6,IF(O57&lt;20,"低",IF(O57&lt;51,"中","高")),IF(O57&lt;20,"中","高")))),"不计算")))</f>
        <v/>
      </c>
      <c r="Q57" s="172">
        <f>IFERROR(IF(J57="EI",IF(P57="低",3,IF(P57="中",4,6)),IF(J57="EO",IF(P57="低",4,IF(P57="中",5,7)),IF(J57="EQ",IF(P57="低",3,IF(P57="中",4,6)),IF(J57="ILF",IF(P57="低",7,IF(P57="中",10,15)),IF(J57="EIF",IF(P57="低",5,IF(P57="中",7,10)),"不计算")))))*R57,"不计算")</f>
        <v/>
      </c>
      <c r="R57" s="172" t="n">
        <v>0.333333333333333</v>
      </c>
      <c r="S57" s="173">
        <f>调整因子!$F$13</f>
        <v/>
      </c>
      <c r="T57" s="92" t="n">
        <v>1</v>
      </c>
      <c r="U57" s="174">
        <f>IFERROR(Q57*S57,0)</f>
        <v/>
      </c>
      <c r="V57" s="174">
        <f>U57*T57</f>
        <v/>
      </c>
      <c r="W57" s="90" t="inlineStr">
        <is>
          <t>弱账号管理表、弱密码管理表、弱口令组合管理表</t>
        </is>
      </c>
      <c r="X57" s="91" t="n"/>
      <c r="Y57"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7" s="90" t="n"/>
      <c r="AA57" s="90" t="n"/>
      <c r="AB57" s="90" t="inlineStr">
        <is>
          <t>插件模板表</t>
        </is>
      </c>
      <c r="AC57" s="66" t="n"/>
    </row>
    <row r="58" customFormat="1" s="66">
      <c r="A58" s="72">
        <f>ROW()-1</f>
        <v/>
      </c>
      <c r="B58" s="175" t="n"/>
      <c r="C58" s="80" t="n">
        <v>2025</v>
      </c>
      <c r="D58" s="80" t="inlineStr">
        <is>
          <t>仲光华</t>
        </is>
      </c>
      <c r="E58" s="81">
        <f>VLOOKUP(I58,'25年交付功能（不含废弃）'!A:A,1,FALSE)</f>
        <v/>
      </c>
      <c r="F58" s="175" t="n"/>
      <c r="G58" s="175" t="n"/>
      <c r="H58" s="175" t="n"/>
      <c r="I58" s="81" t="inlineStr">
        <is>
          <t>删除口令字典</t>
        </is>
      </c>
      <c r="J58" s="93" t="inlineStr">
        <is>
          <t>EI</t>
        </is>
      </c>
      <c r="K58" s="84" t="n"/>
      <c r="L58" s="84" t="n"/>
      <c r="M58" s="85">
        <f>IF(OR(Y58="估算法",Y58="算法类",Y58="无法识别"),"",IF(W58="",IF(OR(J58="EI",J58="EO",J58="EQ"),0,""),LEN(W58)-LEN(SUBSTITUTE(W58,"、",""))+1))</f>
        <v/>
      </c>
      <c r="N58" s="85">
        <f>IF(OR(Y58="估算法",Y58="算法类",Y58="无法识别"),"",IF(X58="",IF(OR(J58="ILF",J58="EIF"),0,""),LEN(X58)-LEN(SUBSTITUTE(X58,"、",""))+1))</f>
        <v/>
      </c>
      <c r="O58" s="85">
        <f>IF(OR(Y58="估算法",Y58="算法类",Y58="无法识别"),"",IF(Y58="",IF(OR(J58="ILF",J58="EIF",J58="EI",J58="EO",J58="EQ"),0,""),LEN(Y58)-LEN(SUBSTITUTE(SUBSTITUTE(SUBSTITUTE(SUBSTITUTE(SUBSTITUTE(Y58,"|}","--"),"{|","--"),CHAR(10),""),"、",""),"|",""))+IF(AND(OR(J58="EI",J58="EO",J58="EQ"),$AE$1="NESMA"),2,1)))</f>
        <v/>
      </c>
      <c r="P58" s="86">
        <f>IF(J58="EI",IF(OR(Y58="估算法",Y58="算法类"),"中",IF(Y58="无法识别","低",IF(M58&lt;2,IF(O58&lt;16,"低","中"),IF(M58&lt;3,IF(O58&lt;5,"低",IF(O58&lt;16,"中","高")),IF(O58&lt;5,"中","高"))))),IF(OR(J58="EO",J58="EQ"),IF(OR(Y58="估算法",Y58="算法类"),"中",IF(Y58="无法识别","低",IF(M58&lt;2,IF(O58&lt;20,"低","中"),IF(M58&lt;4,IF(O58&lt;6,"低",IF(O58&lt;20,"中","高")),IF(O58&lt;6,"中","高"))))),IF(OR(J58="ILF",J58="EIF"),IF(OR(Y58="估算法",Y58="算法类",Y58="无法识别"),"低",IF(N58&lt;2,IF(O58&lt;51,"低","中"),IF(N58&lt;6,IF(O58&lt;20,"低",IF(O58&lt;51,"中","高")),IF(O58&lt;20,"中","高")))),"不计算")))</f>
        <v/>
      </c>
      <c r="Q58" s="172">
        <f>IFERROR(IF(J58="EI",IF(P58="低",3,IF(P58="中",4,6)),IF(J58="EO",IF(P58="低",4,IF(P58="中",5,7)),IF(J58="EQ",IF(P58="低",3,IF(P58="中",4,6)),IF(J58="ILF",IF(P58="低",7,IF(P58="中",10,15)),IF(J58="EIF",IF(P58="低",5,IF(P58="中",7,10)),"不计算")))))*R58,"不计算")</f>
        <v/>
      </c>
      <c r="R58" s="172" t="n">
        <v>0.333333333333333</v>
      </c>
      <c r="S58" s="173">
        <f>调整因子!$F$13</f>
        <v/>
      </c>
      <c r="T58" s="92" t="n">
        <v>1</v>
      </c>
      <c r="U58" s="174">
        <f>IFERROR(Q58*S58,0)</f>
        <v/>
      </c>
      <c r="V58" s="174">
        <f>U58*T58</f>
        <v/>
      </c>
      <c r="W58" s="90" t="inlineStr">
        <is>
          <t>弱账号管理表、弱密码管理表、弱口令组合管理表</t>
        </is>
      </c>
      <c r="X58" s="91" t="n"/>
      <c r="Y58"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8" s="90" t="n"/>
      <c r="AA58" s="90" t="n"/>
      <c r="AB58" s="90" t="inlineStr">
        <is>
          <t>插件基本信息表、插件语言类型表、插件自定义变量表、插件版本管理表、影响组件表、漏洞类型表</t>
        </is>
      </c>
      <c r="AC58" s="66" t="n"/>
    </row>
    <row r="59" customFormat="1" s="66">
      <c r="A59" s="72">
        <f>ROW()-1</f>
        <v/>
      </c>
      <c r="B59" s="175" t="n"/>
      <c r="C59" s="80" t="n">
        <v>2025</v>
      </c>
      <c r="D59" s="80" t="inlineStr">
        <is>
          <t>仲光华</t>
        </is>
      </c>
      <c r="E59" s="81">
        <f>VLOOKUP(I59,'25年交付功能（不含废弃）'!A:A,1,FALSE)</f>
        <v/>
      </c>
      <c r="F59" s="175" t="n"/>
      <c r="G59" s="175" t="n"/>
      <c r="H59" s="176" t="n"/>
      <c r="I59" s="81" t="inlineStr">
        <is>
          <t>批量删除口令字典</t>
        </is>
      </c>
      <c r="J59" s="93" t="inlineStr">
        <is>
          <t>EI</t>
        </is>
      </c>
      <c r="K59" s="84" t="n"/>
      <c r="L59" s="84" t="inlineStr">
        <is>
          <t>批量操作</t>
        </is>
      </c>
      <c r="M59" s="85">
        <f>IF(OR(Y59="估算法",Y59="算法类",Y59="无法识别"),"",IF(W59="",IF(OR(J59="EI",J59="EO",J59="EQ"),0,""),LEN(W59)-LEN(SUBSTITUTE(W59,"、",""))+1))</f>
        <v/>
      </c>
      <c r="N59" s="85">
        <f>IF(OR(Y59="估算法",Y59="算法类",Y59="无法识别"),"",IF(X59="",IF(OR(J59="ILF",J59="EIF"),0,""),LEN(X59)-LEN(SUBSTITUTE(X59,"、",""))+1))</f>
        <v/>
      </c>
      <c r="O59" s="85">
        <f>IF(OR(Y59="估算法",Y59="算法类",Y59="无法识别"),"",IF(Y59="",IF(OR(J59="ILF",J59="EIF",J59="EI",J59="EO",J59="EQ"),0,""),LEN(Y59)-LEN(SUBSTITUTE(SUBSTITUTE(SUBSTITUTE(SUBSTITUTE(SUBSTITUTE(Y59,"|}","--"),"{|","--"),CHAR(10),""),"、",""),"|",""))+IF(AND(OR(J59="EI",J59="EO",J59="EQ"),$AE$1="NESMA"),2,1)))</f>
        <v/>
      </c>
      <c r="P59" s="86">
        <f>IF(J59="EI",IF(OR(Y59="估算法",Y59="算法类"),"中",IF(Y59="无法识别","低",IF(M59&lt;2,IF(O59&lt;16,"低","中"),IF(M59&lt;3,IF(O59&lt;5,"低",IF(O59&lt;16,"中","高")),IF(O59&lt;5,"中","高"))))),IF(OR(J59="EO",J59="EQ"),IF(OR(Y59="估算法",Y59="算法类"),"中",IF(Y59="无法识别","低",IF(M59&lt;2,IF(O59&lt;20,"低","中"),IF(M59&lt;4,IF(O59&lt;6,"低",IF(O59&lt;20,"中","高")),IF(O59&lt;6,"中","高"))))),IF(OR(J59="ILF",J59="EIF"),IF(OR(Y59="估算法",Y59="算法类",Y59="无法识别"),"低",IF(N59&lt;2,IF(O59&lt;51,"低","中"),IF(N59&lt;6,IF(O59&lt;20,"低",IF(O59&lt;51,"中","高")),IF(O59&lt;20,"中","高")))),"不计算")))</f>
        <v/>
      </c>
      <c r="Q59" s="172">
        <f>IFERROR(IF(J59="EI",IF(P59="低",3,IF(P59="中",4,6)),IF(J59="EO",IF(P59="低",4,IF(P59="中",5,7)),IF(J59="EQ",IF(P59="低",3,IF(P59="中",4,6)),IF(J59="ILF",IF(P59="低",7,IF(P59="中",10,15)),IF(J59="EIF",IF(P59="低",5,IF(P59="中",7,10)),"不计算")))))*R59,"不计算")</f>
        <v/>
      </c>
      <c r="R59" s="172" t="n">
        <v>0.333333333333333</v>
      </c>
      <c r="S59" s="173">
        <f>调整因子!$F$13</f>
        <v/>
      </c>
      <c r="T59" s="93" t="n">
        <v>1</v>
      </c>
      <c r="U59" s="174">
        <f>IFERROR(Q59*S59,0)</f>
        <v/>
      </c>
      <c r="V59" s="174">
        <f>U59*T59</f>
        <v/>
      </c>
      <c r="W59" s="90" t="inlineStr">
        <is>
          <t>弱账号管理表、弱密码管理表、弱口令组合管理表</t>
        </is>
      </c>
      <c r="X59" s="91" t="n"/>
      <c r="Y59"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59" s="90" t="n"/>
      <c r="AA59" s="90" t="n"/>
      <c r="AB59" s="90" t="inlineStr">
        <is>
          <t>插件自定义变量表、插件基本信息表、插件语言类型表、插件版本管理表</t>
        </is>
      </c>
      <c r="AC59" s="66" t="n"/>
    </row>
    <row r="60" customFormat="1" s="66">
      <c r="A60" s="72">
        <f>ROW()-1</f>
        <v/>
      </c>
      <c r="B60" s="175" t="n"/>
      <c r="C60" s="80" t="n">
        <v>2025</v>
      </c>
      <c r="D60" s="80" t="inlineStr">
        <is>
          <t>仲光华</t>
        </is>
      </c>
      <c r="E60" s="81">
        <f>VLOOKUP(I60,'25年交付功能（不含废弃）'!A:A,1,FALSE)</f>
        <v/>
      </c>
      <c r="F60" s="175" t="n"/>
      <c r="G60" s="175" t="n"/>
      <c r="H60" s="82" t="inlineStr">
        <is>
          <t>口令字典分类管理</t>
        </is>
      </c>
      <c r="I60" s="81" t="inlineStr">
        <is>
          <t>查询用户名口令字典</t>
        </is>
      </c>
      <c r="J60" s="93" t="n"/>
      <c r="K60" s="84" t="n"/>
      <c r="L60" s="84" t="inlineStr">
        <is>
          <t>和下行合并，查询无法区分区别</t>
        </is>
      </c>
      <c r="M60" s="85">
        <f>IF(OR(Y60="估算法",Y60="算法类",Y60="无法识别"),"",IF(W60="",IF(OR(J60="EI",J60="EO",J60="EQ"),0,""),LEN(W60)-LEN(SUBSTITUTE(W60,"、",""))+1))</f>
        <v/>
      </c>
      <c r="N60" s="85">
        <f>IF(OR(Y60="估算法",Y60="算法类",Y60="无法识别"),"",IF(X60="",IF(OR(J60="ILF",J60="EIF"),0,""),LEN(X60)-LEN(SUBSTITUTE(X60,"、",""))+1))</f>
        <v/>
      </c>
      <c r="O60" s="85">
        <f>IF(OR(Y60="估算法",Y60="算法类",Y60="无法识别"),"",IF(Y60="",IF(OR(J60="ILF",J60="EIF",J60="EI",J60="EO",J60="EQ"),0,""),LEN(Y60)-LEN(SUBSTITUTE(SUBSTITUTE(SUBSTITUTE(SUBSTITUTE(SUBSTITUTE(Y60,"|}","--"),"{|","--"),CHAR(10),""),"、",""),"|",""))+IF(AND(OR(J60="EI",J60="EO",J60="EQ"),$AE$1="NESMA"),2,1)))</f>
        <v/>
      </c>
      <c r="P60" s="86">
        <f>IF(J60="EI",IF(OR(Y60="估算法",Y60="算法类"),"中",IF(Y60="无法识别","低",IF(M60&lt;2,IF(O60&lt;16,"低","中"),IF(M60&lt;3,IF(O60&lt;5,"低",IF(O60&lt;16,"中","高")),IF(O60&lt;5,"中","高"))))),IF(OR(J60="EO",J60="EQ"),IF(OR(Y60="估算法",Y60="算法类"),"中",IF(Y60="无法识别","低",IF(M60&lt;2,IF(O60&lt;20,"低","中"),IF(M60&lt;4,IF(O60&lt;6,"低",IF(O60&lt;20,"中","高")),IF(O60&lt;6,"中","高"))))),IF(OR(J60="ILF",J60="EIF"),IF(OR(Y60="估算法",Y60="算法类",Y60="无法识别"),"低",IF(N60&lt;2,IF(O60&lt;51,"低","中"),IF(N60&lt;6,IF(O60&lt;20,"低",IF(O60&lt;51,"中","高")),IF(O60&lt;20,"中","高")))),"不计算")))</f>
        <v/>
      </c>
      <c r="Q60" s="172">
        <f>IFERROR(IF(J60="EI",IF(P60="低",3,IF(P60="中",4,6)),IF(J60="EO",IF(P60="低",4,IF(P60="中",5,7)),IF(J60="EQ",IF(P60="低",3,IF(P60="中",4,6)),IF(J60="ILF",IF(P60="低",7,IF(P60="中",10,15)),IF(J60="EIF",IF(P60="低",5,IF(P60="中",7,10)),"不计算")))))*R60,"不计算")</f>
        <v/>
      </c>
      <c r="R60" s="172" t="n">
        <v>1</v>
      </c>
      <c r="S60" s="173">
        <f>调整因子!$F$13</f>
        <v/>
      </c>
      <c r="T60" s="92" t="n">
        <v>1</v>
      </c>
      <c r="U60" s="174">
        <f>IFERROR(Q60*S60,0)</f>
        <v/>
      </c>
      <c r="V60" s="174">
        <f>U60*T60</f>
        <v/>
      </c>
      <c r="W60" s="90" t="inlineStr">
        <is>
          <t>弱账号管理表、弱密码管理表、弱口令组合管理表</t>
        </is>
      </c>
      <c r="X60" s="91" t="n"/>
      <c r="Y6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0" s="90" t="n"/>
      <c r="AA60" s="90" t="n"/>
      <c r="AB60" s="90" t="inlineStr">
        <is>
          <t>插件基本信息表、插件语言类型表、插件版本管理表</t>
        </is>
      </c>
      <c r="AC60" s="66" t="n"/>
    </row>
    <row r="61" customFormat="1" s="66">
      <c r="A61" s="72">
        <f>ROW()-1</f>
        <v/>
      </c>
      <c r="B61" s="175" t="n"/>
      <c r="C61" s="80" t="n">
        <v>2025</v>
      </c>
      <c r="D61" s="80" t="inlineStr">
        <is>
          <t>仲光华</t>
        </is>
      </c>
      <c r="E61" s="81">
        <f>VLOOKUP(I61,'25年交付功能（不含废弃）'!A:A,1,FALSE)</f>
        <v/>
      </c>
      <c r="F61" s="175" t="n"/>
      <c r="G61" s="175" t="n"/>
      <c r="H61" s="175" t="n"/>
      <c r="I61" s="81" t="inlineStr">
        <is>
          <t>查询用户名密码字典</t>
        </is>
      </c>
      <c r="J61" s="93" t="n"/>
      <c r="K61" s="84" t="n"/>
      <c r="L61" s="84" t="inlineStr">
        <is>
          <t>和下行合并，查询无法区分区别</t>
        </is>
      </c>
      <c r="M61" s="85">
        <f>IF(OR(Y61="估算法",Y61="算法类",Y61="无法识别"),"",IF(W61="",IF(OR(J61="EI",J61="EO",J61="EQ"),0,""),LEN(W61)-LEN(SUBSTITUTE(W61,"、",""))+1))</f>
        <v/>
      </c>
      <c r="N61" s="85">
        <f>IF(OR(Y61="估算法",Y61="算法类",Y61="无法识别"),"",IF(X61="",IF(OR(J61="ILF",J61="EIF"),0,""),LEN(X61)-LEN(SUBSTITUTE(X61,"、",""))+1))</f>
        <v/>
      </c>
      <c r="O61" s="85">
        <f>IF(OR(Y61="估算法",Y61="算法类",Y61="无法识别"),"",IF(Y61="",IF(OR(J61="ILF",J61="EIF",J61="EI",J61="EO",J61="EQ"),0,""),LEN(Y61)-LEN(SUBSTITUTE(SUBSTITUTE(SUBSTITUTE(SUBSTITUTE(SUBSTITUTE(Y61,"|}","--"),"{|","--"),CHAR(10),""),"、",""),"|",""))+IF(AND(OR(J61="EI",J61="EO",J61="EQ"),$AE$1="NESMA"),2,1)))</f>
        <v/>
      </c>
      <c r="P61" s="86">
        <f>IF(J61="EI",IF(OR(Y61="估算法",Y61="算法类"),"中",IF(Y61="无法识别","低",IF(M61&lt;2,IF(O61&lt;16,"低","中"),IF(M61&lt;3,IF(O61&lt;5,"低",IF(O61&lt;16,"中","高")),IF(O61&lt;5,"中","高"))))),IF(OR(J61="EO",J61="EQ"),IF(OR(Y61="估算法",Y61="算法类"),"中",IF(Y61="无法识别","低",IF(M61&lt;2,IF(O61&lt;20,"低","中"),IF(M61&lt;4,IF(O61&lt;6,"低",IF(O61&lt;20,"中","高")),IF(O61&lt;6,"中","高"))))),IF(OR(J61="ILF",J61="EIF"),IF(OR(Y61="估算法",Y61="算法类",Y61="无法识别"),"低",IF(N61&lt;2,IF(O61&lt;51,"低","中"),IF(N61&lt;6,IF(O61&lt;20,"低",IF(O61&lt;51,"中","高")),IF(O61&lt;20,"中","高")))),"不计算")))</f>
        <v/>
      </c>
      <c r="Q61" s="172">
        <f>IFERROR(IF(J61="EI",IF(P61="低",3,IF(P61="中",4,6)),IF(J61="EO",IF(P61="低",4,IF(P61="中",5,7)),IF(J61="EQ",IF(P61="低",3,IF(P61="中",4,6)),IF(J61="ILF",IF(P61="低",7,IF(P61="中",10,15)),IF(J61="EIF",IF(P61="低",5,IF(P61="中",7,10)),"不计算")))))*R61,"不计算")</f>
        <v/>
      </c>
      <c r="R61" s="172" t="n">
        <v>1</v>
      </c>
      <c r="S61" s="173">
        <f>调整因子!$F$13</f>
        <v/>
      </c>
      <c r="T61" s="92" t="n">
        <v>1</v>
      </c>
      <c r="U61" s="174">
        <f>IFERROR(Q61*S61,0)</f>
        <v/>
      </c>
      <c r="V61" s="174">
        <f>U61*T61</f>
        <v/>
      </c>
      <c r="W61" s="90" t="inlineStr">
        <is>
          <t>弱账号管理表、弱密码管理表、弱口令组合管理表</t>
        </is>
      </c>
      <c r="X61" s="91" t="n"/>
      <c r="Y6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1" s="90" t="n"/>
      <c r="AA61" s="90" t="n"/>
      <c r="AB61" s="90" t="inlineStr">
        <is>
          <t>插件基本信息表、插件语言类型表、插件自定义变量表</t>
        </is>
      </c>
      <c r="AC61" s="66" t="n"/>
    </row>
    <row r="62" customFormat="1" s="66">
      <c r="A62" s="72">
        <f>ROW()-1</f>
        <v/>
      </c>
      <c r="B62" s="175" t="n"/>
      <c r="C62" s="80" t="n">
        <v>2025</v>
      </c>
      <c r="D62" s="80" t="inlineStr">
        <is>
          <t>仲光华</t>
        </is>
      </c>
      <c r="E62" s="81">
        <f>VLOOKUP(I62,'25年交付功能（不含废弃）'!A:A,1,FALSE)</f>
        <v/>
      </c>
      <c r="F62" s="175" t="n"/>
      <c r="G62" s="175" t="n"/>
      <c r="H62" s="176" t="n"/>
      <c r="I62" s="81" t="inlineStr">
        <is>
          <t>查询密码口令字典</t>
        </is>
      </c>
      <c r="J62" s="93" t="inlineStr">
        <is>
          <t>EQ</t>
        </is>
      </c>
      <c r="K62" s="84" t="n"/>
      <c r="L62" s="84" t="n"/>
      <c r="M62" s="85">
        <f>IF(OR(Y62="估算法",Y62="算法类",Y62="无法识别"),"",IF(W62="",IF(OR(J62="EI",J62="EO",J62="EQ"),0,""),LEN(W62)-LEN(SUBSTITUTE(W62,"、",""))+1))</f>
        <v/>
      </c>
      <c r="N62" s="85">
        <f>IF(OR(Y62="估算法",Y62="算法类",Y62="无法识别"),"",IF(X62="",IF(OR(J62="ILF",J62="EIF"),0,""),LEN(X62)-LEN(SUBSTITUTE(X62,"、",""))+1))</f>
        <v/>
      </c>
      <c r="O62" s="85">
        <f>IF(OR(Y62="估算法",Y62="算法类",Y62="无法识别"),"",IF(Y62="",IF(OR(J62="ILF",J62="EIF",J62="EI",J62="EO",J62="EQ"),0,""),LEN(Y62)-LEN(SUBSTITUTE(SUBSTITUTE(SUBSTITUTE(SUBSTITUTE(SUBSTITUTE(Y62,"|}","--"),"{|","--"),CHAR(10),""),"、",""),"|",""))+IF(AND(OR(J62="EI",J62="EO",J62="EQ"),$AE$1="NESMA"),2,1)))</f>
        <v/>
      </c>
      <c r="P62" s="86">
        <f>IF(J62="EI",IF(OR(Y62="估算法",Y62="算法类"),"中",IF(Y62="无法识别","低",IF(M62&lt;2,IF(O62&lt;16,"低","中"),IF(M62&lt;3,IF(O62&lt;5,"低",IF(O62&lt;16,"中","高")),IF(O62&lt;5,"中","高"))))),IF(OR(J62="EO",J62="EQ"),IF(OR(Y62="估算法",Y62="算法类"),"中",IF(Y62="无法识别","低",IF(M62&lt;2,IF(O62&lt;20,"低","中"),IF(M62&lt;4,IF(O62&lt;6,"低",IF(O62&lt;20,"中","高")),IF(O62&lt;6,"中","高"))))),IF(OR(J62="ILF",J62="EIF"),IF(OR(Y62="估算法",Y62="算法类",Y62="无法识别"),"低",IF(N62&lt;2,IF(O62&lt;51,"低","中"),IF(N62&lt;6,IF(O62&lt;20,"低",IF(O62&lt;51,"中","高")),IF(O62&lt;20,"中","高")))),"不计算")))</f>
        <v/>
      </c>
      <c r="Q62" s="172">
        <f>IFERROR(IF(J62="EI",IF(P62="低",3,IF(P62="中",4,6)),IF(J62="EO",IF(P62="低",4,IF(P62="中",5,7)),IF(J62="EQ",IF(P62="低",3,IF(P62="中",4,6)),IF(J62="ILF",IF(P62="低",7,IF(P62="中",10,15)),IF(J62="EIF",IF(P62="低",5,IF(P62="中",7,10)),"不计算")))))*R62,"不计算")</f>
        <v/>
      </c>
      <c r="R62" s="172" t="n">
        <v>1</v>
      </c>
      <c r="S62" s="173">
        <f>调整因子!$F$13</f>
        <v/>
      </c>
      <c r="T62" s="93" t="n">
        <v>1</v>
      </c>
      <c r="U62" s="174">
        <f>IFERROR(Q62*S62,0)</f>
        <v/>
      </c>
      <c r="V62" s="174">
        <f>U62*T62</f>
        <v/>
      </c>
      <c r="W62" s="90" t="inlineStr">
        <is>
          <t>弱账号管理表、弱密码管理表、弱口令组合管理表</t>
        </is>
      </c>
      <c r="X62" s="91" t="n"/>
      <c r="Y6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2" s="90" t="n"/>
      <c r="AA62" s="90" t="n"/>
      <c r="AB62" s="90"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c r="AC62" s="66" t="n"/>
    </row>
    <row r="63" customFormat="1" s="66">
      <c r="A63" s="72">
        <f>ROW()-1</f>
        <v/>
      </c>
      <c r="B63" s="175" t="n"/>
      <c r="C63" s="80" t="n">
        <v>2025</v>
      </c>
      <c r="D63" s="80" t="inlineStr">
        <is>
          <t>仲光华</t>
        </is>
      </c>
      <c r="E63" s="81">
        <f>VLOOKUP(I63,'25年交付功能（不含废弃）'!A:A,1,FALSE)</f>
        <v/>
      </c>
      <c r="F63" s="175" t="n"/>
      <c r="G63" s="175" t="n"/>
      <c r="H63" s="82" t="inlineStr">
        <is>
          <t>口令字典导入导出</t>
        </is>
      </c>
      <c r="I63" s="81" t="inlineStr">
        <is>
          <t>口令字典导入</t>
        </is>
      </c>
      <c r="J63" s="93" t="inlineStr">
        <is>
          <t>EI</t>
        </is>
      </c>
      <c r="K63" s="84" t="n"/>
      <c r="L63" s="84" t="n"/>
      <c r="M63" s="85">
        <f>IF(OR(Y63="估算法",Y63="算法类",Y63="无法识别"),"",IF(W63="",IF(OR(J63="EI",J63="EO",J63="EQ"),0,""),LEN(W63)-LEN(SUBSTITUTE(W63,"、",""))+1))</f>
        <v/>
      </c>
      <c r="N63" s="85">
        <f>IF(OR(Y63="估算法",Y63="算法类",Y63="无法识别"),"",IF(X63="",IF(OR(J63="ILF",J63="EIF"),0,""),LEN(X63)-LEN(SUBSTITUTE(X63,"、",""))+1))</f>
        <v/>
      </c>
      <c r="O63" s="85">
        <f>IF(OR(Y63="估算法",Y63="算法类",Y63="无法识别"),"",IF(Y63="",IF(OR(J63="ILF",J63="EIF",J63="EI",J63="EO",J63="EQ"),0,""),LEN(Y63)-LEN(SUBSTITUTE(SUBSTITUTE(SUBSTITUTE(SUBSTITUTE(SUBSTITUTE(Y63,"|}","--"),"{|","--"),CHAR(10),""),"、",""),"|",""))+IF(AND(OR(J63="EI",J63="EO",J63="EQ"),$AE$1="NESMA"),2,1)))</f>
        <v/>
      </c>
      <c r="P63" s="86">
        <f>IF(J63="EI",IF(OR(Y63="估算法",Y63="算法类"),"中",IF(Y63="无法识别","低",IF(M63&lt;2,IF(O63&lt;16,"低","中"),IF(M63&lt;3,IF(O63&lt;5,"低",IF(O63&lt;16,"中","高")),IF(O63&lt;5,"中","高"))))),IF(OR(J63="EO",J63="EQ"),IF(OR(Y63="估算法",Y63="算法类"),"中",IF(Y63="无法识别","低",IF(M63&lt;2,IF(O63&lt;20,"低","中"),IF(M63&lt;4,IF(O63&lt;6,"低",IF(O63&lt;20,"中","高")),IF(O63&lt;6,"中","高"))))),IF(OR(J63="ILF",J63="EIF"),IF(OR(Y63="估算法",Y63="算法类",Y63="无法识别"),"低",IF(N63&lt;2,IF(O63&lt;51,"低","中"),IF(N63&lt;6,IF(O63&lt;20,"低",IF(O63&lt;51,"中","高")),IF(O63&lt;20,"中","高")))),"不计算")))</f>
        <v/>
      </c>
      <c r="Q63" s="172">
        <f>IFERROR(IF(J63="EI",IF(P63="低",3,IF(P63="中",4,6)),IF(J63="EO",IF(P63="低",4,IF(P63="中",5,7)),IF(J63="EQ",IF(P63="低",3,IF(P63="中",4,6)),IF(J63="ILF",IF(P63="低",7,IF(P63="中",10,15)),IF(J63="EIF",IF(P63="低",5,IF(P63="中",7,10)),"不计算")))))*R63,"不计算")</f>
        <v/>
      </c>
      <c r="R63" s="172" t="n">
        <v>1</v>
      </c>
      <c r="S63" s="173">
        <f>调整因子!$F$13</f>
        <v/>
      </c>
      <c r="T63" s="92" t="n">
        <v>1</v>
      </c>
      <c r="U63" s="174">
        <f>IFERROR(Q63*S63,0)</f>
        <v/>
      </c>
      <c r="V63" s="174">
        <f>U63*T63</f>
        <v/>
      </c>
      <c r="W63" s="90" t="inlineStr">
        <is>
          <t>弱账号管理表、弱密码管理表、弱口令组合管理表</t>
        </is>
      </c>
      <c r="X63" s="91" t="n"/>
      <c r="Y63"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3" s="90" t="n"/>
      <c r="AA63" s="90" t="n"/>
      <c r="AB63" s="90" t="inlineStr">
        <is>
          <t>插件部侧审核接口请求文件、指纹参数文件、数据库变更日志表、数据库变更日志锁表</t>
        </is>
      </c>
      <c r="AC63" s="66" t="n"/>
    </row>
    <row r="64" customFormat="1" s="66">
      <c r="A64" s="72">
        <f>ROW()-1</f>
        <v/>
      </c>
      <c r="B64" s="175" t="n"/>
      <c r="C64" s="80" t="n">
        <v>2025</v>
      </c>
      <c r="D64" s="80" t="inlineStr">
        <is>
          <t>仲光华</t>
        </is>
      </c>
      <c r="E64" s="81">
        <f>VLOOKUP(I64,'25年交付功能（不含废弃）'!A:A,1,FALSE)</f>
        <v/>
      </c>
      <c r="F64" s="175" t="n"/>
      <c r="G64" s="175" t="n"/>
      <c r="H64" s="175" t="n"/>
      <c r="I64" s="81" t="inlineStr">
        <is>
          <t>口令字典导出</t>
        </is>
      </c>
      <c r="J64" s="93" t="inlineStr">
        <is>
          <t>EO</t>
        </is>
      </c>
      <c r="K64" s="84" t="n"/>
      <c r="L64" s="84" t="n"/>
      <c r="M64" s="85">
        <f>IF(OR(Y64="估算法",Y64="算法类",Y64="无法识别"),"",IF(W64="",IF(OR(J64="EI",J64="EO",J64="EQ"),0,""),LEN(W64)-LEN(SUBSTITUTE(W64,"、",""))+1))</f>
        <v/>
      </c>
      <c r="N64" s="85">
        <f>IF(OR(Y64="估算法",Y64="算法类",Y64="无法识别"),"",IF(X64="",IF(OR(J64="ILF",J64="EIF"),0,""),LEN(X64)-LEN(SUBSTITUTE(X64,"、",""))+1))</f>
        <v/>
      </c>
      <c r="O64" s="85">
        <f>IF(OR(Y64="估算法",Y64="算法类",Y64="无法识别"),"",IF(Y64="",IF(OR(J64="ILF",J64="EIF",J64="EI",J64="EO",J64="EQ"),0,""),LEN(Y64)-LEN(SUBSTITUTE(SUBSTITUTE(SUBSTITUTE(SUBSTITUTE(SUBSTITUTE(Y64,"|}","--"),"{|","--"),CHAR(10),""),"、",""),"|",""))+IF(AND(OR(J64="EI",J64="EO",J64="EQ"),$AE$1="NESMA"),2,1)))</f>
        <v/>
      </c>
      <c r="P64" s="86">
        <f>IF(J64="EI",IF(OR(Y64="估算法",Y64="算法类"),"中",IF(Y64="无法识别","低",IF(M64&lt;2,IF(O64&lt;16,"低","中"),IF(M64&lt;3,IF(O64&lt;5,"低",IF(O64&lt;16,"中","高")),IF(O64&lt;5,"中","高"))))),IF(OR(J64="EO",J64="EQ"),IF(OR(Y64="估算法",Y64="算法类"),"中",IF(Y64="无法识别","低",IF(M64&lt;2,IF(O64&lt;20,"低","中"),IF(M64&lt;4,IF(O64&lt;6,"低",IF(O64&lt;20,"中","高")),IF(O64&lt;6,"中","高"))))),IF(OR(J64="ILF",J64="EIF"),IF(OR(Y64="估算法",Y64="算法类",Y64="无法识别"),"低",IF(N64&lt;2,IF(O64&lt;51,"低","中"),IF(N64&lt;6,IF(O64&lt;20,"低",IF(O64&lt;51,"中","高")),IF(O64&lt;20,"中","高")))),"不计算")))</f>
        <v/>
      </c>
      <c r="Q64" s="172">
        <f>IFERROR(IF(J64="EI",IF(P64="低",3,IF(P64="中",4,6)),IF(J64="EO",IF(P64="低",4,IF(P64="中",5,7)),IF(J64="EQ",IF(P64="低",3,IF(P64="中",4,6)),IF(J64="ILF",IF(P64="低",7,IF(P64="中",10,15)),IF(J64="EIF",IF(P64="低",5,IF(P64="中",7,10)),"不计算")))))*R64,"不计算")</f>
        <v/>
      </c>
      <c r="R64" s="172" t="n">
        <v>1</v>
      </c>
      <c r="S64" s="173">
        <f>调整因子!$F$13</f>
        <v/>
      </c>
      <c r="T64" s="92" t="n">
        <v>1</v>
      </c>
      <c r="U64" s="174">
        <f>IFERROR(Q64*S64,0)</f>
        <v/>
      </c>
      <c r="V64" s="174">
        <f>U64*T64</f>
        <v/>
      </c>
      <c r="W64" s="90" t="inlineStr">
        <is>
          <t>弱账号管理表、弱密码管理表、弱口令组合管理表</t>
        </is>
      </c>
      <c r="X64" s="91" t="n"/>
      <c r="Y64"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4" s="90" t="n"/>
      <c r="AA64" s="90" t="n"/>
      <c r="AB64" s="90" t="inlineStr">
        <is>
          <t>插件部侧审核接口回参文件、指纹参数文件、数据库变更日志表、数据库变更日志锁表</t>
        </is>
      </c>
      <c r="AC64" s="66" t="n"/>
    </row>
    <row r="65" customFormat="1" s="66">
      <c r="A65" s="72">
        <f>ROW()-1</f>
        <v/>
      </c>
      <c r="B65" s="175" t="n"/>
      <c r="C65" s="80" t="n">
        <v>2025</v>
      </c>
      <c r="D65" s="80" t="inlineStr">
        <is>
          <t>仲光华</t>
        </is>
      </c>
      <c r="E65" s="81">
        <f>VLOOKUP(I65,'25年交付功能（不含废弃）'!A:A,1,FALSE)</f>
        <v/>
      </c>
      <c r="F65" s="175" t="n"/>
      <c r="G65" s="175" t="n"/>
      <c r="H65" s="176" t="n"/>
      <c r="I65" s="81" t="inlineStr">
        <is>
          <t>口令字典批量导入</t>
        </is>
      </c>
      <c r="J65" s="93" t="inlineStr">
        <is>
          <t>EI</t>
        </is>
      </c>
      <c r="K65" s="84" t="n"/>
      <c r="L65" s="84" t="inlineStr">
        <is>
          <t>批量操作</t>
        </is>
      </c>
      <c r="M65" s="85">
        <f>IF(OR(Y65="估算法",Y65="算法类",Y65="无法识别"),"",IF(W65="",IF(OR(J65="EI",J65="EO",J65="EQ"),0,""),LEN(W65)-LEN(SUBSTITUTE(W65,"、",""))+1))</f>
        <v/>
      </c>
      <c r="N65" s="85">
        <f>IF(OR(Y65="估算法",Y65="算法类",Y65="无法识别"),"",IF(X65="",IF(OR(J65="ILF",J65="EIF"),0,""),LEN(X65)-LEN(SUBSTITUTE(X65,"、",""))+1))</f>
        <v/>
      </c>
      <c r="O65" s="85">
        <f>IF(OR(Y65="估算法",Y65="算法类",Y65="无法识别"),"",IF(Y65="",IF(OR(J65="ILF",J65="EIF",J65="EI",J65="EO",J65="EQ"),0,""),LEN(Y65)-LEN(SUBSTITUTE(SUBSTITUTE(SUBSTITUTE(SUBSTITUTE(SUBSTITUTE(Y65,"|}","--"),"{|","--"),CHAR(10),""),"、",""),"|",""))+IF(AND(OR(J65="EI",J65="EO",J65="EQ"),$AE$1="NESMA"),2,1)))</f>
        <v/>
      </c>
      <c r="P65" s="86">
        <f>IF(J65="EI",IF(OR(Y65="估算法",Y65="算法类"),"中",IF(Y65="无法识别","低",IF(M65&lt;2,IF(O65&lt;16,"低","中"),IF(M65&lt;3,IF(O65&lt;5,"低",IF(O65&lt;16,"中","高")),IF(O65&lt;5,"中","高"))))),IF(OR(J65="EO",J65="EQ"),IF(OR(Y65="估算法",Y65="算法类"),"中",IF(Y65="无法识别","低",IF(M65&lt;2,IF(O65&lt;20,"低","中"),IF(M65&lt;4,IF(O65&lt;6,"低",IF(O65&lt;20,"中","高")),IF(O65&lt;6,"中","高"))))),IF(OR(J65="ILF",J65="EIF"),IF(OR(Y65="估算法",Y65="算法类",Y65="无法识别"),"低",IF(N65&lt;2,IF(O65&lt;51,"低","中"),IF(N65&lt;6,IF(O65&lt;20,"低",IF(O65&lt;51,"中","高")),IF(O65&lt;20,"中","高")))),"不计算")))</f>
        <v/>
      </c>
      <c r="Q65" s="172">
        <f>IFERROR(IF(J65="EI",IF(P65="低",3,IF(P65="中",4,6)),IF(J65="EO",IF(P65="低",4,IF(P65="中",5,7)),IF(J65="EQ",IF(P65="低",3,IF(P65="中",4,6)),IF(J65="ILF",IF(P65="低",7,IF(P65="中",10,15)),IF(J65="EIF",IF(P65="低",5,IF(P65="中",7,10)),"不计算")))))*R65,"不计算")</f>
        <v/>
      </c>
      <c r="R65" s="172" t="n">
        <v>0.333333333333333</v>
      </c>
      <c r="S65" s="173">
        <f>调整因子!$F$13</f>
        <v/>
      </c>
      <c r="T65" s="93" t="n">
        <v>1</v>
      </c>
      <c r="U65" s="174">
        <f>IFERROR(Q65*S65,0)</f>
        <v/>
      </c>
      <c r="V65" s="174">
        <f>U65*T65</f>
        <v/>
      </c>
      <c r="W65" s="90" t="inlineStr">
        <is>
          <t>弱账号管理表、弱密码管理表、弱口令组合管理表</t>
        </is>
      </c>
      <c r="X65" s="91" t="n"/>
      <c r="Y65"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65" s="90" t="n"/>
      <c r="AA65" s="90" t="n"/>
      <c r="AB65" s="90" t="inlineStr">
        <is>
          <t>插件漏洞表、插件审核表、数据库变更日志表、数据库变更日志锁表</t>
        </is>
      </c>
      <c r="AC65" s="66" t="n"/>
    </row>
    <row r="66" customFormat="1" s="66">
      <c r="A66" s="72">
        <f>ROW()-1</f>
        <v/>
      </c>
      <c r="B66" s="175" t="n"/>
      <c r="C66" s="80" t="n">
        <v>2025</v>
      </c>
      <c r="D66" s="80" t="inlineStr">
        <is>
          <t>仲光华</t>
        </is>
      </c>
      <c r="E66" s="81">
        <f>VLOOKUP(I66,'25年交付功能（不含废弃）'!A:A,1,FALSE)</f>
        <v/>
      </c>
      <c r="F66" s="175" t="n"/>
      <c r="G66" s="175" t="n"/>
      <c r="H66" s="82" t="inlineStr">
        <is>
          <t>口令字典应用配置</t>
        </is>
      </c>
      <c r="I66" s="81" t="inlineStr">
        <is>
          <t>弱口令列表查询</t>
        </is>
      </c>
      <c r="J66" s="93" t="inlineStr">
        <is>
          <t>EQ</t>
        </is>
      </c>
      <c r="K66" s="84" t="n"/>
      <c r="L66" s="84" t="n"/>
      <c r="M66" s="85">
        <f>IF(OR(Y66="估算法",Y66="算法类",Y66="无法识别"),"",IF(W66="",IF(OR(J66="EI",J66="EO",J66="EQ"),0,""),LEN(W66)-LEN(SUBSTITUTE(W66,"、",""))+1))</f>
        <v/>
      </c>
      <c r="N66" s="85">
        <f>IF(OR(Y66="估算法",Y66="算法类",Y66="无法识别"),"",IF(X66="",IF(OR(J66="ILF",J66="EIF"),0,""),LEN(X66)-LEN(SUBSTITUTE(X66,"、",""))+1))</f>
        <v/>
      </c>
      <c r="O66" s="85">
        <f>IF(OR(Y66="估算法",Y66="算法类",Y66="无法识别"),"",IF(Y66="",IF(OR(J66="ILF",J66="EIF",J66="EI",J66="EO",J66="EQ"),0,""),LEN(Y66)-LEN(SUBSTITUTE(SUBSTITUTE(SUBSTITUTE(SUBSTITUTE(SUBSTITUTE(Y66,"|}","--"),"{|","--"),CHAR(10),""),"、",""),"|",""))+IF(AND(OR(J66="EI",J66="EO",J66="EQ"),$AE$1="NESMA"),2,1)))</f>
        <v/>
      </c>
      <c r="P66" s="86">
        <f>IF(J66="EI",IF(OR(Y66="估算法",Y66="算法类"),"中",IF(Y66="无法识别","低",IF(M66&lt;2,IF(O66&lt;16,"低","中"),IF(M66&lt;3,IF(O66&lt;5,"低",IF(O66&lt;16,"中","高")),IF(O66&lt;5,"中","高"))))),IF(OR(J66="EO",J66="EQ"),IF(OR(Y66="估算法",Y66="算法类"),"中",IF(Y66="无法识别","低",IF(M66&lt;2,IF(O66&lt;20,"低","中"),IF(M66&lt;4,IF(O66&lt;6,"低",IF(O66&lt;20,"中","高")),IF(O66&lt;6,"中","高"))))),IF(OR(J66="ILF",J66="EIF"),IF(OR(Y66="估算法",Y66="算法类",Y66="无法识别"),"低",IF(N66&lt;2,IF(O66&lt;51,"低","中"),IF(N66&lt;6,IF(O66&lt;20,"低",IF(O66&lt;51,"中","高")),IF(O66&lt;20,"中","高")))),"不计算")))</f>
        <v/>
      </c>
      <c r="Q66" s="172">
        <f>IFERROR(IF(J66="EI",IF(P66="低",3,IF(P66="中",4,6)),IF(J66="EO",IF(P66="低",4,IF(P66="中",5,7)),IF(J66="EQ",IF(P66="低",3,IF(P66="中",4,6)),IF(J66="ILF",IF(P66="低",7,IF(P66="中",10,15)),IF(J66="EIF",IF(P66="低",5,IF(P66="中",7,10)),"不计算")))))*R66,"不计算")</f>
        <v/>
      </c>
      <c r="R66" s="172" t="n">
        <v>1</v>
      </c>
      <c r="S66" s="173">
        <f>调整因子!$F$13</f>
        <v/>
      </c>
      <c r="T66" s="92" t="n">
        <v>1</v>
      </c>
      <c r="U66" s="174">
        <f>IFERROR(Q66*S66,0)</f>
        <v/>
      </c>
      <c r="V66" s="174">
        <f>U66*T66</f>
        <v/>
      </c>
      <c r="W66" s="90" t="inlineStr">
        <is>
          <t>弱账号管理表、弱密码管理表、弱口令组合管理表、弱口令配置表、扫描节点表、扫描器分类表、安全厂商信息</t>
        </is>
      </c>
      <c r="X66" s="91" t="n"/>
      <c r="Y66"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6" s="90" t="n"/>
      <c r="AA66" s="90" t="n"/>
      <c r="AB66" s="90" t="inlineStr">
        <is>
          <t>插件审核表、数据库变更日志表、数据库变更日志锁表、插件漏洞表</t>
        </is>
      </c>
      <c r="AC66" s="66" t="n"/>
    </row>
    <row r="67" customFormat="1" s="66">
      <c r="A67" s="72">
        <f>ROW()-1</f>
        <v/>
      </c>
      <c r="B67" s="175" t="n"/>
      <c r="C67" s="80" t="n">
        <v>2025</v>
      </c>
      <c r="D67" s="80" t="inlineStr">
        <is>
          <t>仲光华</t>
        </is>
      </c>
      <c r="E67" s="81">
        <f>VLOOKUP(I67,'25年交付功能（不含废弃）'!A:A,1,FALSE)</f>
        <v/>
      </c>
      <c r="F67" s="175" t="n"/>
      <c r="G67" s="175" t="n"/>
      <c r="H67" s="175" t="n"/>
      <c r="I67" s="81" t="inlineStr">
        <is>
          <t>新增弱口令配置</t>
        </is>
      </c>
      <c r="J67" s="93" t="inlineStr">
        <is>
          <t>EI</t>
        </is>
      </c>
      <c r="K67" s="84" t="n"/>
      <c r="L67" s="84" t="n"/>
      <c r="M67" s="85">
        <f>IF(OR(Y67="估算法",Y67="算法类",Y67="无法识别"),"",IF(W67="",IF(OR(J67="EI",J67="EO",J67="EQ"),0,""),LEN(W67)-LEN(SUBSTITUTE(W67,"、",""))+1))</f>
        <v/>
      </c>
      <c r="N67" s="85">
        <f>IF(OR(Y67="估算法",Y67="算法类",Y67="无法识别"),"",IF(X67="",IF(OR(J67="ILF",J67="EIF"),0,""),LEN(X67)-LEN(SUBSTITUTE(X67,"、",""))+1))</f>
        <v/>
      </c>
      <c r="O67" s="85">
        <f>IF(OR(Y67="估算法",Y67="算法类",Y67="无法识别"),"",IF(Y67="",IF(OR(J67="ILF",J67="EIF",J67="EI",J67="EO",J67="EQ"),0,""),LEN(Y67)-LEN(SUBSTITUTE(SUBSTITUTE(SUBSTITUTE(SUBSTITUTE(SUBSTITUTE(Y67,"|}","--"),"{|","--"),CHAR(10),""),"、",""),"|",""))+IF(AND(OR(J67="EI",J67="EO",J67="EQ"),$AE$1="NESMA"),2,1)))</f>
        <v/>
      </c>
      <c r="P67" s="86">
        <f>IF(J67="EI",IF(OR(Y67="估算法",Y67="算法类"),"中",IF(Y67="无法识别","低",IF(M67&lt;2,IF(O67&lt;16,"低","中"),IF(M67&lt;3,IF(O67&lt;5,"低",IF(O67&lt;16,"中","高")),IF(O67&lt;5,"中","高"))))),IF(OR(J67="EO",J67="EQ"),IF(OR(Y67="估算法",Y67="算法类"),"中",IF(Y67="无法识别","低",IF(M67&lt;2,IF(O67&lt;20,"低","中"),IF(M67&lt;4,IF(O67&lt;6,"低",IF(O67&lt;20,"中","高")),IF(O67&lt;6,"中","高"))))),IF(OR(J67="ILF",J67="EIF"),IF(OR(Y67="估算法",Y67="算法类",Y67="无法识别"),"低",IF(N67&lt;2,IF(O67&lt;51,"低","中"),IF(N67&lt;6,IF(O67&lt;20,"低",IF(O67&lt;51,"中","高")),IF(O67&lt;20,"中","高")))),"不计算")))</f>
        <v/>
      </c>
      <c r="Q67" s="172">
        <f>IFERROR(IF(J67="EI",IF(P67="低",3,IF(P67="中",4,6)),IF(J67="EO",IF(P67="低",4,IF(P67="中",5,7)),IF(J67="EQ",IF(P67="低",3,IF(P67="中",4,6)),IF(J67="ILF",IF(P67="低",7,IF(P67="中",10,15)),IF(J67="EIF",IF(P67="低",5,IF(P67="中",7,10)),"不计算")))))*R67,"不计算")</f>
        <v/>
      </c>
      <c r="R67" s="172" t="n">
        <v>1</v>
      </c>
      <c r="S67" s="173">
        <f>调整因子!$F$13</f>
        <v/>
      </c>
      <c r="T67" s="92" t="n">
        <v>1</v>
      </c>
      <c r="U67" s="174">
        <f>IFERROR(Q67*S67,0)</f>
        <v/>
      </c>
      <c r="V67" s="174">
        <f>U67*T67</f>
        <v/>
      </c>
      <c r="W67" s="90" t="inlineStr">
        <is>
          <t>弱账号管理表、弱密码管理表、弱口令组合管理表、弱口令配置表、扫描节点表、扫描器分类表、安全厂商信息</t>
        </is>
      </c>
      <c r="X67" s="91" t="n"/>
      <c r="Y67"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7" s="90" t="n"/>
      <c r="AA67" s="90" t="n"/>
      <c r="AB67" s="90" t="inlineStr">
        <is>
          <t>插件漏洞表、插件审核表、数据库变更日志表</t>
        </is>
      </c>
      <c r="AC67" s="66" t="n"/>
    </row>
    <row r="68" customFormat="1" s="66">
      <c r="A68" s="72">
        <f>ROW()-1</f>
        <v/>
      </c>
      <c r="B68" s="175" t="n"/>
      <c r="C68" s="80" t="n">
        <v>2025</v>
      </c>
      <c r="D68" s="80" t="inlineStr">
        <is>
          <t>仲光华</t>
        </is>
      </c>
      <c r="E68" s="81">
        <f>VLOOKUP(I68,'25年交付功能（不含废弃）'!A:A,1,FALSE)</f>
        <v/>
      </c>
      <c r="F68" s="175" t="n"/>
      <c r="G68" s="175" t="n"/>
      <c r="H68" s="175" t="n"/>
      <c r="I68" s="81" t="inlineStr">
        <is>
          <t>修改弱口令配置</t>
        </is>
      </c>
      <c r="J68" s="93" t="inlineStr">
        <is>
          <t>EI</t>
        </is>
      </c>
      <c r="K68" s="84" t="n"/>
      <c r="L68" s="84" t="n"/>
      <c r="M68" s="85">
        <f>IF(OR(Y68="估算法",Y68="算法类",Y68="无法识别"),"",IF(W68="",IF(OR(J68="EI",J68="EO",J68="EQ"),0,""),LEN(W68)-LEN(SUBSTITUTE(W68,"、",""))+1))</f>
        <v/>
      </c>
      <c r="N68" s="85">
        <f>IF(OR(Y68="估算法",Y68="算法类",Y68="无法识别"),"",IF(X68="",IF(OR(J68="ILF",J68="EIF"),0,""),LEN(X68)-LEN(SUBSTITUTE(X68,"、",""))+1))</f>
        <v/>
      </c>
      <c r="O68" s="85">
        <f>IF(OR(Y68="估算法",Y68="算法类",Y68="无法识别"),"",IF(Y68="",IF(OR(J68="ILF",J68="EIF",J68="EI",J68="EO",J68="EQ"),0,""),LEN(Y68)-LEN(SUBSTITUTE(SUBSTITUTE(SUBSTITUTE(SUBSTITUTE(SUBSTITUTE(Y68,"|}","--"),"{|","--"),CHAR(10),""),"、",""),"|",""))+IF(AND(OR(J68="EI",J68="EO",J68="EQ"),$AE$1="NESMA"),2,1)))</f>
        <v/>
      </c>
      <c r="P68" s="86">
        <f>IF(J68="EI",IF(OR(Y68="估算法",Y68="算法类"),"中",IF(Y68="无法识别","低",IF(M68&lt;2,IF(O68&lt;16,"低","中"),IF(M68&lt;3,IF(O68&lt;5,"低",IF(O68&lt;16,"中","高")),IF(O68&lt;5,"中","高"))))),IF(OR(J68="EO",J68="EQ"),IF(OR(Y68="估算法",Y68="算法类"),"中",IF(Y68="无法识别","低",IF(M68&lt;2,IF(O68&lt;20,"低","中"),IF(M68&lt;4,IF(O68&lt;6,"低",IF(O68&lt;20,"中","高")),IF(O68&lt;6,"中","高"))))),IF(OR(J68="ILF",J68="EIF"),IF(OR(Y68="估算法",Y68="算法类",Y68="无法识别"),"低",IF(N68&lt;2,IF(O68&lt;51,"低","中"),IF(N68&lt;6,IF(O68&lt;20,"低",IF(O68&lt;51,"中","高")),IF(O68&lt;20,"中","高")))),"不计算")))</f>
        <v/>
      </c>
      <c r="Q68" s="172">
        <f>IFERROR(IF(J68="EI",IF(P68="低",3,IF(P68="中",4,6)),IF(J68="EO",IF(P68="低",4,IF(P68="中",5,7)),IF(J68="EQ",IF(P68="低",3,IF(P68="中",4,6)),IF(J68="ILF",IF(P68="低",7,IF(P68="中",10,15)),IF(J68="EIF",IF(P68="低",5,IF(P68="中",7,10)),"不计算")))))*R68,"不计算")</f>
        <v/>
      </c>
      <c r="R68" s="172" t="n">
        <v>0.333333333333333</v>
      </c>
      <c r="S68" s="173">
        <f>调整因子!$F$13</f>
        <v/>
      </c>
      <c r="T68" s="93" t="n">
        <v>1</v>
      </c>
      <c r="U68" s="174">
        <f>IFERROR(Q68*S68,0)</f>
        <v/>
      </c>
      <c r="V68" s="174">
        <f>U68*T68</f>
        <v/>
      </c>
      <c r="W68" s="90" t="inlineStr">
        <is>
          <t>弱账号管理表、弱密码管理表、弱口令组合管理表、弱口令配置表、扫描节点表、扫描器分类表、安全厂商信息</t>
        </is>
      </c>
      <c r="X68" s="91" t="n"/>
      <c r="Y68"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8" s="90" t="n"/>
      <c r="AA68" s="90" t="n"/>
      <c r="AB68" s="90" t="inlineStr">
        <is>
          <t>插件组表</t>
        </is>
      </c>
      <c r="AC68" s="66" t="n"/>
    </row>
    <row r="69" customFormat="1" s="66">
      <c r="A69" s="72">
        <f>ROW()-1</f>
        <v/>
      </c>
      <c r="B69" s="175" t="n"/>
      <c r="C69" s="80" t="n">
        <v>2025</v>
      </c>
      <c r="D69" s="80" t="inlineStr">
        <is>
          <t>仲光华</t>
        </is>
      </c>
      <c r="E69" s="81">
        <f>VLOOKUP(I69,'25年交付功能（不含废弃）'!A:A,1,FALSE)</f>
        <v/>
      </c>
      <c r="F69" s="175" t="n"/>
      <c r="G69" s="175" t="n"/>
      <c r="H69" s="175" t="n"/>
      <c r="I69" s="81" t="inlineStr">
        <is>
          <t>删除弱口令配置</t>
        </is>
      </c>
      <c r="J69" s="93" t="inlineStr">
        <is>
          <t>EI</t>
        </is>
      </c>
      <c r="K69" s="84" t="n"/>
      <c r="L69" s="84" t="n"/>
      <c r="M69" s="85">
        <f>IF(OR(Y69="估算法",Y69="算法类",Y69="无法识别"),"",IF(W69="",IF(OR(J69="EI",J69="EO",J69="EQ"),0,""),LEN(W69)-LEN(SUBSTITUTE(W69,"、",""))+1))</f>
        <v/>
      </c>
      <c r="N69" s="85">
        <f>IF(OR(Y69="估算法",Y69="算法类",Y69="无法识别"),"",IF(X69="",IF(OR(J69="ILF",J69="EIF"),0,""),LEN(X69)-LEN(SUBSTITUTE(X69,"、",""))+1))</f>
        <v/>
      </c>
      <c r="O69" s="85">
        <f>IF(OR(Y69="估算法",Y69="算法类",Y69="无法识别"),"",IF(Y69="",IF(OR(J69="ILF",J69="EIF",J69="EI",J69="EO",J69="EQ"),0,""),LEN(Y69)-LEN(SUBSTITUTE(SUBSTITUTE(SUBSTITUTE(SUBSTITUTE(SUBSTITUTE(Y69,"|}","--"),"{|","--"),CHAR(10),""),"、",""),"|",""))+IF(AND(OR(J69="EI",J69="EO",J69="EQ"),$AE$1="NESMA"),2,1)))</f>
        <v/>
      </c>
      <c r="P69" s="86">
        <f>IF(J69="EI",IF(OR(Y69="估算法",Y69="算法类"),"中",IF(Y69="无法识别","低",IF(M69&lt;2,IF(O69&lt;16,"低","中"),IF(M69&lt;3,IF(O69&lt;5,"低",IF(O69&lt;16,"中","高")),IF(O69&lt;5,"中","高"))))),IF(OR(J69="EO",J69="EQ"),IF(OR(Y69="估算法",Y69="算法类"),"中",IF(Y69="无法识别","低",IF(M69&lt;2,IF(O69&lt;20,"低","中"),IF(M69&lt;4,IF(O69&lt;6,"低",IF(O69&lt;20,"中","高")),IF(O69&lt;6,"中","高"))))),IF(OR(J69="ILF",J69="EIF"),IF(OR(Y69="估算法",Y69="算法类",Y69="无法识别"),"低",IF(N69&lt;2,IF(O69&lt;51,"低","中"),IF(N69&lt;6,IF(O69&lt;20,"低",IF(O69&lt;51,"中","高")),IF(O69&lt;20,"中","高")))),"不计算")))</f>
        <v/>
      </c>
      <c r="Q69" s="172">
        <f>IFERROR(IF(J69="EI",IF(P69="低",3,IF(P69="中",4,6)),IF(J69="EO",IF(P69="低",4,IF(P69="中",5,7)),IF(J69="EQ",IF(P69="低",3,IF(P69="中",4,6)),IF(J69="ILF",IF(P69="低",7,IF(P69="中",10,15)),IF(J69="EIF",IF(P69="低",5,IF(P69="中",7,10)),"不计算")))))*R69,"不计算")</f>
        <v/>
      </c>
      <c r="R69" s="172" t="n">
        <v>0.333333333333333</v>
      </c>
      <c r="S69" s="173">
        <f>调整因子!$F$13</f>
        <v/>
      </c>
      <c r="T69" s="92" t="n">
        <v>1</v>
      </c>
      <c r="U69" s="174">
        <f>IFERROR(Q69*S69,0)</f>
        <v/>
      </c>
      <c r="V69" s="174">
        <f>U69*T69</f>
        <v/>
      </c>
      <c r="W69" s="90" t="inlineStr">
        <is>
          <t>弱账号管理表、弱密码管理表、弱口令组合管理表、弱口令配置表、扫描节点表、扫描器分类表、安全厂商信息</t>
        </is>
      </c>
      <c r="X69" s="91" t="n"/>
      <c r="Y69"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69" s="90" t="n"/>
      <c r="AA69" s="90" t="n"/>
      <c r="AB69" s="90" t="inlineStr">
        <is>
          <t>插件组表</t>
        </is>
      </c>
      <c r="AC69" s="66" t="n"/>
    </row>
    <row r="70" customFormat="1" s="66">
      <c r="A70" s="72">
        <f>ROW()-1</f>
        <v/>
      </c>
      <c r="B70" s="175" t="n"/>
      <c r="C70" s="80" t="n">
        <v>2025</v>
      </c>
      <c r="D70" s="80" t="inlineStr">
        <is>
          <t>仲光华</t>
        </is>
      </c>
      <c r="E70" s="81">
        <f>VLOOKUP(I70,'25年交付功能（不含废弃）'!A:A,1,FALSE)</f>
        <v/>
      </c>
      <c r="F70" s="175" t="n"/>
      <c r="G70" s="175" t="n"/>
      <c r="H70" s="176" t="n"/>
      <c r="I70" s="81" t="inlineStr">
        <is>
          <t>批量删除弱口令</t>
        </is>
      </c>
      <c r="J70" s="93" t="inlineStr">
        <is>
          <t>EI</t>
        </is>
      </c>
      <c r="K70" s="84" t="n"/>
      <c r="L70" s="84" t="inlineStr">
        <is>
          <t>批量操作</t>
        </is>
      </c>
      <c r="M70" s="85">
        <f>IF(OR(Y70="估算法",Y70="算法类",Y70="无法识别"),"",IF(W70="",IF(OR(J70="EI",J70="EO",J70="EQ"),0,""),LEN(W70)-LEN(SUBSTITUTE(W70,"、",""))+1))</f>
        <v/>
      </c>
      <c r="N70" s="85">
        <f>IF(OR(Y70="估算法",Y70="算法类",Y70="无法识别"),"",IF(X70="",IF(OR(J70="ILF",J70="EIF"),0,""),LEN(X70)-LEN(SUBSTITUTE(X70,"、",""))+1))</f>
        <v/>
      </c>
      <c r="O70" s="85">
        <f>IF(OR(Y70="估算法",Y70="算法类",Y70="无法识别"),"",IF(Y70="",IF(OR(J70="ILF",J70="EIF",J70="EI",J70="EO",J70="EQ"),0,""),LEN(Y70)-LEN(SUBSTITUTE(SUBSTITUTE(SUBSTITUTE(SUBSTITUTE(SUBSTITUTE(Y70,"|}","--"),"{|","--"),CHAR(10),""),"、",""),"|",""))+IF(AND(OR(J70="EI",J70="EO",J70="EQ"),$AE$1="NESMA"),2,1)))</f>
        <v/>
      </c>
      <c r="P70" s="86">
        <f>IF(J70="EI",IF(OR(Y70="估算法",Y70="算法类"),"中",IF(Y70="无法识别","低",IF(M70&lt;2,IF(O70&lt;16,"低","中"),IF(M70&lt;3,IF(O70&lt;5,"低",IF(O70&lt;16,"中","高")),IF(O70&lt;5,"中","高"))))),IF(OR(J70="EO",J70="EQ"),IF(OR(Y70="估算法",Y70="算法类"),"中",IF(Y70="无法识别","低",IF(M70&lt;2,IF(O70&lt;20,"低","中"),IF(M70&lt;4,IF(O70&lt;6,"低",IF(O70&lt;20,"中","高")),IF(O70&lt;6,"中","高"))))),IF(OR(J70="ILF",J70="EIF"),IF(OR(Y70="估算法",Y70="算法类",Y70="无法识别"),"低",IF(N70&lt;2,IF(O70&lt;51,"低","中"),IF(N70&lt;6,IF(O70&lt;20,"低",IF(O70&lt;51,"中","高")),IF(O70&lt;20,"中","高")))),"不计算")))</f>
        <v/>
      </c>
      <c r="Q70" s="172">
        <f>IFERROR(IF(J70="EI",IF(P70="低",3,IF(P70="中",4,6)),IF(J70="EO",IF(P70="低",4,IF(P70="中",5,7)),IF(J70="EQ",IF(P70="低",3,IF(P70="中",4,6)),IF(J70="ILF",IF(P70="低",7,IF(P70="中",10,15)),IF(J70="EIF",IF(P70="低",5,IF(P70="中",7,10)),"不计算")))))*R70,"不计算")</f>
        <v/>
      </c>
      <c r="R70" s="172" t="n">
        <v>0.333333333333333</v>
      </c>
      <c r="S70" s="173">
        <f>调整因子!$F$13</f>
        <v/>
      </c>
      <c r="T70" s="92" t="n">
        <v>1</v>
      </c>
      <c r="U70" s="174">
        <f>IFERROR(Q70*S70,0)</f>
        <v/>
      </c>
      <c r="V70" s="174">
        <f>U70*T70</f>
        <v/>
      </c>
      <c r="W70" s="90" t="inlineStr">
        <is>
          <t>弱账号管理表、弱密码管理表、弱口令组合管理表、弱口令配置表、扫描节点表、扫描器分类表、安全厂商信息</t>
        </is>
      </c>
      <c r="X70" s="91" t="n"/>
      <c r="Y70"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is>
      </c>
      <c r="Z70" s="90" t="n"/>
      <c r="AA70" s="90" t="n"/>
      <c r="AB70" s="90" t="inlineStr">
        <is>
          <t>插件组表</t>
        </is>
      </c>
      <c r="AC70" s="66" t="n"/>
    </row>
    <row r="71" customFormat="1" s="66">
      <c r="A71" s="72">
        <f>ROW()-1</f>
        <v/>
      </c>
      <c r="B71" s="175" t="n"/>
      <c r="C71" s="80" t="n">
        <v>2025</v>
      </c>
      <c r="D71" s="80" t="inlineStr">
        <is>
          <t>仲光华</t>
        </is>
      </c>
      <c r="E71" s="81">
        <f>VLOOKUP(I71,'25年交付功能（不含废弃）'!A:A,1,FALSE)</f>
        <v/>
      </c>
      <c r="F71" s="175" t="n"/>
      <c r="G71" s="175" t="n"/>
      <c r="H71" s="82" t="inlineStr">
        <is>
          <t>本省字典回传与更新</t>
        </is>
      </c>
      <c r="I71" s="81" t="inlineStr">
        <is>
          <t>未上传弱口令筛选</t>
        </is>
      </c>
      <c r="J71" s="93" t="n"/>
      <c r="K71" s="84" t="n"/>
      <c r="L71" s="84" t="inlineStr">
        <is>
          <t>和下行合并，相同事务功能</t>
        </is>
      </c>
      <c r="M71" s="85">
        <f>IF(OR(Y71="估算法",Y71="算法类",Y71="无法识别"),"",IF(W71="",IF(OR(J71="EI",J71="EO",J71="EQ"),0,""),LEN(W71)-LEN(SUBSTITUTE(W71,"、",""))+1))</f>
        <v/>
      </c>
      <c r="N71" s="85">
        <f>IF(OR(Y71="估算法",Y71="算法类",Y71="无法识别"),"",IF(X71="",IF(OR(J71="ILF",J71="EIF"),0,""),LEN(X71)-LEN(SUBSTITUTE(X71,"、",""))+1))</f>
        <v/>
      </c>
      <c r="O71" s="85">
        <f>IF(OR(Y71="估算法",Y71="算法类",Y71="无法识别"),"",IF(Y71="",IF(OR(J71="ILF",J71="EIF",J71="EI",J71="EO",J71="EQ"),0,""),LEN(Y71)-LEN(SUBSTITUTE(SUBSTITUTE(SUBSTITUTE(SUBSTITUTE(SUBSTITUTE(Y71,"|}","--"),"{|","--"),CHAR(10),""),"、",""),"|",""))+IF(AND(OR(J71="EI",J71="EO",J71="EQ"),$AE$1="NESMA"),2,1)))</f>
        <v/>
      </c>
      <c r="P71" s="86">
        <f>IF(J71="EI",IF(OR(Y71="估算法",Y71="算法类"),"中",IF(Y71="无法识别","低",IF(M71&lt;2,IF(O71&lt;16,"低","中"),IF(M71&lt;3,IF(O71&lt;5,"低",IF(O71&lt;16,"中","高")),IF(O71&lt;5,"中","高"))))),IF(OR(J71="EO",J71="EQ"),IF(OR(Y71="估算法",Y71="算法类"),"中",IF(Y71="无法识别","低",IF(M71&lt;2,IF(O71&lt;20,"低","中"),IF(M71&lt;4,IF(O71&lt;6,"低",IF(O71&lt;20,"中","高")),IF(O71&lt;6,"中","高"))))),IF(OR(J71="ILF",J71="EIF"),IF(OR(Y71="估算法",Y71="算法类",Y71="无法识别"),"低",IF(N71&lt;2,IF(O71&lt;51,"低","中"),IF(N71&lt;6,IF(O71&lt;20,"低",IF(O71&lt;51,"中","高")),IF(O71&lt;20,"中","高")))),"不计算")))</f>
        <v/>
      </c>
      <c r="Q71" s="172">
        <f>IFERROR(IF(J71="EI",IF(P71="低",3,IF(P71="中",4,6)),IF(J71="EO",IF(P71="低",4,IF(P71="中",5,7)),IF(J71="EQ",IF(P71="低",3,IF(P71="中",4,6)),IF(J71="ILF",IF(P71="低",7,IF(P71="中",10,15)),IF(J71="EIF",IF(P71="低",5,IF(P71="中",7,10)),"不计算")))))*R71,"不计算")</f>
        <v/>
      </c>
      <c r="R71" s="172" t="n">
        <v>1</v>
      </c>
      <c r="S71" s="173">
        <f>调整因子!$F$13</f>
        <v/>
      </c>
      <c r="T71" s="93" t="n">
        <v>1</v>
      </c>
      <c r="U71" s="174">
        <f>IFERROR(Q71*S71,0)</f>
        <v/>
      </c>
      <c r="V71" s="174">
        <f>U71*T71</f>
        <v/>
      </c>
      <c r="W71" s="90" t="inlineStr">
        <is>
          <t>弱账号管理表、弱密码管理表、弱口令组合管理表、口令字典同步明细记录表</t>
        </is>
      </c>
      <c r="X71" s="91" t="n"/>
      <c r="Y71"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71" s="90" t="n"/>
      <c r="AA71" s="90" t="n"/>
      <c r="AB71" s="90" t="inlineStr">
        <is>
          <t>引擎基本信息表、引擎版本管理表、插件组表</t>
        </is>
      </c>
      <c r="AC71" s="66" t="n"/>
    </row>
    <row r="72" customFormat="1" s="66">
      <c r="A72" s="72">
        <f>ROW()-1</f>
        <v/>
      </c>
      <c r="B72" s="175" t="n"/>
      <c r="C72" s="80" t="n">
        <v>2025</v>
      </c>
      <c r="D72" s="80" t="inlineStr">
        <is>
          <t>仲光华</t>
        </is>
      </c>
      <c r="E72" s="81">
        <f>VLOOKUP(I72,'25年交付功能（不含废弃）'!A:A,1,FALSE)</f>
        <v/>
      </c>
      <c r="F72" s="175" t="n"/>
      <c r="G72" s="175" t="n"/>
      <c r="H72" s="175" t="n"/>
      <c r="I72" s="81" t="inlineStr">
        <is>
          <t>回传弱口令</t>
        </is>
      </c>
      <c r="J72" s="93" t="inlineStr">
        <is>
          <t>EI</t>
        </is>
      </c>
      <c r="K72" s="84" t="n"/>
      <c r="L72" s="84" t="n"/>
      <c r="M72" s="85">
        <f>IF(OR(Y72="估算法",Y72="算法类",Y72="无法识别"),"",IF(W72="",IF(OR(J72="EI",J72="EO",J72="EQ"),0,""),LEN(W72)-LEN(SUBSTITUTE(W72,"、",""))+1))</f>
        <v/>
      </c>
      <c r="N72" s="85">
        <f>IF(OR(Y72="估算法",Y72="算法类",Y72="无法识别"),"",IF(X72="",IF(OR(J72="ILF",J72="EIF"),0,""),LEN(X72)-LEN(SUBSTITUTE(X72,"、",""))+1))</f>
        <v/>
      </c>
      <c r="O72" s="85">
        <f>IF(OR(Y72="估算法",Y72="算法类",Y72="无法识别"),"",IF(Y72="",IF(OR(J72="ILF",J72="EIF",J72="EI",J72="EO",J72="EQ"),0,""),LEN(Y72)-LEN(SUBSTITUTE(SUBSTITUTE(SUBSTITUTE(SUBSTITUTE(SUBSTITUTE(Y72,"|}","--"),"{|","--"),CHAR(10),""),"、",""),"|",""))+IF(AND(OR(J72="EI",J72="EO",J72="EQ"),$AE$1="NESMA"),2,1)))</f>
        <v/>
      </c>
      <c r="P72" s="86">
        <f>IF(J72="EI",IF(OR(Y72="估算法",Y72="算法类"),"中",IF(Y72="无法识别","低",IF(M72&lt;2,IF(O72&lt;16,"低","中"),IF(M72&lt;3,IF(O72&lt;5,"低",IF(O72&lt;16,"中","高")),IF(O72&lt;5,"中","高"))))),IF(OR(J72="EO",J72="EQ"),IF(OR(Y72="估算法",Y72="算法类"),"中",IF(Y72="无法识别","低",IF(M72&lt;2,IF(O72&lt;20,"低","中"),IF(M72&lt;4,IF(O72&lt;6,"低",IF(O72&lt;20,"中","高")),IF(O72&lt;6,"中","高"))))),IF(OR(J72="ILF",J72="EIF"),IF(OR(Y72="估算法",Y72="算法类",Y72="无法识别"),"低",IF(N72&lt;2,IF(O72&lt;51,"低","中"),IF(N72&lt;6,IF(O72&lt;20,"低",IF(O72&lt;51,"中","高")),IF(O72&lt;20,"中","高")))),"不计算")))</f>
        <v/>
      </c>
      <c r="Q72" s="172">
        <f>IFERROR(IF(J72="EI",IF(P72="低",3,IF(P72="中",4,6)),IF(J72="EO",IF(P72="低",4,IF(P72="中",5,7)),IF(J72="EQ",IF(P72="低",3,IF(P72="中",4,6)),IF(J72="ILF",IF(P72="低",7,IF(P72="中",10,15)),IF(J72="EIF",IF(P72="低",5,IF(P72="中",7,10)),"不计算")))))*R72,"不计算")</f>
        <v/>
      </c>
      <c r="R72" s="172" t="n">
        <v>1</v>
      </c>
      <c r="S72" s="173">
        <f>调整因子!$F$13</f>
        <v/>
      </c>
      <c r="T72" s="92" t="n">
        <v>1</v>
      </c>
      <c r="U72" s="174">
        <f>IFERROR(Q72*S72,0)</f>
        <v/>
      </c>
      <c r="V72" s="174">
        <f>U72*T72</f>
        <v/>
      </c>
      <c r="W72" s="90" t="inlineStr">
        <is>
          <t>弱账号管理表、弱密码管理表、弱口令组合管理表、口令字典同步明细记录表</t>
        </is>
      </c>
      <c r="X72" s="91" t="n"/>
      <c r="Y72" s="90" t="inlineStr">
        <is>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is>
      </c>
      <c r="Z72" s="90" t="n"/>
      <c r="AA72" s="90" t="n"/>
      <c r="AB72" s="90" t="inlineStr">
        <is>
          <t>插件组表、引擎基本信息表、引擎版本管理表</t>
        </is>
      </c>
      <c r="AC72" s="66" t="n"/>
    </row>
    <row r="73" customFormat="1" s="66">
      <c r="A73" s="72">
        <f>ROW()-1</f>
        <v/>
      </c>
      <c r="B73" s="175" t="n"/>
      <c r="C73" s="80" t="n">
        <v>2025</v>
      </c>
      <c r="D73" s="80" t="inlineStr">
        <is>
          <t>仲光华</t>
        </is>
      </c>
      <c r="E73" s="81">
        <f>VLOOKUP(I73,'25年交付功能（不含废弃）'!A:A,1,FALSE)</f>
        <v/>
      </c>
      <c r="F73" s="175" t="n"/>
      <c r="G73" s="175" t="n"/>
      <c r="H73" s="175" t="n"/>
      <c r="I73" s="98" t="inlineStr">
        <is>
          <t>弱账号管理表</t>
        </is>
      </c>
      <c r="J73" s="93" t="inlineStr">
        <is>
          <t>ILF</t>
        </is>
      </c>
      <c r="K73" s="84" t="n"/>
      <c r="L73" s="84" t="n"/>
      <c r="M73" s="85">
        <f>IF(OR(Y73="估算法",Y73="算法类",Y73="无法识别"),"",IF(W73="",IF(OR(J73="EI",J73="EO",J73="EQ"),0,""),LEN(W73)-LEN(SUBSTITUTE(W73,"、",""))+1))</f>
        <v/>
      </c>
      <c r="N73" s="85">
        <f>IF(OR(Y73="估算法",Y73="算法类",Y73="无法识别"),"",IF(X73="",IF(OR(J73="ILF",J73="EIF"),0,""),LEN(X73)-LEN(SUBSTITUTE(X73,"、",""))+1))</f>
        <v/>
      </c>
      <c r="O73" s="85">
        <f>IF(OR(Y73="估算法",Y73="算法类",Y73="无法识别"),"",IF(Y73="",IF(OR(J73="ILF",J73="EIF",J73="EI",J73="EO",J73="EQ"),0,""),LEN(Y73)-LEN(SUBSTITUTE(SUBSTITUTE(SUBSTITUTE(SUBSTITUTE(SUBSTITUTE(Y73,"|}","--"),"{|","--"),CHAR(10),""),"、",""),"|",""))+IF(AND(OR(J73="EI",J73="EO",J73="EQ"),$AE$1="NESMA"),2,1)))</f>
        <v/>
      </c>
      <c r="P73" s="86">
        <f>IF(J73="EI",IF(OR(Y73="估算法",Y73="算法类"),"中",IF(Y73="无法识别","低",IF(M73&lt;2,IF(O73&lt;16,"低","中"),IF(M73&lt;3,IF(O73&lt;5,"低",IF(O73&lt;16,"中","高")),IF(O73&lt;5,"中","高"))))),IF(OR(J73="EO",J73="EQ"),IF(OR(Y73="估算法",Y73="算法类"),"中",IF(Y73="无法识别","低",IF(M73&lt;2,IF(O73&lt;20,"低","中"),IF(M73&lt;4,IF(O73&lt;6,"低",IF(O73&lt;20,"中","高")),IF(O73&lt;6,"中","高"))))),IF(OR(J73="ILF",J73="EIF"),IF(OR(Y73="估算法",Y73="算法类",Y73="无法识别"),"低",IF(N73&lt;2,IF(O73&lt;51,"低","中"),IF(N73&lt;6,IF(O73&lt;20,"低",IF(O73&lt;51,"中","高")),IF(O73&lt;20,"中","高")))),"不计算")))</f>
        <v/>
      </c>
      <c r="Q73" s="172">
        <f>IFERROR(IF(J73="EI",IF(P73="低",3,IF(P73="中",4,6)),IF(J73="EO",IF(P73="低",4,IF(P73="中",5,7)),IF(J73="EQ",IF(P73="低",3,IF(P73="中",4,6)),IF(J73="ILF",IF(P73="低",7,IF(P73="中",10,15)),IF(J73="EIF",IF(P73="低",5,IF(P73="中",7,10)),"不计算")))))*R73,"不计算")</f>
        <v/>
      </c>
      <c r="R73" s="172" t="n">
        <v>1</v>
      </c>
      <c r="S73" s="173">
        <f>调整因子!$F$13</f>
        <v/>
      </c>
      <c r="T73" s="92" t="n">
        <v>1</v>
      </c>
      <c r="U73" s="174">
        <f>IFERROR(Q73*S73,0)</f>
        <v/>
      </c>
      <c r="V73" s="174">
        <f>U73*T73</f>
        <v/>
      </c>
      <c r="W73" s="98" t="n"/>
      <c r="X73" s="90" t="inlineStr">
        <is>
          <t>弱账号管理表</t>
        </is>
      </c>
      <c r="Y73" s="90" t="inlineStr">
        <is>
          <t>弱账号管理表{ID、弱账号名称、弱账号内容、弱账号内容MD5值、类型、创建时间、创建人、最后修改时间、修改人、备注}</t>
        </is>
      </c>
      <c r="Z73" s="90">
        <f>IF(COUNTIFS(W:W,"*"&amp;I73&amp;"*")&gt;0,"存在","不存在")</f>
        <v/>
      </c>
      <c r="AA73" s="90">
        <f>IF(COUNTIFS(AB:AB,"*"&amp;I73&amp;"*")&gt;0,"存在","不存在")</f>
        <v/>
      </c>
      <c r="AB73" s="90" t="inlineStr">
        <is>
          <t>引擎基本信息表</t>
        </is>
      </c>
      <c r="AC73" s="66" t="n"/>
    </row>
    <row r="74" customFormat="1" s="66">
      <c r="A74" s="72">
        <f>ROW()-1</f>
        <v/>
      </c>
      <c r="B74" s="175" t="n"/>
      <c r="C74" s="80" t="n">
        <v>2025</v>
      </c>
      <c r="D74" s="80" t="inlineStr">
        <is>
          <t>仲光华</t>
        </is>
      </c>
      <c r="E74" s="81">
        <f>VLOOKUP(I74,'25年交付功能（不含废弃）'!A:A,1,FALSE)</f>
        <v/>
      </c>
      <c r="F74" s="175" t="n"/>
      <c r="G74" s="175" t="n"/>
      <c r="H74" s="175" t="n"/>
      <c r="I74" s="98" t="inlineStr">
        <is>
          <t>弱密码管理表</t>
        </is>
      </c>
      <c r="J74" s="93" t="inlineStr">
        <is>
          <t>ILF</t>
        </is>
      </c>
      <c r="K74" s="84" t="n"/>
      <c r="L74" s="84" t="n"/>
      <c r="M74" s="85">
        <f>IF(OR(Y74="估算法",Y74="算法类",Y74="无法识别"),"",IF(W74="",IF(OR(J74="EI",J74="EO",J74="EQ"),0,""),LEN(W74)-LEN(SUBSTITUTE(W74,"、",""))+1))</f>
        <v/>
      </c>
      <c r="N74" s="85">
        <f>IF(OR(Y74="估算法",Y74="算法类",Y74="无法识别"),"",IF(X74="",IF(OR(J74="ILF",J74="EIF"),0,""),LEN(X74)-LEN(SUBSTITUTE(X74,"、",""))+1))</f>
        <v/>
      </c>
      <c r="O74" s="85">
        <f>IF(OR(Y74="估算法",Y74="算法类",Y74="无法识别"),"",IF(Y74="",IF(OR(J74="ILF",J74="EIF",J74="EI",J74="EO",J74="EQ"),0,""),LEN(Y74)-LEN(SUBSTITUTE(SUBSTITUTE(SUBSTITUTE(SUBSTITUTE(SUBSTITUTE(Y74,"|}","--"),"{|","--"),CHAR(10),""),"、",""),"|",""))+IF(AND(OR(J74="EI",J74="EO",J74="EQ"),$AE$1="NESMA"),2,1)))</f>
        <v/>
      </c>
      <c r="P74" s="86">
        <f>IF(J74="EI",IF(OR(Y74="估算法",Y74="算法类"),"中",IF(Y74="无法识别","低",IF(M74&lt;2,IF(O74&lt;16,"低","中"),IF(M74&lt;3,IF(O74&lt;5,"低",IF(O74&lt;16,"中","高")),IF(O74&lt;5,"中","高"))))),IF(OR(J74="EO",J74="EQ"),IF(OR(Y74="估算法",Y74="算法类"),"中",IF(Y74="无法识别","低",IF(M74&lt;2,IF(O74&lt;20,"低","中"),IF(M74&lt;4,IF(O74&lt;6,"低",IF(O74&lt;20,"中","高")),IF(O74&lt;6,"中","高"))))),IF(OR(J74="ILF",J74="EIF"),IF(OR(Y74="估算法",Y74="算法类",Y74="无法识别"),"低",IF(N74&lt;2,IF(O74&lt;51,"低","中"),IF(N74&lt;6,IF(O74&lt;20,"低",IF(O74&lt;51,"中","高")),IF(O74&lt;20,"中","高")))),"不计算")))</f>
        <v/>
      </c>
      <c r="Q74" s="172">
        <f>IFERROR(IF(J74="EI",IF(P74="低",3,IF(P74="中",4,6)),IF(J74="EO",IF(P74="低",4,IF(P74="中",5,7)),IF(J74="EQ",IF(P74="低",3,IF(P74="中",4,6)),IF(J74="ILF",IF(P74="低",7,IF(P74="中",10,15)),IF(J74="EIF",IF(P74="低",5,IF(P74="中",7,10)),"不计算")))))*R74,"不计算")</f>
        <v/>
      </c>
      <c r="R74" s="172" t="n">
        <v>1</v>
      </c>
      <c r="S74" s="173">
        <f>调整因子!$F$13</f>
        <v/>
      </c>
      <c r="T74" s="93" t="n">
        <v>1</v>
      </c>
      <c r="U74" s="174">
        <f>IFERROR(Q74*S74,0)</f>
        <v/>
      </c>
      <c r="V74" s="174">
        <f>U74*T74</f>
        <v/>
      </c>
      <c r="W74" s="98" t="n"/>
      <c r="X74" s="90" t="inlineStr">
        <is>
          <t>弱密码管理表</t>
        </is>
      </c>
      <c r="Y74" s="90" t="inlineStr">
        <is>
          <t>弱密码管理表{ID、弱密码名称、弱密码内容、弱密码内容MD5值、类型、创建时间、创建人、最后修改时间、修改人、备注}</t>
        </is>
      </c>
      <c r="Z74" s="90">
        <f>IF(COUNTIFS(W:W,"*"&amp;I74&amp;"*")&gt;0,"存在","不存在")</f>
        <v/>
      </c>
      <c r="AA74" s="90">
        <f>IF(COUNTIFS(AB:AB,"*"&amp;I74&amp;"*")&gt;0,"存在","不存在")</f>
        <v/>
      </c>
      <c r="AB74" s="90" t="inlineStr">
        <is>
          <t>引擎基本信息表</t>
        </is>
      </c>
      <c r="AC74" s="66" t="n"/>
    </row>
    <row r="75" customFormat="1" s="66">
      <c r="A75" s="72">
        <f>ROW()-1</f>
        <v/>
      </c>
      <c r="B75" s="175" t="n"/>
      <c r="C75" s="80" t="n">
        <v>2025</v>
      </c>
      <c r="D75" s="80" t="inlineStr">
        <is>
          <t>仲光华</t>
        </is>
      </c>
      <c r="E75" s="81">
        <f>VLOOKUP(I75,'25年交付功能（不含废弃）'!A:A,1,FALSE)</f>
        <v/>
      </c>
      <c r="F75" s="175" t="n"/>
      <c r="G75" s="175" t="n"/>
      <c r="H75" s="175" t="n"/>
      <c r="I75" s="98" t="inlineStr">
        <is>
          <t>弱口令组合管理表</t>
        </is>
      </c>
      <c r="J75" s="93" t="inlineStr">
        <is>
          <t>ILF</t>
        </is>
      </c>
      <c r="K75" s="84" t="n"/>
      <c r="L75" s="84" t="n"/>
      <c r="M75" s="85">
        <f>IF(OR(Y75="估算法",Y75="算法类",Y75="无法识别"),"",IF(W75="",IF(OR(J75="EI",J75="EO",J75="EQ"),0,""),LEN(W75)-LEN(SUBSTITUTE(W75,"、",""))+1))</f>
        <v/>
      </c>
      <c r="N75" s="85">
        <f>IF(OR(Y75="估算法",Y75="算法类",Y75="无法识别"),"",IF(X75="",IF(OR(J75="ILF",J75="EIF"),0,""),LEN(X75)-LEN(SUBSTITUTE(X75,"、",""))+1))</f>
        <v/>
      </c>
      <c r="O75" s="85">
        <f>IF(OR(Y75="估算法",Y75="算法类",Y75="无法识别"),"",IF(Y75="",IF(OR(J75="ILF",J75="EIF",J75="EI",J75="EO",J75="EQ"),0,""),LEN(Y75)-LEN(SUBSTITUTE(SUBSTITUTE(SUBSTITUTE(SUBSTITUTE(SUBSTITUTE(Y75,"|}","--"),"{|","--"),CHAR(10),""),"、",""),"|",""))+IF(AND(OR(J75="EI",J75="EO",J75="EQ"),$AE$1="NESMA"),2,1)))</f>
        <v/>
      </c>
      <c r="P75" s="86">
        <f>IF(J75="EI",IF(OR(Y75="估算法",Y75="算法类"),"中",IF(Y75="无法识别","低",IF(M75&lt;2,IF(O75&lt;16,"低","中"),IF(M75&lt;3,IF(O75&lt;5,"低",IF(O75&lt;16,"中","高")),IF(O75&lt;5,"中","高"))))),IF(OR(J75="EO",J75="EQ"),IF(OR(Y75="估算法",Y75="算法类"),"中",IF(Y75="无法识别","低",IF(M75&lt;2,IF(O75&lt;20,"低","中"),IF(M75&lt;4,IF(O75&lt;6,"低",IF(O75&lt;20,"中","高")),IF(O75&lt;6,"中","高"))))),IF(OR(J75="ILF",J75="EIF"),IF(OR(Y75="估算法",Y75="算法类",Y75="无法识别"),"低",IF(N75&lt;2,IF(O75&lt;51,"低","中"),IF(N75&lt;6,IF(O75&lt;20,"低",IF(O75&lt;51,"中","高")),IF(O75&lt;20,"中","高")))),"不计算")))</f>
        <v/>
      </c>
      <c r="Q75" s="172">
        <f>IFERROR(IF(J75="EI",IF(P75="低",3,IF(P75="中",4,6)),IF(J75="EO",IF(P75="低",4,IF(P75="中",5,7)),IF(J75="EQ",IF(P75="低",3,IF(P75="中",4,6)),IF(J75="ILF",IF(P75="低",7,IF(P75="中",10,15)),IF(J75="EIF",IF(P75="低",5,IF(P75="中",7,10)),"不计算")))))*R75,"不计算")</f>
        <v/>
      </c>
      <c r="R75" s="172" t="n">
        <v>1</v>
      </c>
      <c r="S75" s="173">
        <f>调整因子!$F$13</f>
        <v/>
      </c>
      <c r="T75" s="92" t="n">
        <v>1</v>
      </c>
      <c r="U75" s="174">
        <f>IFERROR(Q75*S75,0)</f>
        <v/>
      </c>
      <c r="V75" s="174">
        <f>U75*T75</f>
        <v/>
      </c>
      <c r="W75" s="98" t="n"/>
      <c r="X75" s="90" t="inlineStr">
        <is>
          <t>弱口令组合管理表</t>
        </is>
      </c>
      <c r="Y75" s="90" t="inlineStr">
        <is>
          <t>弱口令组合管理表{ID、弱口令名称、弱口令内容、弱口令内容MD5值、类型、创建时间、创建人、最后修改时间、修改人、备注}</t>
        </is>
      </c>
      <c r="Z75" s="90">
        <f>IF(COUNTIFS(W:W,"*"&amp;I75&amp;"*")&gt;0,"存在","不存在")</f>
        <v/>
      </c>
      <c r="AA75" s="90">
        <f>IF(COUNTIFS(AB:AB,"*"&amp;I75&amp;"*")&gt;0,"存在","不存在")</f>
        <v/>
      </c>
      <c r="AB75" s="90" t="inlineStr">
        <is>
          <t>引擎基本信息表</t>
        </is>
      </c>
      <c r="AC75" s="66" t="n"/>
    </row>
    <row r="76" customFormat="1" s="66">
      <c r="A76" s="72">
        <f>ROW()-1</f>
        <v/>
      </c>
      <c r="B76" s="175" t="n"/>
      <c r="C76" s="80" t="n">
        <v>2025</v>
      </c>
      <c r="D76" s="80" t="inlineStr">
        <is>
          <t>仲光华</t>
        </is>
      </c>
      <c r="E76" s="81">
        <f>VLOOKUP(I76,'25年交付功能（不含废弃）'!A:A,1,FALSE)</f>
        <v/>
      </c>
      <c r="F76" s="175" t="n"/>
      <c r="G76" s="175" t="n"/>
      <c r="H76" s="175" t="n"/>
      <c r="I76" s="98" t="inlineStr">
        <is>
          <t>口令字典同步明细记录表</t>
        </is>
      </c>
      <c r="J76" s="93" t="n"/>
      <c r="K76" s="84" t="n"/>
      <c r="L76" s="84" t="inlineStr">
        <is>
          <t>流水/同步记录表</t>
        </is>
      </c>
      <c r="M76" s="85">
        <f>IF(OR(Y76="估算法",Y76="算法类",Y76="无法识别"),"",IF(W76="",IF(OR(J76="EI",J76="EO",J76="EQ"),0,""),LEN(W76)-LEN(SUBSTITUTE(W76,"、",""))+1))</f>
        <v/>
      </c>
      <c r="N76" s="85">
        <f>IF(OR(Y76="估算法",Y76="算法类",Y76="无法识别"),"",IF(X76="",IF(OR(J76="ILF",J76="EIF"),0,""),LEN(X76)-LEN(SUBSTITUTE(X76,"、",""))+1))</f>
        <v/>
      </c>
      <c r="O76" s="85">
        <f>IF(OR(Y76="估算法",Y76="算法类",Y76="无法识别"),"",IF(Y76="",IF(OR(J76="ILF",J76="EIF",J76="EI",J76="EO",J76="EQ"),0,""),LEN(Y76)-LEN(SUBSTITUTE(SUBSTITUTE(SUBSTITUTE(SUBSTITUTE(SUBSTITUTE(Y76,"|}","--"),"{|","--"),CHAR(10),""),"、",""),"|",""))+IF(AND(OR(J76="EI",J76="EO",J76="EQ"),$AE$1="NESMA"),2,1)))</f>
        <v/>
      </c>
      <c r="P76" s="86">
        <f>IF(J76="EI",IF(OR(Y76="估算法",Y76="算法类"),"中",IF(Y76="无法识别","低",IF(M76&lt;2,IF(O76&lt;16,"低","中"),IF(M76&lt;3,IF(O76&lt;5,"低",IF(O76&lt;16,"中","高")),IF(O76&lt;5,"中","高"))))),IF(OR(J76="EO",J76="EQ"),IF(OR(Y76="估算法",Y76="算法类"),"中",IF(Y76="无法识别","低",IF(M76&lt;2,IF(O76&lt;20,"低","中"),IF(M76&lt;4,IF(O76&lt;6,"低",IF(O76&lt;20,"中","高")),IF(O76&lt;6,"中","高"))))),IF(OR(J76="ILF",J76="EIF"),IF(OR(Y76="估算法",Y76="算法类",Y76="无法识别"),"低",IF(N76&lt;2,IF(O76&lt;51,"低","中"),IF(N76&lt;6,IF(O76&lt;20,"低",IF(O76&lt;51,"中","高")),IF(O76&lt;20,"中","高")))),"不计算")))</f>
        <v/>
      </c>
      <c r="Q76" s="172">
        <f>IFERROR(IF(J76="EI",IF(P76="低",3,IF(P76="中",4,6)),IF(J76="EO",IF(P76="低",4,IF(P76="中",5,7)),IF(J76="EQ",IF(P76="低",3,IF(P76="中",4,6)),IF(J76="ILF",IF(P76="低",7,IF(P76="中",10,15)),IF(J76="EIF",IF(P76="低",5,IF(P76="中",7,10)),"不计算")))))*R76,"不计算")</f>
        <v/>
      </c>
      <c r="R76" s="172" t="n">
        <v>1</v>
      </c>
      <c r="S76" s="173">
        <f>调整因子!$F$13</f>
        <v/>
      </c>
      <c r="T76" s="92" t="n">
        <v>1</v>
      </c>
      <c r="U76" s="174">
        <f>IFERROR(Q76*S76,0)</f>
        <v/>
      </c>
      <c r="V76" s="174">
        <f>U76*T76</f>
        <v/>
      </c>
      <c r="W76" s="98" t="n"/>
      <c r="X76" s="90" t="inlineStr">
        <is>
          <t>口令字典同步明细记录表</t>
        </is>
      </c>
      <c r="Y76" s="90" t="inlineStr">
        <is>
          <t>口令字典同步明细记录表{ID、扫描节点ID、口令字典ID、口令字典名称、口令字典类型、同步扫描器弱口令ID、同步扫描器时的名称、同步扫描器时的弱口令、同步扫描器时的时间、同步人、备注}</t>
        </is>
      </c>
      <c r="Z76" s="90">
        <f>IF(COUNTIFS(W:W,"*"&amp;I76&amp;"*")&gt;0,"存在","不存在")</f>
        <v/>
      </c>
      <c r="AA76" s="90">
        <f>IF(COUNTIFS(AB:AB,"*"&amp;I76&amp;"*")&gt;0,"存在","不存在")</f>
        <v/>
      </c>
      <c r="AB76" s="90" t="inlineStr">
        <is>
          <t>漏洞概况表</t>
        </is>
      </c>
      <c r="AC76" s="66" t="n"/>
    </row>
    <row r="77" customFormat="1" s="66">
      <c r="A77" s="72">
        <f>ROW()-1</f>
        <v/>
      </c>
      <c r="B77" s="175" t="n"/>
      <c r="C77" s="80" t="n">
        <v>2025</v>
      </c>
      <c r="D77" s="80" t="inlineStr">
        <is>
          <t>仲光华</t>
        </is>
      </c>
      <c r="E77" s="81">
        <f>VLOOKUP(I77,'25年交付功能（不含废弃）'!A:A,1,FALSE)</f>
        <v/>
      </c>
      <c r="F77" s="176" t="n"/>
      <c r="G77" s="176" t="n"/>
      <c r="H77" s="176" t="n"/>
      <c r="I77" s="98" t="inlineStr">
        <is>
          <t>弱口令配置表</t>
        </is>
      </c>
      <c r="J77" s="93" t="inlineStr">
        <is>
          <t>ILF</t>
        </is>
      </c>
      <c r="K77" s="84" t="n"/>
      <c r="L77" s="84" t="n"/>
      <c r="M77" s="85">
        <f>IF(OR(Y77="估算法",Y77="算法类",Y77="无法识别"),"",IF(W77="",IF(OR(J77="EI",J77="EO",J77="EQ"),0,""),LEN(W77)-LEN(SUBSTITUTE(W77,"、",""))+1))</f>
        <v/>
      </c>
      <c r="N77" s="85">
        <f>IF(OR(Y77="估算法",Y77="算法类",Y77="无法识别"),"",IF(X77="",IF(OR(J77="ILF",J77="EIF"),0,""),LEN(X77)-LEN(SUBSTITUTE(X77,"、",""))+1))</f>
        <v/>
      </c>
      <c r="O77" s="85">
        <f>IF(OR(Y77="估算法",Y77="算法类",Y77="无法识别"),"",IF(Y77="",IF(OR(J77="ILF",J77="EIF",J77="EI",J77="EO",J77="EQ"),0,""),LEN(Y77)-LEN(SUBSTITUTE(SUBSTITUTE(SUBSTITUTE(SUBSTITUTE(SUBSTITUTE(Y77,"|}","--"),"{|","--"),CHAR(10),""),"、",""),"|",""))+IF(AND(OR(J77="EI",J77="EO",J77="EQ"),$AE$1="NESMA"),2,1)))</f>
        <v/>
      </c>
      <c r="P77" s="86">
        <f>IF(J77="EI",IF(OR(Y77="估算法",Y77="算法类"),"中",IF(Y77="无法识别","低",IF(M77&lt;2,IF(O77&lt;16,"低","中"),IF(M77&lt;3,IF(O77&lt;5,"低",IF(O77&lt;16,"中","高")),IF(O77&lt;5,"中","高"))))),IF(OR(J77="EO",J77="EQ"),IF(OR(Y77="估算法",Y77="算法类"),"中",IF(Y77="无法识别","低",IF(M77&lt;2,IF(O77&lt;20,"低","中"),IF(M77&lt;4,IF(O77&lt;6,"低",IF(O77&lt;20,"中","高")),IF(O77&lt;6,"中","高"))))),IF(OR(J77="ILF",J77="EIF"),IF(OR(Y77="估算法",Y77="算法类",Y77="无法识别"),"低",IF(N77&lt;2,IF(O77&lt;51,"低","中"),IF(N77&lt;6,IF(O77&lt;20,"低",IF(O77&lt;51,"中","高")),IF(O77&lt;20,"中","高")))),"不计算")))</f>
        <v/>
      </c>
      <c r="Q77" s="172">
        <f>IFERROR(IF(J77="EI",IF(P77="低",3,IF(P77="中",4,6)),IF(J77="EO",IF(P77="低",4,IF(P77="中",5,7)),IF(J77="EQ",IF(P77="低",3,IF(P77="中",4,6)),IF(J77="ILF",IF(P77="低",7,IF(P77="中",10,15)),IF(J77="EIF",IF(P77="低",5,IF(P77="中",7,10)),"不计算")))))*R77,"不计算")</f>
        <v/>
      </c>
      <c r="R77" s="172" t="n">
        <v>1</v>
      </c>
      <c r="S77" s="173">
        <f>调整因子!$F$13</f>
        <v/>
      </c>
      <c r="T77" s="93" t="n">
        <v>1</v>
      </c>
      <c r="U77" s="174">
        <f>IFERROR(Q77*S77,0)</f>
        <v/>
      </c>
      <c r="V77" s="174">
        <f>U77*T77</f>
        <v/>
      </c>
      <c r="W77" s="98" t="n"/>
      <c r="X77" s="90" t="inlineStr">
        <is>
          <t>弱口令配置表</t>
        </is>
      </c>
      <c r="Y77" s="90" t="inlineStr">
        <is>
          <t>弱口令配置表{ID、弱账号ID、弱密码ID、弱口令组合ID、弱口令名称、扫描节点ID、扫描节点名称、创建人、创建时间、修改人、修改时间、备注信息}</t>
        </is>
      </c>
      <c r="Z77" s="90">
        <f>IF(COUNTIFS(W:W,"*"&amp;I77&amp;"*")&gt;0,"存在","不存在")</f>
        <v/>
      </c>
      <c r="AA77" s="90">
        <f>IF(COUNTIFS(AB:AB,"*"&amp;I77&amp;"*")&gt;0,"存在","不存在")</f>
        <v/>
      </c>
      <c r="AB77" s="90" t="inlineStr">
        <is>
          <t>插件任务实例表</t>
        </is>
      </c>
      <c r="AC77" s="66" t="n"/>
    </row>
    <row r="78" customFormat="1" s="66">
      <c r="A78" s="72">
        <f>ROW()-1</f>
        <v/>
      </c>
      <c r="B78" s="175" t="n"/>
      <c r="C78" s="80" t="n">
        <v>2025</v>
      </c>
      <c r="D78" s="80" t="inlineStr">
        <is>
          <t>张明峰</t>
        </is>
      </c>
      <c r="E78" s="81">
        <f>VLOOKUP(I78,'25年交付功能（不含废弃）'!A:A,1,FALSE)</f>
        <v/>
      </c>
      <c r="F78" s="92" t="inlineStr">
        <is>
          <t>产品漏洞关联分析</t>
        </is>
      </c>
      <c r="G78" s="93" t="inlineStr">
        <is>
          <t>产品漏洞信息管理</t>
        </is>
      </c>
      <c r="H78" s="93" t="inlineStr">
        <is>
          <t>漏洞关联分析</t>
        </is>
      </c>
      <c r="I78" s="98" t="inlineStr">
        <is>
          <t>创建产品漏洞预警任务</t>
        </is>
      </c>
      <c r="J78" s="93" t="inlineStr">
        <is>
          <t>EI</t>
        </is>
      </c>
      <c r="K78" s="84" t="n"/>
      <c r="L78" s="84" t="n"/>
      <c r="M78" s="85">
        <f>IF(OR(Y78="估算法",Y78="算法类",Y78="无法识别"),"",IF(W78="",IF(OR(J78="EI",J78="EO",J78="EQ"),0,""),LEN(W78)-LEN(SUBSTITUTE(W78,"、",""))+1))</f>
        <v/>
      </c>
      <c r="N78" s="85">
        <f>IF(OR(Y78="估算法",Y78="算法类",Y78="无法识别"),"",IF(X78="",IF(OR(J78="ILF",J78="EIF"),0,""),LEN(X78)-LEN(SUBSTITUTE(X78,"、",""))+1))</f>
        <v/>
      </c>
      <c r="O78" s="85">
        <f>IF(OR(Y78="估算法",Y78="算法类",Y78="无法识别"),"",IF(Y78="",IF(OR(J78="ILF",J78="EIF",J78="EI",J78="EO",J78="EQ"),0,""),LEN(Y78)-LEN(SUBSTITUTE(SUBSTITUTE(SUBSTITUTE(SUBSTITUTE(SUBSTITUTE(Y78,"|}","--"),"{|","--"),CHAR(10),""),"、",""),"|",""))+IF(AND(OR(J78="EI",J78="EO",J78="EQ"),$AE$1="NESMA"),2,1)))</f>
        <v/>
      </c>
      <c r="P78" s="86">
        <f>IF(J78="EI",IF(OR(Y78="估算法",Y78="算法类"),"中",IF(Y78="无法识别","低",IF(M78&lt;2,IF(O78&lt;16,"低","中"),IF(M78&lt;3,IF(O78&lt;5,"低",IF(O78&lt;16,"中","高")),IF(O78&lt;5,"中","高"))))),IF(OR(J78="EO",J78="EQ"),IF(OR(Y78="估算法",Y78="算法类"),"中",IF(Y78="无法识别","低",IF(M78&lt;2,IF(O78&lt;20,"低","中"),IF(M78&lt;4,IF(O78&lt;6,"低",IF(O78&lt;20,"中","高")),IF(O78&lt;6,"中","高"))))),IF(OR(J78="ILF",J78="EIF"),IF(OR(Y78="估算法",Y78="算法类",Y78="无法识别"),"低",IF(N78&lt;2,IF(O78&lt;51,"低","中"),IF(N78&lt;6,IF(O78&lt;20,"低",IF(O78&lt;51,"中","高")),IF(O78&lt;20,"中","高")))),"不计算")))</f>
        <v/>
      </c>
      <c r="Q78" s="172">
        <f>IFERROR(IF(J78="EI",IF(P78="低",3,IF(P78="中",4,6)),IF(J78="EO",IF(P78="低",4,IF(P78="中",5,7)),IF(J78="EQ",IF(P78="低",3,IF(P78="中",4,6)),IF(J78="ILF",IF(P78="低",7,IF(P78="中",10,15)),IF(J78="EIF",IF(P78="低",5,IF(P78="中",7,10)),"不计算")))))*R78,"不计算")</f>
        <v/>
      </c>
      <c r="R78" s="172" t="n">
        <v>1</v>
      </c>
      <c r="S78" s="173">
        <f>调整因子!$F$13</f>
        <v/>
      </c>
      <c r="T78" s="92" t="n">
        <v>1</v>
      </c>
      <c r="U78" s="174">
        <f>IFERROR(Q78*S78,0)</f>
        <v/>
      </c>
      <c r="V78" s="174">
        <f>U78*T78</f>
        <v/>
      </c>
      <c r="W78" s="90" t="inlineStr">
        <is>
          <t>产品漏洞预警任务表、产品漏洞表、扫描资产表、资产组件表</t>
        </is>
      </c>
      <c r="X78" s="91" t="n"/>
      <c r="Y78" s="90" t="inlineStr">
        <is>
          <t>产品漏洞预警任务表{任务ID、任务名称、任务描述、开始时间、结束时间、状态}、产品漏洞表{漏洞ID、漏洞名称、描述、影响程度、发现时间}、扫描资产表{资产ID、IP地址、主机名、操作系统、部门}、资产组件表{组件ID、资产ID、组件名称、版本、安装路径}</t>
        </is>
      </c>
      <c r="Z78" s="90" t="n"/>
      <c r="AA78" s="90" t="n"/>
      <c r="AB78" s="90" t="inlineStr">
        <is>
          <t>部企接口配置表</t>
        </is>
      </c>
      <c r="AC78" s="66" t="n"/>
    </row>
    <row r="79" customFormat="1" s="66">
      <c r="A79" s="72" t="n"/>
      <c r="B79" s="175" t="n"/>
      <c r="C79" s="80" t="n">
        <v>2025</v>
      </c>
      <c r="D79" s="80" t="inlineStr">
        <is>
          <t>张明峰</t>
        </is>
      </c>
      <c r="E79" s="81">
        <f>VLOOKUP(I79,'25年交付功能（不含废弃）'!A:A,1,FALSE)</f>
        <v/>
      </c>
      <c r="F79" s="175" t="n"/>
      <c r="G79" s="175" t="n"/>
      <c r="H79" s="175" t="n"/>
      <c r="I79" s="98" t="inlineStr">
        <is>
          <t>查询产品漏洞预警工单列表</t>
        </is>
      </c>
      <c r="J79" s="98" t="inlineStr">
        <is>
          <t>EO</t>
        </is>
      </c>
      <c r="K79" s="99" t="inlineStr">
        <is>
          <t>新增</t>
        </is>
      </c>
      <c r="L79" s="84" t="n"/>
      <c r="M79" s="85" t="n"/>
      <c r="N79" s="85" t="n"/>
      <c r="O79" s="85" t="n"/>
      <c r="P79" s="86" t="n"/>
      <c r="Q79" s="172" t="n"/>
      <c r="R79" s="172" t="n"/>
      <c r="S79" s="173" t="n"/>
      <c r="T79" s="92" t="n"/>
      <c r="U79" s="174" t="n"/>
      <c r="V79" s="174" t="n"/>
      <c r="W79" s="90" t="n"/>
      <c r="X79" s="91" t="n"/>
      <c r="Y79" s="90" t="n"/>
      <c r="Z79" s="90" t="n"/>
      <c r="AA79" s="90" t="n"/>
      <c r="AB79" s="90" t="n"/>
      <c r="AC79" s="66" t="n"/>
    </row>
    <row r="80" customFormat="1" s="66">
      <c r="A80" s="72" t="n"/>
      <c r="B80" s="175" t="n"/>
      <c r="C80" s="80" t="n">
        <v>2025</v>
      </c>
      <c r="D80" s="80" t="inlineStr">
        <is>
          <t>张明峰</t>
        </is>
      </c>
      <c r="E80" s="81">
        <f>VLOOKUP(I80,'25年交付功能（不含废弃）'!A:A,1,FALSE)</f>
        <v/>
      </c>
      <c r="F80" s="175" t="n"/>
      <c r="G80" s="175" t="n"/>
      <c r="H80" s="175" t="n"/>
      <c r="I80" s="98" t="inlineStr">
        <is>
          <t>查询产品漏洞预警工单详情</t>
        </is>
      </c>
      <c r="J80" s="98" t="inlineStr">
        <is>
          <t>EO</t>
        </is>
      </c>
      <c r="K80" s="99" t="inlineStr">
        <is>
          <t>新增</t>
        </is>
      </c>
      <c r="L80" s="84" t="n"/>
      <c r="M80" s="85" t="n"/>
      <c r="N80" s="85" t="n"/>
      <c r="O80" s="85" t="n"/>
      <c r="P80" s="86" t="n"/>
      <c r="Q80" s="172" t="n"/>
      <c r="R80" s="172" t="n"/>
      <c r="S80" s="173" t="n"/>
      <c r="T80" s="92" t="n"/>
      <c r="U80" s="174" t="n"/>
      <c r="V80" s="174" t="n"/>
      <c r="W80" s="90" t="n"/>
      <c r="X80" s="91" t="n"/>
      <c r="Y80" s="90" t="n"/>
      <c r="Z80" s="90" t="n"/>
      <c r="AA80" s="90" t="n"/>
      <c r="AB80" s="90" t="n"/>
      <c r="AC80" s="66" t="n"/>
    </row>
    <row r="81" customFormat="1" s="66">
      <c r="A81" s="72" t="n"/>
      <c r="B81" s="175" t="n"/>
      <c r="C81" s="80" t="n">
        <v>2025</v>
      </c>
      <c r="D81" s="80" t="inlineStr">
        <is>
          <t>张明峰</t>
        </is>
      </c>
      <c r="E81" s="81">
        <f>VLOOKUP(I81,'25年交付功能（不含废弃）'!A:A,1,FALSE)</f>
        <v/>
      </c>
      <c r="F81" s="175" t="n"/>
      <c r="G81" s="175" t="n"/>
      <c r="H81" s="175" t="n"/>
      <c r="I81" s="98" t="inlineStr">
        <is>
          <t>编辑预警工单排查范围</t>
        </is>
      </c>
      <c r="J81" s="98" t="inlineStr">
        <is>
          <t>EI</t>
        </is>
      </c>
      <c r="K81" s="99" t="inlineStr">
        <is>
          <t>新增</t>
        </is>
      </c>
      <c r="L81" s="84" t="n"/>
      <c r="M81" s="85" t="n"/>
      <c r="N81" s="85" t="n"/>
      <c r="O81" s="85" t="n"/>
      <c r="P81" s="86" t="n"/>
      <c r="Q81" s="172" t="n"/>
      <c r="R81" s="172" t="n"/>
      <c r="S81" s="173" t="n"/>
      <c r="T81" s="92" t="n"/>
      <c r="U81" s="174" t="n"/>
      <c r="V81" s="174" t="n"/>
      <c r="W81" s="90" t="n"/>
      <c r="X81" s="91" t="n"/>
      <c r="Y81" s="90" t="n"/>
      <c r="Z81" s="90" t="n"/>
      <c r="AA81" s="90" t="n"/>
      <c r="AB81" s="90" t="n"/>
      <c r="AC81" s="66" t="n"/>
    </row>
    <row r="82" customFormat="1" s="66">
      <c r="A82" s="72" t="n"/>
      <c r="B82" s="175" t="n"/>
      <c r="C82" s="80" t="n">
        <v>2025</v>
      </c>
      <c r="D82" s="80" t="inlineStr">
        <is>
          <t>张明峰</t>
        </is>
      </c>
      <c r="E82" s="81">
        <f>VLOOKUP(I82,'25年交付功能（不含废弃）'!A:A,1,FALSE)</f>
        <v/>
      </c>
      <c r="F82" s="175" t="n"/>
      <c r="G82" s="175" t="n"/>
      <c r="H82" s="175" t="n"/>
      <c r="I82" s="98" t="inlineStr">
        <is>
          <t>查询系统漏洞范围</t>
        </is>
      </c>
      <c r="J82" s="98" t="inlineStr">
        <is>
          <t>EQ</t>
        </is>
      </c>
      <c r="K82" s="99" t="inlineStr">
        <is>
          <t>新增</t>
        </is>
      </c>
      <c r="L82" s="84" t="n"/>
      <c r="M82" s="85" t="n"/>
      <c r="N82" s="85" t="n"/>
      <c r="O82" s="85" t="n"/>
      <c r="P82" s="86" t="n"/>
      <c r="Q82" s="172" t="n"/>
      <c r="R82" s="172" t="n"/>
      <c r="S82" s="173" t="n"/>
      <c r="T82" s="92" t="n"/>
      <c r="U82" s="174" t="n"/>
      <c r="V82" s="174" t="n"/>
      <c r="W82" s="90" t="n"/>
      <c r="X82" s="91" t="n"/>
      <c r="Y82" s="90" t="n"/>
      <c r="Z82" s="90" t="n"/>
      <c r="AA82" s="90" t="n"/>
      <c r="AB82" s="90" t="n"/>
      <c r="AC82" s="66" t="n"/>
    </row>
    <row r="83" customFormat="1" s="66">
      <c r="A83" s="72" t="n"/>
      <c r="B83" s="175" t="n"/>
      <c r="C83" s="80" t="n">
        <v>2025</v>
      </c>
      <c r="D83" s="80" t="inlineStr">
        <is>
          <t>张明峰</t>
        </is>
      </c>
      <c r="E83" s="81">
        <f>VLOOKUP(I83,'25年交付功能（不含废弃）'!A:A,1,FALSE)</f>
        <v/>
      </c>
      <c r="F83" s="175" t="n"/>
      <c r="G83" s="175" t="n"/>
      <c r="H83" s="175" t="n"/>
      <c r="I83" s="98" t="inlineStr">
        <is>
          <t>查询资产排查范围</t>
        </is>
      </c>
      <c r="J83" s="98" t="inlineStr">
        <is>
          <t>EQ</t>
        </is>
      </c>
      <c r="K83" s="99" t="inlineStr">
        <is>
          <t>新增</t>
        </is>
      </c>
      <c r="L83" s="84" t="n"/>
      <c r="M83" s="85" t="n"/>
      <c r="N83" s="85" t="n"/>
      <c r="O83" s="85" t="n"/>
      <c r="P83" s="86" t="n"/>
      <c r="Q83" s="172" t="n"/>
      <c r="R83" s="172" t="n"/>
      <c r="S83" s="173" t="n"/>
      <c r="T83" s="92" t="n"/>
      <c r="U83" s="174" t="n"/>
      <c r="V83" s="174" t="n"/>
      <c r="W83" s="90" t="n"/>
      <c r="X83" s="91" t="n"/>
      <c r="Y83" s="90" t="n"/>
      <c r="Z83" s="90" t="n"/>
      <c r="AA83" s="90" t="n"/>
      <c r="AB83" s="90" t="n"/>
      <c r="AC83" s="66" t="n"/>
    </row>
    <row r="84" customFormat="1" s="66">
      <c r="A84" s="72" t="n"/>
      <c r="B84" s="175" t="n"/>
      <c r="C84" s="80" t="n">
        <v>2025</v>
      </c>
      <c r="D84" s="80" t="inlineStr">
        <is>
          <t>张明峰</t>
        </is>
      </c>
      <c r="E84" s="81">
        <f>VLOOKUP(I84,'25年交付功能（不含废弃）'!A:A,1,FALSE)</f>
        <v/>
      </c>
      <c r="F84" s="175" t="n"/>
      <c r="G84" s="175" t="n"/>
      <c r="H84" s="175" t="n"/>
      <c r="I84" s="98" t="inlineStr">
        <is>
          <t>查新产品漏洞范围</t>
        </is>
      </c>
      <c r="J84" s="98" t="inlineStr">
        <is>
          <t>EQ</t>
        </is>
      </c>
      <c r="K84" s="99" t="inlineStr">
        <is>
          <t>新增</t>
        </is>
      </c>
      <c r="L84" s="84" t="n"/>
      <c r="M84" s="85" t="n"/>
      <c r="N84" s="85" t="n"/>
      <c r="O84" s="85" t="n"/>
      <c r="P84" s="86" t="n"/>
      <c r="Q84" s="172" t="n"/>
      <c r="R84" s="172" t="n"/>
      <c r="S84" s="173" t="n"/>
      <c r="T84" s="92" t="n"/>
      <c r="U84" s="174" t="n"/>
      <c r="V84" s="174" t="n"/>
      <c r="W84" s="90" t="n"/>
      <c r="X84" s="91" t="n"/>
      <c r="Y84" s="90" t="n"/>
      <c r="Z84" s="90" t="n"/>
      <c r="AA84" s="90" t="n"/>
      <c r="AB84" s="90" t="n"/>
      <c r="AC84" s="66" t="n"/>
    </row>
    <row r="85" customFormat="1" s="66">
      <c r="A85" s="72">
        <f>ROW()-1</f>
        <v/>
      </c>
      <c r="B85" s="175" t="n"/>
      <c r="C85" s="80" t="n">
        <v>2025</v>
      </c>
      <c r="D85" s="80" t="inlineStr">
        <is>
          <t>张明峰</t>
        </is>
      </c>
      <c r="E85" s="81">
        <f>VLOOKUP(I85,'25年交付功能（不含废弃）'!A:A,1,FALSE)</f>
        <v/>
      </c>
      <c r="F85" s="175" t="n"/>
      <c r="G85" s="175" t="n"/>
      <c r="H85" s="175" t="n"/>
      <c r="I85" s="98" t="inlineStr">
        <is>
          <t>产品漏洞预警工单下发任务</t>
        </is>
      </c>
      <c r="J85" s="93" t="inlineStr">
        <is>
          <t>EI</t>
        </is>
      </c>
      <c r="K85" s="100" t="inlineStr">
        <is>
          <t>修改名称：「产品漏洞预警任务自动化执行」</t>
        </is>
      </c>
      <c r="L85" s="84" t="n"/>
      <c r="M85" s="85">
        <f>IF(OR(Y85="估算法",Y85="算法类",Y85="无法识别"),"",IF(W85="",IF(OR(J85="EI",J85="EO",J85="EQ"),0,""),LEN(W85)-LEN(SUBSTITUTE(W85,"、",""))+1))</f>
        <v/>
      </c>
      <c r="N85" s="85">
        <f>IF(OR(Y85="估算法",Y85="算法类",Y85="无法识别"),"",IF(X85="",IF(OR(J85="ILF",J85="EIF"),0,""),LEN(X85)-LEN(SUBSTITUTE(X85,"、",""))+1))</f>
        <v/>
      </c>
      <c r="O85" s="85">
        <f>IF(OR(Y85="估算法",Y85="算法类",Y85="无法识别"),"",IF(Y85="",IF(OR(J85="ILF",J85="EIF",J85="EI",J85="EO",J85="EQ"),0,""),LEN(Y85)-LEN(SUBSTITUTE(SUBSTITUTE(SUBSTITUTE(SUBSTITUTE(SUBSTITUTE(Y85,"|}","--"),"{|","--"),CHAR(10),""),"、",""),"|",""))+IF(AND(OR(J85="EI",J85="EO",J85="EQ"),$AE$1="NESMA"),2,1)))</f>
        <v/>
      </c>
      <c r="P85" s="86">
        <f>IF(J85="EI",IF(OR(Y85="估算法",Y85="算法类"),"中",IF(Y85="无法识别","低",IF(M85&lt;2,IF(O85&lt;16,"低","中"),IF(M85&lt;3,IF(O85&lt;5,"低",IF(O85&lt;16,"中","高")),IF(O85&lt;5,"中","高"))))),IF(OR(J85="EO",J85="EQ"),IF(OR(Y85="估算法",Y85="算法类"),"中",IF(Y85="无法识别","低",IF(M85&lt;2,IF(O85&lt;20,"低","中"),IF(M85&lt;4,IF(O85&lt;6,"低",IF(O85&lt;20,"中","高")),IF(O85&lt;6,"中","高"))))),IF(OR(J85="ILF",J85="EIF"),IF(OR(Y85="估算法",Y85="算法类",Y85="无法识别"),"低",IF(N85&lt;2,IF(O85&lt;51,"低","中"),IF(N85&lt;6,IF(O85&lt;20,"低",IF(O85&lt;51,"中","高")),IF(O85&lt;20,"中","高")))),"不计算")))</f>
        <v/>
      </c>
      <c r="Q85" s="172">
        <f>IFERROR(IF(J85="EI",IF(P85="低",3,IF(P85="中",4,6)),IF(J85="EO",IF(P85="低",4,IF(P85="中",5,7)),IF(J85="EQ",IF(P85="低",3,IF(P85="中",4,6)),IF(J85="ILF",IF(P85="低",7,IF(P85="中",10,15)),IF(J85="EIF",IF(P85="低",5,IF(P85="中",7,10)),"不计算")))))*R85,"不计算")</f>
        <v/>
      </c>
      <c r="R85" s="172" t="n">
        <v>1</v>
      </c>
      <c r="S85" s="173">
        <f>调整因子!$F$13</f>
        <v/>
      </c>
      <c r="T85" s="92" t="n">
        <v>1</v>
      </c>
      <c r="U85" s="174">
        <f>IFERROR(Q85*S85,0)</f>
        <v/>
      </c>
      <c r="V85" s="174">
        <f>U85*T85</f>
        <v/>
      </c>
      <c r="W85" s="90" t="inlineStr">
        <is>
          <t>产品漏洞预警任务表、任务实例表</t>
        </is>
      </c>
      <c r="X85" s="91" t="n"/>
      <c r="Y85" s="90" t="inlineStr">
        <is>
          <t>产品漏洞预警任务表{任务ID、任务名称、任务描述、开始时间、结束时间、状态}、任务实例表{实例ID、任务ID、资产ID、状态、开始时间、结束时间}</t>
        </is>
      </c>
      <c r="Z85" s="90" t="n"/>
      <c r="AA85" s="90" t="n"/>
      <c r="AB85" s="90" t="inlineStr">
        <is>
          <t>部企接口配置表</t>
        </is>
      </c>
      <c r="AC85" s="66" t="n"/>
    </row>
    <row r="86" customFormat="1" s="66">
      <c r="A86" s="72">
        <f>ROW()-1</f>
        <v/>
      </c>
      <c r="B86" s="175" t="n"/>
      <c r="C86" s="80" t="n">
        <v>2025</v>
      </c>
      <c r="D86" s="80" t="inlineStr">
        <is>
          <t>张明峰</t>
        </is>
      </c>
      <c r="E86" s="81">
        <f>VLOOKUP(I86,'25年交付功能（不含废弃）'!A:A,1,FALSE)</f>
        <v/>
      </c>
      <c r="F86" s="175" t="n"/>
      <c r="G86" s="175" t="n"/>
      <c r="H86" s="175" t="n"/>
      <c r="I86" s="98" t="inlineStr">
        <is>
          <t>产品漏洞预警任务处置</t>
        </is>
      </c>
      <c r="J86" s="93" t="inlineStr">
        <is>
          <t>EO</t>
        </is>
      </c>
      <c r="K86" s="100" t="inlineStr">
        <is>
          <t>修改名称：「产品漏洞自动化关联分析」</t>
        </is>
      </c>
      <c r="L86" s="84" t="n"/>
      <c r="M86" s="85">
        <f>IF(OR(Y86="估算法",Y86="算法类",Y86="无法识别"),"",IF(W86="",IF(OR(J86="EI",J86="EO",J86="EQ"),0,""),LEN(W86)-LEN(SUBSTITUTE(W86,"、",""))+1))</f>
        <v/>
      </c>
      <c r="N86" s="85">
        <f>IF(OR(Y86="估算法",Y86="算法类",Y86="无法识别"),"",IF(X86="",IF(OR(J86="ILF",J86="EIF"),0,""),LEN(X86)-LEN(SUBSTITUTE(X86,"、",""))+1))</f>
        <v/>
      </c>
      <c r="O86" s="85">
        <f>IF(OR(Y86="估算法",Y86="算法类",Y86="无法识别"),"",IF(Y86="",IF(OR(J86="ILF",J86="EIF",J86="EI",J86="EO",J86="EQ"),0,""),LEN(Y86)-LEN(SUBSTITUTE(SUBSTITUTE(SUBSTITUTE(SUBSTITUTE(SUBSTITUTE(Y86,"|}","--"),"{|","--"),CHAR(10),""),"、",""),"|",""))+IF(AND(OR(J86="EI",J86="EO",J86="EQ"),$AE$1="NESMA"),2,1)))</f>
        <v/>
      </c>
      <c r="P86" s="86">
        <f>IF(J86="EI",IF(OR(Y86="估算法",Y86="算法类"),"中",IF(Y86="无法识别","低",IF(M86&lt;2,IF(O86&lt;16,"低","中"),IF(M86&lt;3,IF(O86&lt;5,"低",IF(O86&lt;16,"中","高")),IF(O86&lt;5,"中","高"))))),IF(OR(J86="EO",J86="EQ"),IF(OR(Y86="估算法",Y86="算法类"),"中",IF(Y86="无法识别","低",IF(M86&lt;2,IF(O86&lt;20,"低","中"),IF(M86&lt;4,IF(O86&lt;6,"低",IF(O86&lt;20,"中","高")),IF(O86&lt;6,"中","高"))))),IF(OR(J86="ILF",J86="EIF"),IF(OR(Y86="估算法",Y86="算法类",Y86="无法识别"),"低",IF(N86&lt;2,IF(O86&lt;51,"低","中"),IF(N86&lt;6,IF(O86&lt;20,"低",IF(O86&lt;51,"中","高")),IF(O86&lt;20,"中","高")))),"不计算")))</f>
        <v/>
      </c>
      <c r="Q86" s="172">
        <f>IFERROR(IF(J86="EI",IF(P86="低",3,IF(P86="中",4,6)),IF(J86="EO",IF(P86="低",4,IF(P86="中",5,7)),IF(J86="EQ",IF(P86="低",3,IF(P86="中",4,6)),IF(J86="ILF",IF(P86="低",7,IF(P86="中",10,15)),IF(J86="EIF",IF(P86="低",5,IF(P86="中",7,10)),"不计算")))))*R86,"不计算")</f>
        <v/>
      </c>
      <c r="R86" s="172" t="n">
        <v>1</v>
      </c>
      <c r="S86" s="173">
        <f>调整因子!$F$13</f>
        <v/>
      </c>
      <c r="T86" s="93" t="n">
        <v>1</v>
      </c>
      <c r="U86" s="174">
        <f>IFERROR(Q86*S86,0)</f>
        <v/>
      </c>
      <c r="V86" s="174">
        <f>U86*T86</f>
        <v/>
      </c>
      <c r="W86" s="90" t="inlineStr">
        <is>
          <t>产品漏洞表、扫描资产表、资产组件表</t>
        </is>
      </c>
      <c r="X86" s="91" t="n"/>
      <c r="Y86" s="90" t="inlineStr">
        <is>
          <t>产品漏洞表{漏洞ID、漏洞名称、描述、影响程度、发现时间}、扫描资产表{资产ID、IP地址、主机名、操作系统、部门}、资产组件表{组件ID、资产ID、组件名称、版本、安装路径}</t>
        </is>
      </c>
      <c r="Z86" s="90" t="n"/>
      <c r="AA86" s="90" t="n"/>
      <c r="AB86" s="90" t="inlineStr">
        <is>
          <t>部企接口配置表</t>
        </is>
      </c>
      <c r="AC86" s="66" t="n"/>
    </row>
    <row r="87" customFormat="1" s="66">
      <c r="A87" s="72">
        <f>ROW()-1</f>
        <v/>
      </c>
      <c r="B87" s="175" t="n"/>
      <c r="C87" s="80" t="n">
        <v>2025</v>
      </c>
      <c r="D87" s="80" t="inlineStr">
        <is>
          <t>张明峰</t>
        </is>
      </c>
      <c r="E87" s="81">
        <f>VLOOKUP(I87,'25年交付功能（不含废弃）'!A:A,1,FALSE)</f>
        <v/>
      </c>
      <c r="F87" s="175" t="n"/>
      <c r="G87" s="175" t="n"/>
      <c r="H87" s="175" t="n"/>
      <c r="I87" s="98" t="inlineStr">
        <is>
          <t>订阅产品漏洞关联分析结果</t>
        </is>
      </c>
      <c r="J87" s="93" t="inlineStr">
        <is>
          <t>EI</t>
        </is>
      </c>
      <c r="K87" s="84" t="n"/>
      <c r="L87" s="84" t="n"/>
      <c r="M87" s="85">
        <f>IF(OR(Y87="估算法",Y87="算法类",Y87="无法识别"),"",IF(W87="",IF(OR(J87="EI",J87="EO",J87="EQ"),0,""),LEN(W87)-LEN(SUBSTITUTE(W87,"、",""))+1))</f>
        <v/>
      </c>
      <c r="N87" s="85">
        <f>IF(OR(Y87="估算法",Y87="算法类",Y87="无法识别"),"",IF(X87="",IF(OR(J87="ILF",J87="EIF"),0,""),LEN(X87)-LEN(SUBSTITUTE(X87,"、",""))+1))</f>
        <v/>
      </c>
      <c r="O87" s="85">
        <f>IF(OR(Y87="估算法",Y87="算法类",Y87="无法识别"),"",IF(Y87="",IF(OR(J87="ILF",J87="EIF",J87="EI",J87="EO",J87="EQ"),0,""),LEN(Y87)-LEN(SUBSTITUTE(SUBSTITUTE(SUBSTITUTE(SUBSTITUTE(SUBSTITUTE(Y87,"|}","--"),"{|","--"),CHAR(10),""),"、",""),"|",""))+IF(AND(OR(J87="EI",J87="EO",J87="EQ"),$AE$1="NESMA"),2,1)))</f>
        <v/>
      </c>
      <c r="P87" s="86">
        <f>IF(J87="EI",IF(OR(Y87="估算法",Y87="算法类"),"中",IF(Y87="无法识别","低",IF(M87&lt;2,IF(O87&lt;16,"低","中"),IF(M87&lt;3,IF(O87&lt;5,"低",IF(O87&lt;16,"中","高")),IF(O87&lt;5,"中","高"))))),IF(OR(J87="EO",J87="EQ"),IF(OR(Y87="估算法",Y87="算法类"),"中",IF(Y87="无法识别","低",IF(M87&lt;2,IF(O87&lt;20,"低","中"),IF(M87&lt;4,IF(O87&lt;6,"低",IF(O87&lt;20,"中","高")),IF(O87&lt;6,"中","高"))))),IF(OR(J87="ILF",J87="EIF"),IF(OR(Y87="估算法",Y87="算法类",Y87="无法识别"),"低",IF(N87&lt;2,IF(O87&lt;51,"低","中"),IF(N87&lt;6,IF(O87&lt;20,"低",IF(O87&lt;51,"中","高")),IF(O87&lt;20,"中","高")))),"不计算")))</f>
        <v/>
      </c>
      <c r="Q87" s="172">
        <f>IFERROR(IF(J87="EI",IF(P87="低",3,IF(P87="中",4,6)),IF(J87="EO",IF(P87="低",4,IF(P87="中",5,7)),IF(J87="EQ",IF(P87="低",3,IF(P87="中",4,6)),IF(J87="ILF",IF(P87="低",7,IF(P87="中",10,15)),IF(J87="EIF",IF(P87="低",5,IF(P87="中",7,10)),"不计算")))))*R87,"不计算")</f>
        <v/>
      </c>
      <c r="R87" s="172" t="n">
        <v>1</v>
      </c>
      <c r="S87" s="173">
        <f>调整因子!$F$13</f>
        <v/>
      </c>
      <c r="T87" s="92" t="n">
        <v>1</v>
      </c>
      <c r="U87" s="174">
        <f>IFERROR(Q87*S87,0)</f>
        <v/>
      </c>
      <c r="V87" s="174">
        <f>U87*T87</f>
        <v/>
      </c>
      <c r="W87" s="90" t="inlineStr">
        <is>
          <t>关联分析成功资产表、关联分析失败资产表</t>
        </is>
      </c>
      <c r="X87" s="91" t="n"/>
      <c r="Y87" s="90" t="inlineStr">
        <is>
          <t>关联分析成功资产表{成功记录ID、资产ID、关联漏洞ID、分析时间}、关联分析失败资产表{失败记录ID、资产ID、失败原因、分析时间}</t>
        </is>
      </c>
      <c r="Z87" s="90" t="n"/>
      <c r="AA87" s="90" t="n"/>
      <c r="AB87" s="93" t="inlineStr">
        <is>
          <t>归属规则设定表</t>
        </is>
      </c>
      <c r="AC87" s="66" t="n"/>
    </row>
    <row r="88" customFormat="1" s="66">
      <c r="A88" s="72">
        <f>ROW()-1</f>
        <v/>
      </c>
      <c r="B88" s="175" t="n"/>
      <c r="C88" s="80" t="n">
        <v>2025</v>
      </c>
      <c r="D88" s="80" t="inlineStr">
        <is>
          <t>张明峰</t>
        </is>
      </c>
      <c r="E88" s="81">
        <f>VLOOKUP(I88,'25年交付功能（不含废弃）'!A:A,1,FALSE)</f>
        <v/>
      </c>
      <c r="F88" s="175" t="n"/>
      <c r="G88" s="175" t="n"/>
      <c r="H88" s="175" t="n"/>
      <c r="I88" s="98" t="inlineStr">
        <is>
          <t>订阅产品漏洞预警任务结果</t>
        </is>
      </c>
      <c r="J88" s="93" t="inlineStr">
        <is>
          <t>EI</t>
        </is>
      </c>
      <c r="K88" s="84" t="n"/>
      <c r="L88" s="84" t="n"/>
      <c r="M88" s="85">
        <f>IF(OR(Y88="估算法",Y88="算法类",Y88="无法识别"),"",IF(W88="",IF(OR(J88="EI",J88="EO",J88="EQ"),0,""),LEN(W88)-LEN(SUBSTITUTE(W88,"、",""))+1))</f>
        <v/>
      </c>
      <c r="N88" s="85">
        <f>IF(OR(Y88="估算法",Y88="算法类",Y88="无法识别"),"",IF(X88="",IF(OR(J88="ILF",J88="EIF"),0,""),LEN(X88)-LEN(SUBSTITUTE(X88,"、",""))+1))</f>
        <v/>
      </c>
      <c r="O88" s="85">
        <f>IF(OR(Y88="估算法",Y88="算法类",Y88="无法识别"),"",IF(Y88="",IF(OR(J88="ILF",J88="EIF",J88="EI",J88="EO",J88="EQ"),0,""),LEN(Y88)-LEN(SUBSTITUTE(SUBSTITUTE(SUBSTITUTE(SUBSTITUTE(SUBSTITUTE(Y88,"|}","--"),"{|","--"),CHAR(10),""),"、",""),"|",""))+IF(AND(OR(J88="EI",J88="EO",J88="EQ"),$AE$1="NESMA"),2,1)))</f>
        <v/>
      </c>
      <c r="P88" s="86">
        <f>IF(J88="EI",IF(OR(Y88="估算法",Y88="算法类"),"中",IF(Y88="无法识别","低",IF(M88&lt;2,IF(O88&lt;16,"低","中"),IF(M88&lt;3,IF(O88&lt;5,"低",IF(O88&lt;16,"中","高")),IF(O88&lt;5,"中","高"))))),IF(OR(J88="EO",J88="EQ"),IF(OR(Y88="估算法",Y88="算法类"),"中",IF(Y88="无法识别","低",IF(M88&lt;2,IF(O88&lt;20,"低","中"),IF(M88&lt;4,IF(O88&lt;6,"低",IF(O88&lt;20,"中","高")),IF(O88&lt;6,"中","高"))))),IF(OR(J88="ILF",J88="EIF"),IF(OR(Y88="估算法",Y88="算法类",Y88="无法识别"),"低",IF(N88&lt;2,IF(O88&lt;51,"低","中"),IF(N88&lt;6,IF(O88&lt;20,"低",IF(O88&lt;51,"中","高")),IF(O88&lt;20,"中","高")))),"不计算")))</f>
        <v/>
      </c>
      <c r="Q88" s="172">
        <f>IFERROR(IF(J88="EI",IF(P88="低",3,IF(P88="中",4,6)),IF(J88="EO",IF(P88="低",4,IF(P88="中",5,7)),IF(J88="EQ",IF(P88="低",3,IF(P88="中",4,6)),IF(J88="ILF",IF(P88="低",7,IF(P88="中",10,15)),IF(J88="EIF",IF(P88="低",5,IF(P88="中",7,10)),"不计算")))))*R88,"不计算")</f>
        <v/>
      </c>
      <c r="R88" s="172" t="n">
        <v>0.333333333333333</v>
      </c>
      <c r="S88" s="173">
        <f>调整因子!$F$13</f>
        <v/>
      </c>
      <c r="T88" s="92" t="n">
        <v>1</v>
      </c>
      <c r="U88" s="174">
        <f>IFERROR(Q88*S88,0)</f>
        <v/>
      </c>
      <c r="V88" s="174">
        <f>U88*T88</f>
        <v/>
      </c>
      <c r="W88" s="90" t="inlineStr">
        <is>
          <t>产品漏洞预警任务历史表</t>
        </is>
      </c>
      <c r="X88" s="91" t="n"/>
      <c r="Y88" s="90" t="inlineStr">
        <is>
          <t>产品漏洞预警任务历史表{任务ID|历史记录ID、任务ID、执行时间、结果}</t>
        </is>
      </c>
      <c r="Z88" s="90" t="n"/>
      <c r="AA88" s="90" t="n"/>
      <c r="AB88" s="93" t="inlineStr">
        <is>
          <t>归属规则设定表</t>
        </is>
      </c>
      <c r="AC88" s="66" t="n"/>
    </row>
    <row r="89" customFormat="1" s="66">
      <c r="A89" s="72" t="n"/>
      <c r="B89" s="175" t="n"/>
      <c r="C89" s="80" t="n">
        <v>2025</v>
      </c>
      <c r="D89" s="80" t="inlineStr">
        <is>
          <t>张明峰</t>
        </is>
      </c>
      <c r="E89" s="81">
        <f>VLOOKUP(I89,'25年交付功能（不含废弃）'!A:A,1,FALSE)</f>
        <v/>
      </c>
      <c r="F89" s="175" t="n"/>
      <c r="G89" s="175" t="n"/>
      <c r="H89" s="175" t="n"/>
      <c r="I89" s="98" t="inlineStr">
        <is>
          <t>查看产品漏洞预警任务列表</t>
        </is>
      </c>
      <c r="J89" s="93" t="inlineStr">
        <is>
          <t>EQ</t>
        </is>
      </c>
      <c r="K89" s="99" t="inlineStr">
        <is>
          <t>新增</t>
        </is>
      </c>
      <c r="L89" s="84" t="n"/>
      <c r="M89" s="85" t="n"/>
      <c r="N89" s="85" t="n"/>
      <c r="O89" s="85" t="n"/>
      <c r="P89" s="86" t="n"/>
      <c r="Q89" s="172" t="n"/>
      <c r="R89" s="172" t="n"/>
      <c r="S89" s="173" t="n"/>
      <c r="T89" s="92" t="n"/>
      <c r="U89" s="174" t="n"/>
      <c r="V89" s="174" t="n"/>
      <c r="W89" s="90" t="n"/>
      <c r="X89" s="91" t="n"/>
      <c r="Y89" s="90" t="n"/>
      <c r="Z89" s="90" t="n"/>
      <c r="AA89" s="90" t="n"/>
      <c r="AB89" s="93" t="n"/>
      <c r="AC89" s="66" t="n"/>
    </row>
    <row r="90" customFormat="1" s="66">
      <c r="A90" s="72" t="n"/>
      <c r="B90" s="175" t="n"/>
      <c r="C90" s="80" t="n">
        <v>2025</v>
      </c>
      <c r="D90" s="80" t="inlineStr">
        <is>
          <t>张明峰</t>
        </is>
      </c>
      <c r="E90" s="81">
        <f>VLOOKUP(I90,'25年交付功能（不含废弃）'!A:A,1,FALSE)</f>
        <v/>
      </c>
      <c r="F90" s="175" t="n"/>
      <c r="G90" s="175" t="n"/>
      <c r="H90" s="175" t="n"/>
      <c r="I90" s="98" t="inlineStr">
        <is>
          <t>查询预警任务台账</t>
        </is>
      </c>
      <c r="J90" s="98" t="inlineStr">
        <is>
          <t>EQ</t>
        </is>
      </c>
      <c r="K90" s="99" t="inlineStr">
        <is>
          <t>新增</t>
        </is>
      </c>
      <c r="L90" s="84" t="n"/>
      <c r="M90" s="85" t="n"/>
      <c r="N90" s="85" t="n"/>
      <c r="O90" s="85" t="n"/>
      <c r="P90" s="86" t="n"/>
      <c r="Q90" s="172" t="n"/>
      <c r="R90" s="172" t="n"/>
      <c r="S90" s="173" t="n"/>
      <c r="T90" s="92" t="n"/>
      <c r="U90" s="174" t="n"/>
      <c r="V90" s="174" t="n"/>
      <c r="W90" s="90" t="n"/>
      <c r="X90" s="91" t="n"/>
      <c r="Y90" s="90" t="n"/>
      <c r="Z90" s="90" t="n"/>
      <c r="AA90" s="90" t="n"/>
      <c r="AB90" s="93" t="n"/>
      <c r="AC90" s="66" t="n"/>
    </row>
    <row r="91" customFormat="1" s="66">
      <c r="A91" s="72" t="n"/>
      <c r="B91" s="175" t="n"/>
      <c r="C91" s="80" t="n">
        <v>2025</v>
      </c>
      <c r="D91" s="80" t="inlineStr">
        <is>
          <t>张明峰</t>
        </is>
      </c>
      <c r="E91" s="81">
        <f>VLOOKUP(I91,'25年交付功能（不含废弃）'!A:A,1,FALSE)</f>
        <v/>
      </c>
      <c r="F91" s="175" t="n"/>
      <c r="G91" s="175" t="n"/>
      <c r="H91" s="175" t="n"/>
      <c r="I91" s="98" t="inlineStr">
        <is>
          <t>查询预警任务台账详情</t>
        </is>
      </c>
      <c r="J91" s="98" t="inlineStr">
        <is>
          <t>EO</t>
        </is>
      </c>
      <c r="K91" s="99" t="inlineStr">
        <is>
          <t>新增</t>
        </is>
      </c>
      <c r="L91" s="84" t="n"/>
      <c r="M91" s="85" t="n"/>
      <c r="N91" s="85" t="n"/>
      <c r="O91" s="85" t="n"/>
      <c r="P91" s="86" t="n"/>
      <c r="Q91" s="172" t="n"/>
      <c r="R91" s="172" t="n"/>
      <c r="S91" s="173" t="n"/>
      <c r="T91" s="92" t="n"/>
      <c r="U91" s="174" t="n"/>
      <c r="V91" s="174" t="n"/>
      <c r="W91" s="90" t="n"/>
      <c r="X91" s="91" t="n"/>
      <c r="Y91" s="90" t="n"/>
      <c r="Z91" s="90" t="n"/>
      <c r="AA91" s="90" t="n"/>
      <c r="AB91" s="93" t="n"/>
      <c r="AC91" s="66" t="n"/>
    </row>
    <row r="92" customFormat="1" s="66">
      <c r="A92" s="72">
        <f>ROW()-1</f>
        <v/>
      </c>
      <c r="B92" s="175" t="n"/>
      <c r="C92" s="80" t="n">
        <v>2025</v>
      </c>
      <c r="D92" s="80" t="inlineStr">
        <is>
          <t>张明峰</t>
        </is>
      </c>
      <c r="E92" s="81">
        <f>VLOOKUP(I92,'25年交付功能（不含废弃）'!A:A,1,FALSE)</f>
        <v/>
      </c>
      <c r="F92" s="175" t="n"/>
      <c r="G92" s="175" t="n"/>
      <c r="H92" s="175" t="n"/>
      <c r="I92" s="98" t="inlineStr">
        <is>
          <t>查看产品漏洞预警任务详情</t>
        </is>
      </c>
      <c r="J92" s="93" t="inlineStr">
        <is>
          <t>EQ</t>
        </is>
      </c>
      <c r="K92" s="84" t="n"/>
      <c r="L92" s="84" t="n"/>
      <c r="M92" s="85">
        <f>IF(OR(Y92="估算法",Y92="算法类",Y92="无法识别"),"",IF(W92="",IF(OR(J92="EI",J92="EO",J92="EQ"),0,""),LEN(W92)-LEN(SUBSTITUTE(W92,"、",""))+1))</f>
        <v/>
      </c>
      <c r="N92" s="85">
        <f>IF(OR(Y92="估算法",Y92="算法类",Y92="无法识别"),"",IF(X92="",IF(OR(J92="ILF",J92="EIF"),0,""),LEN(X92)-LEN(SUBSTITUTE(X92,"、",""))+1))</f>
        <v/>
      </c>
      <c r="O92" s="85">
        <f>IF(OR(Y92="估算法",Y92="算法类",Y92="无法识别"),"",IF(Y92="",IF(OR(J92="ILF",J92="EIF",J92="EI",J92="EO",J92="EQ"),0,""),LEN(Y92)-LEN(SUBSTITUTE(SUBSTITUTE(SUBSTITUTE(SUBSTITUTE(SUBSTITUTE(Y92,"|}","--"),"{|","--"),CHAR(10),""),"、",""),"|",""))+IF(AND(OR(J92="EI",J92="EO",J92="EQ"),$AE$1="NESMA"),2,1)))</f>
        <v/>
      </c>
      <c r="P92" s="86">
        <f>IF(J92="EI",IF(OR(Y92="估算法",Y92="算法类"),"中",IF(Y92="无法识别","低",IF(M92&lt;2,IF(O92&lt;16,"低","中"),IF(M92&lt;3,IF(O92&lt;5,"低",IF(O92&lt;16,"中","高")),IF(O92&lt;5,"中","高"))))),IF(OR(J92="EO",J92="EQ"),IF(OR(Y92="估算法",Y92="算法类"),"中",IF(Y92="无法识别","低",IF(M92&lt;2,IF(O92&lt;20,"低","中"),IF(M92&lt;4,IF(O92&lt;6,"低",IF(O92&lt;20,"中","高")),IF(O92&lt;6,"中","高"))))),IF(OR(J92="ILF",J92="EIF"),IF(OR(Y92="估算法",Y92="算法类",Y92="无法识别"),"低",IF(N92&lt;2,IF(O92&lt;51,"低","中"),IF(N92&lt;6,IF(O92&lt;20,"低",IF(O92&lt;51,"中","高")),IF(O92&lt;20,"中","高")))),"不计算")))</f>
        <v/>
      </c>
      <c r="Q92" s="172">
        <f>IFERROR(IF(J92="EI",IF(P92="低",3,IF(P92="中",4,6)),IF(J92="EO",IF(P92="低",4,IF(P92="中",5,7)),IF(J92="EQ",IF(P92="低",3,IF(P92="中",4,6)),IF(J92="ILF",IF(P92="低",7,IF(P92="中",10,15)),IF(J92="EIF",IF(P92="低",5,IF(P92="中",7,10)),"不计算")))))*R92,"不计算")</f>
        <v/>
      </c>
      <c r="R92" s="172" t="n">
        <v>1</v>
      </c>
      <c r="S92" s="173">
        <f>调整因子!$F$13</f>
        <v/>
      </c>
      <c r="T92" s="93" t="n">
        <v>1</v>
      </c>
      <c r="U92" s="174">
        <f>IFERROR(Q92*S92,0)</f>
        <v/>
      </c>
      <c r="V92" s="174">
        <f>U92*T92</f>
        <v/>
      </c>
      <c r="W92" s="90" t="inlineStr">
        <is>
          <t>产品漏洞预警任务表、任务实例表、任务生命周期追踪表</t>
        </is>
      </c>
      <c r="X92" s="91" t="n"/>
      <c r="Y92" s="90" t="inlineStr">
        <is>
          <t>产品漏洞预警任务表{任务ID|任务名称、任务描述、开始时间、结束时间、状态}、任务实例表{实例ID|任务ID、资产ID、状态、开始时间、结束时间}、任务生命周期追踪表{追踪ID、任务ID、当前状态、状态变更时间}</t>
        </is>
      </c>
      <c r="Z92" s="90" t="n"/>
      <c r="AA92" s="90" t="n"/>
      <c r="AB92" s="93" t="inlineStr">
        <is>
          <t>归属规则设定表</t>
        </is>
      </c>
      <c r="AC92" s="66" t="n"/>
    </row>
    <row r="93" customFormat="1" s="66">
      <c r="A93" s="72">
        <f>ROW()-1</f>
        <v/>
      </c>
      <c r="B93" s="175" t="n"/>
      <c r="C93" s="80" t="n">
        <v>2025</v>
      </c>
      <c r="D93" s="80" t="inlineStr">
        <is>
          <t>张明峰</t>
        </is>
      </c>
      <c r="E93" s="81">
        <f>VLOOKUP(I93,'25年交付功能（不含废弃）'!A:A,1,FALSE)</f>
        <v/>
      </c>
      <c r="F93" s="175" t="n"/>
      <c r="G93" s="175" t="n"/>
      <c r="H93" s="175" t="n"/>
      <c r="I93" s="98" t="inlineStr">
        <is>
          <t>产品漏洞预警任务实例状态自动更新</t>
        </is>
      </c>
      <c r="J93" s="93" t="n"/>
      <c r="K93" s="101" t="inlineStr">
        <is>
          <t>删除</t>
        </is>
      </c>
      <c r="L93" s="84" t="inlineStr">
        <is>
          <t>非事务功能</t>
        </is>
      </c>
      <c r="M93" s="85">
        <f>IF(OR(Y93="估算法",Y93="算法类",Y93="无法识别"),"",IF(W93="",IF(OR(J93="EI",J93="EO",J93="EQ"),0,""),LEN(W93)-LEN(SUBSTITUTE(W93,"、",""))+1))</f>
        <v/>
      </c>
      <c r="N93" s="85">
        <f>IF(OR(Y93="估算法",Y93="算法类",Y93="无法识别"),"",IF(X93="",IF(OR(J93="ILF",J93="EIF"),0,""),LEN(X93)-LEN(SUBSTITUTE(X93,"、",""))+1))</f>
        <v/>
      </c>
      <c r="O93" s="85">
        <f>IF(OR(Y93="估算法",Y93="算法类",Y93="无法识别"),"",IF(Y93="",IF(OR(J93="ILF",J93="EIF",J93="EI",J93="EO",J93="EQ"),0,""),LEN(Y93)-LEN(SUBSTITUTE(SUBSTITUTE(SUBSTITUTE(SUBSTITUTE(SUBSTITUTE(Y93,"|}","--"),"{|","--"),CHAR(10),""),"、",""),"|",""))+IF(AND(OR(J93="EI",J93="EO",J93="EQ"),$AE$1="NESMA"),2,1)))</f>
        <v/>
      </c>
      <c r="P93" s="86">
        <f>IF(J93="EI",IF(OR(Y93="估算法",Y93="算法类"),"中",IF(Y93="无法识别","低",IF(M93&lt;2,IF(O93&lt;16,"低","中"),IF(M93&lt;3,IF(O93&lt;5,"低",IF(O93&lt;16,"中","高")),IF(O93&lt;5,"中","高"))))),IF(OR(J93="EO",J93="EQ"),IF(OR(Y93="估算法",Y93="算法类"),"中",IF(Y93="无法识别","低",IF(M93&lt;2,IF(O93&lt;20,"低","中"),IF(M93&lt;4,IF(O93&lt;6,"低",IF(O93&lt;20,"中","高")),IF(O93&lt;6,"中","高"))))),IF(OR(J93="ILF",J93="EIF"),IF(OR(Y93="估算法",Y93="算法类",Y93="无法识别"),"低",IF(N93&lt;2,IF(O93&lt;51,"低","中"),IF(N93&lt;6,IF(O93&lt;20,"低",IF(O93&lt;51,"中","高")),IF(O93&lt;20,"中","高")))),"不计算")))</f>
        <v/>
      </c>
      <c r="Q93" s="172">
        <f>IFERROR(IF(J93="EI",IF(P93="低",3,IF(P93="中",4,6)),IF(J93="EO",IF(P93="低",4,IF(P93="中",5,7)),IF(J93="EQ",IF(P93="低",3,IF(P93="中",4,6)),IF(J93="ILF",IF(P93="低",7,IF(P93="中",10,15)),IF(J93="EIF",IF(P93="低",5,IF(P93="中",7,10)),"不计算")))))*R93,"不计算")</f>
        <v/>
      </c>
      <c r="R93" s="172" t="n">
        <v>1</v>
      </c>
      <c r="S93" s="173">
        <f>调整因子!$F$13</f>
        <v/>
      </c>
      <c r="T93" s="92" t="n">
        <v>1</v>
      </c>
      <c r="U93" s="174">
        <f>IFERROR(Q93*S93,0)</f>
        <v/>
      </c>
      <c r="V93" s="174">
        <f>U93*T93</f>
        <v/>
      </c>
      <c r="W93" s="90" t="inlineStr">
        <is>
          <t>任务实例表</t>
        </is>
      </c>
      <c r="X93" s="91" t="n"/>
      <c r="Y93" s="90" t="inlineStr">
        <is>
          <t>任务实例表{实例ID、任务ID、资产ID、状态、开始时间、结束时间}</t>
        </is>
      </c>
      <c r="Z93" s="90" t="n"/>
      <c r="AA93" s="90" t="n"/>
      <c r="AB93" s="93" t="inlineStr">
        <is>
          <t>归属规则设定表</t>
        </is>
      </c>
      <c r="AC93" s="66" t="n"/>
    </row>
    <row r="94" customFormat="1" s="66">
      <c r="A94" s="72">
        <f>ROW()-1</f>
        <v/>
      </c>
      <c r="B94" s="175" t="n"/>
      <c r="C94" s="80" t="n">
        <v>2025</v>
      </c>
      <c r="D94" s="80" t="inlineStr">
        <is>
          <t>张明峰</t>
        </is>
      </c>
      <c r="E94" s="81">
        <f>VLOOKUP(I94,'25年交付功能（不含废弃）'!A:A,1,FALSE)</f>
        <v/>
      </c>
      <c r="F94" s="175" t="n"/>
      <c r="G94" s="175" t="n"/>
      <c r="H94" s="175" t="n"/>
      <c r="I94" s="98" t="inlineStr">
        <is>
          <t>查询产品漏洞预警任务实例列表</t>
        </is>
      </c>
      <c r="J94" s="93" t="inlineStr">
        <is>
          <t>EQ</t>
        </is>
      </c>
      <c r="K94" s="84" t="n"/>
      <c r="L94" s="84" t="n"/>
      <c r="M94" s="85">
        <f>IF(OR(Y94="估算法",Y94="算法类",Y94="无法识别"),"",IF(W94="",IF(OR(J94="EI",J94="EO",J94="EQ"),0,""),LEN(W94)-LEN(SUBSTITUTE(W94,"、",""))+1))</f>
        <v/>
      </c>
      <c r="N94" s="85">
        <f>IF(OR(Y94="估算法",Y94="算法类",Y94="无法识别"),"",IF(X94="",IF(OR(J94="ILF",J94="EIF"),0,""),LEN(X94)-LEN(SUBSTITUTE(X94,"、",""))+1))</f>
        <v/>
      </c>
      <c r="O94" s="85">
        <f>IF(OR(Y94="估算法",Y94="算法类",Y94="无法识别"),"",IF(Y94="",IF(OR(J94="ILF",J94="EIF",J94="EI",J94="EO",J94="EQ"),0,""),LEN(Y94)-LEN(SUBSTITUTE(SUBSTITUTE(SUBSTITUTE(SUBSTITUTE(SUBSTITUTE(Y94,"|}","--"),"{|","--"),CHAR(10),""),"、",""),"|",""))+IF(AND(OR(J94="EI",J94="EO",J94="EQ"),$AE$1="NESMA"),2,1)))</f>
        <v/>
      </c>
      <c r="P94" s="86">
        <f>IF(J94="EI",IF(OR(Y94="估算法",Y94="算法类"),"中",IF(Y94="无法识别","低",IF(M94&lt;2,IF(O94&lt;16,"低","中"),IF(M94&lt;3,IF(O94&lt;5,"低",IF(O94&lt;16,"中","高")),IF(O94&lt;5,"中","高"))))),IF(OR(J94="EO",J94="EQ"),IF(OR(Y94="估算法",Y94="算法类"),"中",IF(Y94="无法识别","低",IF(M94&lt;2,IF(O94&lt;20,"低","中"),IF(M94&lt;4,IF(O94&lt;6,"低",IF(O94&lt;20,"中","高")),IF(O94&lt;6,"中","高"))))),IF(OR(J94="ILF",J94="EIF"),IF(OR(Y94="估算法",Y94="算法类",Y94="无法识别"),"低",IF(N94&lt;2,IF(O94&lt;51,"低","中"),IF(N94&lt;6,IF(O94&lt;20,"低",IF(O94&lt;51,"中","高")),IF(O94&lt;20,"中","高")))),"不计算")))</f>
        <v/>
      </c>
      <c r="Q94" s="172">
        <f>IFERROR(IF(J94="EI",IF(P94="低",3,IF(P94="中",4,6)),IF(J94="EO",IF(P94="低",4,IF(P94="中",5,7)),IF(J94="EQ",IF(P94="低",3,IF(P94="中",4,6)),IF(J94="ILF",IF(P94="低",7,IF(P94="中",10,15)),IF(J94="EIF",IF(P94="低",5,IF(P94="中",7,10)),"不计算")))))*R94,"不计算")</f>
        <v/>
      </c>
      <c r="R94" s="172" t="n">
        <v>1</v>
      </c>
      <c r="S94" s="173">
        <f>调整因子!$F$13</f>
        <v/>
      </c>
      <c r="T94" s="92" t="n">
        <v>1</v>
      </c>
      <c r="U94" s="174">
        <f>IFERROR(Q94*S94,0)</f>
        <v/>
      </c>
      <c r="V94" s="174">
        <f>U94*T94</f>
        <v/>
      </c>
      <c r="W94" s="90" t="inlineStr">
        <is>
          <t>任务实例表、产品漏洞预警任务表</t>
        </is>
      </c>
      <c r="X94" s="91" t="n"/>
      <c r="Y94" s="90" t="inlineStr">
        <is>
          <t>任务实例表{任务ID|实例ID、任务ID、资产ID、状态、开始时间、结束时间}</t>
        </is>
      </c>
      <c r="Z94" s="90" t="n"/>
      <c r="AA94" s="90" t="n"/>
      <c r="AB94" s="93" t="inlineStr">
        <is>
          <t>自动归属判定表</t>
        </is>
      </c>
      <c r="AC94" s="66" t="n"/>
    </row>
    <row r="95" customFormat="1" s="66">
      <c r="A95" s="72">
        <f>ROW()-1</f>
        <v/>
      </c>
      <c r="B95" s="175" t="n"/>
      <c r="C95" s="80" t="n">
        <v>2025</v>
      </c>
      <c r="D95" s="80" t="inlineStr">
        <is>
          <t>张明峰</t>
        </is>
      </c>
      <c r="E95" s="81">
        <f>VLOOKUP(I95,'25年交付功能（不含废弃）'!A:A,1,FALSE)</f>
        <v/>
      </c>
      <c r="F95" s="175" t="n"/>
      <c r="G95" s="175" t="n"/>
      <c r="H95" s="175" t="n"/>
      <c r="I95" s="98" t="inlineStr">
        <is>
          <t>查看产品漏洞预警任务资产概况</t>
        </is>
      </c>
      <c r="J95" s="93" t="inlineStr">
        <is>
          <t>EQ</t>
        </is>
      </c>
      <c r="K95" s="84" t="n"/>
      <c r="L95" s="84" t="n"/>
      <c r="M95" s="85">
        <f>IF(OR(Y95="估算法",Y95="算法类",Y95="无法识别"),"",IF(W95="",IF(OR(J95="EI",J95="EO",J95="EQ"),0,""),LEN(W95)-LEN(SUBSTITUTE(W95,"、",""))+1))</f>
        <v/>
      </c>
      <c r="N95" s="85">
        <f>IF(OR(Y95="估算法",Y95="算法类",Y95="无法识别"),"",IF(X95="",IF(OR(J95="ILF",J95="EIF"),0,""),LEN(X95)-LEN(SUBSTITUTE(X95,"、",""))+1))</f>
        <v/>
      </c>
      <c r="O95" s="85">
        <f>IF(OR(Y95="估算法",Y95="算法类",Y95="无法识别"),"",IF(Y95="",IF(OR(J95="ILF",J95="EIF",J95="EI",J95="EO",J95="EQ"),0,""),LEN(Y95)-LEN(SUBSTITUTE(SUBSTITUTE(SUBSTITUTE(SUBSTITUTE(SUBSTITUTE(Y95,"|}","--"),"{|","--"),CHAR(10),""),"、",""),"|",""))+IF(AND(OR(J95="EI",J95="EO",J95="EQ"),$AE$1="NESMA"),2,1)))</f>
        <v/>
      </c>
      <c r="P95" s="86">
        <f>IF(J95="EI",IF(OR(Y95="估算法",Y95="算法类"),"中",IF(Y95="无法识别","低",IF(M95&lt;2,IF(O95&lt;16,"低","中"),IF(M95&lt;3,IF(O95&lt;5,"低",IF(O95&lt;16,"中","高")),IF(O95&lt;5,"中","高"))))),IF(OR(J95="EO",J95="EQ"),IF(OR(Y95="估算法",Y95="算法类"),"中",IF(Y95="无法识别","低",IF(M95&lt;2,IF(O95&lt;20,"低","中"),IF(M95&lt;4,IF(O95&lt;6,"低",IF(O95&lt;20,"中","高")),IF(O95&lt;6,"中","高"))))),IF(OR(J95="ILF",J95="EIF"),IF(OR(Y95="估算法",Y95="算法类",Y95="无法识别"),"低",IF(N95&lt;2,IF(O95&lt;51,"低","中"),IF(N95&lt;6,IF(O95&lt;20,"低",IF(O95&lt;51,"中","高")),IF(O95&lt;20,"中","高")))),"不计算")))</f>
        <v/>
      </c>
      <c r="Q95" s="172">
        <f>IFERROR(IF(J95="EI",IF(P95="低",3,IF(P95="中",4,6)),IF(J95="EO",IF(P95="低",4,IF(P95="中",5,7)),IF(J95="EQ",IF(P95="低",3,IF(P95="中",4,6)),IF(J95="ILF",IF(P95="低",7,IF(P95="中",10,15)),IF(J95="EIF",IF(P95="低",5,IF(P95="中",7,10)),"不计算")))))*R95,"不计算")</f>
        <v/>
      </c>
      <c r="R95" s="172" t="n">
        <v>1</v>
      </c>
      <c r="S95" s="173">
        <f>调整因子!$F$13</f>
        <v/>
      </c>
      <c r="T95" s="93" t="n">
        <v>1</v>
      </c>
      <c r="U95" s="174">
        <f>IFERROR(Q95*S95,0)</f>
        <v/>
      </c>
      <c r="V95" s="174">
        <f>U95*T95</f>
        <v/>
      </c>
      <c r="W95" s="90" t="inlineStr">
        <is>
          <t>扫描资产表、任务实例表</t>
        </is>
      </c>
      <c r="X95" s="91" t="n"/>
      <c r="Y95" s="90" t="inlineStr">
        <is>
          <t>任务实例表{实例ID、任务ID、资产ID、状态、开始时间、结束时间}、扫描资产表{任务ID|资产ID、IP地址、主机名、操作系统、部门}</t>
        </is>
      </c>
      <c r="Z95" s="90" t="n"/>
      <c r="AA95" s="90" t="n"/>
      <c r="AB95" s="82" t="inlineStr">
        <is>
          <t>归属手动设定表</t>
        </is>
      </c>
      <c r="AC95" s="66" t="n"/>
    </row>
    <row r="96" customFormat="1" s="66">
      <c r="A96" s="72">
        <f>ROW()-1</f>
        <v/>
      </c>
      <c r="B96" s="175" t="n"/>
      <c r="C96" s="80" t="n">
        <v>2025</v>
      </c>
      <c r="D96" s="80" t="inlineStr">
        <is>
          <t>张明峰</t>
        </is>
      </c>
      <c r="E96" s="81">
        <f>VLOOKUP(I96,'25年交付功能（不含废弃）'!A:A,1,FALSE)</f>
        <v/>
      </c>
      <c r="F96" s="175" t="n"/>
      <c r="G96" s="175" t="n"/>
      <c r="H96" s="175" t="n"/>
      <c r="I96" s="98" t="inlineStr">
        <is>
          <t>导出产品漏洞预警任务资产概况</t>
        </is>
      </c>
      <c r="J96" s="93" t="inlineStr">
        <is>
          <t>EO</t>
        </is>
      </c>
      <c r="K96" s="84" t="n"/>
      <c r="L96" s="84" t="n"/>
      <c r="M96" s="85">
        <f>IF(OR(Y96="估算法",Y96="算法类",Y96="无法识别"),"",IF(W96="",IF(OR(J96="EI",J96="EO",J96="EQ"),0,""),LEN(W96)-LEN(SUBSTITUTE(W96,"、",""))+1))</f>
        <v/>
      </c>
      <c r="N96" s="85">
        <f>IF(OR(Y96="估算法",Y96="算法类",Y96="无法识别"),"",IF(X96="",IF(OR(J96="ILF",J96="EIF"),0,""),LEN(X96)-LEN(SUBSTITUTE(X96,"、",""))+1))</f>
        <v/>
      </c>
      <c r="O96" s="85">
        <f>IF(OR(Y96="估算法",Y96="算法类",Y96="无法识别"),"",IF(Y96="",IF(OR(J96="ILF",J96="EIF",J96="EI",J96="EO",J96="EQ"),0,""),LEN(Y96)-LEN(SUBSTITUTE(SUBSTITUTE(SUBSTITUTE(SUBSTITUTE(SUBSTITUTE(Y96,"|}","--"),"{|","--"),CHAR(10),""),"、",""),"|",""))+IF(AND(OR(J96="EI",J96="EO",J96="EQ"),$AE$1="NESMA"),2,1)))</f>
        <v/>
      </c>
      <c r="P96" s="86">
        <f>IF(J96="EI",IF(OR(Y96="估算法",Y96="算法类"),"中",IF(Y96="无法识别","低",IF(M96&lt;2,IF(O96&lt;16,"低","中"),IF(M96&lt;3,IF(O96&lt;5,"低",IF(O96&lt;16,"中","高")),IF(O96&lt;5,"中","高"))))),IF(OR(J96="EO",J96="EQ"),IF(OR(Y96="估算法",Y96="算法类"),"中",IF(Y96="无法识别","低",IF(M96&lt;2,IF(O96&lt;20,"低","中"),IF(M96&lt;4,IF(O96&lt;6,"低",IF(O96&lt;20,"中","高")),IF(O96&lt;6,"中","高"))))),IF(OR(J96="ILF",J96="EIF"),IF(OR(Y96="估算法",Y96="算法类",Y96="无法识别"),"低",IF(N96&lt;2,IF(O96&lt;51,"低","中"),IF(N96&lt;6,IF(O96&lt;20,"低",IF(O96&lt;51,"中","高")),IF(O96&lt;20,"中","高")))),"不计算")))</f>
        <v/>
      </c>
      <c r="Q96" s="172">
        <f>IFERROR(IF(J96="EI",IF(P96="低",3,IF(P96="中",4,6)),IF(J96="EO",IF(P96="低",4,IF(P96="中",5,7)),IF(J96="EQ",IF(P96="低",3,IF(P96="中",4,6)),IF(J96="ILF",IF(P96="低",7,IF(P96="中",10,15)),IF(J96="EIF",IF(P96="低",5,IF(P96="中",7,10)),"不计算")))))*R96,"不计算")</f>
        <v/>
      </c>
      <c r="R96" s="172" t="n">
        <v>1</v>
      </c>
      <c r="S96" s="173">
        <f>调整因子!$F$13</f>
        <v/>
      </c>
      <c r="T96" s="92" t="n">
        <v>1</v>
      </c>
      <c r="U96" s="174">
        <f>IFERROR(Q96*S96,0)</f>
        <v/>
      </c>
      <c r="V96" s="174">
        <f>U96*T96</f>
        <v/>
      </c>
      <c r="W96" s="90" t="inlineStr">
        <is>
          <t>扫描资产表、任务实例表</t>
        </is>
      </c>
      <c r="X96" s="91" t="n"/>
      <c r="Y96" s="90" t="inlineStr">
        <is>
          <t>任务实例表{实例ID、任务ID、资产ID、状态、开始时间、结束时间}、扫描资产表{任务ID|资产ID、IP地址、主机名、操作系统、部门}</t>
        </is>
      </c>
      <c r="Z96" s="90" t="n"/>
      <c r="AA96" s="90" t="n"/>
      <c r="AB96" s="93" t="inlineStr">
        <is>
          <t>漏洞信息详情表、归属手动设定表</t>
        </is>
      </c>
      <c r="AC96" s="66" t="n"/>
    </row>
    <row r="97" customFormat="1" s="66">
      <c r="A97" s="72">
        <f>ROW()-1</f>
        <v/>
      </c>
      <c r="B97" s="175" t="n"/>
      <c r="C97" s="80" t="n">
        <v>2025</v>
      </c>
      <c r="D97" s="80" t="inlineStr">
        <is>
          <t>张明峰</t>
        </is>
      </c>
      <c r="E97" s="81">
        <f>VLOOKUP(I97,'25年交付功能（不含废弃）'!A:A,1,FALSE)</f>
        <v/>
      </c>
      <c r="F97" s="175" t="n"/>
      <c r="G97" s="175" t="n"/>
      <c r="H97" s="175" t="n"/>
      <c r="I97" s="98" t="inlineStr">
        <is>
          <t>查看产品漏洞预警任务漏洞概况</t>
        </is>
      </c>
      <c r="J97" s="93" t="inlineStr">
        <is>
          <t>EQ</t>
        </is>
      </c>
      <c r="K97" s="84" t="n"/>
      <c r="L97" s="84" t="n"/>
      <c r="M97" s="85">
        <f>IF(OR(Y97="估算法",Y97="算法类",Y97="无法识别"),"",IF(W97="",IF(OR(J97="EI",J97="EO",J97="EQ"),0,""),LEN(W97)-LEN(SUBSTITUTE(W97,"、",""))+1))</f>
        <v/>
      </c>
      <c r="N97" s="85">
        <f>IF(OR(Y97="估算法",Y97="算法类",Y97="无法识别"),"",IF(X97="",IF(OR(J97="ILF",J97="EIF"),0,""),LEN(X97)-LEN(SUBSTITUTE(X97,"、",""))+1))</f>
        <v/>
      </c>
      <c r="O97" s="85">
        <f>IF(OR(Y97="估算法",Y97="算法类",Y97="无法识别"),"",IF(Y97="",IF(OR(J97="ILF",J97="EIF",J97="EI",J97="EO",J97="EQ"),0,""),LEN(Y97)-LEN(SUBSTITUTE(SUBSTITUTE(SUBSTITUTE(SUBSTITUTE(SUBSTITUTE(Y97,"|}","--"),"{|","--"),CHAR(10),""),"、",""),"|",""))+IF(AND(OR(J97="EI",J97="EO",J97="EQ"),$AE$1="NESMA"),2,1)))</f>
        <v/>
      </c>
      <c r="P97" s="86">
        <f>IF(J97="EI",IF(OR(Y97="估算法",Y97="算法类"),"中",IF(Y97="无法识别","低",IF(M97&lt;2,IF(O97&lt;16,"低","中"),IF(M97&lt;3,IF(O97&lt;5,"低",IF(O97&lt;16,"中","高")),IF(O97&lt;5,"中","高"))))),IF(OR(J97="EO",J97="EQ"),IF(OR(Y97="估算法",Y97="算法类"),"中",IF(Y97="无法识别","低",IF(M97&lt;2,IF(O97&lt;20,"低","中"),IF(M97&lt;4,IF(O97&lt;6,"低",IF(O97&lt;20,"中","高")),IF(O97&lt;6,"中","高"))))),IF(OR(J97="ILF",J97="EIF"),IF(OR(Y97="估算法",Y97="算法类",Y97="无法识别"),"低",IF(N97&lt;2,IF(O97&lt;51,"低","中"),IF(N97&lt;6,IF(O97&lt;20,"低",IF(O97&lt;51,"中","高")),IF(O97&lt;20,"中","高")))),"不计算")))</f>
        <v/>
      </c>
      <c r="Q97" s="172">
        <f>IFERROR(IF(J97="EI",IF(P97="低",3,IF(P97="中",4,6)),IF(J97="EO",IF(P97="低",4,IF(P97="中",5,7)),IF(J97="EQ",IF(P97="低",3,IF(P97="中",4,6)),IF(J97="ILF",IF(P97="低",7,IF(P97="中",10,15)),IF(J97="EIF",IF(P97="低",5,IF(P97="中",7,10)),"不计算")))))*R97,"不计算")</f>
        <v/>
      </c>
      <c r="R97" s="172" t="n">
        <v>1</v>
      </c>
      <c r="S97" s="173">
        <f>调整因子!$F$13</f>
        <v/>
      </c>
      <c r="T97" s="92" t="n">
        <v>1</v>
      </c>
      <c r="U97" s="174">
        <f>IFERROR(Q97*S97,0)</f>
        <v/>
      </c>
      <c r="V97" s="174">
        <f>U97*T97</f>
        <v/>
      </c>
      <c r="W97" s="90" t="inlineStr">
        <is>
          <t>系统漏洞结果表、任务实例表</t>
        </is>
      </c>
      <c r="X97" s="91" t="n"/>
      <c r="Y97" s="90" t="inlineStr">
        <is>
          <t>系统漏洞结果表{任务实例ID|结果ID、漏洞ID、资产ID、检测结果、修复建议}</t>
        </is>
      </c>
      <c r="Z97" s="90" t="n"/>
      <c r="AA97" s="90" t="n"/>
      <c r="AB97" s="93" t="inlineStr">
        <is>
          <t>手动补录数据表</t>
        </is>
      </c>
      <c r="AC97" s="66" t="n"/>
    </row>
    <row r="98" customFormat="1" s="66">
      <c r="A98" s="72">
        <f>ROW()-1</f>
        <v/>
      </c>
      <c r="B98" s="175" t="n"/>
      <c r="C98" s="80" t="n">
        <v>2025</v>
      </c>
      <c r="D98" s="80" t="inlineStr">
        <is>
          <t>张明峰</t>
        </is>
      </c>
      <c r="E98" s="81">
        <f>VLOOKUP(I98,'25年交付功能（不含废弃）'!A:A,1,FALSE)</f>
        <v/>
      </c>
      <c r="F98" s="175" t="n"/>
      <c r="G98" s="175" t="n"/>
      <c r="H98" s="175" t="n"/>
      <c r="I98" s="98" t="inlineStr">
        <is>
          <t>导出产品漏洞预警任务漏洞结果</t>
        </is>
      </c>
      <c r="J98" s="93" t="inlineStr">
        <is>
          <t>EO</t>
        </is>
      </c>
      <c r="K98" s="84" t="n"/>
      <c r="L98" s="84" t="n"/>
      <c r="M98" s="85">
        <f>IF(OR(Y98="估算法",Y98="算法类",Y98="无法识别"),"",IF(W98="",IF(OR(J98="EI",J98="EO",J98="EQ"),0,""),LEN(W98)-LEN(SUBSTITUTE(W98,"、",""))+1))</f>
        <v/>
      </c>
      <c r="N98" s="85">
        <f>IF(OR(Y98="估算法",Y98="算法类",Y98="无法识别"),"",IF(X98="",IF(OR(J98="ILF",J98="EIF"),0,""),LEN(X98)-LEN(SUBSTITUTE(X98,"、",""))+1))</f>
        <v/>
      </c>
      <c r="O98" s="85">
        <f>IF(OR(Y98="估算法",Y98="算法类",Y98="无法识别"),"",IF(Y98="",IF(OR(J98="ILF",J98="EIF",J98="EI",J98="EO",J98="EQ"),0,""),LEN(Y98)-LEN(SUBSTITUTE(SUBSTITUTE(SUBSTITUTE(SUBSTITUTE(SUBSTITUTE(Y98,"|}","--"),"{|","--"),CHAR(10),""),"、",""),"|",""))+IF(AND(OR(J98="EI",J98="EO",J98="EQ"),$AE$1="NESMA"),2,1)))</f>
        <v/>
      </c>
      <c r="P98" s="86">
        <f>IF(J98="EI",IF(OR(Y98="估算法",Y98="算法类"),"中",IF(Y98="无法识别","低",IF(M98&lt;2,IF(O98&lt;16,"低","中"),IF(M98&lt;3,IF(O98&lt;5,"低",IF(O98&lt;16,"中","高")),IF(O98&lt;5,"中","高"))))),IF(OR(J98="EO",J98="EQ"),IF(OR(Y98="估算法",Y98="算法类"),"中",IF(Y98="无法识别","低",IF(M98&lt;2,IF(O98&lt;20,"低","中"),IF(M98&lt;4,IF(O98&lt;6,"低",IF(O98&lt;20,"中","高")),IF(O98&lt;6,"中","高"))))),IF(OR(J98="ILF",J98="EIF"),IF(OR(Y98="估算法",Y98="算法类",Y98="无法识别"),"低",IF(N98&lt;2,IF(O98&lt;51,"低","中"),IF(N98&lt;6,IF(O98&lt;20,"低",IF(O98&lt;51,"中","高")),IF(O98&lt;20,"中","高")))),"不计算")))</f>
        <v/>
      </c>
      <c r="Q98" s="172">
        <f>IFERROR(IF(J98="EI",IF(P98="低",3,IF(P98="中",4,6)),IF(J98="EO",IF(P98="低",4,IF(P98="中",5,7)),IF(J98="EQ",IF(P98="低",3,IF(P98="中",4,6)),IF(J98="ILF",IF(P98="低",7,IF(P98="中",10,15)),IF(J98="EIF",IF(P98="低",5,IF(P98="中",7,10)),"不计算")))))*R98,"不计算")</f>
        <v/>
      </c>
      <c r="R98" s="172" t="n">
        <v>1</v>
      </c>
      <c r="S98" s="173">
        <f>调整因子!$F$13</f>
        <v/>
      </c>
      <c r="T98" s="93" t="n">
        <v>1</v>
      </c>
      <c r="U98" s="174">
        <f>IFERROR(Q98*S98,0)</f>
        <v/>
      </c>
      <c r="V98" s="174">
        <f>U98*T98</f>
        <v/>
      </c>
      <c r="W98" s="90" t="inlineStr">
        <is>
          <t>系统漏洞结果表、任务实例表</t>
        </is>
      </c>
      <c r="X98" s="91" t="n"/>
      <c r="Y98" s="90" t="inlineStr">
        <is>
          <t>系统漏洞结果表{任务实例ID|结果ID、漏洞ID、资产ID、检测结果、修复建议}</t>
        </is>
      </c>
      <c r="Z98" s="90" t="n"/>
      <c r="AA98" s="90" t="n"/>
      <c r="AB98" s="93" t="inlineStr">
        <is>
          <t>资产同步数据表</t>
        </is>
      </c>
      <c r="AC98" s="66" t="n"/>
    </row>
    <row r="99" customFormat="1" s="66">
      <c r="A99" s="72">
        <f>ROW()-1</f>
        <v/>
      </c>
      <c r="B99" s="175" t="n"/>
      <c r="C99" s="80" t="n">
        <v>2025</v>
      </c>
      <c r="D99" s="80" t="inlineStr">
        <is>
          <t>张明峰</t>
        </is>
      </c>
      <c r="E99" s="81">
        <f>VLOOKUP(I99,'25年交付功能（不含废弃）'!A:A,1,FALSE)</f>
        <v/>
      </c>
      <c r="F99" s="175" t="n"/>
      <c r="G99" s="175" t="n"/>
      <c r="H99" s="175" t="n"/>
      <c r="I99" s="98" t="inlineStr">
        <is>
          <t>查看产品漏洞预警任务报告</t>
        </is>
      </c>
      <c r="J99" s="93" t="inlineStr">
        <is>
          <t>EQ</t>
        </is>
      </c>
      <c r="K99" s="84" t="n"/>
      <c r="L99" s="84" t="n"/>
      <c r="M99" s="85">
        <f>IF(OR(Y99="估算法",Y99="算法类",Y99="无法识别"),"",IF(W99="",IF(OR(J99="EI",J99="EO",J99="EQ"),0,""),LEN(W99)-LEN(SUBSTITUTE(W99,"、",""))+1))</f>
        <v/>
      </c>
      <c r="N99" s="85">
        <f>IF(OR(Y99="估算法",Y99="算法类",Y99="无法识别"),"",IF(X99="",IF(OR(J99="ILF",J99="EIF"),0,""),LEN(X99)-LEN(SUBSTITUTE(X99,"、",""))+1))</f>
        <v/>
      </c>
      <c r="O99" s="85">
        <f>IF(OR(Y99="估算法",Y99="算法类",Y99="无法识别"),"",IF(Y99="",IF(OR(J99="ILF",J99="EIF",J99="EI",J99="EO",J99="EQ"),0,""),LEN(Y99)-LEN(SUBSTITUTE(SUBSTITUTE(SUBSTITUTE(SUBSTITUTE(SUBSTITUTE(Y99,"|}","--"),"{|","--"),CHAR(10),""),"、",""),"|",""))+IF(AND(OR(J99="EI",J99="EO",J99="EQ"),$AE$1="NESMA"),2,1)))</f>
        <v/>
      </c>
      <c r="P99" s="86">
        <f>IF(J99="EI",IF(OR(Y99="估算法",Y99="算法类"),"中",IF(Y99="无法识别","低",IF(M99&lt;2,IF(O99&lt;16,"低","中"),IF(M99&lt;3,IF(O99&lt;5,"低",IF(O99&lt;16,"中","高")),IF(O99&lt;5,"中","高"))))),IF(OR(J99="EO",J99="EQ"),IF(OR(Y99="估算法",Y99="算法类"),"中",IF(Y99="无法识别","低",IF(M99&lt;2,IF(O99&lt;20,"低","中"),IF(M99&lt;4,IF(O99&lt;6,"低",IF(O99&lt;20,"中","高")),IF(O99&lt;6,"中","高"))))),IF(OR(J99="ILF",J99="EIF"),IF(OR(Y99="估算法",Y99="算法类",Y99="无法识别"),"低",IF(N99&lt;2,IF(O99&lt;51,"低","中"),IF(N99&lt;6,IF(O99&lt;20,"低",IF(O99&lt;51,"中","高")),IF(O99&lt;20,"中","高")))),"不计算")))</f>
        <v/>
      </c>
      <c r="Q99" s="172">
        <f>IFERROR(IF(J99="EI",IF(P99="低",3,IF(P99="中",4,6)),IF(J99="EO",IF(P99="低",4,IF(P99="中",5,7)),IF(J99="EQ",IF(P99="低",3,IF(P99="中",4,6)),IF(J99="ILF",IF(P99="低",7,IF(P99="中",10,15)),IF(J99="EIF",IF(P99="低",5,IF(P99="中",7,10)),"不计算")))))*R99,"不计算")</f>
        <v/>
      </c>
      <c r="R99" s="172" t="n">
        <v>1</v>
      </c>
      <c r="S99" s="173">
        <f>调整因子!$F$13</f>
        <v/>
      </c>
      <c r="T99" s="92" t="n">
        <v>1</v>
      </c>
      <c r="U99" s="174">
        <f>IFERROR(Q99*S99,0)</f>
        <v/>
      </c>
      <c r="V99" s="174">
        <f>U99*T99</f>
        <v/>
      </c>
      <c r="W99" s="90" t="inlineStr">
        <is>
          <t>任务实例表、报告类型表、报告模板表</t>
        </is>
      </c>
      <c r="X99" s="91" t="n"/>
      <c r="Y99" s="90" t="inlineStr">
        <is>
          <t>任务实例表{实例ID、任务ID、资产ID、状态、开始时间、结束时间}、报告类型表{类型ID、类型名称、描述}、报告模板表{模板ID、模板名称、内容、创建时间}</t>
        </is>
      </c>
      <c r="Z99" s="90" t="n"/>
      <c r="AA99" s="90" t="n"/>
      <c r="AB99" s="93" t="inlineStr">
        <is>
          <t>资产模型属性表</t>
        </is>
      </c>
      <c r="AC99" s="66" t="n"/>
    </row>
    <row r="100" customFormat="1" s="66">
      <c r="A100" s="72">
        <f>ROW()-1</f>
        <v/>
      </c>
      <c r="B100" s="175" t="n"/>
      <c r="C100" s="80" t="n">
        <v>2025</v>
      </c>
      <c r="D100" s="80" t="inlineStr">
        <is>
          <t>张明峰</t>
        </is>
      </c>
      <c r="E100" s="81">
        <f>VLOOKUP(I100,'25年交付功能（不含废弃）'!A:A,1,FALSE)</f>
        <v/>
      </c>
      <c r="F100" s="175" t="n"/>
      <c r="G100" s="175" t="n"/>
      <c r="H100" s="175" t="n"/>
      <c r="I100" s="98" t="inlineStr">
        <is>
          <t>生成产品漏洞预警任务报告</t>
        </is>
      </c>
      <c r="J100" s="93" t="inlineStr">
        <is>
          <t>EO</t>
        </is>
      </c>
      <c r="K100" s="84" t="n"/>
      <c r="L100" s="84" t="n"/>
      <c r="M100" s="85">
        <f>IF(OR(Y100="估算法",Y100="算法类",Y100="无法识别"),"",IF(W100="",IF(OR(J100="EI",J100="EO",J100="EQ"),0,""),LEN(W100)-LEN(SUBSTITUTE(W100,"、",""))+1))</f>
        <v/>
      </c>
      <c r="N100" s="85">
        <f>IF(OR(Y100="估算法",Y100="算法类",Y100="无法识别"),"",IF(X100="",IF(OR(J100="ILF",J100="EIF"),0,""),LEN(X100)-LEN(SUBSTITUTE(X100,"、",""))+1))</f>
        <v/>
      </c>
      <c r="O100" s="85">
        <f>IF(OR(Y100="估算法",Y100="算法类",Y100="无法识别"),"",IF(Y100="",IF(OR(J100="ILF",J100="EIF",J100="EI",J100="EO",J100="EQ"),0,""),LEN(Y100)-LEN(SUBSTITUTE(SUBSTITUTE(SUBSTITUTE(SUBSTITUTE(SUBSTITUTE(Y100,"|}","--"),"{|","--"),CHAR(10),""),"、",""),"|",""))+IF(AND(OR(J100="EI",J100="EO",J100="EQ"),$AE$1="NESMA"),2,1)))</f>
        <v/>
      </c>
      <c r="P100" s="86">
        <f>IF(J100="EI",IF(OR(Y100="估算法",Y100="算法类"),"中",IF(Y100="无法识别","低",IF(M100&lt;2,IF(O100&lt;16,"低","中"),IF(M100&lt;3,IF(O100&lt;5,"低",IF(O100&lt;16,"中","高")),IF(O100&lt;5,"中","高"))))),IF(OR(J100="EO",J100="EQ"),IF(OR(Y100="估算法",Y100="算法类"),"中",IF(Y100="无法识别","低",IF(M100&lt;2,IF(O100&lt;20,"低","中"),IF(M100&lt;4,IF(O100&lt;6,"低",IF(O100&lt;20,"中","高")),IF(O100&lt;6,"中","高"))))),IF(OR(J100="ILF",J100="EIF"),IF(OR(Y100="估算法",Y100="算法类",Y100="无法识别"),"低",IF(N100&lt;2,IF(O100&lt;51,"低","中"),IF(N100&lt;6,IF(O100&lt;20,"低",IF(O100&lt;51,"中","高")),IF(O100&lt;20,"中","高")))),"不计算")))</f>
        <v/>
      </c>
      <c r="Q100" s="172">
        <f>IFERROR(IF(J100="EI",IF(P100="低",3,IF(P100="中",4,6)),IF(J100="EO",IF(P100="低",4,IF(P100="中",5,7)),IF(J100="EQ",IF(P100="低",3,IF(P100="中",4,6)),IF(J100="ILF",IF(P100="低",7,IF(P100="中",10,15)),IF(J100="EIF",IF(P100="低",5,IF(P100="中",7,10)),"不计算")))))*R100,"不计算")</f>
        <v/>
      </c>
      <c r="R100" s="172" t="n">
        <v>1</v>
      </c>
      <c r="S100" s="173">
        <f>调整因子!$F$13</f>
        <v/>
      </c>
      <c r="T100" s="92" t="n">
        <v>1</v>
      </c>
      <c r="U100" s="174">
        <f>IFERROR(Q100*S100,0)</f>
        <v/>
      </c>
      <c r="V100" s="174">
        <f>U100*T100</f>
        <v/>
      </c>
      <c r="W100" s="90" t="inlineStr">
        <is>
          <t>任务实例表、报告类型表、报告模板表、报告生成记录表</t>
        </is>
      </c>
      <c r="X100" s="91" t="n"/>
      <c r="Y100" s="90" t="inlineStr">
        <is>
          <t>任务实例表{实例ID、任务ID、资产ID、状态、开始时间、结束时间}、报告类型表{类型ID、类型名称、描述}、报告模板表{模板ID、模板名称、内容、创建时间}、报告生成记录表{记录ID、报告ID、生成时间、生成人}</t>
        </is>
      </c>
      <c r="Z100" s="90" t="n"/>
      <c r="AA100" s="90" t="n"/>
      <c r="AB100" s="93" t="inlineStr">
        <is>
          <t>靶标资产表、靶标资产同步记录表</t>
        </is>
      </c>
      <c r="AC100" s="66" t="n"/>
    </row>
    <row r="101" customFormat="1" s="66">
      <c r="A101" s="72">
        <f>ROW()-1</f>
        <v/>
      </c>
      <c r="B101" s="175" t="n"/>
      <c r="C101" s="80" t="n">
        <v>2025</v>
      </c>
      <c r="D101" s="80" t="inlineStr">
        <is>
          <t>张明峰</t>
        </is>
      </c>
      <c r="E101" s="81">
        <f>VLOOKUP(I101,'25年交付功能（不含废弃）'!A:A,1,FALSE)</f>
        <v/>
      </c>
      <c r="F101" s="175" t="n"/>
      <c r="G101" s="175" t="n"/>
      <c r="H101" s="175" t="n"/>
      <c r="I101" s="98" t="inlineStr">
        <is>
          <t>下载产品漏洞预警任务报告</t>
        </is>
      </c>
      <c r="J101" s="93" t="inlineStr">
        <is>
          <t>EO</t>
        </is>
      </c>
      <c r="K101" s="84" t="n"/>
      <c r="L101" s="84" t="n"/>
      <c r="M101" s="85">
        <f>IF(OR(Y101="估算法",Y101="算法类",Y101="无法识别"),"",IF(W101="",IF(OR(J101="EI",J101="EO",J101="EQ"),0,""),LEN(W101)-LEN(SUBSTITUTE(W101,"、",""))+1))</f>
        <v/>
      </c>
      <c r="N101" s="85">
        <f>IF(OR(Y101="估算法",Y101="算法类",Y101="无法识别"),"",IF(X101="",IF(OR(J101="ILF",J101="EIF"),0,""),LEN(X101)-LEN(SUBSTITUTE(X101,"、",""))+1))</f>
        <v/>
      </c>
      <c r="O101" s="85">
        <f>IF(OR(Y101="估算法",Y101="算法类",Y101="无法识别"),"",IF(Y101="",IF(OR(J101="ILF",J101="EIF",J101="EI",J101="EO",J101="EQ"),0,""),LEN(Y101)-LEN(SUBSTITUTE(SUBSTITUTE(SUBSTITUTE(SUBSTITUTE(SUBSTITUTE(Y101,"|}","--"),"{|","--"),CHAR(10),""),"、",""),"|",""))+IF(AND(OR(J101="EI",J101="EO",J101="EQ"),$AE$1="NESMA"),2,1)))</f>
        <v/>
      </c>
      <c r="P101" s="86">
        <f>IF(J101="EI",IF(OR(Y101="估算法",Y101="算法类"),"中",IF(Y101="无法识别","低",IF(M101&lt;2,IF(O101&lt;16,"低","中"),IF(M101&lt;3,IF(O101&lt;5,"低",IF(O101&lt;16,"中","高")),IF(O101&lt;5,"中","高"))))),IF(OR(J101="EO",J101="EQ"),IF(OR(Y101="估算法",Y101="算法类"),"中",IF(Y101="无法识别","低",IF(M101&lt;2,IF(O101&lt;20,"低","中"),IF(M101&lt;4,IF(O101&lt;6,"低",IF(O101&lt;20,"中","高")),IF(O101&lt;6,"中","高"))))),IF(OR(J101="ILF",J101="EIF"),IF(OR(Y101="估算法",Y101="算法类",Y101="无法识别"),"低",IF(N101&lt;2,IF(O101&lt;51,"低","中"),IF(N101&lt;6,IF(O101&lt;20,"低",IF(O101&lt;51,"中","高")),IF(O101&lt;20,"中","高")))),"不计算")))</f>
        <v/>
      </c>
      <c r="Q101" s="172">
        <f>IFERROR(IF(J101="EI",IF(P101="低",3,IF(P101="中",4,6)),IF(J101="EO",IF(P101="低",4,IF(P101="中",5,7)),IF(J101="EQ",IF(P101="低",3,IF(P101="中",4,6)),IF(J101="ILF",IF(P101="低",7,IF(P101="中",10,15)),IF(J101="EIF",IF(P101="低",5,IF(P101="中",7,10)),"不计算")))))*R101,"不计算")</f>
        <v/>
      </c>
      <c r="R101" s="172" t="n">
        <v>1</v>
      </c>
      <c r="S101" s="173">
        <f>调整因子!$F$13</f>
        <v/>
      </c>
      <c r="T101" s="93" t="n">
        <v>1</v>
      </c>
      <c r="U101" s="174">
        <f>IFERROR(Q101*S101,0)</f>
        <v/>
      </c>
      <c r="V101" s="174">
        <f>U101*T101</f>
        <v/>
      </c>
      <c r="W101" s="90" t="inlineStr">
        <is>
          <t>任务实例表、报告生成记录表</t>
        </is>
      </c>
      <c r="X101" s="91" t="n"/>
      <c r="Y101" s="90" t="inlineStr">
        <is>
          <t>任务实例表{实例ID、任务ID、资产ID、状态、开始时间、结束时间}、报告生成记录表{记录ID、报告ID、生成时间、生成人}</t>
        </is>
      </c>
      <c r="Z101" s="90" t="n"/>
      <c r="AA101" s="90" t="n"/>
      <c r="AB101" s="93" t="inlineStr">
        <is>
          <t>靶标资产表、靶标资产接收记录表</t>
        </is>
      </c>
      <c r="AC101" s="66" t="n"/>
    </row>
    <row r="102" customFormat="1" s="66">
      <c r="A102" s="72">
        <f>ROW()-1</f>
        <v/>
      </c>
      <c r="B102" s="175" t="n"/>
      <c r="C102" s="80" t="n">
        <v>2025</v>
      </c>
      <c r="D102" s="80" t="inlineStr">
        <is>
          <t>张明峰</t>
        </is>
      </c>
      <c r="E102" s="81">
        <f>VLOOKUP(I102,'25年交付功能（不含废弃）'!A:A,1,FALSE)</f>
        <v/>
      </c>
      <c r="F102" s="175" t="n"/>
      <c r="G102" s="175" t="n"/>
      <c r="H102" s="175" t="n"/>
      <c r="I102" s="98" t="inlineStr">
        <is>
          <t>产品漏洞预警任务表</t>
        </is>
      </c>
      <c r="J102" s="93" t="inlineStr">
        <is>
          <t>ILF</t>
        </is>
      </c>
      <c r="K102" s="84" t="n"/>
      <c r="L102" s="84" t="n"/>
      <c r="M102" s="85">
        <f>IF(OR(Y102="估算法",Y102="算法类",Y102="无法识别"),"",IF(W102="",IF(OR(J102="EI",J102="EO",J102="EQ"),0,""),LEN(W102)-LEN(SUBSTITUTE(W102,"、",""))+1))</f>
        <v/>
      </c>
      <c r="N102" s="85">
        <f>IF(OR(Y102="估算法",Y102="算法类",Y102="无法识别"),"",IF(X102="",IF(OR(J102="ILF",J102="EIF"),0,""),LEN(X102)-LEN(SUBSTITUTE(X102,"、",""))+1))</f>
        <v/>
      </c>
      <c r="O102" s="85">
        <f>IF(OR(Y102="估算法",Y102="算法类",Y102="无法识别"),"",IF(Y102="",IF(OR(J102="ILF",J102="EIF",J102="EI",J102="EO",J102="EQ"),0,""),LEN(Y102)-LEN(SUBSTITUTE(SUBSTITUTE(SUBSTITUTE(SUBSTITUTE(SUBSTITUTE(Y102,"|}","--"),"{|","--"),CHAR(10),""),"、",""),"|",""))+IF(AND(OR(J102="EI",J102="EO",J102="EQ"),$AE$1="NESMA"),2,1)))</f>
        <v/>
      </c>
      <c r="P102" s="86">
        <f>IF(J102="EI",IF(OR(Y102="估算法",Y102="算法类"),"中",IF(Y102="无法识别","低",IF(M102&lt;2,IF(O102&lt;16,"低","中"),IF(M102&lt;3,IF(O102&lt;5,"低",IF(O102&lt;16,"中","高")),IF(O102&lt;5,"中","高"))))),IF(OR(J102="EO",J102="EQ"),IF(OR(Y102="估算法",Y102="算法类"),"中",IF(Y102="无法识别","低",IF(M102&lt;2,IF(O102&lt;20,"低","中"),IF(M102&lt;4,IF(O102&lt;6,"低",IF(O102&lt;20,"中","高")),IF(O102&lt;6,"中","高"))))),IF(OR(J102="ILF",J102="EIF"),IF(OR(Y102="估算法",Y102="算法类",Y102="无法识别"),"低",IF(N102&lt;2,IF(O102&lt;51,"低","中"),IF(N102&lt;6,IF(O102&lt;20,"低",IF(O102&lt;51,"中","高")),IF(O102&lt;20,"中","高")))),"不计算")))</f>
        <v/>
      </c>
      <c r="Q102" s="172">
        <f>IFERROR(IF(J102="EI",IF(P102="低",3,IF(P102="中",4,6)),IF(J102="EO",IF(P102="低",4,IF(P102="中",5,7)),IF(J102="EQ",IF(P102="低",3,IF(P102="中",4,6)),IF(J102="ILF",IF(P102="低",7,IF(P102="中",10,15)),IF(J102="EIF",IF(P102="低",5,IF(P102="中",7,10)),"不计算")))))*R102,"不计算")</f>
        <v/>
      </c>
      <c r="R102" s="172" t="n">
        <v>1</v>
      </c>
      <c r="S102" s="173">
        <f>调整因子!$F$13</f>
        <v/>
      </c>
      <c r="T102" s="92" t="n">
        <v>1</v>
      </c>
      <c r="U102" s="174">
        <f>IFERROR(Q102*S102,0)</f>
        <v/>
      </c>
      <c r="V102" s="174">
        <f>U102*T102</f>
        <v/>
      </c>
      <c r="W102" s="91" t="n"/>
      <c r="X102" s="90" t="inlineStr">
        <is>
          <t>产品漏洞预警任务表</t>
        </is>
      </c>
      <c r="Y102" s="90" t="inlineStr">
        <is>
          <t>产品漏洞预警任务表{任务ID、任务名称、任务描述、开始时间、结束时间、状态|状态码、提示内容、异常内容、响应头}</t>
        </is>
      </c>
      <c r="Z102" s="90">
        <f>IF(COUNTIFS(W:W,"*"&amp;I102&amp;"*")&gt;0,"存在","不存在")</f>
        <v/>
      </c>
      <c r="AA102" s="90">
        <f>IF(COUNTIFS(AB:AB,"*"&amp;I102&amp;"*")&gt;0,"存在","不存在")</f>
        <v/>
      </c>
      <c r="AB102" s="93" t="inlineStr">
        <is>
          <t>靶标资产表、靶标资产导入记录表、靶标资产同步记录表</t>
        </is>
      </c>
      <c r="AC102" s="66" t="n"/>
    </row>
    <row r="103" customFormat="1" s="66">
      <c r="A103" s="72">
        <f>ROW()-1</f>
        <v/>
      </c>
      <c r="B103" s="175" t="n"/>
      <c r="C103" s="80" t="n">
        <v>2025</v>
      </c>
      <c r="D103" s="80" t="inlineStr">
        <is>
          <t>张明峰</t>
        </is>
      </c>
      <c r="E103" s="81">
        <f>VLOOKUP(I103,'25年交付功能（不含废弃）'!A:A,1,FALSE)</f>
        <v/>
      </c>
      <c r="F103" s="175" t="n"/>
      <c r="G103" s="175" t="n"/>
      <c r="H103" s="175" t="n"/>
      <c r="I103" s="98" t="inlineStr">
        <is>
          <t>任务实例表</t>
        </is>
      </c>
      <c r="J103" s="93" t="inlineStr">
        <is>
          <t>ILF</t>
        </is>
      </c>
      <c r="K103" s="84" t="n"/>
      <c r="L103" s="84" t="n"/>
      <c r="M103" s="85">
        <f>IF(OR(Y103="估算法",Y103="算法类",Y103="无法识别"),"",IF(W103="",IF(OR(J103="EI",J103="EO",J103="EQ"),0,""),LEN(W103)-LEN(SUBSTITUTE(W103,"、",""))+1))</f>
        <v/>
      </c>
      <c r="N103" s="85">
        <f>IF(OR(Y103="估算法",Y103="算法类",Y103="无法识别"),"",IF(X103="",IF(OR(J103="ILF",J103="EIF"),0,""),LEN(X103)-LEN(SUBSTITUTE(X103,"、",""))+1))</f>
        <v/>
      </c>
      <c r="O103" s="85">
        <f>IF(OR(Y103="估算法",Y103="算法类",Y103="无法识别"),"",IF(Y103="",IF(OR(J103="ILF",J103="EIF",J103="EI",J103="EO",J103="EQ"),0,""),LEN(Y103)-LEN(SUBSTITUTE(SUBSTITUTE(SUBSTITUTE(SUBSTITUTE(SUBSTITUTE(Y103,"|}","--"),"{|","--"),CHAR(10),""),"、",""),"|",""))+IF(AND(OR(J103="EI",J103="EO",J103="EQ"),$AE$1="NESMA"),2,1)))</f>
        <v/>
      </c>
      <c r="P103" s="86">
        <f>IF(J103="EI",IF(OR(Y103="估算法",Y103="算法类"),"中",IF(Y103="无法识别","低",IF(M103&lt;2,IF(O103&lt;16,"低","中"),IF(M103&lt;3,IF(O103&lt;5,"低",IF(O103&lt;16,"中","高")),IF(O103&lt;5,"中","高"))))),IF(OR(J103="EO",J103="EQ"),IF(OR(Y103="估算法",Y103="算法类"),"中",IF(Y103="无法识别","低",IF(M103&lt;2,IF(O103&lt;20,"低","中"),IF(M103&lt;4,IF(O103&lt;6,"低",IF(O103&lt;20,"中","高")),IF(O103&lt;6,"中","高"))))),IF(OR(J103="ILF",J103="EIF"),IF(OR(Y103="估算法",Y103="算法类",Y103="无法识别"),"低",IF(N103&lt;2,IF(O103&lt;51,"低","中"),IF(N103&lt;6,IF(O103&lt;20,"低",IF(O103&lt;51,"中","高")),IF(O103&lt;20,"中","高")))),"不计算")))</f>
        <v/>
      </c>
      <c r="Q103" s="172">
        <f>IFERROR(IF(J103="EI",IF(P103="低",3,IF(P103="中",4,6)),IF(J103="EO",IF(P103="低",4,IF(P103="中",5,7)),IF(J103="EQ",IF(P103="低",3,IF(P103="中",4,6)),IF(J103="ILF",IF(P103="低",7,IF(P103="中",10,15)),IF(J103="EIF",IF(P103="低",5,IF(P103="中",7,10)),"不计算")))))*R103,"不计算")</f>
        <v/>
      </c>
      <c r="R103" s="172" t="n">
        <v>1</v>
      </c>
      <c r="S103" s="173">
        <f>调整因子!$F$13</f>
        <v/>
      </c>
      <c r="T103" s="92" t="n">
        <v>1</v>
      </c>
      <c r="U103" s="174">
        <f>IFERROR(Q103*S103,0)</f>
        <v/>
      </c>
      <c r="V103" s="174">
        <f>U103*T103</f>
        <v/>
      </c>
      <c r="W103" s="91" t="n"/>
      <c r="X103" s="90" t="inlineStr">
        <is>
          <t>任务实例表</t>
        </is>
      </c>
      <c r="Y103" s="90" t="inlineStr">
        <is>
          <t>任务实例表{实例ID、任务ID、资产ID、状态、开始时间、结束时间}</t>
        </is>
      </c>
      <c r="Z103" s="90">
        <f>IF(COUNTIFS(W:W,"*"&amp;I103&amp;"*")&gt;0,"存在","不存在")</f>
        <v/>
      </c>
      <c r="AA103" s="90">
        <f>IF(COUNTIFS(AB:AB,"*"&amp;I103&amp;"*")&gt;0,"存在","不存在")</f>
        <v/>
      </c>
      <c r="AB103" s="93" t="inlineStr">
        <is>
          <t>靶标资产表、靶标资产修改记录表</t>
        </is>
      </c>
      <c r="AC103" s="66" t="n"/>
    </row>
    <row r="104" customFormat="1" s="66">
      <c r="A104" s="72">
        <f>ROW()-1</f>
        <v/>
      </c>
      <c r="B104" s="175" t="n"/>
      <c r="C104" s="80" t="n">
        <v>2025</v>
      </c>
      <c r="D104" s="80" t="inlineStr">
        <is>
          <t>张明峰</t>
        </is>
      </c>
      <c r="E104" s="81">
        <f>VLOOKUP(I104,'25年交付功能（不含废弃）'!A:A,1,FALSE)</f>
        <v/>
      </c>
      <c r="F104" s="175" t="n"/>
      <c r="G104" s="175" t="n"/>
      <c r="H104" s="175" t="n"/>
      <c r="I104" s="98" t="inlineStr">
        <is>
          <t>产品漏洞表</t>
        </is>
      </c>
      <c r="J104" s="93" t="inlineStr">
        <is>
          <t>ILF</t>
        </is>
      </c>
      <c r="K104" s="84" t="n"/>
      <c r="L104" s="84" t="n"/>
      <c r="M104" s="85">
        <f>IF(OR(Y104="估算法",Y104="算法类",Y104="无法识别"),"",IF(W104="",IF(OR(J104="EI",J104="EO",J104="EQ"),0,""),LEN(W104)-LEN(SUBSTITUTE(W104,"、",""))+1))</f>
        <v/>
      </c>
      <c r="N104" s="85">
        <f>IF(OR(Y104="估算法",Y104="算法类",Y104="无法识别"),"",IF(X104="",IF(OR(J104="ILF",J104="EIF"),0,""),LEN(X104)-LEN(SUBSTITUTE(X104,"、",""))+1))</f>
        <v/>
      </c>
      <c r="O104" s="85">
        <f>IF(OR(Y104="估算法",Y104="算法类",Y104="无法识别"),"",IF(Y104="",IF(OR(J104="ILF",J104="EIF",J104="EI",J104="EO",J104="EQ"),0,""),LEN(Y104)-LEN(SUBSTITUTE(SUBSTITUTE(SUBSTITUTE(SUBSTITUTE(SUBSTITUTE(Y104,"|}","--"),"{|","--"),CHAR(10),""),"、",""),"|",""))+IF(AND(OR(J104="EI",J104="EO",J104="EQ"),$AE$1="NESMA"),2,1)))</f>
        <v/>
      </c>
      <c r="P104" s="86">
        <f>IF(J104="EI",IF(OR(Y104="估算法",Y104="算法类"),"中",IF(Y104="无法识别","低",IF(M104&lt;2,IF(O104&lt;16,"低","中"),IF(M104&lt;3,IF(O104&lt;5,"低",IF(O104&lt;16,"中","高")),IF(O104&lt;5,"中","高"))))),IF(OR(J104="EO",J104="EQ"),IF(OR(Y104="估算法",Y104="算法类"),"中",IF(Y104="无法识别","低",IF(M104&lt;2,IF(O104&lt;20,"低","中"),IF(M104&lt;4,IF(O104&lt;6,"低",IF(O104&lt;20,"中","高")),IF(O104&lt;6,"中","高"))))),IF(OR(J104="ILF",J104="EIF"),IF(OR(Y104="估算法",Y104="算法类",Y104="无法识别"),"低",IF(N104&lt;2,IF(O104&lt;51,"低","中"),IF(N104&lt;6,IF(O104&lt;20,"低",IF(O104&lt;51,"中","高")),IF(O104&lt;20,"中","高")))),"不计算")))</f>
        <v/>
      </c>
      <c r="Q104" s="172">
        <f>IFERROR(IF(J104="EI",IF(P104="低",3,IF(P104="中",4,6)),IF(J104="EO",IF(P104="低",4,IF(P104="中",5,7)),IF(J104="EQ",IF(P104="低",3,IF(P104="中",4,6)),IF(J104="ILF",IF(P104="低",7,IF(P104="中",10,15)),IF(J104="EIF",IF(P104="低",5,IF(P104="中",7,10)),"不计算")))))*R104,"不计算")</f>
        <v/>
      </c>
      <c r="R104" s="172" t="n">
        <v>1</v>
      </c>
      <c r="S104" s="173">
        <f>调整因子!$F$13</f>
        <v/>
      </c>
      <c r="T104" s="93" t="n">
        <v>1</v>
      </c>
      <c r="U104" s="174">
        <f>IFERROR(Q104*S104,0)</f>
        <v/>
      </c>
      <c r="V104" s="174">
        <f>U104*T104</f>
        <v/>
      </c>
      <c r="W104" s="91" t="n"/>
      <c r="X104" s="90" t="inlineStr">
        <is>
          <t>产品漏洞表</t>
        </is>
      </c>
      <c r="Y104" s="90" t="inlineStr">
        <is>
          <t>产品漏洞表{漏洞ID、漏洞名称、描述、影响程度、发现时间|状态码、提示内容、异常内容、响应头}</t>
        </is>
      </c>
      <c r="Z104" s="90">
        <f>IF(COUNTIFS(W:W,"*"&amp;I104&amp;"*")&gt;0,"存在","不存在")</f>
        <v/>
      </c>
      <c r="AA104" s="90">
        <f>IF(COUNTIFS(AB:AB,"*"&amp;I104&amp;"*")&gt;0,"存在","不存在")</f>
        <v/>
      </c>
      <c r="AB104" s="93" t="inlineStr">
        <is>
          <t>靶标资产表、靶标环境调整记录表</t>
        </is>
      </c>
      <c r="AC104" s="66" t="n"/>
    </row>
    <row r="105" customFormat="1" s="66">
      <c r="A105" s="72">
        <f>ROW()-1</f>
        <v/>
      </c>
      <c r="B105" s="175" t="n"/>
      <c r="C105" s="80" t="n">
        <v>2025</v>
      </c>
      <c r="D105" s="80" t="inlineStr">
        <is>
          <t>张明峰</t>
        </is>
      </c>
      <c r="E105" s="81">
        <f>VLOOKUP(I105,'25年交付功能（不含废弃）'!A:A,1,FALSE)</f>
        <v/>
      </c>
      <c r="F105" s="175" t="n"/>
      <c r="G105" s="175" t="n"/>
      <c r="H105" s="175" t="n"/>
      <c r="I105" s="98" t="inlineStr">
        <is>
          <t>扫描资产表</t>
        </is>
      </c>
      <c r="J105" s="93" t="inlineStr">
        <is>
          <t>ILF</t>
        </is>
      </c>
      <c r="K105" s="84" t="n"/>
      <c r="L105" s="84" t="n"/>
      <c r="M105" s="85">
        <f>IF(OR(Y105="估算法",Y105="算法类",Y105="无法识别"),"",IF(W105="",IF(OR(J105="EI",J105="EO",J105="EQ"),0,""),LEN(W105)-LEN(SUBSTITUTE(W105,"、",""))+1))</f>
        <v/>
      </c>
      <c r="N105" s="85">
        <f>IF(OR(Y105="估算法",Y105="算法类",Y105="无法识别"),"",IF(X105="",IF(OR(J105="ILF",J105="EIF"),0,""),LEN(X105)-LEN(SUBSTITUTE(X105,"、",""))+1))</f>
        <v/>
      </c>
      <c r="O105" s="85">
        <f>IF(OR(Y105="估算法",Y105="算法类",Y105="无法识别"),"",IF(Y105="",IF(OR(J105="ILF",J105="EIF",J105="EI",J105="EO",J105="EQ"),0,""),LEN(Y105)-LEN(SUBSTITUTE(SUBSTITUTE(SUBSTITUTE(SUBSTITUTE(SUBSTITUTE(Y105,"|}","--"),"{|","--"),CHAR(10),""),"、",""),"|",""))+IF(AND(OR(J105="EI",J105="EO",J105="EQ"),$AE$1="NESMA"),2,1)))</f>
        <v/>
      </c>
      <c r="P105" s="86">
        <f>IF(J105="EI",IF(OR(Y105="估算法",Y105="算法类"),"中",IF(Y105="无法识别","低",IF(M105&lt;2,IF(O105&lt;16,"低","中"),IF(M105&lt;3,IF(O105&lt;5,"低",IF(O105&lt;16,"中","高")),IF(O105&lt;5,"中","高"))))),IF(OR(J105="EO",J105="EQ"),IF(OR(Y105="估算法",Y105="算法类"),"中",IF(Y105="无法识别","低",IF(M105&lt;2,IF(O105&lt;20,"低","中"),IF(M105&lt;4,IF(O105&lt;6,"低",IF(O105&lt;20,"中","高")),IF(O105&lt;6,"中","高"))))),IF(OR(J105="ILF",J105="EIF"),IF(OR(Y105="估算法",Y105="算法类",Y105="无法识别"),"低",IF(N105&lt;2,IF(O105&lt;51,"低","中"),IF(N105&lt;6,IF(O105&lt;20,"低",IF(O105&lt;51,"中","高")),IF(O105&lt;20,"中","高")))),"不计算")))</f>
        <v/>
      </c>
      <c r="Q105" s="172">
        <f>IFERROR(IF(J105="EI",IF(P105="低",3,IF(P105="中",4,6)),IF(J105="EO",IF(P105="低",4,IF(P105="中",5,7)),IF(J105="EQ",IF(P105="低",3,IF(P105="中",4,6)),IF(J105="ILF",IF(P105="低",7,IF(P105="中",10,15)),IF(J105="EIF",IF(P105="低",5,IF(P105="中",7,10)),"不计算")))))*R105,"不计算")</f>
        <v/>
      </c>
      <c r="R105" s="172" t="n">
        <v>1</v>
      </c>
      <c r="S105" s="173">
        <f>调整因子!$F$13</f>
        <v/>
      </c>
      <c r="T105" s="92" t="n">
        <v>1</v>
      </c>
      <c r="U105" s="174">
        <f>IFERROR(Q105*S105,0)</f>
        <v/>
      </c>
      <c r="V105" s="174">
        <f>U105*T105</f>
        <v/>
      </c>
      <c r="W105" s="91" t="n"/>
      <c r="X105" s="90" t="inlineStr">
        <is>
          <t>扫描资产表</t>
        </is>
      </c>
      <c r="Y105" s="90" t="inlineStr">
        <is>
          <t>扫描资产表{资产ID、IP地址、主机名、操作系统、部门|状态码、提示内容、异常内容、响应头}</t>
        </is>
      </c>
      <c r="Z105" s="90">
        <f>IF(COUNTIFS(W:W,"*"&amp;I105&amp;"*")&gt;0,"存在","不存在")</f>
        <v/>
      </c>
      <c r="AA105" s="90">
        <f>IF(COUNTIFS(AB:AB,"*"&amp;I105&amp;"*")&gt;0,"存在","不存在")</f>
        <v/>
      </c>
      <c r="AB105" s="93" t="inlineStr">
        <is>
          <t>靶标资产表、靶标环境调整记录表</t>
        </is>
      </c>
      <c r="AC105" s="66" t="n"/>
    </row>
    <row r="106" customFormat="1" s="66">
      <c r="A106" s="72">
        <f>ROW()-1</f>
        <v/>
      </c>
      <c r="B106" s="175" t="n"/>
      <c r="C106" s="80" t="n">
        <v>2025</v>
      </c>
      <c r="D106" s="80" t="inlineStr">
        <is>
          <t>张明峰</t>
        </is>
      </c>
      <c r="E106" s="81">
        <f>VLOOKUP(I106,'25年交付功能（不含废弃）'!A:A,1,FALSE)</f>
        <v/>
      </c>
      <c r="F106" s="175" t="n"/>
      <c r="G106" s="175" t="n"/>
      <c r="H106" s="175" t="n"/>
      <c r="I106" s="98" t="inlineStr">
        <is>
          <t>资产组件表</t>
        </is>
      </c>
      <c r="J106" s="93" t="inlineStr">
        <is>
          <t>ILF</t>
        </is>
      </c>
      <c r="K106" s="84" t="n"/>
      <c r="L106" s="84" t="n"/>
      <c r="M106" s="85">
        <f>IF(OR(Y106="估算法",Y106="算法类",Y106="无法识别"),"",IF(W106="",IF(OR(J106="EI",J106="EO",J106="EQ"),0,""),LEN(W106)-LEN(SUBSTITUTE(W106,"、",""))+1))</f>
        <v/>
      </c>
      <c r="N106" s="85">
        <f>IF(OR(Y106="估算法",Y106="算法类",Y106="无法识别"),"",IF(X106="",IF(OR(J106="ILF",J106="EIF"),0,""),LEN(X106)-LEN(SUBSTITUTE(X106,"、",""))+1))</f>
        <v/>
      </c>
      <c r="O106" s="85">
        <f>IF(OR(Y106="估算法",Y106="算法类",Y106="无法识别"),"",IF(Y106="",IF(OR(J106="ILF",J106="EIF",J106="EI",J106="EO",J106="EQ"),0,""),LEN(Y106)-LEN(SUBSTITUTE(SUBSTITUTE(SUBSTITUTE(SUBSTITUTE(SUBSTITUTE(Y106,"|}","--"),"{|","--"),CHAR(10),""),"、",""),"|",""))+IF(AND(OR(J106="EI",J106="EO",J106="EQ"),$AE$1="NESMA"),2,1)))</f>
        <v/>
      </c>
      <c r="P106" s="86">
        <f>IF(J106="EI",IF(OR(Y106="估算法",Y106="算法类"),"中",IF(Y106="无法识别","低",IF(M106&lt;2,IF(O106&lt;16,"低","中"),IF(M106&lt;3,IF(O106&lt;5,"低",IF(O106&lt;16,"中","高")),IF(O106&lt;5,"中","高"))))),IF(OR(J106="EO",J106="EQ"),IF(OR(Y106="估算法",Y106="算法类"),"中",IF(Y106="无法识别","低",IF(M106&lt;2,IF(O106&lt;20,"低","中"),IF(M106&lt;4,IF(O106&lt;6,"低",IF(O106&lt;20,"中","高")),IF(O106&lt;6,"中","高"))))),IF(OR(J106="ILF",J106="EIF"),IF(OR(Y106="估算法",Y106="算法类",Y106="无法识别"),"低",IF(N106&lt;2,IF(O106&lt;51,"低","中"),IF(N106&lt;6,IF(O106&lt;20,"低",IF(O106&lt;51,"中","高")),IF(O106&lt;20,"中","高")))),"不计算")))</f>
        <v/>
      </c>
      <c r="Q106" s="172">
        <f>IFERROR(IF(J106="EI",IF(P106="低",3,IF(P106="中",4,6)),IF(J106="EO",IF(P106="低",4,IF(P106="中",5,7)),IF(J106="EQ",IF(P106="低",3,IF(P106="中",4,6)),IF(J106="ILF",IF(P106="低",7,IF(P106="中",10,15)),IF(J106="EIF",IF(P106="低",5,IF(P106="中",7,10)),"不计算")))))*R106,"不计算")</f>
        <v/>
      </c>
      <c r="R106" s="172" t="n">
        <v>1</v>
      </c>
      <c r="S106" s="173">
        <f>调整因子!$F$13</f>
        <v/>
      </c>
      <c r="T106" s="92" t="n">
        <v>1</v>
      </c>
      <c r="U106" s="174">
        <f>IFERROR(Q106*S106,0)</f>
        <v/>
      </c>
      <c r="V106" s="174">
        <f>U106*T106</f>
        <v/>
      </c>
      <c r="W106" s="91" t="n"/>
      <c r="X106" s="90" t="inlineStr">
        <is>
          <t>资产组件表</t>
        </is>
      </c>
      <c r="Y106" s="90" t="inlineStr">
        <is>
          <t>资产组件表{组件ID、资产ID、组件名称、版本、安装路径|状态码、提示内容、异常内容、响应头}</t>
        </is>
      </c>
      <c r="Z106" s="90">
        <f>IF(COUNTIFS(W:W,"*"&amp;I106&amp;"*")&gt;0,"存在","不存在")</f>
        <v/>
      </c>
      <c r="AA106" s="90">
        <f>IF(COUNTIFS(AB:AB,"*"&amp;I106&amp;"*")&gt;0,"存在","不存在")</f>
        <v/>
      </c>
      <c r="AB106" s="90" t="inlineStr">
        <is>
          <t>等效防护策略数据表</t>
        </is>
      </c>
      <c r="AC106" s="66" t="n"/>
    </row>
    <row r="107" customFormat="1" s="66">
      <c r="A107" s="72">
        <f>ROW()-1</f>
        <v/>
      </c>
      <c r="B107" s="175" t="n"/>
      <c r="C107" s="80" t="n">
        <v>2025</v>
      </c>
      <c r="D107" s="80" t="inlineStr">
        <is>
          <t>张明峰</t>
        </is>
      </c>
      <c r="E107" s="81">
        <f>VLOOKUP(I107,'25年交付功能（不含废弃）'!A:A,1,FALSE)</f>
        <v/>
      </c>
      <c r="F107" s="175" t="n"/>
      <c r="G107" s="175" t="n"/>
      <c r="H107" s="175" t="n"/>
      <c r="I107" s="98" t="inlineStr">
        <is>
          <t>产品漏洞预警任务历史表</t>
        </is>
      </c>
      <c r="J107" s="93" t="inlineStr">
        <is>
          <t>ILF</t>
        </is>
      </c>
      <c r="K107" s="84" t="n"/>
      <c r="L107" s="84" t="n"/>
      <c r="M107" s="85">
        <f>IF(OR(Y107="估算法",Y107="算法类",Y107="无法识别"),"",IF(W107="",IF(OR(J107="EI",J107="EO",J107="EQ"),0,""),LEN(W107)-LEN(SUBSTITUTE(W107,"、",""))+1))</f>
        <v/>
      </c>
      <c r="N107" s="85">
        <f>IF(OR(Y107="估算法",Y107="算法类",Y107="无法识别"),"",IF(X107="",IF(OR(J107="ILF",J107="EIF"),0,""),LEN(X107)-LEN(SUBSTITUTE(X107,"、",""))+1))</f>
        <v/>
      </c>
      <c r="O107" s="85">
        <f>IF(OR(Y107="估算法",Y107="算法类",Y107="无法识别"),"",IF(Y107="",IF(OR(J107="ILF",J107="EIF",J107="EI",J107="EO",J107="EQ"),0,""),LEN(Y107)-LEN(SUBSTITUTE(SUBSTITUTE(SUBSTITUTE(SUBSTITUTE(SUBSTITUTE(Y107,"|}","--"),"{|","--"),CHAR(10),""),"、",""),"|",""))+IF(AND(OR(J107="EI",J107="EO",J107="EQ"),$AE$1="NESMA"),2,1)))</f>
        <v/>
      </c>
      <c r="P107" s="86">
        <f>IF(J107="EI",IF(OR(Y107="估算法",Y107="算法类"),"中",IF(Y107="无法识别","低",IF(M107&lt;2,IF(O107&lt;16,"低","中"),IF(M107&lt;3,IF(O107&lt;5,"低",IF(O107&lt;16,"中","高")),IF(O107&lt;5,"中","高"))))),IF(OR(J107="EO",J107="EQ"),IF(OR(Y107="估算法",Y107="算法类"),"中",IF(Y107="无法识别","低",IF(M107&lt;2,IF(O107&lt;20,"低","中"),IF(M107&lt;4,IF(O107&lt;6,"低",IF(O107&lt;20,"中","高")),IF(O107&lt;6,"中","高"))))),IF(OR(J107="ILF",J107="EIF"),IF(OR(Y107="估算法",Y107="算法类",Y107="无法识别"),"低",IF(N107&lt;2,IF(O107&lt;51,"低","中"),IF(N107&lt;6,IF(O107&lt;20,"低",IF(O107&lt;51,"中","高")),IF(O107&lt;20,"中","高")))),"不计算")))</f>
        <v/>
      </c>
      <c r="Q107" s="172">
        <f>IFERROR(IF(J107="EI",IF(P107="低",3,IF(P107="中",4,6)),IF(J107="EO",IF(P107="低",4,IF(P107="中",5,7)),IF(J107="EQ",IF(P107="低",3,IF(P107="中",4,6)),IF(J107="ILF",IF(P107="低",7,IF(P107="中",10,15)),IF(J107="EIF",IF(P107="低",5,IF(P107="中",7,10)),"不计算")))))*R107,"不计算")</f>
        <v/>
      </c>
      <c r="R107" s="172" t="n">
        <v>1</v>
      </c>
      <c r="S107" s="173">
        <f>调整因子!$F$13</f>
        <v/>
      </c>
      <c r="T107" s="93" t="n">
        <v>1</v>
      </c>
      <c r="U107" s="174">
        <f>IFERROR(Q107*S107,0)</f>
        <v/>
      </c>
      <c r="V107" s="174">
        <f>U107*T107</f>
        <v/>
      </c>
      <c r="W107" s="91" t="n"/>
      <c r="X107" s="90" t="inlineStr">
        <is>
          <t>产品漏洞预警任务历史表</t>
        </is>
      </c>
      <c r="Y107" s="90" t="inlineStr">
        <is>
          <t>产品漏洞预警任务历史表{历史记录ID、任务ID、执行时间、结果|状态码、提示内容、异常内容、响应头}</t>
        </is>
      </c>
      <c r="Z107" s="90">
        <f>IF(COUNTIFS(W:W,"*"&amp;I107&amp;"*")&gt;0,"存在","不存在")</f>
        <v/>
      </c>
      <c r="AA107" s="90">
        <f>IF(COUNTIFS(AB:AB,"*"&amp;I107&amp;"*")&gt;0,"存在","不存在")</f>
        <v/>
      </c>
      <c r="AB107" s="90" t="inlineStr">
        <is>
          <t>安全设备接口配置数据表、安全设备类型数据表、安全设备信息数据表</t>
        </is>
      </c>
      <c r="AC107" s="66" t="n"/>
    </row>
    <row r="108" customFormat="1" s="66">
      <c r="A108" s="72">
        <f>ROW()-1</f>
        <v/>
      </c>
      <c r="B108" s="175" t="n"/>
      <c r="C108" s="80" t="n">
        <v>2025</v>
      </c>
      <c r="D108" s="80" t="inlineStr">
        <is>
          <t>张明峰</t>
        </is>
      </c>
      <c r="E108" s="81">
        <f>VLOOKUP(I108,'25年交付功能（不含废弃）'!A:A,1,FALSE)</f>
        <v/>
      </c>
      <c r="F108" s="175" t="n"/>
      <c r="G108" s="175" t="n"/>
      <c r="H108" s="175" t="n"/>
      <c r="I108" s="98" t="inlineStr">
        <is>
          <t>关联分析成功资产表</t>
        </is>
      </c>
      <c r="J108" s="93" t="inlineStr">
        <is>
          <t>ILF</t>
        </is>
      </c>
      <c r="K108" s="84" t="n"/>
      <c r="L108" s="84" t="n"/>
      <c r="M108" s="85">
        <f>IF(OR(Y108="估算法",Y108="算法类",Y108="无法识别"),"",IF(W108="",IF(OR(J108="EI",J108="EO",J108="EQ"),0,""),LEN(W108)-LEN(SUBSTITUTE(W108,"、",""))+1))</f>
        <v/>
      </c>
      <c r="N108" s="85">
        <f>IF(OR(Y108="估算法",Y108="算法类",Y108="无法识别"),"",IF(X108="",IF(OR(J108="ILF",J108="EIF"),0,""),LEN(X108)-LEN(SUBSTITUTE(X108,"、",""))+1))</f>
        <v/>
      </c>
      <c r="O108" s="85">
        <f>IF(OR(Y108="估算法",Y108="算法类",Y108="无法识别"),"",IF(Y108="",IF(OR(J108="ILF",J108="EIF",J108="EI",J108="EO",J108="EQ"),0,""),LEN(Y108)-LEN(SUBSTITUTE(SUBSTITUTE(SUBSTITUTE(SUBSTITUTE(SUBSTITUTE(Y108,"|}","--"),"{|","--"),CHAR(10),""),"、",""),"|",""))+IF(AND(OR(J108="EI",J108="EO",J108="EQ"),$AE$1="NESMA"),2,1)))</f>
        <v/>
      </c>
      <c r="P108" s="86">
        <f>IF(J108="EI",IF(OR(Y108="估算法",Y108="算法类"),"中",IF(Y108="无法识别","低",IF(M108&lt;2,IF(O108&lt;16,"低","中"),IF(M108&lt;3,IF(O108&lt;5,"低",IF(O108&lt;16,"中","高")),IF(O108&lt;5,"中","高"))))),IF(OR(J108="EO",J108="EQ"),IF(OR(Y108="估算法",Y108="算法类"),"中",IF(Y108="无法识别","低",IF(M108&lt;2,IF(O108&lt;20,"低","中"),IF(M108&lt;4,IF(O108&lt;6,"低",IF(O108&lt;20,"中","高")),IF(O108&lt;6,"中","高"))))),IF(OR(J108="ILF",J108="EIF"),IF(OR(Y108="估算法",Y108="算法类",Y108="无法识别"),"低",IF(N108&lt;2,IF(O108&lt;51,"低","中"),IF(N108&lt;6,IF(O108&lt;20,"低",IF(O108&lt;51,"中","高")),IF(O108&lt;20,"中","高")))),"不计算")))</f>
        <v/>
      </c>
      <c r="Q108" s="172">
        <f>IFERROR(IF(J108="EI",IF(P108="低",3,IF(P108="中",4,6)),IF(J108="EO",IF(P108="低",4,IF(P108="中",5,7)),IF(J108="EQ",IF(P108="低",3,IF(P108="中",4,6)),IF(J108="ILF",IF(P108="低",7,IF(P108="中",10,15)),IF(J108="EIF",IF(P108="低",5,IF(P108="中",7,10)),"不计算")))))*R108,"不计算")</f>
        <v/>
      </c>
      <c r="R108" s="172" t="n">
        <v>1</v>
      </c>
      <c r="S108" s="173">
        <f>调整因子!$F$13</f>
        <v/>
      </c>
      <c r="T108" s="92" t="n">
        <v>1</v>
      </c>
      <c r="U108" s="174">
        <f>IFERROR(Q108*S108,0)</f>
        <v/>
      </c>
      <c r="V108" s="174">
        <f>U108*T108</f>
        <v/>
      </c>
      <c r="W108" s="91" t="n"/>
      <c r="X108" s="90" t="inlineStr">
        <is>
          <t>关联分析成功资产表</t>
        </is>
      </c>
      <c r="Y108" s="90" t="inlineStr">
        <is>
          <t>关联分析成功资产表{成功记录ID、资产ID、关联漏洞ID、分析时间|状态码、提示内容、异常内容、响应头}</t>
        </is>
      </c>
      <c r="Z108" s="90">
        <f>IF(COUNTIFS(W:W,"*"&amp;I108&amp;"*")&gt;0,"存在","不存在")</f>
        <v/>
      </c>
      <c r="AA108" s="90">
        <f>IF(COUNTIFS(AB:AB,"*"&amp;I108&amp;"*")&gt;0,"存在","不存在")</f>
        <v/>
      </c>
      <c r="AB108" s="90" t="inlineStr">
        <is>
          <t>安全设备接口配置数据表、安全设备类型数据表、安全设备信息数据表</t>
        </is>
      </c>
      <c r="AC108" s="66" t="n"/>
    </row>
    <row r="109" customFormat="1" s="66">
      <c r="A109" s="72">
        <f>ROW()-1</f>
        <v/>
      </c>
      <c r="B109" s="175" t="n"/>
      <c r="C109" s="80" t="n">
        <v>2025</v>
      </c>
      <c r="D109" s="80" t="inlineStr">
        <is>
          <t>张明峰</t>
        </is>
      </c>
      <c r="E109" s="81">
        <f>VLOOKUP(I109,'25年交付功能（不含废弃）'!A:A,1,FALSE)</f>
        <v/>
      </c>
      <c r="F109" s="175" t="n"/>
      <c r="G109" s="175" t="n"/>
      <c r="H109" s="175" t="n"/>
      <c r="I109" s="98" t="inlineStr">
        <is>
          <t>关联分析失败资产表</t>
        </is>
      </c>
      <c r="J109" s="93" t="inlineStr">
        <is>
          <t>ILF</t>
        </is>
      </c>
      <c r="K109" s="84" t="n"/>
      <c r="L109" s="84" t="n"/>
      <c r="M109" s="85">
        <f>IF(OR(Y109="估算法",Y109="算法类",Y109="无法识别"),"",IF(W109="",IF(OR(J109="EI",J109="EO",J109="EQ"),0,""),LEN(W109)-LEN(SUBSTITUTE(W109,"、",""))+1))</f>
        <v/>
      </c>
      <c r="N109" s="85">
        <f>IF(OR(Y109="估算法",Y109="算法类",Y109="无法识别"),"",IF(X109="",IF(OR(J109="ILF",J109="EIF"),0,""),LEN(X109)-LEN(SUBSTITUTE(X109,"、",""))+1))</f>
        <v/>
      </c>
      <c r="O109" s="85">
        <f>IF(OR(Y109="估算法",Y109="算法类",Y109="无法识别"),"",IF(Y109="",IF(OR(J109="ILF",J109="EIF",J109="EI",J109="EO",J109="EQ"),0,""),LEN(Y109)-LEN(SUBSTITUTE(SUBSTITUTE(SUBSTITUTE(SUBSTITUTE(SUBSTITUTE(Y109,"|}","--"),"{|","--"),CHAR(10),""),"、",""),"|",""))+IF(AND(OR(J109="EI",J109="EO",J109="EQ"),$AE$1="NESMA"),2,1)))</f>
        <v/>
      </c>
      <c r="P109" s="86">
        <f>IF(J109="EI",IF(OR(Y109="估算法",Y109="算法类"),"中",IF(Y109="无法识别","低",IF(M109&lt;2,IF(O109&lt;16,"低","中"),IF(M109&lt;3,IF(O109&lt;5,"低",IF(O109&lt;16,"中","高")),IF(O109&lt;5,"中","高"))))),IF(OR(J109="EO",J109="EQ"),IF(OR(Y109="估算法",Y109="算法类"),"中",IF(Y109="无法识别","低",IF(M109&lt;2,IF(O109&lt;20,"低","中"),IF(M109&lt;4,IF(O109&lt;6,"低",IF(O109&lt;20,"中","高")),IF(O109&lt;6,"中","高"))))),IF(OR(J109="ILF",J109="EIF"),IF(OR(Y109="估算法",Y109="算法类",Y109="无法识别"),"低",IF(N109&lt;2,IF(O109&lt;51,"低","中"),IF(N109&lt;6,IF(O109&lt;20,"低",IF(O109&lt;51,"中","高")),IF(O109&lt;20,"中","高")))),"不计算")))</f>
        <v/>
      </c>
      <c r="Q109" s="172">
        <f>IFERROR(IF(J109="EI",IF(P109="低",3,IF(P109="中",4,6)),IF(J109="EO",IF(P109="低",4,IF(P109="中",5,7)),IF(J109="EQ",IF(P109="低",3,IF(P109="中",4,6)),IF(J109="ILF",IF(P109="低",7,IF(P109="中",10,15)),IF(J109="EIF",IF(P109="低",5,IF(P109="中",7,10)),"不计算")))))*R109,"不计算")</f>
        <v/>
      </c>
      <c r="R109" s="172" t="n">
        <v>1</v>
      </c>
      <c r="S109" s="173">
        <f>调整因子!$F$13</f>
        <v/>
      </c>
      <c r="T109" s="92" t="n">
        <v>1</v>
      </c>
      <c r="U109" s="174">
        <f>IFERROR(Q109*S109,0)</f>
        <v/>
      </c>
      <c r="V109" s="174">
        <f>U109*T109</f>
        <v/>
      </c>
      <c r="W109" s="91" t="n"/>
      <c r="X109" s="90" t="inlineStr">
        <is>
          <t>关联分析失败资产表</t>
        </is>
      </c>
      <c r="Y109" s="90" t="inlineStr">
        <is>
          <t>关联分析失败资产表{失败记录ID、资产ID、失败原因、分析时间|状态码、提示内容、异常内容、响应头}</t>
        </is>
      </c>
      <c r="Z109" s="90">
        <f>IF(COUNTIFS(W:W,"*"&amp;I109&amp;"*")&gt;0,"存在","不存在")</f>
        <v/>
      </c>
      <c r="AA109" s="90">
        <f>IF(COUNTIFS(AB:AB,"*"&amp;I109&amp;"*")&gt;0,"存在","不存在")</f>
        <v/>
      </c>
      <c r="AB109" s="90" t="inlineStr">
        <is>
          <t>安全设备接口配置数据表、安全设备类型数据表、安全设备信息数据表</t>
        </is>
      </c>
      <c r="AC109" s="66" t="n"/>
    </row>
    <row r="110" customFormat="1" s="66">
      <c r="A110" s="72" t="n"/>
      <c r="B110" s="175" t="n"/>
      <c r="C110" s="80" t="n">
        <v>2025</v>
      </c>
      <c r="D110" s="80" t="inlineStr">
        <is>
          <t>张明峰</t>
        </is>
      </c>
      <c r="E110" s="81" t="n"/>
      <c r="F110" s="175" t="n"/>
      <c r="G110" s="175" t="n"/>
      <c r="H110" s="175" t="n"/>
      <c r="I110" s="98" t="inlineStr">
        <is>
          <t>漏洞组件表</t>
        </is>
      </c>
      <c r="J110" s="93" t="inlineStr">
        <is>
          <t>ILF</t>
        </is>
      </c>
      <c r="K110" s="99" t="inlineStr">
        <is>
          <t>新增</t>
        </is>
      </c>
      <c r="L110" s="84" t="n"/>
      <c r="M110" s="85" t="n"/>
      <c r="N110" s="85" t="n"/>
      <c r="O110" s="85" t="n"/>
      <c r="P110" s="86" t="n"/>
      <c r="Q110" s="172" t="n"/>
      <c r="R110" s="172" t="n"/>
      <c r="S110" s="173" t="n"/>
      <c r="T110" s="92" t="n"/>
      <c r="U110" s="174" t="n"/>
      <c r="V110" s="174" t="n"/>
      <c r="W110" s="91" t="n"/>
      <c r="X110" s="90" t="n"/>
      <c r="Y110" s="90" t="n"/>
      <c r="Z110" s="90" t="n"/>
      <c r="AA110" s="90" t="n"/>
      <c r="AB110" s="90" t="n"/>
      <c r="AC110" s="66" t="n"/>
    </row>
    <row r="111" customFormat="1" s="66">
      <c r="A111" s="72" t="n"/>
      <c r="B111" s="175" t="n"/>
      <c r="C111" s="80" t="n">
        <v>2025</v>
      </c>
      <c r="D111" s="80" t="inlineStr">
        <is>
          <t>张明峰</t>
        </is>
      </c>
      <c r="E111" s="81" t="n"/>
      <c r="F111" s="175" t="n"/>
      <c r="G111" s="175" t="n"/>
      <c r="H111" s="175" t="n"/>
      <c r="I111" s="98" t="inlineStr">
        <is>
          <t>预警任务台账表</t>
        </is>
      </c>
      <c r="J111" s="93" t="inlineStr">
        <is>
          <t>ILF</t>
        </is>
      </c>
      <c r="K111" s="99" t="inlineStr">
        <is>
          <t>新增</t>
        </is>
      </c>
      <c r="L111" s="84" t="n"/>
      <c r="M111" s="85" t="n"/>
      <c r="N111" s="85" t="n"/>
      <c r="O111" s="85" t="n"/>
      <c r="P111" s="86" t="n"/>
      <c r="Q111" s="172" t="n"/>
      <c r="R111" s="172" t="n"/>
      <c r="S111" s="173" t="n"/>
      <c r="T111" s="92" t="n"/>
      <c r="U111" s="174" t="n"/>
      <c r="V111" s="174" t="n"/>
      <c r="W111" s="91" t="n"/>
      <c r="X111" s="90" t="n"/>
      <c r="Y111" s="90" t="n"/>
      <c r="Z111" s="90" t="n"/>
      <c r="AA111" s="90" t="n"/>
      <c r="AB111" s="90" t="n"/>
      <c r="AC111" s="66" t="n"/>
    </row>
    <row r="112" customFormat="1" s="66">
      <c r="A112" s="72" t="n"/>
      <c r="B112" s="175" t="n"/>
      <c r="C112" s="80" t="n">
        <v>2025</v>
      </c>
      <c r="D112" s="80" t="inlineStr">
        <is>
          <t>张明峰</t>
        </is>
      </c>
      <c r="E112" s="81" t="n"/>
      <c r="F112" s="175" t="n"/>
      <c r="G112" s="175" t="n"/>
      <c r="H112" s="175" t="n"/>
      <c r="I112" s="98" t="inlineStr">
        <is>
          <t>产品漏洞预警工单表</t>
        </is>
      </c>
      <c r="J112" s="93" t="inlineStr">
        <is>
          <t>ILF</t>
        </is>
      </c>
      <c r="K112" s="99" t="inlineStr">
        <is>
          <t>新增</t>
        </is>
      </c>
      <c r="L112" s="84" t="n"/>
      <c r="M112" s="85" t="n"/>
      <c r="N112" s="85" t="n"/>
      <c r="O112" s="85" t="n"/>
      <c r="P112" s="86" t="n"/>
      <c r="Q112" s="172" t="n"/>
      <c r="R112" s="172" t="n"/>
      <c r="S112" s="173" t="n"/>
      <c r="T112" s="92" t="n"/>
      <c r="U112" s="174" t="n"/>
      <c r="V112" s="174" t="n"/>
      <c r="W112" s="91" t="n"/>
      <c r="X112" s="90" t="n"/>
      <c r="Y112" s="90" t="n"/>
      <c r="Z112" s="90" t="n"/>
      <c r="AA112" s="90" t="n"/>
      <c r="AB112" s="90" t="n"/>
      <c r="AC112" s="66" t="n"/>
    </row>
    <row r="113" customFormat="1" s="66">
      <c r="A113" s="72">
        <f>ROW()-1</f>
        <v/>
      </c>
      <c r="B113" s="175" t="n"/>
      <c r="C113" s="80" t="n">
        <v>2025</v>
      </c>
      <c r="D113" s="80" t="inlineStr">
        <is>
          <t>张明峰</t>
        </is>
      </c>
      <c r="E113" s="81">
        <f>VLOOKUP(I113,'25年交付功能（不含废弃）'!A:A,1,FALSE)</f>
        <v/>
      </c>
      <c r="F113" s="175" t="n"/>
      <c r="G113" s="175" t="n"/>
      <c r="H113" s="175" t="n"/>
      <c r="I113" s="98" t="inlineStr">
        <is>
          <t>任务生命周期追踪表</t>
        </is>
      </c>
      <c r="J113" s="93" t="inlineStr">
        <is>
          <t>ILF</t>
        </is>
      </c>
      <c r="K113" s="101" t="inlineStr">
        <is>
          <t>删除</t>
        </is>
      </c>
      <c r="L113" s="84" t="inlineStr">
        <is>
          <t>数据库表未被本系统所维护</t>
        </is>
      </c>
      <c r="M113" s="85">
        <f>IF(OR(Y113="估算法",Y113="算法类",Y113="无法识别"),"",IF(W113="",IF(OR(J113="EI",J113="EO",J113="EQ"),0,""),LEN(W113)-LEN(SUBSTITUTE(W113,"、",""))+1))</f>
        <v/>
      </c>
      <c r="N113" s="85">
        <f>IF(OR(Y113="估算法",Y113="算法类",Y113="无法识别"),"",IF(X113="",IF(OR(J113="ILF",J113="EIF"),0,""),LEN(X113)-LEN(SUBSTITUTE(X113,"、",""))+1))</f>
        <v/>
      </c>
      <c r="O113" s="85">
        <f>IF(OR(Y113="估算法",Y113="算法类",Y113="无法识别"),"",IF(Y113="",IF(OR(J113="ILF",J113="EIF",J113="EI",J113="EO",J113="EQ"),0,""),LEN(Y113)-LEN(SUBSTITUTE(SUBSTITUTE(SUBSTITUTE(SUBSTITUTE(SUBSTITUTE(Y113,"|}","--"),"{|","--"),CHAR(10),""),"、",""),"|",""))+IF(AND(OR(J113="EI",J113="EO",J113="EQ"),$AE$1="NESMA"),2,1)))</f>
        <v/>
      </c>
      <c r="P113" s="86">
        <f>IF(J113="EI",IF(OR(Y113="估算法",Y113="算法类"),"中",IF(Y113="无法识别","低",IF(M113&lt;2,IF(O113&lt;16,"低","中"),IF(M113&lt;3,IF(O113&lt;5,"低",IF(O113&lt;16,"中","高")),IF(O113&lt;5,"中","高"))))),IF(OR(J113="EO",J113="EQ"),IF(OR(Y113="估算法",Y113="算法类"),"中",IF(Y113="无法识别","低",IF(M113&lt;2,IF(O113&lt;20,"低","中"),IF(M113&lt;4,IF(O113&lt;6,"低",IF(O113&lt;20,"中","高")),IF(O113&lt;6,"中","高"))))),IF(OR(J113="ILF",J113="EIF"),IF(OR(Y113="估算法",Y113="算法类",Y113="无法识别"),"低",IF(N113&lt;2,IF(O113&lt;51,"低","中"),IF(N113&lt;6,IF(O113&lt;20,"低",IF(O113&lt;51,"中","高")),IF(O113&lt;20,"中","高")))),"不计算")))</f>
        <v/>
      </c>
      <c r="Q113" s="172">
        <f>IFERROR(IF(J113="EI",IF(P113="低",3,IF(P113="中",4,6)),IF(J113="EO",IF(P113="低",4,IF(P113="中",5,7)),IF(J113="EQ",IF(P113="低",3,IF(P113="中",4,6)),IF(J113="ILF",IF(P113="低",7,IF(P113="中",10,15)),IF(J113="EIF",IF(P113="低",5,IF(P113="中",7,10)),"不计算")))))*R113,"不计算")</f>
        <v/>
      </c>
      <c r="R113" s="172" t="n">
        <v>0</v>
      </c>
      <c r="S113" s="173">
        <f>调整因子!$F$13</f>
        <v/>
      </c>
      <c r="T113" s="93" t="n">
        <v>1</v>
      </c>
      <c r="U113" s="174">
        <f>IFERROR(Q113*S113,0)</f>
        <v/>
      </c>
      <c r="V113" s="174">
        <f>U113*T113</f>
        <v/>
      </c>
      <c r="W113" s="91" t="n"/>
      <c r="X113" s="90" t="inlineStr">
        <is>
          <t>任务生命周期追踪表</t>
        </is>
      </c>
      <c r="Y113" s="90" t="inlineStr">
        <is>
          <t>任务生命周期追踪表{追踪ID、任务ID、当前状态、状态变更时间|状态码、提示内容、异常内容、响应头}</t>
        </is>
      </c>
      <c r="Z113" s="90">
        <f>IF(COUNTIFS(W:W,"*"&amp;I113&amp;"*")&gt;0,"存在","不存在")</f>
        <v/>
      </c>
      <c r="AA113" s="90">
        <f>IF(COUNTIFS(AB:AB,"*"&amp;I113&amp;"*")&gt;0,"存在","不存在")</f>
        <v/>
      </c>
      <c r="AB113" s="90" t="inlineStr">
        <is>
          <t>安全设备接口配置数据表、安全设备类型数据表、安全设备信息数据表</t>
        </is>
      </c>
      <c r="AC113" s="66" t="n"/>
    </row>
    <row r="114" customFormat="1" s="66">
      <c r="A114" s="72">
        <f>ROW()-1</f>
        <v/>
      </c>
      <c r="B114" s="175" t="n"/>
      <c r="C114" s="80" t="n">
        <v>2025</v>
      </c>
      <c r="D114" s="80" t="inlineStr">
        <is>
          <t>张明峰</t>
        </is>
      </c>
      <c r="E114" s="81">
        <f>VLOOKUP(I114,'25年交付功能（不含废弃）'!A:A,1,FALSE)</f>
        <v/>
      </c>
      <c r="F114" s="175" t="n"/>
      <c r="G114" s="175" t="n"/>
      <c r="H114" s="175" t="n"/>
      <c r="I114" s="98" t="inlineStr">
        <is>
          <t>报告类型表</t>
        </is>
      </c>
      <c r="J114" s="93" t="inlineStr">
        <is>
          <t>ILF</t>
        </is>
      </c>
      <c r="K114" s="101" t="inlineStr">
        <is>
          <t>删除</t>
        </is>
      </c>
      <c r="L114" s="84" t="inlineStr">
        <is>
          <t>数据库表未被本系统所维护</t>
        </is>
      </c>
      <c r="M114" s="85">
        <f>IF(OR(Y114="估算法",Y114="算法类",Y114="无法识别"),"",IF(W114="",IF(OR(J114="EI",J114="EO",J114="EQ"),0,""),LEN(W114)-LEN(SUBSTITUTE(W114,"、",""))+1))</f>
        <v/>
      </c>
      <c r="N114" s="85">
        <f>IF(OR(Y114="估算法",Y114="算法类",Y114="无法识别"),"",IF(X114="",IF(OR(J114="ILF",J114="EIF"),0,""),LEN(X114)-LEN(SUBSTITUTE(X114,"、",""))+1))</f>
        <v/>
      </c>
      <c r="O114" s="85">
        <f>IF(OR(Y114="估算法",Y114="算法类",Y114="无法识别"),"",IF(Y114="",IF(OR(J114="ILF",J114="EIF",J114="EI",J114="EO",J114="EQ"),0,""),LEN(Y114)-LEN(SUBSTITUTE(SUBSTITUTE(SUBSTITUTE(SUBSTITUTE(SUBSTITUTE(Y114,"|}","--"),"{|","--"),CHAR(10),""),"、",""),"|",""))+IF(AND(OR(J114="EI",J114="EO",J114="EQ"),$AE$1="NESMA"),2,1)))</f>
        <v/>
      </c>
      <c r="P114" s="86">
        <f>IF(J114="EI",IF(OR(Y114="估算法",Y114="算法类"),"中",IF(Y114="无法识别","低",IF(M114&lt;2,IF(O114&lt;16,"低","中"),IF(M114&lt;3,IF(O114&lt;5,"低",IF(O114&lt;16,"中","高")),IF(O114&lt;5,"中","高"))))),IF(OR(J114="EO",J114="EQ"),IF(OR(Y114="估算法",Y114="算法类"),"中",IF(Y114="无法识别","低",IF(M114&lt;2,IF(O114&lt;20,"低","中"),IF(M114&lt;4,IF(O114&lt;6,"低",IF(O114&lt;20,"中","高")),IF(O114&lt;6,"中","高"))))),IF(OR(J114="ILF",J114="EIF"),IF(OR(Y114="估算法",Y114="算法类",Y114="无法识别"),"低",IF(N114&lt;2,IF(O114&lt;51,"低","中"),IF(N114&lt;6,IF(O114&lt;20,"低",IF(O114&lt;51,"中","高")),IF(O114&lt;20,"中","高")))),"不计算")))</f>
        <v/>
      </c>
      <c r="Q114" s="172">
        <f>IFERROR(IF(J114="EI",IF(P114="低",3,IF(P114="中",4,6)),IF(J114="EO",IF(P114="低",4,IF(P114="中",5,7)),IF(J114="EQ",IF(P114="低",3,IF(P114="中",4,6)),IF(J114="ILF",IF(P114="低",7,IF(P114="中",10,15)),IF(J114="EIF",IF(P114="低",5,IF(P114="中",7,10)),"不计算")))))*R114,"不计算")</f>
        <v/>
      </c>
      <c r="R114" s="172" t="n">
        <v>0</v>
      </c>
      <c r="S114" s="173">
        <f>调整因子!$F$13</f>
        <v/>
      </c>
      <c r="T114" s="92" t="n">
        <v>1</v>
      </c>
      <c r="U114" s="174">
        <f>IFERROR(Q114*S114,0)</f>
        <v/>
      </c>
      <c r="V114" s="174">
        <f>U114*T114</f>
        <v/>
      </c>
      <c r="W114" s="91" t="n"/>
      <c r="X114" s="90" t="inlineStr">
        <is>
          <t>报告类型表</t>
        </is>
      </c>
      <c r="Y114" s="90" t="inlineStr">
        <is>
          <t>报告类型表{类型ID、类型名称、描述}</t>
        </is>
      </c>
      <c r="Z114" s="90">
        <f>IF(COUNTIFS(W:W,"*"&amp;I114&amp;"*")&gt;0,"存在","不存在")</f>
        <v/>
      </c>
      <c r="AA114" s="90">
        <f>IF(COUNTIFS(AB:AB,"*"&amp;I114&amp;"*")&gt;0,"存在","不存在")</f>
        <v/>
      </c>
      <c r="AB114" s="90" t="inlineStr">
        <is>
          <t>响应审计合规结果数据表</t>
        </is>
      </c>
      <c r="AC114" s="66" t="n"/>
    </row>
    <row r="115" customFormat="1" s="66">
      <c r="A115" s="72">
        <f>ROW()-1</f>
        <v/>
      </c>
      <c r="B115" s="175" t="n"/>
      <c r="C115" s="80" t="n">
        <v>2025</v>
      </c>
      <c r="D115" s="80" t="inlineStr">
        <is>
          <t>张明峰</t>
        </is>
      </c>
      <c r="E115" s="81">
        <f>VLOOKUP(I115,'25年交付功能（不含废弃）'!A:A,1,FALSE)</f>
        <v/>
      </c>
      <c r="F115" s="175" t="n"/>
      <c r="G115" s="175" t="n"/>
      <c r="H115" s="175" t="n"/>
      <c r="I115" s="98" t="inlineStr">
        <is>
          <t>报告模板表</t>
        </is>
      </c>
      <c r="J115" s="93" t="inlineStr">
        <is>
          <t>ILF</t>
        </is>
      </c>
      <c r="K115" s="84" t="n"/>
      <c r="L115" s="84" t="n"/>
      <c r="M115" s="85">
        <f>IF(OR(Y115="估算法",Y115="算法类",Y115="无法识别"),"",IF(W115="",IF(OR(J115="EI",J115="EO",J115="EQ"),0,""),LEN(W115)-LEN(SUBSTITUTE(W115,"、",""))+1))</f>
        <v/>
      </c>
      <c r="N115" s="85">
        <f>IF(OR(Y115="估算法",Y115="算法类",Y115="无法识别"),"",IF(X115="",IF(OR(J115="ILF",J115="EIF"),0,""),LEN(X115)-LEN(SUBSTITUTE(X115,"、",""))+1))</f>
        <v/>
      </c>
      <c r="O115" s="85">
        <f>IF(OR(Y115="估算法",Y115="算法类",Y115="无法识别"),"",IF(Y115="",IF(OR(J115="ILF",J115="EIF",J115="EI",J115="EO",J115="EQ"),0,""),LEN(Y115)-LEN(SUBSTITUTE(SUBSTITUTE(SUBSTITUTE(SUBSTITUTE(SUBSTITUTE(Y115,"|}","--"),"{|","--"),CHAR(10),""),"、",""),"|",""))+IF(AND(OR(J115="EI",J115="EO",J115="EQ"),$AE$1="NESMA"),2,1)))</f>
        <v/>
      </c>
      <c r="P115" s="86">
        <f>IF(J115="EI",IF(OR(Y115="估算法",Y115="算法类"),"中",IF(Y115="无法识别","低",IF(M115&lt;2,IF(O115&lt;16,"低","中"),IF(M115&lt;3,IF(O115&lt;5,"低",IF(O115&lt;16,"中","高")),IF(O115&lt;5,"中","高"))))),IF(OR(J115="EO",J115="EQ"),IF(OR(Y115="估算法",Y115="算法类"),"中",IF(Y115="无法识别","低",IF(M115&lt;2,IF(O115&lt;20,"低","中"),IF(M115&lt;4,IF(O115&lt;6,"低",IF(O115&lt;20,"中","高")),IF(O115&lt;6,"中","高"))))),IF(OR(J115="ILF",J115="EIF"),IF(OR(Y115="估算法",Y115="算法类",Y115="无法识别"),"低",IF(N115&lt;2,IF(O115&lt;51,"低","中"),IF(N115&lt;6,IF(O115&lt;20,"低",IF(O115&lt;51,"中","高")),IF(O115&lt;20,"中","高")))),"不计算")))</f>
        <v/>
      </c>
      <c r="Q115" s="172">
        <f>IFERROR(IF(J115="EI",IF(P115="低",3,IF(P115="中",4,6)),IF(J115="EO",IF(P115="低",4,IF(P115="中",5,7)),IF(J115="EQ",IF(P115="低",3,IF(P115="中",4,6)),IF(J115="ILF",IF(P115="低",7,IF(P115="中",10,15)),IF(J115="EIF",IF(P115="低",5,IF(P115="中",7,10)),"不计算")))))*R115,"不计算")</f>
        <v/>
      </c>
      <c r="R115" s="172" t="n">
        <v>1</v>
      </c>
      <c r="S115" s="173">
        <f>调整因子!$F$13</f>
        <v/>
      </c>
      <c r="T115" s="92" t="n">
        <v>1</v>
      </c>
      <c r="U115" s="174">
        <f>IFERROR(Q115*S115,0)</f>
        <v/>
      </c>
      <c r="V115" s="174">
        <f>U115*T115</f>
        <v/>
      </c>
      <c r="W115" s="91" t="n"/>
      <c r="X115" s="90" t="inlineStr">
        <is>
          <t>报告模板表</t>
        </is>
      </c>
      <c r="Y115" s="90" t="inlineStr">
        <is>
          <t>报告模板表{模板ID、模板名称、内容、创建时间}</t>
        </is>
      </c>
      <c r="Z115" s="90">
        <f>IF(COUNTIFS(W:W,"*"&amp;I115&amp;"*")&gt;0,"存在","不存在")</f>
        <v/>
      </c>
      <c r="AA115" s="90">
        <f>IF(COUNTIFS(AB:AB,"*"&amp;I115&amp;"*")&gt;0,"存在","不存在")</f>
        <v/>
      </c>
      <c r="AB115" s="90" t="inlineStr">
        <is>
          <t>漏洞修复核验工单数据表</t>
        </is>
      </c>
      <c r="AC115" s="66" t="n"/>
    </row>
    <row r="116" customFormat="1" s="66">
      <c r="A116" s="72">
        <f>ROW()-1</f>
        <v/>
      </c>
      <c r="B116" s="175" t="n"/>
      <c r="C116" s="80" t="n">
        <v>2025</v>
      </c>
      <c r="D116" s="80" t="inlineStr">
        <is>
          <t>张明峰</t>
        </is>
      </c>
      <c r="E116" s="81">
        <f>VLOOKUP(I116,'25年交付功能（不含废弃）'!A:A,1,FALSE)</f>
        <v/>
      </c>
      <c r="F116" s="175" t="n"/>
      <c r="G116" s="175" t="n"/>
      <c r="H116" s="175" t="n"/>
      <c r="I116" s="98" t="inlineStr">
        <is>
          <t>报告生成记录表</t>
        </is>
      </c>
      <c r="J116" s="93" t="inlineStr">
        <is>
          <t>ILF</t>
        </is>
      </c>
      <c r="K116" s="101" t="inlineStr">
        <is>
          <t>删除</t>
        </is>
      </c>
      <c r="L116" s="84" t="inlineStr">
        <is>
          <t>数据库表未被本系统所维护</t>
        </is>
      </c>
      <c r="M116" s="85">
        <f>IF(OR(Y116="估算法",Y116="算法类",Y116="无法识别"),"",IF(W116="",IF(OR(J116="EI",J116="EO",J116="EQ"),0,""),LEN(W116)-LEN(SUBSTITUTE(W116,"、",""))+1))</f>
        <v/>
      </c>
      <c r="N116" s="85">
        <f>IF(OR(Y116="估算法",Y116="算法类",Y116="无法识别"),"",IF(X116="",IF(OR(J116="ILF",J116="EIF"),0,""),LEN(X116)-LEN(SUBSTITUTE(X116,"、",""))+1))</f>
        <v/>
      </c>
      <c r="O116" s="85">
        <f>IF(OR(Y116="估算法",Y116="算法类",Y116="无法识别"),"",IF(Y116="",IF(OR(J116="ILF",J116="EIF",J116="EI",J116="EO",J116="EQ"),0,""),LEN(Y116)-LEN(SUBSTITUTE(SUBSTITUTE(SUBSTITUTE(SUBSTITUTE(SUBSTITUTE(Y116,"|}","--"),"{|","--"),CHAR(10),""),"、",""),"|",""))+IF(AND(OR(J116="EI",J116="EO",J116="EQ"),$AE$1="NESMA"),2,1)))</f>
        <v/>
      </c>
      <c r="P116" s="86">
        <f>IF(J116="EI",IF(OR(Y116="估算法",Y116="算法类"),"中",IF(Y116="无法识别","低",IF(M116&lt;2,IF(O116&lt;16,"低","中"),IF(M116&lt;3,IF(O116&lt;5,"低",IF(O116&lt;16,"中","高")),IF(O116&lt;5,"中","高"))))),IF(OR(J116="EO",J116="EQ"),IF(OR(Y116="估算法",Y116="算法类"),"中",IF(Y116="无法识别","低",IF(M116&lt;2,IF(O116&lt;20,"低","中"),IF(M116&lt;4,IF(O116&lt;6,"低",IF(O116&lt;20,"中","高")),IF(O116&lt;6,"中","高"))))),IF(OR(J116="ILF",J116="EIF"),IF(OR(Y116="估算法",Y116="算法类",Y116="无法识别"),"低",IF(N116&lt;2,IF(O116&lt;51,"低","中"),IF(N116&lt;6,IF(O116&lt;20,"低",IF(O116&lt;51,"中","高")),IF(O116&lt;20,"中","高")))),"不计算")))</f>
        <v/>
      </c>
      <c r="Q116" s="172">
        <f>IFERROR(IF(J116="EI",IF(P116="低",3,IF(P116="中",4,6)),IF(J116="EO",IF(P116="低",4,IF(P116="中",5,7)),IF(J116="EQ",IF(P116="低",3,IF(P116="中",4,6)),IF(J116="ILF",IF(P116="低",7,IF(P116="中",10,15)),IF(J116="EIF",IF(P116="低",5,IF(P116="中",7,10)),"不计算")))))*R116,"不计算")</f>
        <v/>
      </c>
      <c r="R116" s="172" t="n">
        <v>0</v>
      </c>
      <c r="S116" s="173">
        <f>调整因子!$F$13</f>
        <v/>
      </c>
      <c r="T116" s="93" t="n">
        <v>1</v>
      </c>
      <c r="U116" s="174">
        <f>IFERROR(Q116*S116,0)</f>
        <v/>
      </c>
      <c r="V116" s="174">
        <f>U116*T116</f>
        <v/>
      </c>
      <c r="W116" s="91" t="n"/>
      <c r="X116" s="90" t="inlineStr">
        <is>
          <t>报告生成记录表</t>
        </is>
      </c>
      <c r="Y116" s="90" t="inlineStr">
        <is>
          <t>报告生成记录表{记录ID、报告ID、生成时间、生成人}</t>
        </is>
      </c>
      <c r="Z116" s="90">
        <f>IF(COUNTIFS(W:W,"*"&amp;I116&amp;"*")&gt;0,"存在","不存在")</f>
        <v/>
      </c>
      <c r="AA116" s="90">
        <f>IF(COUNTIFS(AB:AB,"*"&amp;I116&amp;"*")&gt;0,"存在","不存在")</f>
        <v/>
      </c>
      <c r="AB116" s="90" t="inlineStr">
        <is>
          <t>漏洞修复核验工单数据表</t>
        </is>
      </c>
      <c r="AC116" s="66" t="n"/>
    </row>
    <row r="117" customFormat="1" s="66">
      <c r="A117" s="72">
        <f>ROW()-1</f>
        <v/>
      </c>
      <c r="B117" s="175" t="n"/>
      <c r="C117" s="80" t="n">
        <v>2025</v>
      </c>
      <c r="D117" s="80" t="inlineStr">
        <is>
          <t>张明峰</t>
        </is>
      </c>
      <c r="E117" s="81">
        <f>VLOOKUP(I117,'25年交付功能（不含废弃）'!A:A,1,FALSE)</f>
        <v/>
      </c>
      <c r="F117" s="175" t="n"/>
      <c r="G117" s="175" t="n"/>
      <c r="H117" s="176" t="n"/>
      <c r="I117" s="98" t="inlineStr">
        <is>
          <t>系统漏洞结果表</t>
        </is>
      </c>
      <c r="J117" s="93" t="inlineStr">
        <is>
          <t>ILF</t>
        </is>
      </c>
      <c r="K117" s="101" t="inlineStr">
        <is>
          <t>删除</t>
        </is>
      </c>
      <c r="L117" s="84" t="inlineStr">
        <is>
          <t>数据库表未被本系统所维护</t>
        </is>
      </c>
      <c r="M117" s="85">
        <f>IF(OR(Y117="估算法",Y117="算法类",Y117="无法识别"),"",IF(W117="",IF(OR(J117="EI",J117="EO",J117="EQ"),0,""),LEN(W117)-LEN(SUBSTITUTE(W117,"、",""))+1))</f>
        <v/>
      </c>
      <c r="N117" s="85">
        <f>IF(OR(Y117="估算法",Y117="算法类",Y117="无法识别"),"",IF(X117="",IF(OR(J117="ILF",J117="EIF"),0,""),LEN(X117)-LEN(SUBSTITUTE(X117,"、",""))+1))</f>
        <v/>
      </c>
      <c r="O117" s="85">
        <f>IF(OR(Y117="估算法",Y117="算法类",Y117="无法识别"),"",IF(Y117="",IF(OR(J117="ILF",J117="EIF",J117="EI",J117="EO",J117="EQ"),0,""),LEN(Y117)-LEN(SUBSTITUTE(SUBSTITUTE(SUBSTITUTE(SUBSTITUTE(SUBSTITUTE(Y117,"|}","--"),"{|","--"),CHAR(10),""),"、",""),"|",""))+IF(AND(OR(J117="EI",J117="EO",J117="EQ"),$AE$1="NESMA"),2,1)))</f>
        <v/>
      </c>
      <c r="P117" s="86">
        <f>IF(J117="EI",IF(OR(Y117="估算法",Y117="算法类"),"中",IF(Y117="无法识别","低",IF(M117&lt;2,IF(O117&lt;16,"低","中"),IF(M117&lt;3,IF(O117&lt;5,"低",IF(O117&lt;16,"中","高")),IF(O117&lt;5,"中","高"))))),IF(OR(J117="EO",J117="EQ"),IF(OR(Y117="估算法",Y117="算法类"),"中",IF(Y117="无法识别","低",IF(M117&lt;2,IF(O117&lt;20,"低","中"),IF(M117&lt;4,IF(O117&lt;6,"低",IF(O117&lt;20,"中","高")),IF(O117&lt;6,"中","高"))))),IF(OR(J117="ILF",J117="EIF"),IF(OR(Y117="估算法",Y117="算法类",Y117="无法识别"),"低",IF(N117&lt;2,IF(O117&lt;51,"低","中"),IF(N117&lt;6,IF(O117&lt;20,"低",IF(O117&lt;51,"中","高")),IF(O117&lt;20,"中","高")))),"不计算")))</f>
        <v/>
      </c>
      <c r="Q117" s="172">
        <f>IFERROR(IF(J117="EI",IF(P117="低",3,IF(P117="中",4,6)),IF(J117="EO",IF(P117="低",4,IF(P117="中",5,7)),IF(J117="EQ",IF(P117="低",3,IF(P117="中",4,6)),IF(J117="ILF",IF(P117="低",7,IF(P117="中",10,15)),IF(J117="EIF",IF(P117="低",5,IF(P117="中",7,10)),"不计算")))))*R117,"不计算")</f>
        <v/>
      </c>
      <c r="R117" s="172" t="n">
        <v>0</v>
      </c>
      <c r="S117" s="173">
        <f>调整因子!$F$13</f>
        <v/>
      </c>
      <c r="T117" s="92" t="n">
        <v>1</v>
      </c>
      <c r="U117" s="174">
        <f>IFERROR(Q117*S117,0)</f>
        <v/>
      </c>
      <c r="V117" s="174">
        <f>U117*T117</f>
        <v/>
      </c>
      <c r="W117" s="91" t="n"/>
      <c r="X117" s="90" t="inlineStr">
        <is>
          <t>系统漏洞结果表</t>
        </is>
      </c>
      <c r="Y117" s="90" t="inlineStr">
        <is>
          <t>系统漏洞结果表{结果ID、漏洞ID、资产ID、检测结果、修复建议}</t>
        </is>
      </c>
      <c r="Z117" s="90">
        <f>IF(COUNTIFS(W:W,"*"&amp;I117&amp;"*")&gt;0,"存在","不存在")</f>
        <v/>
      </c>
      <c r="AA117" s="90">
        <f>IF(COUNTIFS(AB:AB,"*"&amp;I117&amp;"*")&gt;0,"存在","不存在")</f>
        <v/>
      </c>
      <c r="AB117" s="90" t="inlineStr">
        <is>
          <t>漏洞修复核验工单数据表</t>
        </is>
      </c>
      <c r="AC117" s="66" t="n"/>
    </row>
    <row r="118" customFormat="1" s="66">
      <c r="A118" s="72">
        <f>ROW()-1</f>
        <v/>
      </c>
      <c r="B118" s="175" t="n"/>
      <c r="C118" s="80" t="n">
        <v>2025</v>
      </c>
      <c r="D118" s="80" t="inlineStr">
        <is>
          <t>张明峰</t>
        </is>
      </c>
      <c r="E118" s="81">
        <f>VLOOKUP(I118,'25年交付功能（不含废弃）'!A:A,1,FALSE)</f>
        <v/>
      </c>
      <c r="F118" s="175" t="n"/>
      <c r="G118" s="175" t="n"/>
      <c r="H118" s="93" t="inlineStr">
        <is>
          <t>同源纠偏自定义函数配置</t>
        </is>
      </c>
      <c r="I118" s="98" t="inlineStr">
        <is>
          <t>增加自定义函数</t>
        </is>
      </c>
      <c r="J118" s="93" t="inlineStr">
        <is>
          <t>EI</t>
        </is>
      </c>
      <c r="K118" s="84" t="n"/>
      <c r="L118" s="84" t="n"/>
      <c r="M118" s="85">
        <f>IF(OR(Y118="估算法",Y118="算法类",Y118="无法识别"),"",IF(W118="",IF(OR(J118="EI",J118="EO",J118="EQ"),0,""),LEN(W118)-LEN(SUBSTITUTE(W118,"、",""))+1))</f>
        <v/>
      </c>
      <c r="N118" s="85">
        <f>IF(OR(Y118="估算法",Y118="算法类",Y118="无法识别"),"",IF(X118="",IF(OR(J118="ILF",J118="EIF"),0,""),LEN(X118)-LEN(SUBSTITUTE(X118,"、",""))+1))</f>
        <v/>
      </c>
      <c r="O118" s="85">
        <f>IF(OR(Y118="估算法",Y118="算法类",Y118="无法识别"),"",IF(Y118="",IF(OR(J118="ILF",J118="EIF",J118="EI",J118="EO",J118="EQ"),0,""),LEN(Y118)-LEN(SUBSTITUTE(SUBSTITUTE(SUBSTITUTE(SUBSTITUTE(SUBSTITUTE(Y118,"|}","--"),"{|","--"),CHAR(10),""),"、",""),"|",""))+IF(AND(OR(J118="EI",J118="EO",J118="EQ"),$AE$1="NESMA"),2,1)))</f>
        <v/>
      </c>
      <c r="P118" s="86">
        <f>IF(J118="EI",IF(OR(Y118="估算法",Y118="算法类"),"中",IF(Y118="无法识别","低",IF(M118&lt;2,IF(O118&lt;16,"低","中"),IF(M118&lt;3,IF(O118&lt;5,"低",IF(O118&lt;16,"中","高")),IF(O118&lt;5,"中","高"))))),IF(OR(J118="EO",J118="EQ"),IF(OR(Y118="估算法",Y118="算法类"),"中",IF(Y118="无法识别","低",IF(M118&lt;2,IF(O118&lt;20,"低","中"),IF(M118&lt;4,IF(O118&lt;6,"低",IF(O118&lt;20,"中","高")),IF(O118&lt;6,"中","高"))))),IF(OR(J118="ILF",J118="EIF"),IF(OR(Y118="估算法",Y118="算法类",Y118="无法识别"),"低",IF(N118&lt;2,IF(O118&lt;51,"低","中"),IF(N118&lt;6,IF(O118&lt;20,"低",IF(O118&lt;51,"中","高")),IF(O118&lt;20,"中","高")))),"不计算")))</f>
        <v/>
      </c>
      <c r="Q118" s="172">
        <f>IFERROR(IF(J118="EI",IF(P118="低",3,IF(P118="中",4,6)),IF(J118="EO",IF(P118="低",4,IF(P118="中",5,7)),IF(J118="EQ",IF(P118="低",3,IF(P118="中",4,6)),IF(J118="ILF",IF(P118="低",7,IF(P118="中",10,15)),IF(J118="EIF",IF(P118="低",5,IF(P118="中",7,10)),"不计算")))))*R118,"不计算")</f>
        <v/>
      </c>
      <c r="R118" s="172" t="n">
        <v>1</v>
      </c>
      <c r="S118" s="173">
        <f>调整因子!$F$13</f>
        <v/>
      </c>
      <c r="T118" s="92" t="n">
        <v>1</v>
      </c>
      <c r="U118" s="174">
        <f>IFERROR(Q118*S118,0)</f>
        <v/>
      </c>
      <c r="V118" s="174">
        <f>U118*T118</f>
        <v/>
      </c>
      <c r="W118" s="90" t="inlineStr">
        <is>
          <t>函数定义表、函数语言类型表</t>
        </is>
      </c>
      <c r="X118" s="91" t="n"/>
      <c r="Y118" s="90" t="inlineStr">
        <is>
          <t>函数定义表{函数ID、函数名称、定义、语言类型ID}、函数语言类型表{语言类型ID、语言名称、描述}</t>
        </is>
      </c>
      <c r="Z118" s="90" t="n"/>
      <c r="AA118" s="90" t="n"/>
      <c r="AB118" s="90" t="inlineStr">
        <is>
          <t>漏洞修复核验工单数据表</t>
        </is>
      </c>
      <c r="AC118" s="66" t="n"/>
    </row>
    <row r="119" customFormat="1" s="66">
      <c r="A119" s="72">
        <f>ROW()-1</f>
        <v/>
      </c>
      <c r="B119" s="175" t="n"/>
      <c r="C119" s="80" t="n">
        <v>2025</v>
      </c>
      <c r="D119" s="80" t="inlineStr">
        <is>
          <t>张明峰</t>
        </is>
      </c>
      <c r="E119" s="81">
        <f>VLOOKUP(I119,'25年交付功能（不含废弃）'!A:A,1,FALSE)</f>
        <v/>
      </c>
      <c r="F119" s="175" t="n"/>
      <c r="G119" s="175" t="n"/>
      <c r="H119" s="175" t="n"/>
      <c r="I119" s="98" t="inlineStr">
        <is>
          <t>修改自定义函数</t>
        </is>
      </c>
      <c r="J119" s="93" t="inlineStr">
        <is>
          <t>EI</t>
        </is>
      </c>
      <c r="K119" s="84" t="n"/>
      <c r="L119" s="84" t="n"/>
      <c r="M119" s="85">
        <f>IF(OR(Y119="估算法",Y119="算法类",Y119="无法识别"),"",IF(W119="",IF(OR(J119="EI",J119="EO",J119="EQ"),0,""),LEN(W119)-LEN(SUBSTITUTE(W119,"、",""))+1))</f>
        <v/>
      </c>
      <c r="N119" s="85">
        <f>IF(OR(Y119="估算法",Y119="算法类",Y119="无法识别"),"",IF(X119="",IF(OR(J119="ILF",J119="EIF"),0,""),LEN(X119)-LEN(SUBSTITUTE(X119,"、",""))+1))</f>
        <v/>
      </c>
      <c r="O119" s="85">
        <f>IF(OR(Y119="估算法",Y119="算法类",Y119="无法识别"),"",IF(Y119="",IF(OR(J119="ILF",J119="EIF",J119="EI",J119="EO",J119="EQ"),0,""),LEN(Y119)-LEN(SUBSTITUTE(SUBSTITUTE(SUBSTITUTE(SUBSTITUTE(SUBSTITUTE(Y119,"|}","--"),"{|","--"),CHAR(10),""),"、",""),"|",""))+IF(AND(OR(J119="EI",J119="EO",J119="EQ"),$AE$1="NESMA"),2,1)))</f>
        <v/>
      </c>
      <c r="P119" s="86">
        <f>IF(J119="EI",IF(OR(Y119="估算法",Y119="算法类"),"中",IF(Y119="无法识别","低",IF(M119&lt;2,IF(O119&lt;16,"低","中"),IF(M119&lt;3,IF(O119&lt;5,"低",IF(O119&lt;16,"中","高")),IF(O119&lt;5,"中","高"))))),IF(OR(J119="EO",J119="EQ"),IF(OR(Y119="估算法",Y119="算法类"),"中",IF(Y119="无法识别","低",IF(M119&lt;2,IF(O119&lt;20,"低","中"),IF(M119&lt;4,IF(O119&lt;6,"低",IF(O119&lt;20,"中","高")),IF(O119&lt;6,"中","高"))))),IF(OR(J119="ILF",J119="EIF"),IF(OR(Y119="估算法",Y119="算法类",Y119="无法识别"),"低",IF(N119&lt;2,IF(O119&lt;51,"低","中"),IF(N119&lt;6,IF(O119&lt;20,"低",IF(O119&lt;51,"中","高")),IF(O119&lt;20,"中","高")))),"不计算")))</f>
        <v/>
      </c>
      <c r="Q119" s="172">
        <f>IFERROR(IF(J119="EI",IF(P119="低",3,IF(P119="中",4,6)),IF(J119="EO",IF(P119="低",4,IF(P119="中",5,7)),IF(J119="EQ",IF(P119="低",3,IF(P119="中",4,6)),IF(J119="ILF",IF(P119="低",7,IF(P119="中",10,15)),IF(J119="EIF",IF(P119="低",5,IF(P119="中",7,10)),"不计算")))))*R119,"不计算")</f>
        <v/>
      </c>
      <c r="R119" s="172" t="n">
        <v>0.333333333333333</v>
      </c>
      <c r="S119" s="173">
        <f>调整因子!$F$13</f>
        <v/>
      </c>
      <c r="T119" s="93" t="n">
        <v>1</v>
      </c>
      <c r="U119" s="174">
        <f>IFERROR(Q119*S119,0)</f>
        <v/>
      </c>
      <c r="V119" s="174">
        <f>U119*T119</f>
        <v/>
      </c>
      <c r="W119" s="90" t="inlineStr">
        <is>
          <t>函数语言类型表、函数定义表</t>
        </is>
      </c>
      <c r="X119" s="91" t="n"/>
      <c r="Y119" s="90" t="inlineStr">
        <is>
          <t>函数定义表{函数ID|函数名称、定义、语言类型ID}、函数语言类型表{语言类型ID、语言名称、描述}</t>
        </is>
      </c>
      <c r="Z119" s="90" t="n"/>
      <c r="AA119" s="90" t="n"/>
      <c r="AB119" s="90" t="inlineStr">
        <is>
          <t>修复核验策略配置数据表</t>
        </is>
      </c>
      <c r="AC119" s="66" t="n"/>
    </row>
    <row r="120" customFormat="1" s="66">
      <c r="A120" s="72">
        <f>ROW()-1</f>
        <v/>
      </c>
      <c r="B120" s="175" t="n"/>
      <c r="C120" s="80" t="n">
        <v>2025</v>
      </c>
      <c r="D120" s="80" t="inlineStr">
        <is>
          <t>张明峰</t>
        </is>
      </c>
      <c r="E120" s="81">
        <f>VLOOKUP(I120,'25年交付功能（不含废弃）'!A:A,1,FALSE)</f>
        <v/>
      </c>
      <c r="F120" s="175" t="n"/>
      <c r="G120" s="175" t="n"/>
      <c r="H120" s="175" t="n"/>
      <c r="I120" s="98" t="inlineStr">
        <is>
          <t>删除自定义函数</t>
        </is>
      </c>
      <c r="J120" s="93" t="inlineStr">
        <is>
          <t>EI</t>
        </is>
      </c>
      <c r="K120" s="84" t="n"/>
      <c r="L120" s="84" t="n"/>
      <c r="M120" s="85">
        <f>IF(OR(Y120="估算法",Y120="算法类",Y120="无法识别"),"",IF(W120="",IF(OR(J120="EI",J120="EO",J120="EQ"),0,""),LEN(W120)-LEN(SUBSTITUTE(W120,"、",""))+1))</f>
        <v/>
      </c>
      <c r="N120" s="85">
        <f>IF(OR(Y120="估算法",Y120="算法类",Y120="无法识别"),"",IF(X120="",IF(OR(J120="ILF",J120="EIF"),0,""),LEN(X120)-LEN(SUBSTITUTE(X120,"、",""))+1))</f>
        <v/>
      </c>
      <c r="O120" s="85">
        <f>IF(OR(Y120="估算法",Y120="算法类",Y120="无法识别"),"",IF(Y120="",IF(OR(J120="ILF",J120="EIF",J120="EI",J120="EO",J120="EQ"),0,""),LEN(Y120)-LEN(SUBSTITUTE(SUBSTITUTE(SUBSTITUTE(SUBSTITUTE(SUBSTITUTE(Y120,"|}","--"),"{|","--"),CHAR(10),""),"、",""),"|",""))+IF(AND(OR(J120="EI",J120="EO",J120="EQ"),$AE$1="NESMA"),2,1)))</f>
        <v/>
      </c>
      <c r="P120" s="86">
        <f>IF(J120="EI",IF(OR(Y120="估算法",Y120="算法类"),"中",IF(Y120="无法识别","低",IF(M120&lt;2,IF(O120&lt;16,"低","中"),IF(M120&lt;3,IF(O120&lt;5,"低",IF(O120&lt;16,"中","高")),IF(O120&lt;5,"中","高"))))),IF(OR(J120="EO",J120="EQ"),IF(OR(Y120="估算法",Y120="算法类"),"中",IF(Y120="无法识别","低",IF(M120&lt;2,IF(O120&lt;20,"低","中"),IF(M120&lt;4,IF(O120&lt;6,"低",IF(O120&lt;20,"中","高")),IF(O120&lt;6,"中","高"))))),IF(OR(J120="ILF",J120="EIF"),IF(OR(Y120="估算法",Y120="算法类",Y120="无法识别"),"低",IF(N120&lt;2,IF(O120&lt;51,"低","中"),IF(N120&lt;6,IF(O120&lt;20,"低",IF(O120&lt;51,"中","高")),IF(O120&lt;20,"中","高")))),"不计算")))</f>
        <v/>
      </c>
      <c r="Q120" s="172">
        <f>IFERROR(IF(J120="EI",IF(P120="低",3,IF(P120="中",4,6)),IF(J120="EO",IF(P120="低",4,IF(P120="中",5,7)),IF(J120="EQ",IF(P120="低",3,IF(P120="中",4,6)),IF(J120="ILF",IF(P120="低",7,IF(P120="中",10,15)),IF(J120="EIF",IF(P120="低",5,IF(P120="中",7,10)),"不计算")))))*R120,"不计算")</f>
        <v/>
      </c>
      <c r="R120" s="172" t="n">
        <v>0.333333333333333</v>
      </c>
      <c r="S120" s="173">
        <f>调整因子!$F$13</f>
        <v/>
      </c>
      <c r="T120" s="92" t="n">
        <v>1</v>
      </c>
      <c r="U120" s="174">
        <f>IFERROR(Q120*S120,0)</f>
        <v/>
      </c>
      <c r="V120" s="174">
        <f>U120*T120</f>
        <v/>
      </c>
      <c r="W120" s="90" t="inlineStr">
        <is>
          <t>函数定义表</t>
        </is>
      </c>
      <c r="X120" s="91" t="n"/>
      <c r="Y120" s="90" t="inlineStr">
        <is>
          <t>函数定义表{函数ID}</t>
        </is>
      </c>
      <c r="Z120" s="90" t="n"/>
      <c r="AA120" s="90" t="n"/>
      <c r="AB120" s="90" t="inlineStr">
        <is>
          <t>BAS平台接口调用配置数据表</t>
        </is>
      </c>
      <c r="AC120" s="66" t="n"/>
    </row>
    <row r="121" customFormat="1" s="66">
      <c r="A121" s="72">
        <f>ROW()-1</f>
        <v/>
      </c>
      <c r="B121" s="175" t="n"/>
      <c r="C121" s="80" t="n">
        <v>2025</v>
      </c>
      <c r="D121" s="80" t="inlineStr">
        <is>
          <t>张明峰</t>
        </is>
      </c>
      <c r="E121" s="81">
        <f>VLOOKUP(I121,'25年交付功能（不含废弃）'!A:A,1,FALSE)</f>
        <v/>
      </c>
      <c r="F121" s="175" t="n"/>
      <c r="G121" s="175" t="n"/>
      <c r="H121" s="175" t="n"/>
      <c r="I121" s="98" t="inlineStr">
        <is>
          <t>查询自定义函数列表</t>
        </is>
      </c>
      <c r="J121" s="93" t="inlineStr">
        <is>
          <t>EO</t>
        </is>
      </c>
      <c r="K121" s="84" t="n"/>
      <c r="L121" s="84" t="n"/>
      <c r="M121" s="85">
        <f>IF(OR(Y121="估算法",Y121="算法类",Y121="无法识别"),"",IF(W121="",IF(OR(J121="EI",J121="EO",J121="EQ"),0,""),LEN(W121)-LEN(SUBSTITUTE(W121,"、",""))+1))</f>
        <v/>
      </c>
      <c r="N121" s="85">
        <f>IF(OR(Y121="估算法",Y121="算法类",Y121="无法识别"),"",IF(X121="",IF(OR(J121="ILF",J121="EIF"),0,""),LEN(X121)-LEN(SUBSTITUTE(X121,"、",""))+1))</f>
        <v/>
      </c>
      <c r="O121" s="85">
        <f>IF(OR(Y121="估算法",Y121="算法类",Y121="无法识别"),"",IF(Y121="",IF(OR(J121="ILF",J121="EIF",J121="EI",J121="EO",J121="EQ"),0,""),LEN(Y121)-LEN(SUBSTITUTE(SUBSTITUTE(SUBSTITUTE(SUBSTITUTE(SUBSTITUTE(Y121,"|}","--"),"{|","--"),CHAR(10),""),"、",""),"|",""))+IF(AND(OR(J121="EI",J121="EO",J121="EQ"),$AE$1="NESMA"),2,1)))</f>
        <v/>
      </c>
      <c r="P121" s="86">
        <f>IF(J121="EI",IF(OR(Y121="估算法",Y121="算法类"),"中",IF(Y121="无法识别","低",IF(M121&lt;2,IF(O121&lt;16,"低","中"),IF(M121&lt;3,IF(O121&lt;5,"低",IF(O121&lt;16,"中","高")),IF(O121&lt;5,"中","高"))))),IF(OR(J121="EO",J121="EQ"),IF(OR(Y121="估算法",Y121="算法类"),"中",IF(Y121="无法识别","低",IF(M121&lt;2,IF(O121&lt;20,"低","中"),IF(M121&lt;4,IF(O121&lt;6,"低",IF(O121&lt;20,"中","高")),IF(O121&lt;6,"中","高"))))),IF(OR(J121="ILF",J121="EIF"),IF(OR(Y121="估算法",Y121="算法类",Y121="无法识别"),"低",IF(N121&lt;2,IF(O121&lt;51,"低","中"),IF(N121&lt;6,IF(O121&lt;20,"低",IF(O121&lt;51,"中","高")),IF(O121&lt;20,"中","高")))),"不计算")))</f>
        <v/>
      </c>
      <c r="Q121" s="172">
        <f>IFERROR(IF(J121="EI",IF(P121="低",3,IF(P121="中",4,6)),IF(J121="EO",IF(P121="低",4,IF(P121="中",5,7)),IF(J121="EQ",IF(P121="低",3,IF(P121="中",4,6)),IF(J121="ILF",IF(P121="低",7,IF(P121="中",10,15)),IF(J121="EIF",IF(P121="低",5,IF(P121="中",7,10)),"不计算")))))*R121,"不计算")</f>
        <v/>
      </c>
      <c r="R121" s="172" t="n">
        <v>1</v>
      </c>
      <c r="S121" s="173">
        <f>调整因子!$F$13</f>
        <v/>
      </c>
      <c r="T121" s="92" t="n">
        <v>1</v>
      </c>
      <c r="U121" s="174">
        <f>IFERROR(Q121*S121,0)</f>
        <v/>
      </c>
      <c r="V121" s="174">
        <f>U121*T121</f>
        <v/>
      </c>
      <c r="W121" s="90" t="inlineStr">
        <is>
          <t>函数定义表</t>
        </is>
      </c>
      <c r="X121" s="91" t="n"/>
      <c r="Y121" s="90" t="inlineStr">
        <is>
          <t>函数定义表{函数名称|函数ID、函数名称、定义、语言类型ID}</t>
        </is>
      </c>
      <c r="Z121" s="90" t="n"/>
      <c r="AA121" s="90" t="n"/>
      <c r="AB121" s="90" t="inlineStr">
        <is>
          <t>漏洞修复核验报告模板配置项数据表</t>
        </is>
      </c>
      <c r="AC121" s="66" t="n"/>
    </row>
    <row r="122" customFormat="1" s="66">
      <c r="A122" s="72">
        <f>ROW()-1</f>
        <v/>
      </c>
      <c r="B122" s="175" t="n"/>
      <c r="C122" s="80" t="n">
        <v>2025</v>
      </c>
      <c r="D122" s="80" t="inlineStr">
        <is>
          <t>张明峰</t>
        </is>
      </c>
      <c r="E122" s="81">
        <f>VLOOKUP(I122,'25年交付功能（不含废弃）'!A:A,1,FALSE)</f>
        <v/>
      </c>
      <c r="F122" s="175" t="n"/>
      <c r="G122" s="175" t="n"/>
      <c r="H122" s="175" t="n"/>
      <c r="I122" s="98" t="inlineStr">
        <is>
          <t>函数定义表</t>
        </is>
      </c>
      <c r="J122" s="93" t="inlineStr">
        <is>
          <t>ILF</t>
        </is>
      </c>
      <c r="K122" s="84" t="n"/>
      <c r="L122" s="84" t="n"/>
      <c r="M122" s="85">
        <f>IF(OR(Y122="估算法",Y122="算法类",Y122="无法识别"),"",IF(W122="",IF(OR(J122="EI",J122="EO",J122="EQ"),0,""),LEN(W122)-LEN(SUBSTITUTE(W122,"、",""))+1))</f>
        <v/>
      </c>
      <c r="N122" s="85">
        <f>IF(OR(Y122="估算法",Y122="算法类",Y122="无法识别"),"",IF(X122="",IF(OR(J122="ILF",J122="EIF"),0,""),LEN(X122)-LEN(SUBSTITUTE(X122,"、",""))+1))</f>
        <v/>
      </c>
      <c r="O122" s="85">
        <f>IF(OR(Y122="估算法",Y122="算法类",Y122="无法识别"),"",IF(Y122="",IF(OR(J122="ILF",J122="EIF",J122="EI",J122="EO",J122="EQ"),0,""),LEN(Y122)-LEN(SUBSTITUTE(SUBSTITUTE(SUBSTITUTE(SUBSTITUTE(SUBSTITUTE(Y122,"|}","--"),"{|","--"),CHAR(10),""),"、",""),"|",""))+IF(AND(OR(J122="EI",J122="EO",J122="EQ"),$AE$1="NESMA"),2,1)))</f>
        <v/>
      </c>
      <c r="P122" s="86">
        <f>IF(J122="EI",IF(OR(Y122="估算法",Y122="算法类"),"中",IF(Y122="无法识别","低",IF(M122&lt;2,IF(O122&lt;16,"低","中"),IF(M122&lt;3,IF(O122&lt;5,"低",IF(O122&lt;16,"中","高")),IF(O122&lt;5,"中","高"))))),IF(OR(J122="EO",J122="EQ"),IF(OR(Y122="估算法",Y122="算法类"),"中",IF(Y122="无法识别","低",IF(M122&lt;2,IF(O122&lt;20,"低","中"),IF(M122&lt;4,IF(O122&lt;6,"低",IF(O122&lt;20,"中","高")),IF(O122&lt;6,"中","高"))))),IF(OR(J122="ILF",J122="EIF"),IF(OR(Y122="估算法",Y122="算法类",Y122="无法识别"),"低",IF(N122&lt;2,IF(O122&lt;51,"低","中"),IF(N122&lt;6,IF(O122&lt;20,"低",IF(O122&lt;51,"中","高")),IF(O122&lt;20,"中","高")))),"不计算")))</f>
        <v/>
      </c>
      <c r="Q122" s="172">
        <f>IFERROR(IF(J122="EI",IF(P122="低",3,IF(P122="中",4,6)),IF(J122="EO",IF(P122="低",4,IF(P122="中",5,7)),IF(J122="EQ",IF(P122="低",3,IF(P122="中",4,6)),IF(J122="ILF",IF(P122="低",7,IF(P122="中",10,15)),IF(J122="EIF",IF(P122="低",5,IF(P122="中",7,10)),"不计算")))))*R122,"不计算")</f>
        <v/>
      </c>
      <c r="R122" s="172" t="n">
        <v>1</v>
      </c>
      <c r="S122" s="173">
        <f>调整因子!$F$13</f>
        <v/>
      </c>
      <c r="T122" s="93" t="n">
        <v>1</v>
      </c>
      <c r="U122" s="174">
        <f>IFERROR(Q122*S122,0)</f>
        <v/>
      </c>
      <c r="V122" s="174">
        <f>U122*T122</f>
        <v/>
      </c>
      <c r="W122" s="91" t="n"/>
      <c r="X122" s="90" t="inlineStr">
        <is>
          <t>函数定义表</t>
        </is>
      </c>
      <c r="Y122" s="90" t="inlineStr">
        <is>
          <t>函数定义表{函数ID、函数名称、定义、语言类型ID}</t>
        </is>
      </c>
      <c r="Z122" s="90">
        <f>IF(COUNTIFS(W:W,"*"&amp;I122&amp;"*")&gt;0,"存在","不存在")</f>
        <v/>
      </c>
      <c r="AA122" s="90">
        <f>IF(COUNTIFS(AB:AB,"*"&amp;I122&amp;"*")&gt;0,"存在","不存在")</f>
        <v/>
      </c>
      <c r="AB122" s="90" t="inlineStr">
        <is>
          <t>修复核验报告推送规则数据表</t>
        </is>
      </c>
      <c r="AC122" s="66" t="n"/>
    </row>
    <row r="123" customFormat="1" s="66">
      <c r="A123" s="72">
        <f>ROW()-1</f>
        <v/>
      </c>
      <c r="B123" s="175" t="n"/>
      <c r="C123" s="80" t="n">
        <v>2025</v>
      </c>
      <c r="D123" s="80" t="inlineStr">
        <is>
          <t>张明峰</t>
        </is>
      </c>
      <c r="E123" s="81">
        <f>VLOOKUP(I123,'25年交付功能（不含废弃）'!A:A,1,FALSE)</f>
        <v/>
      </c>
      <c r="F123" s="175" t="n"/>
      <c r="G123" s="175" t="n"/>
      <c r="H123" s="176" t="n"/>
      <c r="I123" s="98" t="inlineStr">
        <is>
          <t>函数语言类型表</t>
        </is>
      </c>
      <c r="J123" s="93" t="inlineStr">
        <is>
          <t>ILF</t>
        </is>
      </c>
      <c r="K123" s="84" t="n"/>
      <c r="L123" s="84" t="n"/>
      <c r="M123" s="85">
        <f>IF(OR(Y123="估算法",Y123="算法类",Y123="无法识别"),"",IF(W123="",IF(OR(J123="EI",J123="EO",J123="EQ"),0,""),LEN(W123)-LEN(SUBSTITUTE(W123,"、",""))+1))</f>
        <v/>
      </c>
      <c r="N123" s="85">
        <f>IF(OR(Y123="估算法",Y123="算法类",Y123="无法识别"),"",IF(X123="",IF(OR(J123="ILF",J123="EIF"),0,""),LEN(X123)-LEN(SUBSTITUTE(X123,"、",""))+1))</f>
        <v/>
      </c>
      <c r="O123" s="85">
        <f>IF(OR(Y123="估算法",Y123="算法类",Y123="无法识别"),"",IF(Y123="",IF(OR(J123="ILF",J123="EIF",J123="EI",J123="EO",J123="EQ"),0,""),LEN(Y123)-LEN(SUBSTITUTE(SUBSTITUTE(SUBSTITUTE(SUBSTITUTE(SUBSTITUTE(Y123,"|}","--"),"{|","--"),CHAR(10),""),"、",""),"|",""))+IF(AND(OR(J123="EI",J123="EO",J123="EQ"),$AE$1="NESMA"),2,1)))</f>
        <v/>
      </c>
      <c r="P123" s="86">
        <f>IF(J123="EI",IF(OR(Y123="估算法",Y123="算法类"),"中",IF(Y123="无法识别","低",IF(M123&lt;2,IF(O123&lt;16,"低","中"),IF(M123&lt;3,IF(O123&lt;5,"低",IF(O123&lt;16,"中","高")),IF(O123&lt;5,"中","高"))))),IF(OR(J123="EO",J123="EQ"),IF(OR(Y123="估算法",Y123="算法类"),"中",IF(Y123="无法识别","低",IF(M123&lt;2,IF(O123&lt;20,"低","中"),IF(M123&lt;4,IF(O123&lt;6,"低",IF(O123&lt;20,"中","高")),IF(O123&lt;6,"中","高"))))),IF(OR(J123="ILF",J123="EIF"),IF(OR(Y123="估算法",Y123="算法类",Y123="无法识别"),"低",IF(N123&lt;2,IF(O123&lt;51,"低","中"),IF(N123&lt;6,IF(O123&lt;20,"低",IF(O123&lt;51,"中","高")),IF(O123&lt;20,"中","高")))),"不计算")))</f>
        <v/>
      </c>
      <c r="Q123" s="172">
        <f>IFERROR(IF(J123="EI",IF(P123="低",3,IF(P123="中",4,6)),IF(J123="EO",IF(P123="低",4,IF(P123="中",5,7)),IF(J123="EQ",IF(P123="低",3,IF(P123="中",4,6)),IF(J123="ILF",IF(P123="低",7,IF(P123="中",10,15)),IF(J123="EIF",IF(P123="低",5,IF(P123="中",7,10)),"不计算")))))*R123,"不计算")</f>
        <v/>
      </c>
      <c r="R123" s="172" t="n">
        <v>1</v>
      </c>
      <c r="S123" s="173">
        <f>调整因子!$F$13</f>
        <v/>
      </c>
      <c r="T123" s="92" t="n">
        <v>1</v>
      </c>
      <c r="U123" s="174">
        <f>IFERROR(Q123*S123,0)</f>
        <v/>
      </c>
      <c r="V123" s="174">
        <f>U123*T123</f>
        <v/>
      </c>
      <c r="W123" s="91" t="n"/>
      <c r="X123" s="90" t="inlineStr">
        <is>
          <t>函数语言类型表</t>
        </is>
      </c>
      <c r="Y123" s="90" t="inlineStr">
        <is>
          <t>函数语言类型表{语言类型ID、语言名称、描述}</t>
        </is>
      </c>
      <c r="Z123" s="90">
        <f>IF(COUNTIFS(W:W,"*"&amp;I123&amp;"*")&gt;0,"存在","不存在")</f>
        <v/>
      </c>
      <c r="AA123" s="90">
        <f>IF(COUNTIFS(AB:AB,"*"&amp;I123&amp;"*")&gt;0,"存在","不存在")</f>
        <v/>
      </c>
      <c r="AB123" s="90" t="inlineStr">
        <is>
          <t>业务场景数据表</t>
        </is>
      </c>
      <c r="AC123" s="66" t="n"/>
    </row>
    <row r="124" customFormat="1" s="66">
      <c r="A124" s="72">
        <f>ROW()-1</f>
        <v/>
      </c>
      <c r="B124" s="175" t="n"/>
      <c r="C124" s="80" t="n">
        <v>2025</v>
      </c>
      <c r="D124" s="80" t="inlineStr">
        <is>
          <t>张明峰</t>
        </is>
      </c>
      <c r="E124" s="81">
        <f>VLOOKUP(I124,'25年交付功能（不含废弃）'!A:A,1,FALSE)</f>
        <v/>
      </c>
      <c r="F124" s="175" t="n"/>
      <c r="G124" s="175" t="n"/>
      <c r="H124" s="93" t="inlineStr">
        <is>
          <t>同源纠偏运算符配置</t>
        </is>
      </c>
      <c r="I124" s="98" t="inlineStr">
        <is>
          <t>增加运算符</t>
        </is>
      </c>
      <c r="J124" s="93" t="inlineStr">
        <is>
          <t>EI</t>
        </is>
      </c>
      <c r="K124" s="84" t="n"/>
      <c r="L124" s="84" t="n"/>
      <c r="M124" s="85">
        <f>IF(OR(Y124="估算法",Y124="算法类",Y124="无法识别"),"",IF(W124="",IF(OR(J124="EI",J124="EO",J124="EQ"),0,""),LEN(W124)-LEN(SUBSTITUTE(W124,"、",""))+1))</f>
        <v/>
      </c>
      <c r="N124" s="85">
        <f>IF(OR(Y124="估算法",Y124="算法类",Y124="无法识别"),"",IF(X124="",IF(OR(J124="ILF",J124="EIF"),0,""),LEN(X124)-LEN(SUBSTITUTE(X124,"、",""))+1))</f>
        <v/>
      </c>
      <c r="O124" s="85">
        <f>IF(OR(Y124="估算法",Y124="算法类",Y124="无法识别"),"",IF(Y124="",IF(OR(J124="ILF",J124="EIF",J124="EI",J124="EO",J124="EQ"),0,""),LEN(Y124)-LEN(SUBSTITUTE(SUBSTITUTE(SUBSTITUTE(SUBSTITUTE(SUBSTITUTE(Y124,"|}","--"),"{|","--"),CHAR(10),""),"、",""),"|",""))+IF(AND(OR(J124="EI",J124="EO",J124="EQ"),$AE$1="NESMA"),2,1)))</f>
        <v/>
      </c>
      <c r="P124" s="86">
        <f>IF(J124="EI",IF(OR(Y124="估算法",Y124="算法类"),"中",IF(Y124="无法识别","低",IF(M124&lt;2,IF(O124&lt;16,"低","中"),IF(M124&lt;3,IF(O124&lt;5,"低",IF(O124&lt;16,"中","高")),IF(O124&lt;5,"中","高"))))),IF(OR(J124="EO",J124="EQ"),IF(OR(Y124="估算法",Y124="算法类"),"中",IF(Y124="无法识别","低",IF(M124&lt;2,IF(O124&lt;20,"低","中"),IF(M124&lt;4,IF(O124&lt;6,"低",IF(O124&lt;20,"中","高")),IF(O124&lt;6,"中","高"))))),IF(OR(J124="ILF",J124="EIF"),IF(OR(Y124="估算法",Y124="算法类",Y124="无法识别"),"低",IF(N124&lt;2,IF(O124&lt;51,"低","中"),IF(N124&lt;6,IF(O124&lt;20,"低",IF(O124&lt;51,"中","高")),IF(O124&lt;20,"中","高")))),"不计算")))</f>
        <v/>
      </c>
      <c r="Q124" s="172">
        <f>IFERROR(IF(J124="EI",IF(P124="低",3,IF(P124="中",4,6)),IF(J124="EO",IF(P124="低",4,IF(P124="中",5,7)),IF(J124="EQ",IF(P124="低",3,IF(P124="中",4,6)),IF(J124="ILF",IF(P124="低",7,IF(P124="中",10,15)),IF(J124="EIF",IF(P124="低",5,IF(P124="中",7,10)),"不计算")))))*R124,"不计算")</f>
        <v/>
      </c>
      <c r="R124" s="172" t="n">
        <v>1</v>
      </c>
      <c r="S124" s="173">
        <f>调整因子!$F$13</f>
        <v/>
      </c>
      <c r="T124" s="92" t="n">
        <v>1</v>
      </c>
      <c r="U124" s="174">
        <f>IFERROR(Q124*S124,0)</f>
        <v/>
      </c>
      <c r="V124" s="174">
        <f>U124*T124</f>
        <v/>
      </c>
      <c r="W124" s="90" t="inlineStr">
        <is>
          <t>纠偏运算符表</t>
        </is>
      </c>
      <c r="X124" s="91" t="n"/>
      <c r="Y124" s="90" t="inlineStr">
        <is>
          <t>纠偏运算符表{系统标识、运算符、别名、描述}</t>
        </is>
      </c>
      <c r="Z124" s="90" t="n"/>
      <c r="AA124" s="90" t="n"/>
      <c r="AB124" s="90" t="inlineStr">
        <is>
          <t>业务场景数据表</t>
        </is>
      </c>
      <c r="AC124" s="66" t="n"/>
    </row>
    <row r="125" customFormat="1" s="66">
      <c r="A125" s="72">
        <f>ROW()-1</f>
        <v/>
      </c>
      <c r="B125" s="175" t="n"/>
      <c r="C125" s="80" t="n">
        <v>2025</v>
      </c>
      <c r="D125" s="80" t="inlineStr">
        <is>
          <t>张明峰</t>
        </is>
      </c>
      <c r="E125" s="81">
        <f>VLOOKUP(I125,'25年交付功能（不含废弃）'!A:A,1,FALSE)</f>
        <v/>
      </c>
      <c r="F125" s="175" t="n"/>
      <c r="G125" s="175" t="n"/>
      <c r="H125" s="175" t="n"/>
      <c r="I125" s="98" t="inlineStr">
        <is>
          <t>修改运算符</t>
        </is>
      </c>
      <c r="J125" s="93" t="inlineStr">
        <is>
          <t>EI</t>
        </is>
      </c>
      <c r="K125" s="84" t="n"/>
      <c r="L125" s="84" t="n"/>
      <c r="M125" s="85">
        <f>IF(OR(Y125="估算法",Y125="算法类",Y125="无法识别"),"",IF(W125="",IF(OR(J125="EI",J125="EO",J125="EQ"),0,""),LEN(W125)-LEN(SUBSTITUTE(W125,"、",""))+1))</f>
        <v/>
      </c>
      <c r="N125" s="85">
        <f>IF(OR(Y125="估算法",Y125="算法类",Y125="无法识别"),"",IF(X125="",IF(OR(J125="ILF",J125="EIF"),0,""),LEN(X125)-LEN(SUBSTITUTE(X125,"、",""))+1))</f>
        <v/>
      </c>
      <c r="O125" s="85">
        <f>IF(OR(Y125="估算法",Y125="算法类",Y125="无法识别"),"",IF(Y125="",IF(OR(J125="ILF",J125="EIF",J125="EI",J125="EO",J125="EQ"),0,""),LEN(Y125)-LEN(SUBSTITUTE(SUBSTITUTE(SUBSTITUTE(SUBSTITUTE(SUBSTITUTE(Y125,"|}","--"),"{|","--"),CHAR(10),""),"、",""),"|",""))+IF(AND(OR(J125="EI",J125="EO",J125="EQ"),$AE$1="NESMA"),2,1)))</f>
        <v/>
      </c>
      <c r="P125" s="86">
        <f>IF(J125="EI",IF(OR(Y125="估算法",Y125="算法类"),"中",IF(Y125="无法识别","低",IF(M125&lt;2,IF(O125&lt;16,"低","中"),IF(M125&lt;3,IF(O125&lt;5,"低",IF(O125&lt;16,"中","高")),IF(O125&lt;5,"中","高"))))),IF(OR(J125="EO",J125="EQ"),IF(OR(Y125="估算法",Y125="算法类"),"中",IF(Y125="无法识别","低",IF(M125&lt;2,IF(O125&lt;20,"低","中"),IF(M125&lt;4,IF(O125&lt;6,"低",IF(O125&lt;20,"中","高")),IF(O125&lt;6,"中","高"))))),IF(OR(J125="ILF",J125="EIF"),IF(OR(Y125="估算法",Y125="算法类",Y125="无法识别"),"低",IF(N125&lt;2,IF(O125&lt;51,"低","中"),IF(N125&lt;6,IF(O125&lt;20,"低",IF(O125&lt;51,"中","高")),IF(O125&lt;20,"中","高")))),"不计算")))</f>
        <v/>
      </c>
      <c r="Q125" s="172">
        <f>IFERROR(IF(J125="EI",IF(P125="低",3,IF(P125="中",4,6)),IF(J125="EO",IF(P125="低",4,IF(P125="中",5,7)),IF(J125="EQ",IF(P125="低",3,IF(P125="中",4,6)),IF(J125="ILF",IF(P125="低",7,IF(P125="中",10,15)),IF(J125="EIF",IF(P125="低",5,IF(P125="中",7,10)),"不计算")))))*R125,"不计算")</f>
        <v/>
      </c>
      <c r="R125" s="172" t="n">
        <v>0.333333333333333</v>
      </c>
      <c r="S125" s="173">
        <f>调整因子!$F$13</f>
        <v/>
      </c>
      <c r="T125" s="93" t="n">
        <v>1</v>
      </c>
      <c r="U125" s="174">
        <f>IFERROR(Q125*S125,0)</f>
        <v/>
      </c>
      <c r="V125" s="174">
        <f>U125*T125</f>
        <v/>
      </c>
      <c r="W125" s="90" t="inlineStr">
        <is>
          <t>纠偏运算符表</t>
        </is>
      </c>
      <c r="X125" s="91" t="n"/>
      <c r="Y125" s="90" t="inlineStr">
        <is>
          <t>纠偏运算符表{运算符ID|系统标识、运算符、别名、描述}</t>
        </is>
      </c>
      <c r="Z125" s="90" t="n"/>
      <c r="AA125" s="90" t="n"/>
      <c r="AB125" s="90" t="inlineStr">
        <is>
          <t>业务场景数据表</t>
        </is>
      </c>
      <c r="AC125" s="66" t="n"/>
    </row>
    <row r="126" customFormat="1" s="66">
      <c r="A126" s="72">
        <f>ROW()-1</f>
        <v/>
      </c>
      <c r="B126" s="175" t="n"/>
      <c r="C126" s="80" t="n">
        <v>2025</v>
      </c>
      <c r="D126" s="80" t="inlineStr">
        <is>
          <t>张明峰</t>
        </is>
      </c>
      <c r="E126" s="81">
        <f>VLOOKUP(I126,'25年交付功能（不含废弃）'!A:A,1,FALSE)</f>
        <v/>
      </c>
      <c r="F126" s="175" t="n"/>
      <c r="G126" s="175" t="n"/>
      <c r="H126" s="175" t="n"/>
      <c r="I126" s="98" t="inlineStr">
        <is>
          <t>删除运算符</t>
        </is>
      </c>
      <c r="J126" s="93" t="inlineStr">
        <is>
          <t>EI</t>
        </is>
      </c>
      <c r="K126" s="84" t="n"/>
      <c r="L126" s="84" t="n"/>
      <c r="M126" s="85">
        <f>IF(OR(Y126="估算法",Y126="算法类",Y126="无法识别"),"",IF(W126="",IF(OR(J126="EI",J126="EO",J126="EQ"),0,""),LEN(W126)-LEN(SUBSTITUTE(W126,"、",""))+1))</f>
        <v/>
      </c>
      <c r="N126" s="85">
        <f>IF(OR(Y126="估算法",Y126="算法类",Y126="无法识别"),"",IF(X126="",IF(OR(J126="ILF",J126="EIF"),0,""),LEN(X126)-LEN(SUBSTITUTE(X126,"、",""))+1))</f>
        <v/>
      </c>
      <c r="O126" s="85">
        <f>IF(OR(Y126="估算法",Y126="算法类",Y126="无法识别"),"",IF(Y126="",IF(OR(J126="ILF",J126="EIF",J126="EI",J126="EO",J126="EQ"),0,""),LEN(Y126)-LEN(SUBSTITUTE(SUBSTITUTE(SUBSTITUTE(SUBSTITUTE(SUBSTITUTE(Y126,"|}","--"),"{|","--"),CHAR(10),""),"、",""),"|",""))+IF(AND(OR(J126="EI",J126="EO",J126="EQ"),$AE$1="NESMA"),2,1)))</f>
        <v/>
      </c>
      <c r="P126" s="86">
        <f>IF(J126="EI",IF(OR(Y126="估算法",Y126="算法类"),"中",IF(Y126="无法识别","低",IF(M126&lt;2,IF(O126&lt;16,"低","中"),IF(M126&lt;3,IF(O126&lt;5,"低",IF(O126&lt;16,"中","高")),IF(O126&lt;5,"中","高"))))),IF(OR(J126="EO",J126="EQ"),IF(OR(Y126="估算法",Y126="算法类"),"中",IF(Y126="无法识别","低",IF(M126&lt;2,IF(O126&lt;20,"低","中"),IF(M126&lt;4,IF(O126&lt;6,"低",IF(O126&lt;20,"中","高")),IF(O126&lt;6,"中","高"))))),IF(OR(J126="ILF",J126="EIF"),IF(OR(Y126="估算法",Y126="算法类",Y126="无法识别"),"低",IF(N126&lt;2,IF(O126&lt;51,"低","中"),IF(N126&lt;6,IF(O126&lt;20,"低",IF(O126&lt;51,"中","高")),IF(O126&lt;20,"中","高")))),"不计算")))</f>
        <v/>
      </c>
      <c r="Q126" s="172">
        <f>IFERROR(IF(J126="EI",IF(P126="低",3,IF(P126="中",4,6)),IF(J126="EO",IF(P126="低",4,IF(P126="中",5,7)),IF(J126="EQ",IF(P126="低",3,IF(P126="中",4,6)),IF(J126="ILF",IF(P126="低",7,IF(P126="中",10,15)),IF(J126="EIF",IF(P126="低",5,IF(P126="中",7,10)),"不计算")))))*R126,"不计算")</f>
        <v/>
      </c>
      <c r="R126" s="172" t="n">
        <v>0.333333333333333</v>
      </c>
      <c r="S126" s="173">
        <f>调整因子!$F$13</f>
        <v/>
      </c>
      <c r="T126" s="92" t="n">
        <v>1</v>
      </c>
      <c r="U126" s="174">
        <f>IFERROR(Q126*S126,0)</f>
        <v/>
      </c>
      <c r="V126" s="174">
        <f>U126*T126</f>
        <v/>
      </c>
      <c r="W126" s="90" t="inlineStr">
        <is>
          <t>纠偏运算符表</t>
        </is>
      </c>
      <c r="X126" s="91" t="n"/>
      <c r="Y126" s="90" t="inlineStr">
        <is>
          <t>纠偏运算符表{运算符ID}</t>
        </is>
      </c>
      <c r="Z126" s="90" t="n"/>
      <c r="AA126" s="90" t="n"/>
      <c r="AB126" s="90" t="inlineStr">
        <is>
          <t>业务场景数据表</t>
        </is>
      </c>
      <c r="AC126" s="66" t="n"/>
    </row>
    <row r="127" customFormat="1" s="66">
      <c r="A127" s="72">
        <f>ROW()-1</f>
        <v/>
      </c>
      <c r="B127" s="175" t="n"/>
      <c r="C127" s="80" t="n">
        <v>2025</v>
      </c>
      <c r="D127" s="80" t="inlineStr">
        <is>
          <t>张明峰</t>
        </is>
      </c>
      <c r="E127" s="81">
        <f>VLOOKUP(I127,'25年交付功能（不含废弃）'!A:A,1,FALSE)</f>
        <v/>
      </c>
      <c r="F127" s="175" t="n"/>
      <c r="G127" s="175" t="n"/>
      <c r="H127" s="175" t="n"/>
      <c r="I127" s="98" t="inlineStr">
        <is>
          <t>查询运算符列表</t>
        </is>
      </c>
      <c r="J127" s="93" t="inlineStr">
        <is>
          <t>EO</t>
        </is>
      </c>
      <c r="K127" s="84" t="n"/>
      <c r="L127" s="84" t="n"/>
      <c r="M127" s="85">
        <f>IF(OR(Y127="估算法",Y127="算法类",Y127="无法识别"),"",IF(W127="",IF(OR(J127="EI",J127="EO",J127="EQ"),0,""),LEN(W127)-LEN(SUBSTITUTE(W127,"、",""))+1))</f>
        <v/>
      </c>
      <c r="N127" s="85">
        <f>IF(OR(Y127="估算法",Y127="算法类",Y127="无法识别"),"",IF(X127="",IF(OR(J127="ILF",J127="EIF"),0,""),LEN(X127)-LEN(SUBSTITUTE(X127,"、",""))+1))</f>
        <v/>
      </c>
      <c r="O127" s="85">
        <f>IF(OR(Y127="估算法",Y127="算法类",Y127="无法识别"),"",IF(Y127="",IF(OR(J127="ILF",J127="EIF",J127="EI",J127="EO",J127="EQ"),0,""),LEN(Y127)-LEN(SUBSTITUTE(SUBSTITUTE(SUBSTITUTE(SUBSTITUTE(SUBSTITUTE(Y127,"|}","--"),"{|","--"),CHAR(10),""),"、",""),"|",""))+IF(AND(OR(J127="EI",J127="EO",J127="EQ"),$AE$1="NESMA"),2,1)))</f>
        <v/>
      </c>
      <c r="P127" s="86">
        <f>IF(J127="EI",IF(OR(Y127="估算法",Y127="算法类"),"中",IF(Y127="无法识别","低",IF(M127&lt;2,IF(O127&lt;16,"低","中"),IF(M127&lt;3,IF(O127&lt;5,"低",IF(O127&lt;16,"中","高")),IF(O127&lt;5,"中","高"))))),IF(OR(J127="EO",J127="EQ"),IF(OR(Y127="估算法",Y127="算法类"),"中",IF(Y127="无法识别","低",IF(M127&lt;2,IF(O127&lt;20,"低","中"),IF(M127&lt;4,IF(O127&lt;6,"低",IF(O127&lt;20,"中","高")),IF(O127&lt;6,"中","高"))))),IF(OR(J127="ILF",J127="EIF"),IF(OR(Y127="估算法",Y127="算法类",Y127="无法识别"),"低",IF(N127&lt;2,IF(O127&lt;51,"低","中"),IF(N127&lt;6,IF(O127&lt;20,"低",IF(O127&lt;51,"中","高")),IF(O127&lt;20,"中","高")))),"不计算")))</f>
        <v/>
      </c>
      <c r="Q127" s="172">
        <f>IFERROR(IF(J127="EI",IF(P127="低",3,IF(P127="中",4,6)),IF(J127="EO",IF(P127="低",4,IF(P127="中",5,7)),IF(J127="EQ",IF(P127="低",3,IF(P127="中",4,6)),IF(J127="ILF",IF(P127="低",7,IF(P127="中",10,15)),IF(J127="EIF",IF(P127="低",5,IF(P127="中",7,10)),"不计算")))))*R127,"不计算")</f>
        <v/>
      </c>
      <c r="R127" s="172" t="n">
        <v>1</v>
      </c>
      <c r="S127" s="173">
        <f>调整因子!$F$13</f>
        <v/>
      </c>
      <c r="T127" s="92" t="n">
        <v>1</v>
      </c>
      <c r="U127" s="174">
        <f>IFERROR(Q127*S127,0)</f>
        <v/>
      </c>
      <c r="V127" s="174">
        <f>U127*T127</f>
        <v/>
      </c>
      <c r="W127" s="90" t="inlineStr">
        <is>
          <t>纠偏运算符表</t>
        </is>
      </c>
      <c r="X127" s="91" t="n"/>
      <c r="Y127" s="90" t="inlineStr">
        <is>
          <t>纠偏运算符表{系统标识、运算符|运算符ID、系统标识、运算符、别名、描述}</t>
        </is>
      </c>
      <c r="Z127" s="90" t="n"/>
      <c r="AA127" s="90" t="n"/>
      <c r="AB127" s="90" t="inlineStr">
        <is>
          <t>业务场景数据表、执行流程策略数据表</t>
        </is>
      </c>
      <c r="AC127" s="66" t="n"/>
    </row>
    <row r="128" customFormat="1" s="66">
      <c r="A128" s="72">
        <f>ROW()-1</f>
        <v/>
      </c>
      <c r="B128" s="175" t="n"/>
      <c r="C128" s="80" t="n">
        <v>2025</v>
      </c>
      <c r="D128" s="80" t="inlineStr">
        <is>
          <t>张明峰</t>
        </is>
      </c>
      <c r="E128" s="81">
        <f>VLOOKUP(I128,'25年交付功能（不含废弃）'!A:A,1,FALSE)</f>
        <v/>
      </c>
      <c r="F128" s="175" t="n"/>
      <c r="G128" s="175" t="n"/>
      <c r="H128" s="176" t="n"/>
      <c r="I128" s="98" t="inlineStr">
        <is>
          <t>纠偏运算符表</t>
        </is>
      </c>
      <c r="J128" s="93" t="inlineStr">
        <is>
          <t>ILF</t>
        </is>
      </c>
      <c r="K128" s="84" t="n"/>
      <c r="L128" s="84" t="n"/>
      <c r="M128" s="85">
        <f>IF(OR(Y128="估算法",Y128="算法类",Y128="无法识别"),"",IF(W128="",IF(OR(J128="EI",J128="EO",J128="EQ"),0,""),LEN(W128)-LEN(SUBSTITUTE(W128,"、",""))+1))</f>
        <v/>
      </c>
      <c r="N128" s="85">
        <f>IF(OR(Y128="估算法",Y128="算法类",Y128="无法识别"),"",IF(X128="",IF(OR(J128="ILF",J128="EIF"),0,""),LEN(X128)-LEN(SUBSTITUTE(X128,"、",""))+1))</f>
        <v/>
      </c>
      <c r="O128" s="85">
        <f>IF(OR(Y128="估算法",Y128="算法类",Y128="无法识别"),"",IF(Y128="",IF(OR(J128="ILF",J128="EIF",J128="EI",J128="EO",J128="EQ"),0,""),LEN(Y128)-LEN(SUBSTITUTE(SUBSTITUTE(SUBSTITUTE(SUBSTITUTE(SUBSTITUTE(Y128,"|}","--"),"{|","--"),CHAR(10),""),"、",""),"|",""))+IF(AND(OR(J128="EI",J128="EO",J128="EQ"),$AE$1="NESMA"),2,1)))</f>
        <v/>
      </c>
      <c r="P128" s="86">
        <f>IF(J128="EI",IF(OR(Y128="估算法",Y128="算法类"),"中",IF(Y128="无法识别","低",IF(M128&lt;2,IF(O128&lt;16,"低","中"),IF(M128&lt;3,IF(O128&lt;5,"低",IF(O128&lt;16,"中","高")),IF(O128&lt;5,"中","高"))))),IF(OR(J128="EO",J128="EQ"),IF(OR(Y128="估算法",Y128="算法类"),"中",IF(Y128="无法识别","低",IF(M128&lt;2,IF(O128&lt;20,"低","中"),IF(M128&lt;4,IF(O128&lt;6,"低",IF(O128&lt;20,"中","高")),IF(O128&lt;6,"中","高"))))),IF(OR(J128="ILF",J128="EIF"),IF(OR(Y128="估算法",Y128="算法类",Y128="无法识别"),"低",IF(N128&lt;2,IF(O128&lt;51,"低","中"),IF(N128&lt;6,IF(O128&lt;20,"低",IF(O128&lt;51,"中","高")),IF(O128&lt;20,"中","高")))),"不计算")))</f>
        <v/>
      </c>
      <c r="Q128" s="172">
        <f>IFERROR(IF(J128="EI",IF(P128="低",3,IF(P128="中",4,6)),IF(J128="EO",IF(P128="低",4,IF(P128="中",5,7)),IF(J128="EQ",IF(P128="低",3,IF(P128="中",4,6)),IF(J128="ILF",IF(P128="低",7,IF(P128="中",10,15)),IF(J128="EIF",IF(P128="低",5,IF(P128="中",7,10)),"不计算")))))*R128,"不计算")</f>
        <v/>
      </c>
      <c r="R128" s="172" t="n">
        <v>1</v>
      </c>
      <c r="S128" s="173">
        <f>调整因子!$F$13</f>
        <v/>
      </c>
      <c r="T128" s="93" t="n">
        <v>1</v>
      </c>
      <c r="U128" s="174">
        <f>IFERROR(Q128*S128,0)</f>
        <v/>
      </c>
      <c r="V128" s="174">
        <f>U128*T128</f>
        <v/>
      </c>
      <c r="W128" s="91" t="n"/>
      <c r="X128" s="90" t="inlineStr">
        <is>
          <t>纠偏运算符表</t>
        </is>
      </c>
      <c r="Y128" s="90" t="inlineStr">
        <is>
          <t>纠偏运算符表{运算符ID、系统标识、运算符、别名、描述}</t>
        </is>
      </c>
      <c r="Z128" s="90">
        <f>IF(COUNTIFS(W:W,"*"&amp;I128&amp;"*")&gt;0,"存在","不存在")</f>
        <v/>
      </c>
      <c r="AA128" s="90">
        <f>IF(COUNTIFS(AB:AB,"*"&amp;I128&amp;"*")&gt;0,"存在","不存在")</f>
        <v/>
      </c>
      <c r="AB128" s="90" t="inlineStr">
        <is>
          <t>弱口令扫描任务表、扫描节点表、扫描器表、扫描器版本表、扫描器分类表、安全厂商信息、资产管理表、扫描任务日志表</t>
        </is>
      </c>
      <c r="AC128" s="66" t="n"/>
    </row>
    <row r="129" customFormat="1" s="66">
      <c r="A129" s="72">
        <f>ROW()-1</f>
        <v/>
      </c>
      <c r="B129" s="175" t="n"/>
      <c r="C129" s="80" t="n">
        <v>2025</v>
      </c>
      <c r="D129" s="80" t="inlineStr">
        <is>
          <t>张明峰</t>
        </is>
      </c>
      <c r="E129" s="81">
        <f>VLOOKUP(I129,'25年交付功能（不含废弃）'!A:A,1,FALSE)</f>
        <v/>
      </c>
      <c r="F129" s="175" t="n"/>
      <c r="G129" s="175" t="n"/>
      <c r="H129" s="93" t="inlineStr">
        <is>
          <t>资产类型对齐规则配置</t>
        </is>
      </c>
      <c r="I129" s="98" t="inlineStr">
        <is>
          <t>增加资产组件对齐规则</t>
        </is>
      </c>
      <c r="J129" s="93" t="inlineStr">
        <is>
          <t>EI</t>
        </is>
      </c>
      <c r="K129" s="84" t="n"/>
      <c r="L129" s="84" t="n"/>
      <c r="M129" s="85">
        <f>IF(OR(Y129="估算法",Y129="算法类",Y129="无法识别"),"",IF(W129="",IF(OR(J129="EI",J129="EO",J129="EQ"),0,""),LEN(W129)-LEN(SUBSTITUTE(W129,"、",""))+1))</f>
        <v/>
      </c>
      <c r="N129" s="85">
        <f>IF(OR(Y129="估算法",Y129="算法类",Y129="无法识别"),"",IF(X129="",IF(OR(J129="ILF",J129="EIF"),0,""),LEN(X129)-LEN(SUBSTITUTE(X129,"、",""))+1))</f>
        <v/>
      </c>
      <c r="O129" s="85">
        <f>IF(OR(Y129="估算法",Y129="算法类",Y129="无法识别"),"",IF(Y129="",IF(OR(J129="ILF",J129="EIF",J129="EI",J129="EO",J129="EQ"),0,""),LEN(Y129)-LEN(SUBSTITUTE(SUBSTITUTE(SUBSTITUTE(SUBSTITUTE(SUBSTITUTE(Y129,"|}","--"),"{|","--"),CHAR(10),""),"、",""),"|",""))+IF(AND(OR(J129="EI",J129="EO",J129="EQ"),$AE$1="NESMA"),2,1)))</f>
        <v/>
      </c>
      <c r="P129" s="86">
        <f>IF(J129="EI",IF(OR(Y129="估算法",Y129="算法类"),"中",IF(Y129="无法识别","低",IF(M129&lt;2,IF(O129&lt;16,"低","中"),IF(M129&lt;3,IF(O129&lt;5,"低",IF(O129&lt;16,"中","高")),IF(O129&lt;5,"中","高"))))),IF(OR(J129="EO",J129="EQ"),IF(OR(Y129="估算法",Y129="算法类"),"中",IF(Y129="无法识别","低",IF(M129&lt;2,IF(O129&lt;20,"低","中"),IF(M129&lt;4,IF(O129&lt;6,"低",IF(O129&lt;20,"中","高")),IF(O129&lt;6,"中","高"))))),IF(OR(J129="ILF",J129="EIF"),IF(OR(Y129="估算法",Y129="算法类",Y129="无法识别"),"低",IF(N129&lt;2,IF(O129&lt;51,"低","中"),IF(N129&lt;6,IF(O129&lt;20,"低",IF(O129&lt;51,"中","高")),IF(O129&lt;20,"中","高")))),"不计算")))</f>
        <v/>
      </c>
      <c r="Q129" s="172">
        <f>IFERROR(IF(J129="EI",IF(P129="低",3,IF(P129="中",4,6)),IF(J129="EO",IF(P129="低",4,IF(P129="中",5,7)),IF(J129="EQ",IF(P129="低",3,IF(P129="中",4,6)),IF(J129="ILF",IF(P129="低",7,IF(P129="中",10,15)),IF(J129="EIF",IF(P129="低",5,IF(P129="中",7,10)),"不计算")))))*R129,"不计算")</f>
        <v/>
      </c>
      <c r="R129" s="172" t="n">
        <v>1</v>
      </c>
      <c r="S129" s="173">
        <f>调整因子!$F$13</f>
        <v/>
      </c>
      <c r="T129" s="92" t="n">
        <v>1</v>
      </c>
      <c r="U129" s="174">
        <f>IFERROR(Q129*S129,0)</f>
        <v/>
      </c>
      <c r="V129" s="174">
        <f>U129*T129</f>
        <v/>
      </c>
      <c r="W129" s="90" t="inlineStr">
        <is>
          <t>资产类型对齐规则表</t>
        </is>
      </c>
      <c r="X129" s="91" t="n"/>
      <c r="Y129" s="90" t="inlineStr">
        <is>
          <t>资产类型对齐规则表{资产组件名称、资产组件厂商、资产组件版本、资产组件类型、对齐方式|规则ID、状态码、提示内容}</t>
        </is>
      </c>
      <c r="Z129" s="90" t="n"/>
      <c r="AA129" s="90" t="n"/>
      <c r="AB129" s="90" t="inlineStr">
        <is>
          <t>弱口令扫描任务表、扫描节点表、扫描器表、扫描器版本表、扫描器分类表、安全厂商信息、资产管理表、扫描任务日志表</t>
        </is>
      </c>
      <c r="AC129" s="66" t="n"/>
    </row>
    <row r="130" customFormat="1" s="66">
      <c r="A130" s="72">
        <f>ROW()-1</f>
        <v/>
      </c>
      <c r="B130" s="175" t="n"/>
      <c r="C130" s="80" t="n">
        <v>2025</v>
      </c>
      <c r="D130" s="80" t="inlineStr">
        <is>
          <t>张明峰</t>
        </is>
      </c>
      <c r="E130" s="81">
        <f>VLOOKUP(I130,'25年交付功能（不含废弃）'!A:A,1,FALSE)</f>
        <v/>
      </c>
      <c r="F130" s="175" t="n"/>
      <c r="G130" s="175" t="n"/>
      <c r="H130" s="175" t="n"/>
      <c r="I130" s="98" t="inlineStr">
        <is>
          <t>修改资产组件对齐规则</t>
        </is>
      </c>
      <c r="J130" s="93" t="inlineStr">
        <is>
          <t>EI</t>
        </is>
      </c>
      <c r="K130" s="84" t="n"/>
      <c r="L130" s="84" t="n"/>
      <c r="M130" s="85">
        <f>IF(OR(Y130="估算法",Y130="算法类",Y130="无法识别"),"",IF(W130="",IF(OR(J130="EI",J130="EO",J130="EQ"),0,""),LEN(W130)-LEN(SUBSTITUTE(W130,"、",""))+1))</f>
        <v/>
      </c>
      <c r="N130" s="85">
        <f>IF(OR(Y130="估算法",Y130="算法类",Y130="无法识别"),"",IF(X130="",IF(OR(J130="ILF",J130="EIF"),0,""),LEN(X130)-LEN(SUBSTITUTE(X130,"、",""))+1))</f>
        <v/>
      </c>
      <c r="O130" s="85">
        <f>IF(OR(Y130="估算法",Y130="算法类",Y130="无法识别"),"",IF(Y130="",IF(OR(J130="ILF",J130="EIF",J130="EI",J130="EO",J130="EQ"),0,""),LEN(Y130)-LEN(SUBSTITUTE(SUBSTITUTE(SUBSTITUTE(SUBSTITUTE(SUBSTITUTE(Y130,"|}","--"),"{|","--"),CHAR(10),""),"、",""),"|",""))+IF(AND(OR(J130="EI",J130="EO",J130="EQ"),$AE$1="NESMA"),2,1)))</f>
        <v/>
      </c>
      <c r="P130" s="86">
        <f>IF(J130="EI",IF(OR(Y130="估算法",Y130="算法类"),"中",IF(Y130="无法识别","低",IF(M130&lt;2,IF(O130&lt;16,"低","中"),IF(M130&lt;3,IF(O130&lt;5,"低",IF(O130&lt;16,"中","高")),IF(O130&lt;5,"中","高"))))),IF(OR(J130="EO",J130="EQ"),IF(OR(Y130="估算法",Y130="算法类"),"中",IF(Y130="无法识别","低",IF(M130&lt;2,IF(O130&lt;20,"低","中"),IF(M130&lt;4,IF(O130&lt;6,"低",IF(O130&lt;20,"中","高")),IF(O130&lt;6,"中","高"))))),IF(OR(J130="ILF",J130="EIF"),IF(OR(Y130="估算法",Y130="算法类",Y130="无法识别"),"低",IF(N130&lt;2,IF(O130&lt;51,"低","中"),IF(N130&lt;6,IF(O130&lt;20,"低",IF(O130&lt;51,"中","高")),IF(O130&lt;20,"中","高")))),"不计算")))</f>
        <v/>
      </c>
      <c r="Q130" s="172">
        <f>IFERROR(IF(J130="EI",IF(P130="低",3,IF(P130="中",4,6)),IF(J130="EO",IF(P130="低",4,IF(P130="中",5,7)),IF(J130="EQ",IF(P130="低",3,IF(P130="中",4,6)),IF(J130="ILF",IF(P130="低",7,IF(P130="中",10,15)),IF(J130="EIF",IF(P130="低",5,IF(P130="中",7,10)),"不计算")))))*R130,"不计算")</f>
        <v/>
      </c>
      <c r="R130" s="172" t="n">
        <v>0.333333333333333</v>
      </c>
      <c r="S130" s="173">
        <f>调整因子!$F$13</f>
        <v/>
      </c>
      <c r="T130" s="92" t="n">
        <v>1</v>
      </c>
      <c r="U130" s="174">
        <f>IFERROR(Q130*S130,0)</f>
        <v/>
      </c>
      <c r="V130" s="174">
        <f>U130*T130</f>
        <v/>
      </c>
      <c r="W130" s="90" t="inlineStr">
        <is>
          <t>资产类型对齐规则表</t>
        </is>
      </c>
      <c r="X130" s="91" t="n"/>
      <c r="Y130" s="90" t="inlineStr">
        <is>
          <t>资产类型对齐规则表{规则ID、资产组件名称、资产组件厂商、资产组件版本、资产组件类型、对齐方式|规则ID、状态码、提示内容}</t>
        </is>
      </c>
      <c r="Z130" s="90" t="n"/>
      <c r="AA130" s="90" t="n"/>
      <c r="AB130" s="90" t="inlineStr">
        <is>
          <t>弱口令扫描任务表、扫描任务日志表</t>
        </is>
      </c>
      <c r="AC130" s="66" t="n"/>
    </row>
    <row r="131" customFormat="1" s="66">
      <c r="A131" s="72">
        <f>ROW()-1</f>
        <v/>
      </c>
      <c r="B131" s="175" t="n"/>
      <c r="C131" s="80" t="n">
        <v>2025</v>
      </c>
      <c r="D131" s="80" t="inlineStr">
        <is>
          <t>张明峰</t>
        </is>
      </c>
      <c r="E131" s="81">
        <f>VLOOKUP(I131,'25年交付功能（不含废弃）'!A:A,1,FALSE)</f>
        <v/>
      </c>
      <c r="F131" s="175" t="n"/>
      <c r="G131" s="175" t="n"/>
      <c r="H131" s="175" t="n"/>
      <c r="I131" s="98" t="inlineStr">
        <is>
          <t>删除资产组件对齐规则</t>
        </is>
      </c>
      <c r="J131" s="93" t="inlineStr">
        <is>
          <t>EI</t>
        </is>
      </c>
      <c r="K131" s="84" t="n"/>
      <c r="L131" s="84" t="n"/>
      <c r="M131" s="85">
        <f>IF(OR(Y131="估算法",Y131="算法类",Y131="无法识别"),"",IF(W131="",IF(OR(J131="EI",J131="EO",J131="EQ"),0,""),LEN(W131)-LEN(SUBSTITUTE(W131,"、",""))+1))</f>
        <v/>
      </c>
      <c r="N131" s="85">
        <f>IF(OR(Y131="估算法",Y131="算法类",Y131="无法识别"),"",IF(X131="",IF(OR(J131="ILF",J131="EIF"),0,""),LEN(X131)-LEN(SUBSTITUTE(X131,"、",""))+1))</f>
        <v/>
      </c>
      <c r="O131" s="85">
        <f>IF(OR(Y131="估算法",Y131="算法类",Y131="无法识别"),"",IF(Y131="",IF(OR(J131="ILF",J131="EIF",J131="EI",J131="EO",J131="EQ"),0,""),LEN(Y131)-LEN(SUBSTITUTE(SUBSTITUTE(SUBSTITUTE(SUBSTITUTE(SUBSTITUTE(Y131,"|}","--"),"{|","--"),CHAR(10),""),"、",""),"|",""))+IF(AND(OR(J131="EI",J131="EO",J131="EQ"),$AE$1="NESMA"),2,1)))</f>
        <v/>
      </c>
      <c r="P131" s="86">
        <f>IF(J131="EI",IF(OR(Y131="估算法",Y131="算法类"),"中",IF(Y131="无法识别","低",IF(M131&lt;2,IF(O131&lt;16,"低","中"),IF(M131&lt;3,IF(O131&lt;5,"低",IF(O131&lt;16,"中","高")),IF(O131&lt;5,"中","高"))))),IF(OR(J131="EO",J131="EQ"),IF(OR(Y131="估算法",Y131="算法类"),"中",IF(Y131="无法识别","低",IF(M131&lt;2,IF(O131&lt;20,"低","中"),IF(M131&lt;4,IF(O131&lt;6,"低",IF(O131&lt;20,"中","高")),IF(O131&lt;6,"中","高"))))),IF(OR(J131="ILF",J131="EIF"),IF(OR(Y131="估算法",Y131="算法类",Y131="无法识别"),"低",IF(N131&lt;2,IF(O131&lt;51,"低","中"),IF(N131&lt;6,IF(O131&lt;20,"低",IF(O131&lt;51,"中","高")),IF(O131&lt;20,"中","高")))),"不计算")))</f>
        <v/>
      </c>
      <c r="Q131" s="172">
        <f>IFERROR(IF(J131="EI",IF(P131="低",3,IF(P131="中",4,6)),IF(J131="EO",IF(P131="低",4,IF(P131="中",5,7)),IF(J131="EQ",IF(P131="低",3,IF(P131="中",4,6)),IF(J131="ILF",IF(P131="低",7,IF(P131="中",10,15)),IF(J131="EIF",IF(P131="低",5,IF(P131="中",7,10)),"不计算")))))*R131,"不计算")</f>
        <v/>
      </c>
      <c r="R131" s="172" t="n">
        <v>0.333333333333333</v>
      </c>
      <c r="S131" s="173">
        <f>调整因子!$F$13</f>
        <v/>
      </c>
      <c r="T131" s="93" t="n">
        <v>1</v>
      </c>
      <c r="U131" s="174">
        <f>IFERROR(Q131*S131,0)</f>
        <v/>
      </c>
      <c r="V131" s="174">
        <f>U131*T131</f>
        <v/>
      </c>
      <c r="W131" s="90" t="inlineStr">
        <is>
          <t>资产类型对齐规则表</t>
        </is>
      </c>
      <c r="X131" s="91" t="n"/>
      <c r="Y131" s="90" t="inlineStr">
        <is>
          <t>资产类型对齐规则表{规则ID|规则ID、状态码、提示内容、异常内容、响应头}</t>
        </is>
      </c>
      <c r="Z131" s="90" t="n"/>
      <c r="AA131" s="90" t="n"/>
      <c r="AB131" s="90" t="inlineStr">
        <is>
          <t>弱口令扫描任务表、弱口令扫描任务实例表、扫描节点表、扫描器表、扫描任务日志表</t>
        </is>
      </c>
      <c r="AC131" s="66" t="n"/>
    </row>
    <row r="132" customFormat="1" s="66">
      <c r="A132" s="72">
        <f>ROW()-1</f>
        <v/>
      </c>
      <c r="B132" s="175" t="n"/>
      <c r="C132" s="80" t="n">
        <v>2025</v>
      </c>
      <c r="D132" s="80" t="inlineStr">
        <is>
          <t>张明峰</t>
        </is>
      </c>
      <c r="E132" s="81">
        <f>VLOOKUP(I132,'25年交付功能（不含废弃）'!A:A,1,FALSE)</f>
        <v/>
      </c>
      <c r="F132" s="175" t="n"/>
      <c r="G132" s="175" t="n"/>
      <c r="H132" s="175" t="n"/>
      <c r="I132" s="98" t="inlineStr">
        <is>
          <t>查询资产组件对齐规则列表</t>
        </is>
      </c>
      <c r="J132" s="93" t="inlineStr">
        <is>
          <t>EO</t>
        </is>
      </c>
      <c r="K132" s="84" t="n"/>
      <c r="L132" s="84" t="n"/>
      <c r="M132" s="85">
        <f>IF(OR(Y132="估算法",Y132="算法类",Y132="无法识别"),"",IF(W132="",IF(OR(J132="EI",J132="EO",J132="EQ"),0,""),LEN(W132)-LEN(SUBSTITUTE(W132,"、",""))+1))</f>
        <v/>
      </c>
      <c r="N132" s="85">
        <f>IF(OR(Y132="估算法",Y132="算法类",Y132="无法识别"),"",IF(X132="",IF(OR(J132="ILF",J132="EIF"),0,""),LEN(X132)-LEN(SUBSTITUTE(X132,"、",""))+1))</f>
        <v/>
      </c>
      <c r="O132" s="85">
        <f>IF(OR(Y132="估算法",Y132="算法类",Y132="无法识别"),"",IF(Y132="",IF(OR(J132="ILF",J132="EIF",J132="EI",J132="EO",J132="EQ"),0,""),LEN(Y132)-LEN(SUBSTITUTE(SUBSTITUTE(SUBSTITUTE(SUBSTITUTE(SUBSTITUTE(Y132,"|}","--"),"{|","--"),CHAR(10),""),"、",""),"|",""))+IF(AND(OR(J132="EI",J132="EO",J132="EQ"),$AE$1="NESMA"),2,1)))</f>
        <v/>
      </c>
      <c r="P132" s="86">
        <f>IF(J132="EI",IF(OR(Y132="估算法",Y132="算法类"),"中",IF(Y132="无法识别","低",IF(M132&lt;2,IF(O132&lt;16,"低","中"),IF(M132&lt;3,IF(O132&lt;5,"低",IF(O132&lt;16,"中","高")),IF(O132&lt;5,"中","高"))))),IF(OR(J132="EO",J132="EQ"),IF(OR(Y132="估算法",Y132="算法类"),"中",IF(Y132="无法识别","低",IF(M132&lt;2,IF(O132&lt;20,"低","中"),IF(M132&lt;4,IF(O132&lt;6,"低",IF(O132&lt;20,"中","高")),IF(O132&lt;6,"中","高"))))),IF(OR(J132="ILF",J132="EIF"),IF(OR(Y132="估算法",Y132="算法类",Y132="无法识别"),"低",IF(N132&lt;2,IF(O132&lt;51,"低","中"),IF(N132&lt;6,IF(O132&lt;20,"低",IF(O132&lt;51,"中","高")),IF(O132&lt;20,"中","高")))),"不计算")))</f>
        <v/>
      </c>
      <c r="Q132" s="172">
        <f>IFERROR(IF(J132="EI",IF(P132="低",3,IF(P132="中",4,6)),IF(J132="EO",IF(P132="低",4,IF(P132="中",5,7)),IF(J132="EQ",IF(P132="低",3,IF(P132="中",4,6)),IF(J132="ILF",IF(P132="低",7,IF(P132="中",10,15)),IF(J132="EIF",IF(P132="低",5,IF(P132="中",7,10)),"不计算")))))*R132,"不计算")</f>
        <v/>
      </c>
      <c r="R132" s="172" t="n">
        <v>1</v>
      </c>
      <c r="S132" s="173">
        <f>调整因子!$F$13</f>
        <v/>
      </c>
      <c r="T132" s="92" t="n">
        <v>1</v>
      </c>
      <c r="U132" s="174">
        <f>IFERROR(Q132*S132,0)</f>
        <v/>
      </c>
      <c r="V132" s="174">
        <f>U132*T132</f>
        <v/>
      </c>
      <c r="W132" s="90" t="inlineStr">
        <is>
          <t>资产类型对齐规则表</t>
        </is>
      </c>
      <c r="X132" s="91" t="n"/>
      <c r="Y132" s="90" t="inlineStr">
        <is>
          <t>资产类型对齐规则表{资产组件名称、资产组件厂商、资产组件版本、资产组件类型|规则ID、资产组件名称、资产组件厂商、资产组件版本、资产组件类型、对齐方式}</t>
        </is>
      </c>
      <c r="Z132" s="90" t="n"/>
      <c r="AA132" s="90" t="n"/>
      <c r="AB132" s="90" t="inlineStr">
        <is>
          <t>弱口令扫描任务表、弱口令扫描任务实例表、扫描节点表、扫描器表、扫描任务日志表</t>
        </is>
      </c>
      <c r="AC132" s="66" t="n"/>
    </row>
    <row r="133" customFormat="1" s="66">
      <c r="A133" s="72">
        <f>ROW()-1</f>
        <v/>
      </c>
      <c r="B133" s="175" t="n"/>
      <c r="C133" s="80" t="n">
        <v>2025</v>
      </c>
      <c r="D133" s="80" t="inlineStr">
        <is>
          <t>张明峰</t>
        </is>
      </c>
      <c r="E133" s="81">
        <f>VLOOKUP(I133,'25年交付功能（不含废弃）'!A:A,1,FALSE)</f>
        <v/>
      </c>
      <c r="F133" s="175" t="n"/>
      <c r="G133" s="175" t="n"/>
      <c r="H133" s="176" t="n"/>
      <c r="I133" s="98" t="inlineStr">
        <is>
          <t>资产类型对齐规则表</t>
        </is>
      </c>
      <c r="J133" s="93" t="inlineStr">
        <is>
          <t>ILF</t>
        </is>
      </c>
      <c r="K133" s="84" t="n"/>
      <c r="L133" s="84" t="n"/>
      <c r="M133" s="85">
        <f>IF(OR(Y133="估算法",Y133="算法类",Y133="无法识别"),"",IF(W133="",IF(OR(J133="EI",J133="EO",J133="EQ"),0,""),LEN(W133)-LEN(SUBSTITUTE(W133,"、",""))+1))</f>
        <v/>
      </c>
      <c r="N133" s="85">
        <f>IF(OR(Y133="估算法",Y133="算法类",Y133="无法识别"),"",IF(X133="",IF(OR(J133="ILF",J133="EIF"),0,""),LEN(X133)-LEN(SUBSTITUTE(X133,"、",""))+1))</f>
        <v/>
      </c>
      <c r="O133" s="85">
        <f>IF(OR(Y133="估算法",Y133="算法类",Y133="无法识别"),"",IF(Y133="",IF(OR(J133="ILF",J133="EIF",J133="EI",J133="EO",J133="EQ"),0,""),LEN(Y133)-LEN(SUBSTITUTE(SUBSTITUTE(SUBSTITUTE(SUBSTITUTE(SUBSTITUTE(Y133,"|}","--"),"{|","--"),CHAR(10),""),"、",""),"|",""))+IF(AND(OR(J133="EI",J133="EO",J133="EQ"),$AE$1="NESMA"),2,1)))</f>
        <v/>
      </c>
      <c r="P133" s="86">
        <f>IF(J133="EI",IF(OR(Y133="估算法",Y133="算法类"),"中",IF(Y133="无法识别","低",IF(M133&lt;2,IF(O133&lt;16,"低","中"),IF(M133&lt;3,IF(O133&lt;5,"低",IF(O133&lt;16,"中","高")),IF(O133&lt;5,"中","高"))))),IF(OR(J133="EO",J133="EQ"),IF(OR(Y133="估算法",Y133="算法类"),"中",IF(Y133="无法识别","低",IF(M133&lt;2,IF(O133&lt;20,"低","中"),IF(M133&lt;4,IF(O133&lt;6,"低",IF(O133&lt;20,"中","高")),IF(O133&lt;6,"中","高"))))),IF(OR(J133="ILF",J133="EIF"),IF(OR(Y133="估算法",Y133="算法类",Y133="无法识别"),"低",IF(N133&lt;2,IF(O133&lt;51,"低","中"),IF(N133&lt;6,IF(O133&lt;20,"低",IF(O133&lt;51,"中","高")),IF(O133&lt;20,"中","高")))),"不计算")))</f>
        <v/>
      </c>
      <c r="Q133" s="172">
        <f>IFERROR(IF(J133="EI",IF(P133="低",3,IF(P133="中",4,6)),IF(J133="EO",IF(P133="低",4,IF(P133="中",5,7)),IF(J133="EQ",IF(P133="低",3,IF(P133="中",4,6)),IF(J133="ILF",IF(P133="低",7,IF(P133="中",10,15)),IF(J133="EIF",IF(P133="低",5,IF(P133="中",7,10)),"不计算")))))*R133,"不计算")</f>
        <v/>
      </c>
      <c r="R133" s="172" t="n">
        <v>1</v>
      </c>
      <c r="S133" s="173">
        <f>调整因子!$F$13</f>
        <v/>
      </c>
      <c r="T133" s="92" t="n">
        <v>1</v>
      </c>
      <c r="U133" s="174">
        <f>IFERROR(Q133*S133,0)</f>
        <v/>
      </c>
      <c r="V133" s="174">
        <f>U133*T133</f>
        <v/>
      </c>
      <c r="W133" s="91" t="n"/>
      <c r="X133" s="90" t="inlineStr">
        <is>
          <t>资产类型对齐规则表</t>
        </is>
      </c>
      <c r="Y133" s="90" t="inlineStr">
        <is>
          <t>资产类型对齐规则表{规则ID、资产组件名称、资产组件厂商、资产组件版本、资产组件类型、对齐方式}</t>
        </is>
      </c>
      <c r="Z133" s="90">
        <f>IF(COUNTIFS(W:W,"*"&amp;I133&amp;"*")&gt;0,"存在","不存在")</f>
        <v/>
      </c>
      <c r="AA133" s="90">
        <f>IF(COUNTIFS(AB:AB,"*"&amp;I133&amp;"*")&gt;0,"存在","不存在")</f>
        <v/>
      </c>
      <c r="AB133" s="90" t="inlineStr">
        <is>
          <t>POC开发记录信息表</t>
        </is>
      </c>
      <c r="AC133" s="66" t="n"/>
    </row>
    <row r="134" customFormat="1" s="66">
      <c r="A134" s="72">
        <f>ROW()-1</f>
        <v/>
      </c>
      <c r="B134" s="175" t="n"/>
      <c r="C134" s="80" t="n">
        <v>2025</v>
      </c>
      <c r="D134" s="80" t="inlineStr">
        <is>
          <t>张明峰</t>
        </is>
      </c>
      <c r="E134" s="81">
        <f>VLOOKUP(I134,'25年交付功能（不含废弃）'!A:A,1,FALSE)</f>
        <v/>
      </c>
      <c r="F134" s="175" t="n"/>
      <c r="G134" s="175" t="n"/>
      <c r="H134" s="93" t="inlineStr">
        <is>
          <t>同源纠偏任务管理</t>
        </is>
      </c>
      <c r="I134" s="98" t="inlineStr">
        <is>
          <t>查询上报资产组件信息</t>
        </is>
      </c>
      <c r="J134" s="93" t="inlineStr">
        <is>
          <t>EQ</t>
        </is>
      </c>
      <c r="K134" s="84" t="n"/>
      <c r="L134" s="84" t="n"/>
      <c r="M134" s="85">
        <f>IF(OR(Y134="估算法",Y134="算法类",Y134="无法识别"),"",IF(W134="",IF(OR(J134="EI",J134="EO",J134="EQ"),0,""),LEN(W134)-LEN(SUBSTITUTE(W134,"、",""))+1))</f>
        <v/>
      </c>
      <c r="N134" s="85">
        <f>IF(OR(Y134="估算法",Y134="算法类",Y134="无法识别"),"",IF(X134="",IF(OR(J134="ILF",J134="EIF"),0,""),LEN(X134)-LEN(SUBSTITUTE(X134,"、",""))+1))</f>
        <v/>
      </c>
      <c r="O134" s="85">
        <f>IF(OR(Y134="估算法",Y134="算法类",Y134="无法识别"),"",IF(Y134="",IF(OR(J134="ILF",J134="EIF",J134="EI",J134="EO",J134="EQ"),0,""),LEN(Y134)-LEN(SUBSTITUTE(SUBSTITUTE(SUBSTITUTE(SUBSTITUTE(SUBSTITUTE(Y134,"|}","--"),"{|","--"),CHAR(10),""),"、",""),"|",""))+IF(AND(OR(J134="EI",J134="EO",J134="EQ"),$AE$1="NESMA"),2,1)))</f>
        <v/>
      </c>
      <c r="P134" s="86">
        <f>IF(J134="EI",IF(OR(Y134="估算法",Y134="算法类"),"中",IF(Y134="无法识别","低",IF(M134&lt;2,IF(O134&lt;16,"低","中"),IF(M134&lt;3,IF(O134&lt;5,"低",IF(O134&lt;16,"中","高")),IF(O134&lt;5,"中","高"))))),IF(OR(J134="EO",J134="EQ"),IF(OR(Y134="估算法",Y134="算法类"),"中",IF(Y134="无法识别","低",IF(M134&lt;2,IF(O134&lt;20,"低","中"),IF(M134&lt;4,IF(O134&lt;6,"低",IF(O134&lt;20,"中","高")),IF(O134&lt;6,"中","高"))))),IF(OR(J134="ILF",J134="EIF"),IF(OR(Y134="估算法",Y134="算法类",Y134="无法识别"),"低",IF(N134&lt;2,IF(O134&lt;51,"低","中"),IF(N134&lt;6,IF(O134&lt;20,"低",IF(O134&lt;51,"中","高")),IF(O134&lt;20,"中","高")))),"不计算")))</f>
        <v/>
      </c>
      <c r="Q134" s="172">
        <f>IFERROR(IF(J134="EI",IF(P134="低",3,IF(P134="中",4,6)),IF(J134="EO",IF(P134="低",4,IF(P134="中",5,7)),IF(J134="EQ",IF(P134="低",3,IF(P134="中",4,6)),IF(J134="ILF",IF(P134="低",7,IF(P134="中",10,15)),IF(J134="EIF",IF(P134="低",5,IF(P134="中",7,10)),"不计算")))))*R134,"不计算")</f>
        <v/>
      </c>
      <c r="R134" s="172" t="n">
        <v>1</v>
      </c>
      <c r="S134" s="173">
        <f>调整因子!$F$13</f>
        <v/>
      </c>
      <c r="T134" s="93" t="n">
        <v>1</v>
      </c>
      <c r="U134" s="174">
        <f>IFERROR(Q134*S134,0)</f>
        <v/>
      </c>
      <c r="V134" s="174">
        <f>U134*T134</f>
        <v/>
      </c>
      <c r="W134" s="90" t="inlineStr">
        <is>
          <t>资产组件表、资产类型表</t>
        </is>
      </c>
      <c r="X134" s="91" t="n"/>
      <c r="Y134" s="90" t="inlineStr">
        <is>
          <t>资产类型表{资产类型ID、类型编码、类型状态、类型名称、描述}、资产组件表{组件ID、资产ID、组件名称、版本、安装路径}</t>
        </is>
      </c>
      <c r="Z134" s="90" t="n"/>
      <c r="AA134" s="90" t="n"/>
      <c r="AB134" s="90" t="inlineStr">
        <is>
          <t>POC模板文件</t>
        </is>
      </c>
      <c r="AC134" s="66" t="n"/>
    </row>
    <row r="135" customFormat="1" s="66">
      <c r="A135" s="72">
        <f>ROW()-1</f>
        <v/>
      </c>
      <c r="B135" s="175" t="n"/>
      <c r="C135" s="80" t="n">
        <v>2025</v>
      </c>
      <c r="D135" s="80" t="inlineStr">
        <is>
          <t>张明峰</t>
        </is>
      </c>
      <c r="E135" s="81">
        <f>VLOOKUP(I135,'25年交付功能（不含废弃）'!A:A,1,FALSE)</f>
        <v/>
      </c>
      <c r="F135" s="175" t="n"/>
      <c r="G135" s="175" t="n"/>
      <c r="H135" s="175" t="n"/>
      <c r="I135" s="98" t="inlineStr">
        <is>
          <t>查询资产类型对齐规则</t>
        </is>
      </c>
      <c r="J135" s="93" t="inlineStr">
        <is>
          <t>EQ</t>
        </is>
      </c>
      <c r="K135" s="84" t="n"/>
      <c r="L135" s="84" t="n"/>
      <c r="M135" s="85">
        <f>IF(OR(Y135="估算法",Y135="算法类",Y135="无法识别"),"",IF(W135="",IF(OR(J135="EI",J135="EO",J135="EQ"),0,""),LEN(W135)-LEN(SUBSTITUTE(W135,"、",""))+1))</f>
        <v/>
      </c>
      <c r="N135" s="85">
        <f>IF(OR(Y135="估算法",Y135="算法类",Y135="无法识别"),"",IF(X135="",IF(OR(J135="ILF",J135="EIF"),0,""),LEN(X135)-LEN(SUBSTITUTE(X135,"、",""))+1))</f>
        <v/>
      </c>
      <c r="O135" s="85">
        <f>IF(OR(Y135="估算法",Y135="算法类",Y135="无法识别"),"",IF(Y135="",IF(OR(J135="ILF",J135="EIF",J135="EI",J135="EO",J135="EQ"),0,""),LEN(Y135)-LEN(SUBSTITUTE(SUBSTITUTE(SUBSTITUTE(SUBSTITUTE(SUBSTITUTE(Y135,"|}","--"),"{|","--"),CHAR(10),""),"、",""),"|",""))+IF(AND(OR(J135="EI",J135="EO",J135="EQ"),$AE$1="NESMA"),2,1)))</f>
        <v/>
      </c>
      <c r="P135" s="86">
        <f>IF(J135="EI",IF(OR(Y135="估算法",Y135="算法类"),"中",IF(Y135="无法识别","低",IF(M135&lt;2,IF(O135&lt;16,"低","中"),IF(M135&lt;3,IF(O135&lt;5,"低",IF(O135&lt;16,"中","高")),IF(O135&lt;5,"中","高"))))),IF(OR(J135="EO",J135="EQ"),IF(OR(Y135="估算法",Y135="算法类"),"中",IF(Y135="无法识别","低",IF(M135&lt;2,IF(O135&lt;20,"低","中"),IF(M135&lt;4,IF(O135&lt;6,"低",IF(O135&lt;20,"中","高")),IF(O135&lt;6,"中","高"))))),IF(OR(J135="ILF",J135="EIF"),IF(OR(Y135="估算法",Y135="算法类",Y135="无法识别"),"低",IF(N135&lt;2,IF(O135&lt;51,"低","中"),IF(N135&lt;6,IF(O135&lt;20,"低",IF(O135&lt;51,"中","高")),IF(O135&lt;20,"中","高")))),"不计算")))</f>
        <v/>
      </c>
      <c r="Q135" s="172">
        <f>IFERROR(IF(J135="EI",IF(P135="低",3,IF(P135="中",4,6)),IF(J135="EO",IF(P135="低",4,IF(P135="中",5,7)),IF(J135="EQ",IF(P135="低",3,IF(P135="中",4,6)),IF(J135="ILF",IF(P135="低",7,IF(P135="中",10,15)),IF(J135="EIF",IF(P135="低",5,IF(P135="中",7,10)),"不计算")))))*R135,"不计算")</f>
        <v/>
      </c>
      <c r="R135" s="172" t="n">
        <v>1</v>
      </c>
      <c r="S135" s="173">
        <f>调整因子!$F$13</f>
        <v/>
      </c>
      <c r="T135" s="92" t="n">
        <v>1</v>
      </c>
      <c r="U135" s="174">
        <f>IFERROR(Q135*S135,0)</f>
        <v/>
      </c>
      <c r="V135" s="174">
        <f>U135*T135</f>
        <v/>
      </c>
      <c r="W135" s="90" t="inlineStr">
        <is>
          <t>资产类型对齐规则表</t>
        </is>
      </c>
      <c r="X135" s="91" t="n"/>
      <c r="Y135" s="90" t="inlineStr">
        <is>
          <t>资产类型对齐规则表{资产组件名称、资产组件厂商、资产组件版本、资产组件类型、对齐方式}</t>
        </is>
      </c>
      <c r="Z135" s="90" t="n"/>
      <c r="AA135" s="90" t="n"/>
      <c r="AB135" s="90" t="inlineStr">
        <is>
          <t>POC开发记录信息表</t>
        </is>
      </c>
      <c r="AC135" s="66" t="n"/>
    </row>
    <row r="136" customFormat="1" s="66">
      <c r="A136" s="72">
        <f>ROW()-1</f>
        <v/>
      </c>
      <c r="B136" s="175" t="n"/>
      <c r="C136" s="80" t="n">
        <v>2025</v>
      </c>
      <c r="D136" s="80" t="inlineStr">
        <is>
          <t>张明峰</t>
        </is>
      </c>
      <c r="E136" s="81">
        <f>VLOOKUP(I136,'25年交付功能（不含废弃）'!A:A,1,FALSE)</f>
        <v/>
      </c>
      <c r="F136" s="175" t="n"/>
      <c r="G136" s="175" t="n"/>
      <c r="H136" s="175" t="n"/>
      <c r="I136" s="98" t="inlineStr">
        <is>
          <t>查询漏洞信息和受影响组件</t>
        </is>
      </c>
      <c r="J136" s="93" t="inlineStr">
        <is>
          <t>EQ</t>
        </is>
      </c>
      <c r="K136" s="84" t="n"/>
      <c r="L136" s="84" t="n"/>
      <c r="M136" s="85">
        <f>IF(OR(Y136="估算法",Y136="算法类",Y136="无法识别"),"",IF(W136="",IF(OR(J136="EI",J136="EO",J136="EQ"),0,""),LEN(W136)-LEN(SUBSTITUTE(W136,"、",""))+1))</f>
        <v/>
      </c>
      <c r="N136" s="85">
        <f>IF(OR(Y136="估算法",Y136="算法类",Y136="无法识别"),"",IF(X136="",IF(OR(J136="ILF",J136="EIF"),0,""),LEN(X136)-LEN(SUBSTITUTE(X136,"、",""))+1))</f>
        <v/>
      </c>
      <c r="O136" s="85">
        <f>IF(OR(Y136="估算法",Y136="算法类",Y136="无法识别"),"",IF(Y136="",IF(OR(J136="ILF",J136="EIF",J136="EI",J136="EO",J136="EQ"),0,""),LEN(Y136)-LEN(SUBSTITUTE(SUBSTITUTE(SUBSTITUTE(SUBSTITUTE(SUBSTITUTE(Y136,"|}","--"),"{|","--"),CHAR(10),""),"、",""),"|",""))+IF(AND(OR(J136="EI",J136="EO",J136="EQ"),$AE$1="NESMA"),2,1)))</f>
        <v/>
      </c>
      <c r="P136" s="86">
        <f>IF(J136="EI",IF(OR(Y136="估算法",Y136="算法类"),"中",IF(Y136="无法识别","低",IF(M136&lt;2,IF(O136&lt;16,"低","中"),IF(M136&lt;3,IF(O136&lt;5,"低",IF(O136&lt;16,"中","高")),IF(O136&lt;5,"中","高"))))),IF(OR(J136="EO",J136="EQ"),IF(OR(Y136="估算法",Y136="算法类"),"中",IF(Y136="无法识别","低",IF(M136&lt;2,IF(O136&lt;20,"低","中"),IF(M136&lt;4,IF(O136&lt;6,"低",IF(O136&lt;20,"中","高")),IF(O136&lt;6,"中","高"))))),IF(OR(J136="ILF",J136="EIF"),IF(OR(Y136="估算法",Y136="算法类",Y136="无法识别"),"低",IF(N136&lt;2,IF(O136&lt;51,"低","中"),IF(N136&lt;6,IF(O136&lt;20,"低",IF(O136&lt;51,"中","高")),IF(O136&lt;20,"中","高")))),"不计算")))</f>
        <v/>
      </c>
      <c r="Q136" s="172">
        <f>IFERROR(IF(J136="EI",IF(P136="低",3,IF(P136="中",4,6)),IF(J136="EO",IF(P136="低",4,IF(P136="中",5,7)),IF(J136="EQ",IF(P136="低",3,IF(P136="中",4,6)),IF(J136="ILF",IF(P136="低",7,IF(P136="中",10,15)),IF(J136="EIF",IF(P136="低",5,IF(P136="中",7,10)),"不计算")))))*R136,"不计算")</f>
        <v/>
      </c>
      <c r="R136" s="172" t="n">
        <v>1</v>
      </c>
      <c r="S136" s="173">
        <f>调整因子!$F$13</f>
        <v/>
      </c>
      <c r="T136" s="92" t="n">
        <v>1</v>
      </c>
      <c r="U136" s="174">
        <f>IFERROR(Q136*S136,0)</f>
        <v/>
      </c>
      <c r="V136" s="174">
        <f>U136*T136</f>
        <v/>
      </c>
      <c r="W136" s="90" t="inlineStr">
        <is>
          <t>纠偏结果表、资产组件表</t>
        </is>
      </c>
      <c r="X136" s="91" t="n"/>
      <c r="Y136" s="90" t="inlineStr">
        <is>
          <t>纠偏结果表{结果ID、任务ID、资产ID、组件名称、组件版本、组件厂商、状态}、资产组件表{组件ID、资产ID、组件名称、版本、安装路径}</t>
        </is>
      </c>
      <c r="Z136" s="90" t="n"/>
      <c r="AA136" s="90" t="n"/>
      <c r="AB136" s="90" t="inlineStr">
        <is>
          <t>POC开发发现的系统漏洞表</t>
        </is>
      </c>
      <c r="AC136" s="66" t="n"/>
    </row>
    <row r="137" customFormat="1" s="66">
      <c r="A137" s="72">
        <f>ROW()-1</f>
        <v/>
      </c>
      <c r="B137" s="175" t="n"/>
      <c r="C137" s="80" t="n">
        <v>2025</v>
      </c>
      <c r="D137" s="80" t="inlineStr">
        <is>
          <t>张明峰</t>
        </is>
      </c>
      <c r="E137" s="81">
        <f>VLOOKUP(I137,'25年交付功能（不含废弃）'!A:A,1,FALSE)</f>
        <v/>
      </c>
      <c r="F137" s="175" t="n"/>
      <c r="G137" s="175" t="n"/>
      <c r="H137" s="175" t="n"/>
      <c r="I137" s="98" t="inlineStr">
        <is>
          <t>启动执行同源纠偏</t>
        </is>
      </c>
      <c r="J137" s="93" t="inlineStr">
        <is>
          <t>EI</t>
        </is>
      </c>
      <c r="K137" s="84" t="n"/>
      <c r="L137" s="84" t="n"/>
      <c r="M137" s="85">
        <f>IF(OR(Y137="估算法",Y137="算法类",Y137="无法识别"),"",IF(W137="",IF(OR(J137="EI",J137="EO",J137="EQ"),0,""),LEN(W137)-LEN(SUBSTITUTE(W137,"、",""))+1))</f>
        <v/>
      </c>
      <c r="N137" s="85">
        <f>IF(OR(Y137="估算法",Y137="算法类",Y137="无法识别"),"",IF(X137="",IF(OR(J137="ILF",J137="EIF"),0,""),LEN(X137)-LEN(SUBSTITUTE(X137,"、",""))+1))</f>
        <v/>
      </c>
      <c r="O137" s="85">
        <f>IF(OR(Y137="估算法",Y137="算法类",Y137="无法识别"),"",IF(Y137="",IF(OR(J137="ILF",J137="EIF",J137="EI",J137="EO",J137="EQ"),0,""),LEN(Y137)-LEN(SUBSTITUTE(SUBSTITUTE(SUBSTITUTE(SUBSTITUTE(SUBSTITUTE(Y137,"|}","--"),"{|","--"),CHAR(10),""),"、",""),"|",""))+IF(AND(OR(J137="EI",J137="EO",J137="EQ"),$AE$1="NESMA"),2,1)))</f>
        <v/>
      </c>
      <c r="P137" s="86">
        <f>IF(J137="EI",IF(OR(Y137="估算法",Y137="算法类"),"中",IF(Y137="无法识别","低",IF(M137&lt;2,IF(O137&lt;16,"低","中"),IF(M137&lt;3,IF(O137&lt;5,"低",IF(O137&lt;16,"中","高")),IF(O137&lt;5,"中","高"))))),IF(OR(J137="EO",J137="EQ"),IF(OR(Y137="估算法",Y137="算法类"),"中",IF(Y137="无法识别","低",IF(M137&lt;2,IF(O137&lt;20,"低","中"),IF(M137&lt;4,IF(O137&lt;6,"低",IF(O137&lt;20,"中","高")),IF(O137&lt;6,"中","高"))))),IF(OR(J137="ILF",J137="EIF"),IF(OR(Y137="估算法",Y137="算法类",Y137="无法识别"),"低",IF(N137&lt;2,IF(O137&lt;51,"低","中"),IF(N137&lt;6,IF(O137&lt;20,"低",IF(O137&lt;51,"中","高")),IF(O137&lt;20,"中","高")))),"不计算")))</f>
        <v/>
      </c>
      <c r="Q137" s="172">
        <f>IFERROR(IF(J137="EI",IF(P137="低",3,IF(P137="中",4,6)),IF(J137="EO",IF(P137="低",4,IF(P137="中",5,7)),IF(J137="EQ",IF(P137="低",3,IF(P137="中",4,6)),IF(J137="ILF",IF(P137="低",7,IF(P137="中",10,15)),IF(J137="EIF",IF(P137="低",5,IF(P137="中",7,10)),"不计算")))))*R137,"不计算")</f>
        <v/>
      </c>
      <c r="R137" s="172" t="n">
        <v>1</v>
      </c>
      <c r="S137" s="173">
        <f>调整因子!$F$13</f>
        <v/>
      </c>
      <c r="T137" s="93" t="n">
        <v>1</v>
      </c>
      <c r="U137" s="174">
        <f>IFERROR(Q137*S137,0)</f>
        <v/>
      </c>
      <c r="V137" s="174">
        <f>U137*T137</f>
        <v/>
      </c>
      <c r="W137" s="90" t="inlineStr">
        <is>
          <t>同源纠偏任务表</t>
        </is>
      </c>
      <c r="X137" s="91" t="n"/>
      <c r="Y137" s="90" t="inlineStr">
        <is>
          <t>同源纠偏任务表{任务ID、任务名称、描述、开始时间、结束时间、状态}</t>
        </is>
      </c>
      <c r="Z137" s="90" t="n"/>
      <c r="AA137" s="90" t="n"/>
      <c r="AB137" s="90" t="inlineStr">
        <is>
          <t>POC开发发现的系统漏洞表</t>
        </is>
      </c>
      <c r="AC137" s="66" t="n"/>
    </row>
    <row r="138" customFormat="1" s="66">
      <c r="A138" s="72">
        <f>ROW()-1</f>
        <v/>
      </c>
      <c r="B138" s="175" t="n"/>
      <c r="C138" s="80" t="n">
        <v>2025</v>
      </c>
      <c r="D138" s="80" t="inlineStr">
        <is>
          <t>张明峰</t>
        </is>
      </c>
      <c r="E138" s="81">
        <f>VLOOKUP(I138,'25年交付功能（不含废弃）'!A:A,1,FALSE)</f>
        <v/>
      </c>
      <c r="F138" s="175" t="n"/>
      <c r="G138" s="175" t="n"/>
      <c r="H138" s="175" t="n"/>
      <c r="I138" s="98" t="inlineStr">
        <is>
          <t>删除同源纠偏执行记录</t>
        </is>
      </c>
      <c r="J138" s="93" t="inlineStr">
        <is>
          <t>EI</t>
        </is>
      </c>
      <c r="K138" s="84" t="n"/>
      <c r="L138" s="84" t="n"/>
      <c r="M138" s="85">
        <f>IF(OR(Y138="估算法",Y138="算法类",Y138="无法识别"),"",IF(W138="",IF(OR(J138="EI",J138="EO",J138="EQ"),0,""),LEN(W138)-LEN(SUBSTITUTE(W138,"、",""))+1))</f>
        <v/>
      </c>
      <c r="N138" s="85">
        <f>IF(OR(Y138="估算法",Y138="算法类",Y138="无法识别"),"",IF(X138="",IF(OR(J138="ILF",J138="EIF"),0,""),LEN(X138)-LEN(SUBSTITUTE(X138,"、",""))+1))</f>
        <v/>
      </c>
      <c r="O138" s="85">
        <f>IF(OR(Y138="估算法",Y138="算法类",Y138="无法识别"),"",IF(Y138="",IF(OR(J138="ILF",J138="EIF",J138="EI",J138="EO",J138="EQ"),0,""),LEN(Y138)-LEN(SUBSTITUTE(SUBSTITUTE(SUBSTITUTE(SUBSTITUTE(SUBSTITUTE(Y138,"|}","--"),"{|","--"),CHAR(10),""),"、",""),"|",""))+IF(AND(OR(J138="EI",J138="EO",J138="EQ"),$AE$1="NESMA"),2,1)))</f>
        <v/>
      </c>
      <c r="P138" s="86">
        <f>IF(J138="EI",IF(OR(Y138="估算法",Y138="算法类"),"中",IF(Y138="无法识别","低",IF(M138&lt;2,IF(O138&lt;16,"低","中"),IF(M138&lt;3,IF(O138&lt;5,"低",IF(O138&lt;16,"中","高")),IF(O138&lt;5,"中","高"))))),IF(OR(J138="EO",J138="EQ"),IF(OR(Y138="估算法",Y138="算法类"),"中",IF(Y138="无法识别","低",IF(M138&lt;2,IF(O138&lt;20,"低","中"),IF(M138&lt;4,IF(O138&lt;6,"低",IF(O138&lt;20,"中","高")),IF(O138&lt;6,"中","高"))))),IF(OR(J138="ILF",J138="EIF"),IF(OR(Y138="估算法",Y138="算法类",Y138="无法识别"),"低",IF(N138&lt;2,IF(O138&lt;51,"低","中"),IF(N138&lt;6,IF(O138&lt;20,"低",IF(O138&lt;51,"中","高")),IF(O138&lt;20,"中","高")))),"不计算")))</f>
        <v/>
      </c>
      <c r="Q138" s="172">
        <f>IFERROR(IF(J138="EI",IF(P138="低",3,IF(P138="中",4,6)),IF(J138="EO",IF(P138="低",4,IF(P138="中",5,7)),IF(J138="EQ",IF(P138="低",3,IF(P138="中",4,6)),IF(J138="ILF",IF(P138="低",7,IF(P138="中",10,15)),IF(J138="EIF",IF(P138="低",5,IF(P138="中",7,10)),"不计算")))))*R138,"不计算")</f>
        <v/>
      </c>
      <c r="R138" s="172" t="n">
        <v>0.333333333333333</v>
      </c>
      <c r="S138" s="173">
        <f>调整因子!$F$13</f>
        <v/>
      </c>
      <c r="T138" s="92" t="n">
        <v>1</v>
      </c>
      <c r="U138" s="174">
        <f>IFERROR(Q138*S138,0)</f>
        <v/>
      </c>
      <c r="V138" s="174">
        <f>U138*T138</f>
        <v/>
      </c>
      <c r="W138" s="90" t="inlineStr">
        <is>
          <t>同源纠偏任务表、纠偏结果表</t>
        </is>
      </c>
      <c r="X138" s="91" t="n"/>
      <c r="Y138" s="90" t="inlineStr">
        <is>
          <t>同源纠偏任务表{任务ID、任务名称、描述、开始时间、结束时间、状态}、纠偏结果表{结果ID、任务ID、资产ID、组件名称、组件版本、组件厂商、状态}</t>
        </is>
      </c>
      <c r="Z138" s="90" t="n"/>
      <c r="AA138" s="90" t="n"/>
      <c r="AB138" s="90" t="inlineStr">
        <is>
          <t>漏洞挖掘信息表</t>
        </is>
      </c>
      <c r="AC138" s="66" t="n"/>
    </row>
    <row r="139" customFormat="1" s="66">
      <c r="A139" s="72">
        <f>ROW()-1</f>
        <v/>
      </c>
      <c r="B139" s="175" t="n"/>
      <c r="C139" s="80" t="n">
        <v>2025</v>
      </c>
      <c r="D139" s="80" t="inlineStr">
        <is>
          <t>张明峰</t>
        </is>
      </c>
      <c r="E139" s="81">
        <f>VLOOKUP(I139,'25年交付功能（不含废弃）'!A:A,1,FALSE)</f>
        <v/>
      </c>
      <c r="F139" s="175" t="n"/>
      <c r="G139" s="175" t="n"/>
      <c r="H139" s="175" t="n"/>
      <c r="I139" s="98" t="inlineStr">
        <is>
          <t>查询同源纠偏执行记录</t>
        </is>
      </c>
      <c r="J139" s="93" t="inlineStr">
        <is>
          <t>EQ</t>
        </is>
      </c>
      <c r="K139" s="84" t="n"/>
      <c r="L139" s="84" t="n"/>
      <c r="M139" s="85">
        <f>IF(OR(Y139="估算法",Y139="算法类",Y139="无法识别"),"",IF(W139="",IF(OR(J139="EI",J139="EO",J139="EQ"),0,""),LEN(W139)-LEN(SUBSTITUTE(W139,"、",""))+1))</f>
        <v/>
      </c>
      <c r="N139" s="85">
        <f>IF(OR(Y139="估算法",Y139="算法类",Y139="无法识别"),"",IF(X139="",IF(OR(J139="ILF",J139="EIF"),0,""),LEN(X139)-LEN(SUBSTITUTE(X139,"、",""))+1))</f>
        <v/>
      </c>
      <c r="O139" s="85">
        <f>IF(OR(Y139="估算法",Y139="算法类",Y139="无法识别"),"",IF(Y139="",IF(OR(J139="ILF",J139="EIF",J139="EI",J139="EO",J139="EQ"),0,""),LEN(Y139)-LEN(SUBSTITUTE(SUBSTITUTE(SUBSTITUTE(SUBSTITUTE(SUBSTITUTE(Y139,"|}","--"),"{|","--"),CHAR(10),""),"、",""),"|",""))+IF(AND(OR(J139="EI",J139="EO",J139="EQ"),$AE$1="NESMA"),2,1)))</f>
        <v/>
      </c>
      <c r="P139" s="86">
        <f>IF(J139="EI",IF(OR(Y139="估算法",Y139="算法类"),"中",IF(Y139="无法识别","低",IF(M139&lt;2,IF(O139&lt;16,"低","中"),IF(M139&lt;3,IF(O139&lt;5,"低",IF(O139&lt;16,"中","高")),IF(O139&lt;5,"中","高"))))),IF(OR(J139="EO",J139="EQ"),IF(OR(Y139="估算法",Y139="算法类"),"中",IF(Y139="无法识别","低",IF(M139&lt;2,IF(O139&lt;20,"低","中"),IF(M139&lt;4,IF(O139&lt;6,"低",IF(O139&lt;20,"中","高")),IF(O139&lt;6,"中","高"))))),IF(OR(J139="ILF",J139="EIF"),IF(OR(Y139="估算法",Y139="算法类",Y139="无法识别"),"低",IF(N139&lt;2,IF(O139&lt;51,"低","中"),IF(N139&lt;6,IF(O139&lt;20,"低",IF(O139&lt;51,"中","高")),IF(O139&lt;20,"中","高")))),"不计算")))</f>
        <v/>
      </c>
      <c r="Q139" s="172">
        <f>IFERROR(IF(J139="EI",IF(P139="低",3,IF(P139="中",4,6)),IF(J139="EO",IF(P139="低",4,IF(P139="中",5,7)),IF(J139="EQ",IF(P139="低",3,IF(P139="中",4,6)),IF(J139="ILF",IF(P139="低",7,IF(P139="中",10,15)),IF(J139="EIF",IF(P139="低",5,IF(P139="中",7,10)),"不计算")))))*R139,"不计算")</f>
        <v/>
      </c>
      <c r="R139" s="172" t="n">
        <v>1</v>
      </c>
      <c r="S139" s="173">
        <f>调整因子!$F$13</f>
        <v/>
      </c>
      <c r="T139" s="92" t="n">
        <v>1</v>
      </c>
      <c r="U139" s="174">
        <f>IFERROR(Q139*S139,0)</f>
        <v/>
      </c>
      <c r="V139" s="174">
        <f>U139*T139</f>
        <v/>
      </c>
      <c r="W139" s="90" t="inlineStr">
        <is>
          <t>纠偏结果表、同源纠偏任务表</t>
        </is>
      </c>
      <c r="X139" s="91" t="n"/>
      <c r="Y139" s="90" t="inlineStr">
        <is>
          <t>同源纠偏任务表{任务ID、任务名称、描述、开始时间、结束时间、状态}、纠偏结果表{结果ID、任务ID、资产ID、组件名称、组件版本、组件厂商、状态}</t>
        </is>
      </c>
      <c r="Z139" s="90" t="n"/>
      <c r="AA139" s="90" t="n"/>
      <c r="AB139" s="90" t="inlineStr">
        <is>
          <t>漏洞挖掘导入模板文件</t>
        </is>
      </c>
      <c r="AC139" s="66" t="n"/>
    </row>
    <row r="140" customFormat="1" s="66">
      <c r="A140" s="72">
        <f>ROW()-1</f>
        <v/>
      </c>
      <c r="B140" s="175" t="n"/>
      <c r="C140" s="80" t="n">
        <v>2025</v>
      </c>
      <c r="D140" s="80" t="inlineStr">
        <is>
          <t>张明峰</t>
        </is>
      </c>
      <c r="E140" s="81">
        <f>VLOOKUP(I140,'25年交付功能（不含废弃）'!A:A,1,FALSE)</f>
        <v/>
      </c>
      <c r="F140" s="175" t="n"/>
      <c r="G140" s="175" t="n"/>
      <c r="H140" s="175" t="n"/>
      <c r="I140" s="98" t="inlineStr">
        <is>
          <t>查询同源纠偏结果列表</t>
        </is>
      </c>
      <c r="J140" s="93" t="inlineStr">
        <is>
          <t>EQ</t>
        </is>
      </c>
      <c r="K140" s="100" t="inlineStr">
        <is>
          <t>修改「FTR、DET」</t>
        </is>
      </c>
      <c r="L140" s="84" t="inlineStr">
        <is>
          <t>和上行合并，相同查询功能</t>
        </is>
      </c>
      <c r="M140" s="85">
        <f>IF(OR(Y140="估算法",Y140="算法类",Y140="无法识别"),"",IF(W140="",IF(OR(J140="EI",J140="EO",J140="EQ"),0,""),LEN(W140)-LEN(SUBSTITUTE(W140,"、",""))+1))</f>
        <v/>
      </c>
      <c r="N140" s="85">
        <f>IF(OR(Y140="估算法",Y140="算法类",Y140="无法识别"),"",IF(X140="",IF(OR(J140="ILF",J140="EIF"),0,""),LEN(X140)-LEN(SUBSTITUTE(X140,"、",""))+1))</f>
        <v/>
      </c>
      <c r="O140" s="85">
        <f>IF(OR(Y140="估算法",Y140="算法类",Y140="无法识别"),"",IF(Y140="",IF(OR(J140="ILF",J140="EIF",J140="EI",J140="EO",J140="EQ"),0,""),LEN(Y140)-LEN(SUBSTITUTE(SUBSTITUTE(SUBSTITUTE(SUBSTITUTE(SUBSTITUTE(Y140,"|}","--"),"{|","--"),CHAR(10),""),"、",""),"|",""))+IF(AND(OR(J140="EI",J140="EO",J140="EQ"),$AE$1="NESMA"),2,1)))</f>
        <v/>
      </c>
      <c r="P140" s="86">
        <f>IF(J140="EI",IF(OR(Y140="估算法",Y140="算法类"),"中",IF(Y140="无法识别","低",IF(M140&lt;2,IF(O140&lt;16,"低","中"),IF(M140&lt;3,IF(O140&lt;5,"低",IF(O140&lt;16,"中","高")),IF(O140&lt;5,"中","高"))))),IF(OR(J140="EO",J140="EQ"),IF(OR(Y140="估算法",Y140="算法类"),"中",IF(Y140="无法识别","低",IF(M140&lt;2,IF(O140&lt;20,"低","中"),IF(M140&lt;4,IF(O140&lt;6,"低",IF(O140&lt;20,"中","高")),IF(O140&lt;6,"中","高"))))),IF(OR(J140="ILF",J140="EIF"),IF(OR(Y140="估算法",Y140="算法类",Y140="无法识别"),"低",IF(N140&lt;2,IF(O140&lt;51,"低","中"),IF(N140&lt;6,IF(O140&lt;20,"低",IF(O140&lt;51,"中","高")),IF(O140&lt;20,"中","高")))),"不计算")))</f>
        <v/>
      </c>
      <c r="Q140" s="172">
        <f>IFERROR(IF(J140="EI",IF(P140="低",3,IF(P140="中",4,6)),IF(J140="EO",IF(P140="低",4,IF(P140="中",5,7)),IF(J140="EQ",IF(P140="低",3,IF(P140="中",4,6)),IF(J140="ILF",IF(P140="低",7,IF(P140="中",10,15)),IF(J140="EIF",IF(P140="低",5,IF(P140="中",7,10)),"不计算")))))*R140,"不计算")</f>
        <v/>
      </c>
      <c r="R140" s="172" t="n">
        <v>1</v>
      </c>
      <c r="S140" s="173">
        <f>调整因子!$F$13</f>
        <v/>
      </c>
      <c r="T140" s="93" t="n">
        <v>1</v>
      </c>
      <c r="U140" s="174">
        <f>IFERROR(Q140*S140,0)</f>
        <v/>
      </c>
      <c r="V140" s="174">
        <f>U140*T140</f>
        <v/>
      </c>
      <c r="W140" s="90" t="inlineStr">
        <is>
          <t>同源纠偏任务表、纠偏结果表</t>
        </is>
      </c>
      <c r="X140" s="91" t="n"/>
      <c r="Y140" s="90" t="inlineStr">
        <is>
          <t>同源纠偏任务表{任务ID、任务名称、描述、开始时间、结束时间、状态}、纠偏结果表{结果ID、任务ID、资产ID、组件名称、组件版本、组件厂商、状态}</t>
        </is>
      </c>
      <c r="Z140" s="90" t="n"/>
      <c r="AA140" s="90" t="n"/>
      <c r="AB140" s="90" t="inlineStr">
        <is>
          <t>漏洞挖掘信息表</t>
        </is>
      </c>
      <c r="AC140" s="66" t="n"/>
    </row>
    <row r="141" customFormat="1" s="66">
      <c r="A141" s="72">
        <f>ROW()-1</f>
        <v/>
      </c>
      <c r="B141" s="175" t="n"/>
      <c r="C141" s="80" t="n">
        <v>2025</v>
      </c>
      <c r="D141" s="80" t="inlineStr">
        <is>
          <t>张明峰</t>
        </is>
      </c>
      <c r="E141" s="81">
        <f>VLOOKUP(I141,'25年交付功能（不含废弃）'!A:A,1,FALSE)</f>
        <v/>
      </c>
      <c r="F141" s="175" t="n"/>
      <c r="G141" s="175" t="n"/>
      <c r="H141" s="175" t="n"/>
      <c r="I141" s="98" t="inlineStr">
        <is>
          <t>资产类型表</t>
        </is>
      </c>
      <c r="J141" s="93" t="inlineStr">
        <is>
          <t>ILF</t>
        </is>
      </c>
      <c r="K141" s="101" t="inlineStr">
        <is>
          <t>删除</t>
        </is>
      </c>
      <c r="L141" s="84" t="inlineStr">
        <is>
          <t>数据库表未被本系统所维护</t>
        </is>
      </c>
      <c r="M141" s="85">
        <f>IF(OR(Y141="估算法",Y141="算法类",Y141="无法识别"),"",IF(W141="",IF(OR(J141="EI",J141="EO",J141="EQ"),0,""),LEN(W141)-LEN(SUBSTITUTE(W141,"、",""))+1))</f>
        <v/>
      </c>
      <c r="N141" s="85">
        <f>IF(OR(Y141="估算法",Y141="算法类",Y141="无法识别"),"",IF(X141="",IF(OR(J141="ILF",J141="EIF"),0,""),LEN(X141)-LEN(SUBSTITUTE(X141,"、",""))+1))</f>
        <v/>
      </c>
      <c r="O141" s="85">
        <f>IF(OR(Y141="估算法",Y141="算法类",Y141="无法识别"),"",IF(Y141="",IF(OR(J141="ILF",J141="EIF",J141="EI",J141="EO",J141="EQ"),0,""),LEN(Y141)-LEN(SUBSTITUTE(SUBSTITUTE(SUBSTITUTE(SUBSTITUTE(SUBSTITUTE(Y141,"|}","--"),"{|","--"),CHAR(10),""),"、",""),"|",""))+IF(AND(OR(J141="EI",J141="EO",J141="EQ"),$AE$1="NESMA"),2,1)))</f>
        <v/>
      </c>
      <c r="P141" s="86">
        <f>IF(J141="EI",IF(OR(Y141="估算法",Y141="算法类"),"中",IF(Y141="无法识别","低",IF(M141&lt;2,IF(O141&lt;16,"低","中"),IF(M141&lt;3,IF(O141&lt;5,"低",IF(O141&lt;16,"中","高")),IF(O141&lt;5,"中","高"))))),IF(OR(J141="EO",J141="EQ"),IF(OR(Y141="估算法",Y141="算法类"),"中",IF(Y141="无法识别","低",IF(M141&lt;2,IF(O141&lt;20,"低","中"),IF(M141&lt;4,IF(O141&lt;6,"低",IF(O141&lt;20,"中","高")),IF(O141&lt;6,"中","高"))))),IF(OR(J141="ILF",J141="EIF"),IF(OR(Y141="估算法",Y141="算法类",Y141="无法识别"),"低",IF(N141&lt;2,IF(O141&lt;51,"低","中"),IF(N141&lt;6,IF(O141&lt;20,"低",IF(O141&lt;51,"中","高")),IF(O141&lt;20,"中","高")))),"不计算")))</f>
        <v/>
      </c>
      <c r="Q141" s="172">
        <f>IFERROR(IF(J141="EI",IF(P141="低",3,IF(P141="中",4,6)),IF(J141="EO",IF(P141="低",4,IF(P141="中",5,7)),IF(J141="EQ",IF(P141="低",3,IF(P141="中",4,6)),IF(J141="ILF",IF(P141="低",7,IF(P141="中",10,15)),IF(J141="EIF",IF(P141="低",5,IF(P141="中",7,10)),"不计算")))))*R141,"不计算")</f>
        <v/>
      </c>
      <c r="R141" s="172" t="n">
        <v>0</v>
      </c>
      <c r="S141" s="173">
        <f>调整因子!$F$13</f>
        <v/>
      </c>
      <c r="T141" s="92" t="n">
        <v>1</v>
      </c>
      <c r="U141" s="174">
        <f>IFERROR(Q141*S141,0)</f>
        <v/>
      </c>
      <c r="V141" s="174">
        <f>U141*T141</f>
        <v/>
      </c>
      <c r="W141" s="91" t="n"/>
      <c r="X141" s="90" t="inlineStr">
        <is>
          <t>资产类型表</t>
        </is>
      </c>
      <c r="Y141" s="90" t="inlineStr">
        <is>
          <t>资产类型表{资产类型ID、类型编码、类型状态、类型名称、描述}</t>
        </is>
      </c>
      <c r="Z141" s="90">
        <f>IF(COUNTIFS(W:W,"*"&amp;I141&amp;"*")&gt;0,"存在","不存在")</f>
        <v/>
      </c>
      <c r="AA141" s="90">
        <f>IF(COUNTIFS(AB:AB,"*"&amp;I141&amp;"*")&gt;0,"存在","不存在")</f>
        <v/>
      </c>
      <c r="AB141" s="90" t="inlineStr">
        <is>
          <t>漏洞挖掘信息表</t>
        </is>
      </c>
      <c r="AC141" s="66" t="n"/>
    </row>
    <row r="142" customFormat="1" s="66">
      <c r="A142" s="72">
        <f>ROW()-1</f>
        <v/>
      </c>
      <c r="B142" s="175" t="n"/>
      <c r="C142" s="80" t="n">
        <v>2025</v>
      </c>
      <c r="D142" s="80" t="inlineStr">
        <is>
          <t>张明峰</t>
        </is>
      </c>
      <c r="E142" s="81">
        <f>VLOOKUP(I142,'25年交付功能（不含废弃）'!A:A,1,FALSE)</f>
        <v/>
      </c>
      <c r="F142" s="175" t="n"/>
      <c r="G142" s="175" t="n"/>
      <c r="H142" s="175" t="n"/>
      <c r="I142" s="98" t="inlineStr">
        <is>
          <t>同源纠偏任务表</t>
        </is>
      </c>
      <c r="J142" s="93" t="inlineStr">
        <is>
          <t>ILF</t>
        </is>
      </c>
      <c r="K142" s="84" t="n"/>
      <c r="L142" s="84" t="n"/>
      <c r="M142" s="85">
        <f>IF(OR(Y142="估算法",Y142="算法类",Y142="无法识别"),"",IF(W142="",IF(OR(J142="EI",J142="EO",J142="EQ"),0,""),LEN(W142)-LEN(SUBSTITUTE(W142,"、",""))+1))</f>
        <v/>
      </c>
      <c r="N142" s="85">
        <f>IF(OR(Y142="估算法",Y142="算法类",Y142="无法识别"),"",IF(X142="",IF(OR(J142="ILF",J142="EIF"),0,""),LEN(X142)-LEN(SUBSTITUTE(X142,"、",""))+1))</f>
        <v/>
      </c>
      <c r="O142" s="85">
        <f>IF(OR(Y142="估算法",Y142="算法类",Y142="无法识别"),"",IF(Y142="",IF(OR(J142="ILF",J142="EIF",J142="EI",J142="EO",J142="EQ"),0,""),LEN(Y142)-LEN(SUBSTITUTE(SUBSTITUTE(SUBSTITUTE(SUBSTITUTE(SUBSTITUTE(Y142,"|}","--"),"{|","--"),CHAR(10),""),"、",""),"|",""))+IF(AND(OR(J142="EI",J142="EO",J142="EQ"),$AE$1="NESMA"),2,1)))</f>
        <v/>
      </c>
      <c r="P142" s="86">
        <f>IF(J142="EI",IF(OR(Y142="估算法",Y142="算法类"),"中",IF(Y142="无法识别","低",IF(M142&lt;2,IF(O142&lt;16,"低","中"),IF(M142&lt;3,IF(O142&lt;5,"低",IF(O142&lt;16,"中","高")),IF(O142&lt;5,"中","高"))))),IF(OR(J142="EO",J142="EQ"),IF(OR(Y142="估算法",Y142="算法类"),"中",IF(Y142="无法识别","低",IF(M142&lt;2,IF(O142&lt;20,"低","中"),IF(M142&lt;4,IF(O142&lt;6,"低",IF(O142&lt;20,"中","高")),IF(O142&lt;6,"中","高"))))),IF(OR(J142="ILF",J142="EIF"),IF(OR(Y142="估算法",Y142="算法类",Y142="无法识别"),"低",IF(N142&lt;2,IF(O142&lt;51,"低","中"),IF(N142&lt;6,IF(O142&lt;20,"低",IF(O142&lt;51,"中","高")),IF(O142&lt;20,"中","高")))),"不计算")))</f>
        <v/>
      </c>
      <c r="Q142" s="172">
        <f>IFERROR(IF(J142="EI",IF(P142="低",3,IF(P142="中",4,6)),IF(J142="EO",IF(P142="低",4,IF(P142="中",5,7)),IF(J142="EQ",IF(P142="低",3,IF(P142="中",4,6)),IF(J142="ILF",IF(P142="低",7,IF(P142="中",10,15)),IF(J142="EIF",IF(P142="低",5,IF(P142="中",7,10)),"不计算")))))*R142,"不计算")</f>
        <v/>
      </c>
      <c r="R142" s="172" t="n">
        <v>1</v>
      </c>
      <c r="S142" s="173">
        <f>调整因子!$F$13</f>
        <v/>
      </c>
      <c r="T142" s="92" t="n">
        <v>1</v>
      </c>
      <c r="U142" s="174">
        <f>IFERROR(Q142*S142,0)</f>
        <v/>
      </c>
      <c r="V142" s="174">
        <f>U142*T142</f>
        <v/>
      </c>
      <c r="W142" s="91" t="n"/>
      <c r="X142" s="90" t="inlineStr">
        <is>
          <t>同源纠偏任务表</t>
        </is>
      </c>
      <c r="Y142" s="90" t="inlineStr">
        <is>
          <t>同源纠偏任务表{任务ID、任务名称、描述、开始时间、结束时间、状态}</t>
        </is>
      </c>
      <c r="Z142" s="90">
        <f>IF(COUNTIFS(W:W,"*"&amp;I142&amp;"*")&gt;0,"存在","不存在")</f>
        <v/>
      </c>
      <c r="AA142" s="90">
        <f>IF(COUNTIFS(AB:AB,"*"&amp;I142&amp;"*")&gt;0,"存在","不存在")</f>
        <v/>
      </c>
      <c r="AB142" s="90" t="inlineStr">
        <is>
          <t>渗透测试信息表</t>
        </is>
      </c>
      <c r="AC142" s="66" t="n"/>
    </row>
    <row r="143" customFormat="1" s="66">
      <c r="A143" s="72">
        <f>ROW()-1</f>
        <v/>
      </c>
      <c r="B143" s="175" t="n"/>
      <c r="C143" s="80" t="n">
        <v>2025</v>
      </c>
      <c r="D143" s="80" t="inlineStr">
        <is>
          <t>张明峰</t>
        </is>
      </c>
      <c r="E143" s="81">
        <f>VLOOKUP(I143,'25年交付功能（不含废弃）'!A:A,1,FALSE)</f>
        <v/>
      </c>
      <c r="F143" s="175" t="n"/>
      <c r="G143" s="175" t="n"/>
      <c r="H143" s="175" t="n"/>
      <c r="I143" s="98" t="inlineStr">
        <is>
          <t>纠偏资产表</t>
        </is>
      </c>
      <c r="J143" s="93" t="inlineStr">
        <is>
          <t>ILF</t>
        </is>
      </c>
      <c r="K143" s="84" t="inlineStr">
        <is>
          <t>添加引用「启动执行同源纠偏」</t>
        </is>
      </c>
      <c r="L143" s="84" t="inlineStr">
        <is>
          <t>数据库表未被本系统所使用</t>
        </is>
      </c>
      <c r="M143" s="85">
        <f>IF(OR(Y143="估算法",Y143="算法类",Y143="无法识别"),"",IF(W143="",IF(OR(J143="EI",J143="EO",J143="EQ"),0,""),LEN(W143)-LEN(SUBSTITUTE(W143,"、",""))+1))</f>
        <v/>
      </c>
      <c r="N143" s="85">
        <f>IF(OR(Y143="估算法",Y143="算法类",Y143="无法识别"),"",IF(X143="",IF(OR(J143="ILF",J143="EIF"),0,""),LEN(X143)-LEN(SUBSTITUTE(X143,"、",""))+1))</f>
        <v/>
      </c>
      <c r="O143" s="85">
        <f>IF(OR(Y143="估算法",Y143="算法类",Y143="无法识别"),"",IF(Y143="",IF(OR(J143="ILF",J143="EIF",J143="EI",J143="EO",J143="EQ"),0,""),LEN(Y143)-LEN(SUBSTITUTE(SUBSTITUTE(SUBSTITUTE(SUBSTITUTE(SUBSTITUTE(Y143,"|}","--"),"{|","--"),CHAR(10),""),"、",""),"|",""))+IF(AND(OR(J143="EI",J143="EO",J143="EQ"),$AE$1="NESMA"),2,1)))</f>
        <v/>
      </c>
      <c r="P143" s="86">
        <f>IF(J143="EI",IF(OR(Y143="估算法",Y143="算法类"),"中",IF(Y143="无法识别","低",IF(M143&lt;2,IF(O143&lt;16,"低","中"),IF(M143&lt;3,IF(O143&lt;5,"低",IF(O143&lt;16,"中","高")),IF(O143&lt;5,"中","高"))))),IF(OR(J143="EO",J143="EQ"),IF(OR(Y143="估算法",Y143="算法类"),"中",IF(Y143="无法识别","低",IF(M143&lt;2,IF(O143&lt;20,"低","中"),IF(M143&lt;4,IF(O143&lt;6,"低",IF(O143&lt;20,"中","高")),IF(O143&lt;6,"中","高"))))),IF(OR(J143="ILF",J143="EIF"),IF(OR(Y143="估算法",Y143="算法类",Y143="无法识别"),"低",IF(N143&lt;2,IF(O143&lt;51,"低","中"),IF(N143&lt;6,IF(O143&lt;20,"低",IF(O143&lt;51,"中","高")),IF(O143&lt;20,"中","高")))),"不计算")))</f>
        <v/>
      </c>
      <c r="Q143" s="172">
        <f>IFERROR(IF(J143="EI",IF(P143="低",3,IF(P143="中",4,6)),IF(J143="EO",IF(P143="低",4,IF(P143="中",5,7)),IF(J143="EQ",IF(P143="低",3,IF(P143="中",4,6)),IF(J143="ILF",IF(P143="低",7,IF(P143="中",10,15)),IF(J143="EIF",IF(P143="低",5,IF(P143="中",7,10)),"不计算")))))*R143,"不计算")</f>
        <v/>
      </c>
      <c r="R143" s="172" t="n">
        <v>1</v>
      </c>
      <c r="S143" s="173">
        <f>调整因子!$F$13</f>
        <v/>
      </c>
      <c r="T143" s="93" t="n">
        <v>1</v>
      </c>
      <c r="U143" s="174">
        <f>IFERROR(Q143*S143,0)</f>
        <v/>
      </c>
      <c r="V143" s="174">
        <f>U143*T143</f>
        <v/>
      </c>
      <c r="W143" s="91" t="n"/>
      <c r="X143" s="90" t="inlineStr">
        <is>
          <t>纠偏资产表</t>
        </is>
      </c>
      <c r="Y143" s="90" t="inlineStr">
        <is>
          <t>纠偏资产表{资产ID、任务ID、原始名称、对齐后名称、状态}</t>
        </is>
      </c>
      <c r="Z143" s="90">
        <f>IF(COUNTIFS(W:W,"*"&amp;I143&amp;"*")&gt;0,"存在","不存在")</f>
        <v/>
      </c>
      <c r="AA143" s="90">
        <f>IF(COUNTIFS(AB:AB,"*"&amp;I143&amp;"*")&gt;0,"存在","不存在")</f>
        <v/>
      </c>
      <c r="AB143" s="90" t="inlineStr">
        <is>
          <t>渗透测试导入模板文件表</t>
        </is>
      </c>
      <c r="AC143" s="66" t="n"/>
    </row>
    <row r="144" customFormat="1" s="66">
      <c r="A144" s="72">
        <f>ROW()-1</f>
        <v/>
      </c>
      <c r="B144" s="175" t="n"/>
      <c r="C144" s="80" t="n">
        <v>2025</v>
      </c>
      <c r="D144" s="80" t="inlineStr">
        <is>
          <t>张明峰</t>
        </is>
      </c>
      <c r="E144" s="81">
        <f>VLOOKUP(I144,'25年交付功能（不含废弃）'!A:A,1,FALSE)</f>
        <v/>
      </c>
      <c r="F144" s="175" t="n"/>
      <c r="G144" s="175" t="n"/>
      <c r="H144" s="175" t="n"/>
      <c r="I144" s="98" t="inlineStr">
        <is>
          <t>资产组件表</t>
        </is>
      </c>
      <c r="J144" s="93" t="n"/>
      <c r="K144" s="101" t="inlineStr">
        <is>
          <t>删除</t>
        </is>
      </c>
      <c r="L144" s="84" t="inlineStr">
        <is>
          <t>重复数据库表</t>
        </is>
      </c>
      <c r="M144" s="85">
        <f>IF(OR(Y144="估算法",Y144="算法类",Y144="无法识别"),"",IF(W144="",IF(OR(J144="EI",J144="EO",J144="EQ"),0,""),LEN(W144)-LEN(SUBSTITUTE(W144,"、",""))+1))</f>
        <v/>
      </c>
      <c r="N144" s="85">
        <f>IF(OR(Y144="估算法",Y144="算法类",Y144="无法识别"),"",IF(X144="",IF(OR(J144="ILF",J144="EIF"),0,""),LEN(X144)-LEN(SUBSTITUTE(X144,"、",""))+1))</f>
        <v/>
      </c>
      <c r="O144" s="85">
        <f>IF(OR(Y144="估算法",Y144="算法类",Y144="无法识别"),"",IF(Y144="",IF(OR(J144="ILF",J144="EIF",J144="EI",J144="EO",J144="EQ"),0,""),LEN(Y144)-LEN(SUBSTITUTE(SUBSTITUTE(SUBSTITUTE(SUBSTITUTE(SUBSTITUTE(Y144,"|}","--"),"{|","--"),CHAR(10),""),"、",""),"|",""))+IF(AND(OR(J144="EI",J144="EO",J144="EQ"),$AE$1="NESMA"),2,1)))</f>
        <v/>
      </c>
      <c r="P144" s="86">
        <f>IF(J144="EI",IF(OR(Y144="估算法",Y144="算法类"),"中",IF(Y144="无法识别","低",IF(M144&lt;2,IF(O144&lt;16,"低","中"),IF(M144&lt;3,IF(O144&lt;5,"低",IF(O144&lt;16,"中","高")),IF(O144&lt;5,"中","高"))))),IF(OR(J144="EO",J144="EQ"),IF(OR(Y144="估算法",Y144="算法类"),"中",IF(Y144="无法识别","低",IF(M144&lt;2,IF(O144&lt;20,"低","中"),IF(M144&lt;4,IF(O144&lt;6,"低",IF(O144&lt;20,"中","高")),IF(O144&lt;6,"中","高"))))),IF(OR(J144="ILF",J144="EIF"),IF(OR(Y144="估算法",Y144="算法类",Y144="无法识别"),"低",IF(N144&lt;2,IF(O144&lt;51,"低","中"),IF(N144&lt;6,IF(O144&lt;20,"低",IF(O144&lt;51,"中","高")),IF(O144&lt;20,"中","高")))),"不计算")))</f>
        <v/>
      </c>
      <c r="Q144" s="172">
        <f>IFERROR(IF(J144="EI",IF(P144="低",3,IF(P144="中",4,6)),IF(J144="EO",IF(P144="低",4,IF(P144="中",5,7)),IF(J144="EQ",IF(P144="低",3,IF(P144="中",4,6)),IF(J144="ILF",IF(P144="低",7,IF(P144="中",10,15)),IF(J144="EIF",IF(P144="低",5,IF(P144="中",7,10)),"不计算")))))*R144,"不计算")</f>
        <v/>
      </c>
      <c r="R144" s="172" t="n">
        <v>1</v>
      </c>
      <c r="S144" s="173">
        <f>调整因子!$F$13</f>
        <v/>
      </c>
      <c r="T144" s="92" t="n">
        <v>1</v>
      </c>
      <c r="U144" s="174">
        <f>IFERROR(Q144*S144,0)</f>
        <v/>
      </c>
      <c r="V144" s="174">
        <f>U144*T144</f>
        <v/>
      </c>
      <c r="W144" s="91" t="n"/>
      <c r="X144" s="90" t="inlineStr">
        <is>
          <t>资产组件表</t>
        </is>
      </c>
      <c r="Y144" s="90" t="inlineStr">
        <is>
          <t>资产组件表{组件ID、资产ID、组件名称、版本、安装路径}</t>
        </is>
      </c>
      <c r="Z144" s="90">
        <f>IF(COUNTIFS(W:W,"*"&amp;I144&amp;"*")&gt;0,"存在","不存在")</f>
        <v/>
      </c>
      <c r="AA144" s="90">
        <f>IF(COUNTIFS(AB:AB,"*"&amp;I144&amp;"*")&gt;0,"存在","不存在")</f>
        <v/>
      </c>
      <c r="AB144" s="90" t="inlineStr">
        <is>
          <t>渗透测试发现的系统漏洞表</t>
        </is>
      </c>
      <c r="AC144" s="66" t="n"/>
    </row>
    <row r="145" customFormat="1" s="66">
      <c r="A145" s="72">
        <f>ROW()-1</f>
        <v/>
      </c>
      <c r="B145" s="175" t="n"/>
      <c r="C145" s="80" t="n">
        <v>2025</v>
      </c>
      <c r="D145" s="80" t="inlineStr">
        <is>
          <t>张明峰</t>
        </is>
      </c>
      <c r="E145" s="81">
        <f>VLOOKUP(I145,'25年交付功能（不含废弃）'!A:A,1,FALSE)</f>
        <v/>
      </c>
      <c r="F145" s="175" t="n"/>
      <c r="G145" s="175" t="n"/>
      <c r="H145" s="175" t="n"/>
      <c r="I145" s="98" t="inlineStr">
        <is>
          <t>任务执行实例表</t>
        </is>
      </c>
      <c r="J145" s="93" t="inlineStr">
        <is>
          <t>ILF</t>
        </is>
      </c>
      <c r="K145" s="84" t="inlineStr">
        <is>
          <t>添加引用「启动执行同源纠偏」</t>
        </is>
      </c>
      <c r="L145" s="84" t="inlineStr">
        <is>
          <t>数据库表未被本系统所使用</t>
        </is>
      </c>
      <c r="M145" s="85">
        <f>IF(OR(Y145="估算法",Y145="算法类",Y145="无法识别"),"",IF(W145="",IF(OR(J145="EI",J145="EO",J145="EQ"),0,""),LEN(W145)-LEN(SUBSTITUTE(W145,"、",""))+1))</f>
        <v/>
      </c>
      <c r="N145" s="85">
        <f>IF(OR(Y145="估算法",Y145="算法类",Y145="无法识别"),"",IF(X145="",IF(OR(J145="ILF",J145="EIF"),0,""),LEN(X145)-LEN(SUBSTITUTE(X145,"、",""))+1))</f>
        <v/>
      </c>
      <c r="O145" s="85">
        <f>IF(OR(Y145="估算法",Y145="算法类",Y145="无法识别"),"",IF(Y145="",IF(OR(J145="ILF",J145="EIF",J145="EI",J145="EO",J145="EQ"),0,""),LEN(Y145)-LEN(SUBSTITUTE(SUBSTITUTE(SUBSTITUTE(SUBSTITUTE(SUBSTITUTE(Y145,"|}","--"),"{|","--"),CHAR(10),""),"、",""),"|",""))+IF(AND(OR(J145="EI",J145="EO",J145="EQ"),$AE$1="NESMA"),2,1)))</f>
        <v/>
      </c>
      <c r="P145" s="86">
        <f>IF(J145="EI",IF(OR(Y145="估算法",Y145="算法类"),"中",IF(Y145="无法识别","低",IF(M145&lt;2,IF(O145&lt;16,"低","中"),IF(M145&lt;3,IF(O145&lt;5,"低",IF(O145&lt;16,"中","高")),IF(O145&lt;5,"中","高"))))),IF(OR(J145="EO",J145="EQ"),IF(OR(Y145="估算法",Y145="算法类"),"中",IF(Y145="无法识别","低",IF(M145&lt;2,IF(O145&lt;20,"低","中"),IF(M145&lt;4,IF(O145&lt;6,"低",IF(O145&lt;20,"中","高")),IF(O145&lt;6,"中","高"))))),IF(OR(J145="ILF",J145="EIF"),IF(OR(Y145="估算法",Y145="算法类",Y145="无法识别"),"低",IF(N145&lt;2,IF(O145&lt;51,"低","中"),IF(N145&lt;6,IF(O145&lt;20,"低",IF(O145&lt;51,"中","高")),IF(O145&lt;20,"中","高")))),"不计算")))</f>
        <v/>
      </c>
      <c r="Q145" s="172">
        <f>IFERROR(IF(J145="EI",IF(P145="低",3,IF(P145="中",4,6)),IF(J145="EO",IF(P145="低",4,IF(P145="中",5,7)),IF(J145="EQ",IF(P145="低",3,IF(P145="中",4,6)),IF(J145="ILF",IF(P145="低",7,IF(P145="中",10,15)),IF(J145="EIF",IF(P145="低",5,IF(P145="中",7,10)),"不计算")))))*R145,"不计算")</f>
        <v/>
      </c>
      <c r="R145" s="172" t="n">
        <v>1</v>
      </c>
      <c r="S145" s="173">
        <f>调整因子!$F$13</f>
        <v/>
      </c>
      <c r="T145" s="92" t="n">
        <v>1</v>
      </c>
      <c r="U145" s="174">
        <f>IFERROR(Q145*S145,0)</f>
        <v/>
      </c>
      <c r="V145" s="174">
        <f>U145*T145</f>
        <v/>
      </c>
      <c r="W145" s="91" t="n"/>
      <c r="X145" s="90" t="inlineStr">
        <is>
          <t>任务执行实例表</t>
        </is>
      </c>
      <c r="Y145" s="90" t="inlineStr">
        <is>
          <t>任务执行实例表{实例ID、任务ID、资产ID、状态、开始时间、结束时间}</t>
        </is>
      </c>
      <c r="Z145" s="90">
        <f>IF(COUNTIFS(W:W,"*"&amp;I145&amp;"*")&gt;0,"存在","不存在")</f>
        <v/>
      </c>
      <c r="AA145" s="90">
        <f>IF(COUNTIFS(AB:AB,"*"&amp;I145&amp;"*")&gt;0,"存在","不存在")</f>
        <v/>
      </c>
      <c r="AB145" s="90" t="inlineStr">
        <is>
          <t>渗透测试信息表</t>
        </is>
      </c>
      <c r="AC145" s="66" t="n"/>
    </row>
    <row r="146" customFormat="1" s="66">
      <c r="A146" s="72">
        <f>ROW()-1</f>
        <v/>
      </c>
      <c r="B146" s="175" t="n"/>
      <c r="C146" s="80" t="n">
        <v>2025</v>
      </c>
      <c r="D146" s="80" t="inlineStr">
        <is>
          <t>张明峰</t>
        </is>
      </c>
      <c r="E146" s="81">
        <f>VLOOKUP(I146,'25年交付功能（不含废弃）'!A:A,1,FALSE)</f>
        <v/>
      </c>
      <c r="F146" s="175" t="n"/>
      <c r="G146" s="175" t="n"/>
      <c r="H146" s="176" t="n"/>
      <c r="I146" s="98" t="inlineStr">
        <is>
          <t>纠偏结果表</t>
        </is>
      </c>
      <c r="J146" s="93" t="inlineStr">
        <is>
          <t>ILF</t>
        </is>
      </c>
      <c r="K146" s="84" t="n"/>
      <c r="L146" s="84" t="n"/>
      <c r="M146" s="85">
        <f>IF(OR(Y146="估算法",Y146="算法类",Y146="无法识别"),"",IF(W146="",IF(OR(J146="EI",J146="EO",J146="EQ"),0,""),LEN(W146)-LEN(SUBSTITUTE(W146,"、",""))+1))</f>
        <v/>
      </c>
      <c r="N146" s="85">
        <f>IF(OR(Y146="估算法",Y146="算法类",Y146="无法识别"),"",IF(X146="",IF(OR(J146="ILF",J146="EIF"),0,""),LEN(X146)-LEN(SUBSTITUTE(X146,"、",""))+1))</f>
        <v/>
      </c>
      <c r="O146" s="85">
        <f>IF(OR(Y146="估算法",Y146="算法类",Y146="无法识别"),"",IF(Y146="",IF(OR(J146="ILF",J146="EIF",J146="EI",J146="EO",J146="EQ"),0,""),LEN(Y146)-LEN(SUBSTITUTE(SUBSTITUTE(SUBSTITUTE(SUBSTITUTE(SUBSTITUTE(Y146,"|}","--"),"{|","--"),CHAR(10),""),"、",""),"|",""))+IF(AND(OR(J146="EI",J146="EO",J146="EQ"),$AE$1="NESMA"),2,1)))</f>
        <v/>
      </c>
      <c r="P146" s="86">
        <f>IF(J146="EI",IF(OR(Y146="估算法",Y146="算法类"),"中",IF(Y146="无法识别","低",IF(M146&lt;2,IF(O146&lt;16,"低","中"),IF(M146&lt;3,IF(O146&lt;5,"低",IF(O146&lt;16,"中","高")),IF(O146&lt;5,"中","高"))))),IF(OR(J146="EO",J146="EQ"),IF(OR(Y146="估算法",Y146="算法类"),"中",IF(Y146="无法识别","低",IF(M146&lt;2,IF(O146&lt;20,"低","中"),IF(M146&lt;4,IF(O146&lt;6,"低",IF(O146&lt;20,"中","高")),IF(O146&lt;6,"中","高"))))),IF(OR(J146="ILF",J146="EIF"),IF(OR(Y146="估算法",Y146="算法类",Y146="无法识别"),"低",IF(N146&lt;2,IF(O146&lt;51,"低","中"),IF(N146&lt;6,IF(O146&lt;20,"低",IF(O146&lt;51,"中","高")),IF(O146&lt;20,"中","高")))),"不计算")))</f>
        <v/>
      </c>
      <c r="Q146" s="172">
        <f>IFERROR(IF(J146="EI",IF(P146="低",3,IF(P146="中",4,6)),IF(J146="EO",IF(P146="低",4,IF(P146="中",5,7)),IF(J146="EQ",IF(P146="低",3,IF(P146="中",4,6)),IF(J146="ILF",IF(P146="低",7,IF(P146="中",10,15)),IF(J146="EIF",IF(P146="低",5,IF(P146="中",7,10)),"不计算")))))*R146,"不计算")</f>
        <v/>
      </c>
      <c r="R146" s="172" t="n">
        <v>1</v>
      </c>
      <c r="S146" s="173">
        <f>调整因子!$F$13</f>
        <v/>
      </c>
      <c r="T146" s="93" t="n">
        <v>1</v>
      </c>
      <c r="U146" s="174">
        <f>IFERROR(Q146*S146,0)</f>
        <v/>
      </c>
      <c r="V146" s="174">
        <f>U146*T146</f>
        <v/>
      </c>
      <c r="W146" s="91" t="n"/>
      <c r="X146" s="90" t="inlineStr">
        <is>
          <t>纠偏结果表</t>
        </is>
      </c>
      <c r="Y146" s="90" t="inlineStr">
        <is>
          <t>纠偏结果表{结果ID、任务ID、资产ID、组件名称、组件版本、组件厂商、状态}</t>
        </is>
      </c>
      <c r="Z146" s="90">
        <f>IF(COUNTIFS(W:W,"*"&amp;I146&amp;"*")&gt;0,"存在","不存在")</f>
        <v/>
      </c>
      <c r="AA146" s="90">
        <f>IF(COUNTIFS(AB:AB,"*"&amp;I146&amp;"*")&gt;0,"存在","不存在")</f>
        <v/>
      </c>
      <c r="AB146" s="90" t="inlineStr">
        <is>
          <t>渗透测试信息表</t>
        </is>
      </c>
      <c r="AC146" s="66" t="n"/>
    </row>
    <row r="147" customFormat="1" s="66">
      <c r="A147" s="72">
        <f>ROW()-1</f>
        <v/>
      </c>
      <c r="B147" s="175" t="n"/>
      <c r="C147" s="80" t="n">
        <v>2025</v>
      </c>
      <c r="D147" s="80" t="inlineStr">
        <is>
          <t>张明峰</t>
        </is>
      </c>
      <c r="E147" s="81">
        <f>VLOOKUP(I147,'25年交付功能（不含废弃）'!A:A,1,FALSE)</f>
        <v/>
      </c>
      <c r="F147" s="175" t="n"/>
      <c r="G147" s="175" t="n"/>
      <c r="H147" s="93" t="inlineStr">
        <is>
          <t>漏洞指纹信息管理</t>
        </is>
      </c>
      <c r="I147" s="98" t="inlineStr">
        <is>
          <t>启动或停止同步指纹信息自动化收集</t>
        </is>
      </c>
      <c r="J147" s="93" t="inlineStr">
        <is>
          <t>EI</t>
        </is>
      </c>
      <c r="K147" s="84" t="n"/>
      <c r="L147" s="84" t="n"/>
      <c r="M147" s="85">
        <f>IF(OR(Y147="估算法",Y147="算法类",Y147="无法识别"),"",IF(W147="",IF(OR(J147="EI",J147="EO",J147="EQ"),0,""),LEN(W147)-LEN(SUBSTITUTE(W147,"、",""))+1))</f>
        <v/>
      </c>
      <c r="N147" s="85">
        <f>IF(OR(Y147="估算法",Y147="算法类",Y147="无法识别"),"",IF(X147="",IF(OR(J147="ILF",J147="EIF"),0,""),LEN(X147)-LEN(SUBSTITUTE(X147,"、",""))+1))</f>
        <v/>
      </c>
      <c r="O147" s="85">
        <f>IF(OR(Y147="估算法",Y147="算法类",Y147="无法识别"),"",IF(Y147="",IF(OR(J147="ILF",J147="EIF",J147="EI",J147="EO",J147="EQ"),0,""),LEN(Y147)-LEN(SUBSTITUTE(SUBSTITUTE(SUBSTITUTE(SUBSTITUTE(SUBSTITUTE(Y147,"|}","--"),"{|","--"),CHAR(10),""),"、",""),"|",""))+IF(AND(OR(J147="EI",J147="EO",J147="EQ"),$AE$1="NESMA"),2,1)))</f>
        <v/>
      </c>
      <c r="P147" s="86">
        <f>IF(J147="EI",IF(OR(Y147="估算法",Y147="算法类"),"中",IF(Y147="无法识别","低",IF(M147&lt;2,IF(O147&lt;16,"低","中"),IF(M147&lt;3,IF(O147&lt;5,"低",IF(O147&lt;16,"中","高")),IF(O147&lt;5,"中","高"))))),IF(OR(J147="EO",J147="EQ"),IF(OR(Y147="估算法",Y147="算法类"),"中",IF(Y147="无法识别","低",IF(M147&lt;2,IF(O147&lt;20,"低","中"),IF(M147&lt;4,IF(O147&lt;6,"低",IF(O147&lt;20,"中","高")),IF(O147&lt;6,"中","高"))))),IF(OR(J147="ILF",J147="EIF"),IF(OR(Y147="估算法",Y147="算法类",Y147="无法识别"),"低",IF(N147&lt;2,IF(O147&lt;51,"低","中"),IF(N147&lt;6,IF(O147&lt;20,"低",IF(O147&lt;51,"中","高")),IF(O147&lt;20,"中","高")))),"不计算")))</f>
        <v/>
      </c>
      <c r="Q147" s="172">
        <f>IFERROR(IF(J147="EI",IF(P147="低",3,IF(P147="中",4,6)),IF(J147="EO",IF(P147="低",4,IF(P147="中",5,7)),IF(J147="EQ",IF(P147="低",3,IF(P147="中",4,6)),IF(J147="ILF",IF(P147="低",7,IF(P147="中",10,15)),IF(J147="EIF",IF(P147="低",5,IF(P147="中",7,10)),"不计算")))))*R147,"不计算")</f>
        <v/>
      </c>
      <c r="R147" s="172" t="n">
        <v>1</v>
      </c>
      <c r="S147" s="173">
        <f>调整因子!$F$13</f>
        <v/>
      </c>
      <c r="T147" s="92" t="n">
        <v>1</v>
      </c>
      <c r="U147" s="174">
        <f>IFERROR(Q147*S147,0)</f>
        <v/>
      </c>
      <c r="V147" s="174">
        <f>U147*T147</f>
        <v/>
      </c>
      <c r="W147" s="90" t="inlineStr">
        <is>
          <t>漏洞指纹同步接口文件、漏洞指纹启动或停止记录表</t>
        </is>
      </c>
      <c r="X147" s="91" t="n"/>
      <c r="Y147" s="90" t="inlineStr">
        <is>
          <t>漏洞指纹同步接口文件{文件ID、任务ID、文件路径、上传时间}、漏洞指纹启动或停止记录表{记录ID、操作类型、操作时间、操作人}</t>
        </is>
      </c>
      <c r="Z147" s="90" t="n"/>
      <c r="AA147" s="90" t="n"/>
      <c r="AB147" s="90" t="inlineStr">
        <is>
          <t>台账上报内容表</t>
        </is>
      </c>
      <c r="AC147" s="66" t="n"/>
    </row>
    <row r="148" customFormat="1" s="66">
      <c r="A148" s="72">
        <f>ROW()-1</f>
        <v/>
      </c>
      <c r="B148" s="175" t="n"/>
      <c r="C148" s="80" t="n">
        <v>2025</v>
      </c>
      <c r="D148" s="80" t="inlineStr">
        <is>
          <t>张明峰</t>
        </is>
      </c>
      <c r="E148" s="81">
        <f>VLOOKUP(I148,'25年交付功能（不含废弃）'!A:A,1,FALSE)</f>
        <v/>
      </c>
      <c r="F148" s="175" t="n"/>
      <c r="G148" s="175" t="n"/>
      <c r="H148" s="175" t="n"/>
      <c r="I148" s="98" t="inlineStr">
        <is>
          <t>修改漏洞指纹信息收集配置信息</t>
        </is>
      </c>
      <c r="J148" s="92" t="inlineStr">
        <is>
          <t>EI</t>
        </is>
      </c>
      <c r="K148" s="84" t="n"/>
      <c r="L148" s="84" t="n"/>
      <c r="M148" s="85">
        <f>IF(OR(Y148="估算法",Y148="算法类",Y148="无法识别"),"",IF(W148="",IF(OR(J148="EI",J148="EO",J148="EQ"),0,""),LEN(W148)-LEN(SUBSTITUTE(W148,"、",""))+1))</f>
        <v/>
      </c>
      <c r="N148" s="85">
        <f>IF(OR(Y148="估算法",Y148="算法类",Y148="无法识别"),"",IF(X148="",IF(OR(J148="ILF",J148="EIF"),0,""),LEN(X148)-LEN(SUBSTITUTE(X148,"、",""))+1))</f>
        <v/>
      </c>
      <c r="O148" s="85">
        <f>IF(OR(Y148="估算法",Y148="算法类",Y148="无法识别"),"",IF(Y148="",IF(OR(J148="ILF",J148="EIF",J148="EI",J148="EO",J148="EQ"),0,""),LEN(Y148)-LEN(SUBSTITUTE(SUBSTITUTE(SUBSTITUTE(SUBSTITUTE(SUBSTITUTE(Y148,"|}","--"),"{|","--"),CHAR(10),""),"、",""),"|",""))+IF(AND(OR(J148="EI",J148="EO",J148="EQ"),$AE$1="NESMA"),2,1)))</f>
        <v/>
      </c>
      <c r="P148" s="86">
        <f>IF(J148="EI",IF(OR(Y148="估算法",Y148="算法类"),"中",IF(Y148="无法识别","低",IF(M148&lt;2,IF(O148&lt;16,"低","中"),IF(M148&lt;3,IF(O148&lt;5,"低",IF(O148&lt;16,"中","高")),IF(O148&lt;5,"中","高"))))),IF(OR(J148="EO",J148="EQ"),IF(OR(Y148="估算法",Y148="算法类"),"中",IF(Y148="无法识别","低",IF(M148&lt;2,IF(O148&lt;20,"低","中"),IF(M148&lt;4,IF(O148&lt;6,"低",IF(O148&lt;20,"中","高")),IF(O148&lt;6,"中","高"))))),IF(OR(J148="ILF",J148="EIF"),IF(OR(Y148="估算法",Y148="算法类",Y148="无法识别"),"低",IF(N148&lt;2,IF(O148&lt;51,"低","中"),IF(N148&lt;6,IF(O148&lt;20,"低",IF(O148&lt;51,"中","高")),IF(O148&lt;20,"中","高")))),"不计算")))</f>
        <v/>
      </c>
      <c r="Q148" s="172">
        <f>IFERROR(IF(J148="EI",IF(P148="低",3,IF(P148="中",4,6)),IF(J148="EO",IF(P148="低",4,IF(P148="中",5,7)),IF(J148="EQ",IF(P148="低",3,IF(P148="中",4,6)),IF(J148="ILF",IF(P148="低",7,IF(P148="中",10,15)),IF(J148="EIF",IF(P148="低",5,IF(P148="中",7,10)),"不计算")))))*R148,"不计算")</f>
        <v/>
      </c>
      <c r="R148" s="172" t="n">
        <v>0.333333333333333</v>
      </c>
      <c r="S148" s="173">
        <f>调整因子!$F$13</f>
        <v/>
      </c>
      <c r="T148" s="92" t="n">
        <v>1</v>
      </c>
      <c r="U148" s="174">
        <f>IFERROR(Q148*S148,0)</f>
        <v/>
      </c>
      <c r="V148" s="174">
        <f>U148*T148</f>
        <v/>
      </c>
      <c r="W148" s="90" t="inlineStr">
        <is>
          <t>漏洞指纹同步配置表、漏洞指纹同步类型表</t>
        </is>
      </c>
      <c r="X148" s="91" t="n"/>
      <c r="Y148" s="90" t="inlineStr">
        <is>
          <t>漏洞指纹同步配置表{配置ID、配置名称、配置参数、创建时间}、漏洞指纹同步类型表{类型ID、类型名称、描述}</t>
        </is>
      </c>
      <c r="Z148" s="90" t="n"/>
      <c r="AA148" s="90" t="n"/>
      <c r="AB148" s="90" t="inlineStr">
        <is>
          <t>台账上报内容表</t>
        </is>
      </c>
      <c r="AC148" s="66" t="n"/>
    </row>
    <row r="149" customFormat="1" s="66">
      <c r="A149" s="72">
        <f>ROW()-1</f>
        <v/>
      </c>
      <c r="B149" s="175" t="n"/>
      <c r="C149" s="80" t="n">
        <v>2025</v>
      </c>
      <c r="D149" s="80" t="inlineStr">
        <is>
          <t>张明峰</t>
        </is>
      </c>
      <c r="E149" s="81">
        <f>VLOOKUP(I149,'25年交付功能（不含废弃）'!A:A,1,FALSE)</f>
        <v/>
      </c>
      <c r="F149" s="175" t="n"/>
      <c r="G149" s="175" t="n"/>
      <c r="H149" s="175" t="n"/>
      <c r="I149" s="98" t="inlineStr">
        <is>
          <t>查询漏洞指纹信息收集记录</t>
        </is>
      </c>
      <c r="J149" s="93" t="inlineStr">
        <is>
          <t>EO</t>
        </is>
      </c>
      <c r="K149" s="84" t="n"/>
      <c r="L149" s="84" t="n"/>
      <c r="M149" s="85">
        <f>IF(OR(Y149="估算法",Y149="算法类",Y149="无法识别"),"",IF(W149="",IF(OR(J149="EI",J149="EO",J149="EQ"),0,""),LEN(W149)-LEN(SUBSTITUTE(W149,"、",""))+1))</f>
        <v/>
      </c>
      <c r="N149" s="85">
        <f>IF(OR(Y149="估算法",Y149="算法类",Y149="无法识别"),"",IF(X149="",IF(OR(J149="ILF",J149="EIF"),0,""),LEN(X149)-LEN(SUBSTITUTE(X149,"、",""))+1))</f>
        <v/>
      </c>
      <c r="O149" s="85">
        <f>IF(OR(Y149="估算法",Y149="算法类",Y149="无法识别"),"",IF(Y149="",IF(OR(J149="ILF",J149="EIF",J149="EI",J149="EO",J149="EQ"),0,""),LEN(Y149)-LEN(SUBSTITUTE(SUBSTITUTE(SUBSTITUTE(SUBSTITUTE(SUBSTITUTE(Y149,"|}","--"),"{|","--"),CHAR(10),""),"、",""),"|",""))+IF(AND(OR(J149="EI",J149="EO",J149="EQ"),$AE$1="NESMA"),2,1)))</f>
        <v/>
      </c>
      <c r="P149" s="86">
        <f>IF(J149="EI",IF(OR(Y149="估算法",Y149="算法类"),"中",IF(Y149="无法识别","低",IF(M149&lt;2,IF(O149&lt;16,"低","中"),IF(M149&lt;3,IF(O149&lt;5,"低",IF(O149&lt;16,"中","高")),IF(O149&lt;5,"中","高"))))),IF(OR(J149="EO",J149="EQ"),IF(OR(Y149="估算法",Y149="算法类"),"中",IF(Y149="无法识别","低",IF(M149&lt;2,IF(O149&lt;20,"低","中"),IF(M149&lt;4,IF(O149&lt;6,"低",IF(O149&lt;20,"中","高")),IF(O149&lt;6,"中","高"))))),IF(OR(J149="ILF",J149="EIF"),IF(OR(Y149="估算法",Y149="算法类",Y149="无法识别"),"低",IF(N149&lt;2,IF(O149&lt;51,"低","中"),IF(N149&lt;6,IF(O149&lt;20,"低",IF(O149&lt;51,"中","高")),IF(O149&lt;20,"中","高")))),"不计算")))</f>
        <v/>
      </c>
      <c r="Q149" s="172">
        <f>IFERROR(IF(J149="EI",IF(P149="低",3,IF(P149="中",4,6)),IF(J149="EO",IF(P149="低",4,IF(P149="中",5,7)),IF(J149="EQ",IF(P149="低",3,IF(P149="中",4,6)),IF(J149="ILF",IF(P149="低",7,IF(P149="中",10,15)),IF(J149="EIF",IF(P149="低",5,IF(P149="中",7,10)),"不计算")))))*R149,"不计算")</f>
        <v/>
      </c>
      <c r="R149" s="172" t="n">
        <v>1</v>
      </c>
      <c r="S149" s="173">
        <f>调整因子!$F$13</f>
        <v/>
      </c>
      <c r="T149" s="93" t="n">
        <v>1</v>
      </c>
      <c r="U149" s="174">
        <f>IFERROR(Q149*S149,0)</f>
        <v/>
      </c>
      <c r="V149" s="174">
        <f>U149*T149</f>
        <v/>
      </c>
      <c r="W149" s="90" t="inlineStr">
        <is>
          <t>漏洞指纹启动或停止记录表</t>
        </is>
      </c>
      <c r="X149" s="91" t="n"/>
      <c r="Y149" s="90" t="inlineStr">
        <is>
          <t>漏洞指纹启动或停止记录表{记录ID、操作类型、操作时间、操作人}</t>
        </is>
      </c>
      <c r="Z149" s="90" t="n"/>
      <c r="AA149" s="90" t="n"/>
      <c r="AB149" s="90" t="inlineStr">
        <is>
          <t>台账上报内容表</t>
        </is>
      </c>
      <c r="AC149" s="66" t="n"/>
    </row>
    <row r="150" customFormat="1" s="66">
      <c r="A150" s="72">
        <f>ROW()-1</f>
        <v/>
      </c>
      <c r="B150" s="175" t="n"/>
      <c r="C150" s="80" t="n">
        <v>2025</v>
      </c>
      <c r="D150" s="80" t="inlineStr">
        <is>
          <t>张明峰</t>
        </is>
      </c>
      <c r="E150" s="81">
        <f>VLOOKUP(I150,'25年交付功能（不含废弃）'!A:A,1,FALSE)</f>
        <v/>
      </c>
      <c r="F150" s="175" t="n"/>
      <c r="G150" s="175" t="n"/>
      <c r="H150" s="175" t="n"/>
      <c r="I150" s="98" t="inlineStr">
        <is>
          <t>删除漏洞指纹信息收集记录</t>
        </is>
      </c>
      <c r="J150" s="93" t="inlineStr">
        <is>
          <t>EI</t>
        </is>
      </c>
      <c r="K150" s="84" t="n"/>
      <c r="L150" s="84" t="n"/>
      <c r="M150" s="85">
        <f>IF(OR(Y150="估算法",Y150="算法类",Y150="无法识别"),"",IF(W150="",IF(OR(J150="EI",J150="EO",J150="EQ"),0,""),LEN(W150)-LEN(SUBSTITUTE(W150,"、",""))+1))</f>
        <v/>
      </c>
      <c r="N150" s="85">
        <f>IF(OR(Y150="估算法",Y150="算法类",Y150="无法识别"),"",IF(X150="",IF(OR(J150="ILF",J150="EIF"),0,""),LEN(X150)-LEN(SUBSTITUTE(X150,"、",""))+1))</f>
        <v/>
      </c>
      <c r="O150" s="85">
        <f>IF(OR(Y150="估算法",Y150="算法类",Y150="无法识别"),"",IF(Y150="",IF(OR(J150="ILF",J150="EIF",J150="EI",J150="EO",J150="EQ"),0,""),LEN(Y150)-LEN(SUBSTITUTE(SUBSTITUTE(SUBSTITUTE(SUBSTITUTE(SUBSTITUTE(Y150,"|}","--"),"{|","--"),CHAR(10),""),"、",""),"|",""))+IF(AND(OR(J150="EI",J150="EO",J150="EQ"),$AE$1="NESMA"),2,1)))</f>
        <v/>
      </c>
      <c r="P150" s="86">
        <f>IF(J150="EI",IF(OR(Y150="估算法",Y150="算法类"),"中",IF(Y150="无法识别","低",IF(M150&lt;2,IF(O150&lt;16,"低","中"),IF(M150&lt;3,IF(O150&lt;5,"低",IF(O150&lt;16,"中","高")),IF(O150&lt;5,"中","高"))))),IF(OR(J150="EO",J150="EQ"),IF(OR(Y150="估算法",Y150="算法类"),"中",IF(Y150="无法识别","低",IF(M150&lt;2,IF(O150&lt;20,"低","中"),IF(M150&lt;4,IF(O150&lt;6,"低",IF(O150&lt;20,"中","高")),IF(O150&lt;6,"中","高"))))),IF(OR(J150="ILF",J150="EIF"),IF(OR(Y150="估算法",Y150="算法类",Y150="无法识别"),"低",IF(N150&lt;2,IF(O150&lt;51,"低","中"),IF(N150&lt;6,IF(O150&lt;20,"低",IF(O150&lt;51,"中","高")),IF(O150&lt;20,"中","高")))),"不计算")))</f>
        <v/>
      </c>
      <c r="Q150" s="172">
        <f>IFERROR(IF(J150="EI",IF(P150="低",3,IF(P150="中",4,6)),IF(J150="EO",IF(P150="低",4,IF(P150="中",5,7)),IF(J150="EQ",IF(P150="低",3,IF(P150="中",4,6)),IF(J150="ILF",IF(P150="低",7,IF(P150="中",10,15)),IF(J150="EIF",IF(P150="低",5,IF(P150="中",7,10)),"不计算")))))*R150,"不计算")</f>
        <v/>
      </c>
      <c r="R150" s="172" t="n">
        <v>0.333333333333333</v>
      </c>
      <c r="S150" s="173">
        <f>调整因子!$F$13</f>
        <v/>
      </c>
      <c r="T150" s="92" t="n">
        <v>1</v>
      </c>
      <c r="U150" s="174">
        <f>IFERROR(Q150*S150,0)</f>
        <v/>
      </c>
      <c r="V150" s="174">
        <f>U150*T150</f>
        <v/>
      </c>
      <c r="W150" s="90" t="inlineStr">
        <is>
          <t>漏洞指纹启动或停止记录表</t>
        </is>
      </c>
      <c r="X150" s="91" t="n"/>
      <c r="Y150" s="90" t="inlineStr">
        <is>
          <t>漏洞指纹启动或停止记录表{记录ID、操作类型、操作时间、操作人}</t>
        </is>
      </c>
      <c r="Z150" s="90" t="n"/>
      <c r="AA150" s="90" t="n"/>
      <c r="AB150" s="90" t="inlineStr">
        <is>
          <t>漏洞扫描设备规划、扫描节点表、扫描器表、扫描器版本表、扫描器分类表、安全厂商信息、资产管理表、漏洞扫描设备规划历史表</t>
        </is>
      </c>
      <c r="AC150" s="66" t="n"/>
    </row>
    <row r="151" customFormat="1" s="66">
      <c r="A151" s="72">
        <f>ROW()-1</f>
        <v/>
      </c>
      <c r="B151" s="175" t="n"/>
      <c r="C151" s="80" t="n">
        <v>2025</v>
      </c>
      <c r="D151" s="80" t="inlineStr">
        <is>
          <t>张明峰</t>
        </is>
      </c>
      <c r="E151" s="81">
        <f>VLOOKUP(I151,'25年交付功能（不含废弃）'!A:A,1,FALSE)</f>
        <v/>
      </c>
      <c r="F151" s="175" t="n"/>
      <c r="G151" s="175" t="n"/>
      <c r="H151" s="175" t="n"/>
      <c r="I151" s="98" t="inlineStr">
        <is>
          <t>漏洞指纹同步接口文件</t>
        </is>
      </c>
      <c r="J151" s="93" t="inlineStr">
        <is>
          <t>EIF</t>
        </is>
      </c>
      <c r="K151" s="84" t="n"/>
      <c r="L151" s="84" t="n"/>
      <c r="M151" s="85">
        <f>IF(OR(Y151="估算法",Y151="算法类",Y151="无法识别"),"",IF(W151="",IF(OR(J151="EI",J151="EO",J151="EQ"),0,""),LEN(W151)-LEN(SUBSTITUTE(W151,"、",""))+1))</f>
        <v/>
      </c>
      <c r="N151" s="85">
        <f>IF(OR(Y151="估算法",Y151="算法类",Y151="无法识别"),"",IF(X151="",IF(OR(J151="ILF",J151="EIF"),0,""),LEN(X151)-LEN(SUBSTITUTE(X151,"、",""))+1))</f>
        <v/>
      </c>
      <c r="O151" s="85">
        <f>IF(OR(Y151="估算法",Y151="算法类",Y151="无法识别"),"",IF(Y151="",IF(OR(J151="ILF",J151="EIF",J151="EI",J151="EO",J151="EQ"),0,""),LEN(Y151)-LEN(SUBSTITUTE(SUBSTITUTE(SUBSTITUTE(SUBSTITUTE(SUBSTITUTE(Y151,"|}","--"),"{|","--"),CHAR(10),""),"、",""),"|",""))+IF(AND(OR(J151="EI",J151="EO",J151="EQ"),$AE$1="NESMA"),2,1)))</f>
        <v/>
      </c>
      <c r="P151" s="86">
        <f>IF(J151="EI",IF(OR(Y151="估算法",Y151="算法类"),"中",IF(Y151="无法识别","低",IF(M151&lt;2,IF(O151&lt;16,"低","中"),IF(M151&lt;3,IF(O151&lt;5,"低",IF(O151&lt;16,"中","高")),IF(O151&lt;5,"中","高"))))),IF(OR(J151="EO",J151="EQ"),IF(OR(Y151="估算法",Y151="算法类"),"中",IF(Y151="无法识别","低",IF(M151&lt;2,IF(O151&lt;20,"低","中"),IF(M151&lt;4,IF(O151&lt;6,"低",IF(O151&lt;20,"中","高")),IF(O151&lt;6,"中","高"))))),IF(OR(J151="ILF",J151="EIF"),IF(OR(Y151="估算法",Y151="算法类",Y151="无法识别"),"低",IF(N151&lt;2,IF(O151&lt;51,"低","中"),IF(N151&lt;6,IF(O151&lt;20,"低",IF(O151&lt;51,"中","高")),IF(O151&lt;20,"中","高")))),"不计算")))</f>
        <v/>
      </c>
      <c r="Q151" s="172">
        <f>IFERROR(IF(J151="EI",IF(P151="低",3,IF(P151="中",4,6)),IF(J151="EO",IF(P151="低",4,IF(P151="中",5,7)),IF(J151="EQ",IF(P151="低",3,IF(P151="中",4,6)),IF(J151="ILF",IF(P151="低",7,IF(P151="中",10,15)),IF(J151="EIF",IF(P151="低",5,IF(P151="中",7,10)),"不计算")))))*R151,"不计算")</f>
        <v/>
      </c>
      <c r="R151" s="172" t="n">
        <v>1</v>
      </c>
      <c r="S151" s="173">
        <f>调整因子!$F$13</f>
        <v/>
      </c>
      <c r="T151" s="92" t="n">
        <v>1</v>
      </c>
      <c r="U151" s="174">
        <f>IFERROR(Q151*S151,0)</f>
        <v/>
      </c>
      <c r="V151" s="174">
        <f>U151*T151</f>
        <v/>
      </c>
      <c r="W151" s="91" t="n"/>
      <c r="X151" s="93" t="inlineStr">
        <is>
          <t>漏洞指纹同步接口文件</t>
        </is>
      </c>
      <c r="Y151" s="90" t="inlineStr">
        <is>
          <t>漏洞指纹同步接口文件{文件ID、任务ID、文件路径、上传时间}</t>
        </is>
      </c>
      <c r="Z151" s="90">
        <f>IF(COUNTIFS(W:W,"*"&amp;I151&amp;"*")&gt;0,"存在","不存在")</f>
        <v/>
      </c>
      <c r="AA151" s="90">
        <f>IF(COUNTIFS(AB:AB,"*"&amp;I151&amp;"*")&gt;0,"存在","不存在")</f>
        <v/>
      </c>
      <c r="AB151" s="90" t="inlineStr">
        <is>
          <t>漏洞扫描设备规划、扫描节点表、扫描器表、扫描器版本表、扫描器分类表、安全厂商信息、资产管理表、漏洞扫描设备规划历史表</t>
        </is>
      </c>
      <c r="AC151" s="66" t="n"/>
    </row>
    <row r="152" customFormat="1" s="66">
      <c r="A152" s="72">
        <f>ROW()-1</f>
        <v/>
      </c>
      <c r="B152" s="175" t="n"/>
      <c r="C152" s="80" t="n">
        <v>2025</v>
      </c>
      <c r="D152" s="80" t="inlineStr">
        <is>
          <t>张明峰</t>
        </is>
      </c>
      <c r="E152" s="81">
        <f>VLOOKUP(I152,'25年交付功能（不含废弃）'!A:A,1,FALSE)</f>
        <v/>
      </c>
      <c r="F152" s="175" t="n"/>
      <c r="G152" s="175" t="n"/>
      <c r="H152" s="175" t="n"/>
      <c r="I152" s="98" t="inlineStr">
        <is>
          <t>漏洞指纹启动或停止记录表</t>
        </is>
      </c>
      <c r="J152" s="93" t="inlineStr">
        <is>
          <t>ILF</t>
        </is>
      </c>
      <c r="K152" s="84" t="n"/>
      <c r="L152" s="84" t="n"/>
      <c r="M152" s="85">
        <f>IF(OR(Y152="估算法",Y152="算法类",Y152="无法识别"),"",IF(W152="",IF(OR(J152="EI",J152="EO",J152="EQ"),0,""),LEN(W152)-LEN(SUBSTITUTE(W152,"、",""))+1))</f>
        <v/>
      </c>
      <c r="N152" s="85">
        <f>IF(OR(Y152="估算法",Y152="算法类",Y152="无法识别"),"",IF(X152="",IF(OR(J152="ILF",J152="EIF"),0,""),LEN(X152)-LEN(SUBSTITUTE(X152,"、",""))+1))</f>
        <v/>
      </c>
      <c r="O152" s="85">
        <f>IF(OR(Y152="估算法",Y152="算法类",Y152="无法识别"),"",IF(Y152="",IF(OR(J152="ILF",J152="EIF",J152="EI",J152="EO",J152="EQ"),0,""),LEN(Y152)-LEN(SUBSTITUTE(SUBSTITUTE(SUBSTITUTE(SUBSTITUTE(SUBSTITUTE(Y152,"|}","--"),"{|","--"),CHAR(10),""),"、",""),"|",""))+IF(AND(OR(J152="EI",J152="EO",J152="EQ"),$AE$1="NESMA"),2,1)))</f>
        <v/>
      </c>
      <c r="P152" s="86">
        <f>IF(J152="EI",IF(OR(Y152="估算法",Y152="算法类"),"中",IF(Y152="无法识别","低",IF(M152&lt;2,IF(O152&lt;16,"低","中"),IF(M152&lt;3,IF(O152&lt;5,"低",IF(O152&lt;16,"中","高")),IF(O152&lt;5,"中","高"))))),IF(OR(J152="EO",J152="EQ"),IF(OR(Y152="估算法",Y152="算法类"),"中",IF(Y152="无法识别","低",IF(M152&lt;2,IF(O152&lt;20,"低","中"),IF(M152&lt;4,IF(O152&lt;6,"低",IF(O152&lt;20,"中","高")),IF(O152&lt;6,"中","高"))))),IF(OR(J152="ILF",J152="EIF"),IF(OR(Y152="估算法",Y152="算法类",Y152="无法识别"),"低",IF(N152&lt;2,IF(O152&lt;51,"低","中"),IF(N152&lt;6,IF(O152&lt;20,"低",IF(O152&lt;51,"中","高")),IF(O152&lt;20,"中","高")))),"不计算")))</f>
        <v/>
      </c>
      <c r="Q152" s="172">
        <f>IFERROR(IF(J152="EI",IF(P152="低",3,IF(P152="中",4,6)),IF(J152="EO",IF(P152="低",4,IF(P152="中",5,7)),IF(J152="EQ",IF(P152="低",3,IF(P152="中",4,6)),IF(J152="ILF",IF(P152="低",7,IF(P152="中",10,15)),IF(J152="EIF",IF(P152="低",5,IF(P152="中",7,10)),"不计算")))))*R152,"不计算")</f>
        <v/>
      </c>
      <c r="R152" s="172" t="n">
        <v>1</v>
      </c>
      <c r="S152" s="173">
        <f>调整因子!$F$13</f>
        <v/>
      </c>
      <c r="T152" s="93" t="n">
        <v>1</v>
      </c>
      <c r="U152" s="174">
        <f>IFERROR(Q152*S152,0)</f>
        <v/>
      </c>
      <c r="V152" s="174">
        <f>U152*T152</f>
        <v/>
      </c>
      <c r="W152" s="91" t="n"/>
      <c r="X152" s="90" t="inlineStr">
        <is>
          <t>漏洞指纹启动或停止记录表</t>
        </is>
      </c>
      <c r="Y152" s="90" t="inlineStr">
        <is>
          <t>漏洞指纹启动或停止记录表{记录ID、操作类型、操作时间、操作人}</t>
        </is>
      </c>
      <c r="Z152" s="90">
        <f>IF(COUNTIFS(W:W,"*"&amp;I152&amp;"*")&gt;0,"存在","不存在")</f>
        <v/>
      </c>
      <c r="AA152" s="90">
        <f>IF(COUNTIFS(AB:AB,"*"&amp;I152&amp;"*")&gt;0,"存在","不存在")</f>
        <v/>
      </c>
      <c r="AB152" s="90" t="inlineStr">
        <is>
          <t>漏洞扫描设备规划、漏洞扫描设备规划历史表</t>
        </is>
      </c>
      <c r="AC152" s="66" t="n"/>
    </row>
    <row r="153" customFormat="1" s="66">
      <c r="A153" s="72">
        <f>ROW()-1</f>
        <v/>
      </c>
      <c r="B153" s="175" t="n"/>
      <c r="C153" s="80" t="n">
        <v>2025</v>
      </c>
      <c r="D153" s="80" t="inlineStr">
        <is>
          <t>张明峰</t>
        </is>
      </c>
      <c r="E153" s="81">
        <f>VLOOKUP(I153,'25年交付功能（不含废弃）'!A:A,1,FALSE)</f>
        <v/>
      </c>
      <c r="F153" s="175" t="n"/>
      <c r="G153" s="175" t="n"/>
      <c r="H153" s="175" t="n"/>
      <c r="I153" s="98" t="inlineStr">
        <is>
          <t>漏洞指纹同步配置表</t>
        </is>
      </c>
      <c r="J153" s="93" t="inlineStr">
        <is>
          <t>ILF</t>
        </is>
      </c>
      <c r="K153" s="84" t="n"/>
      <c r="L153" s="84" t="n"/>
      <c r="M153" s="85">
        <f>IF(OR(Y153="估算法",Y153="算法类",Y153="无法识别"),"",IF(W153="",IF(OR(J153="EI",J153="EO",J153="EQ"),0,""),LEN(W153)-LEN(SUBSTITUTE(W153,"、",""))+1))</f>
        <v/>
      </c>
      <c r="N153" s="85">
        <f>IF(OR(Y153="估算法",Y153="算法类",Y153="无法识别"),"",IF(X153="",IF(OR(J153="ILF",J153="EIF"),0,""),LEN(X153)-LEN(SUBSTITUTE(X153,"、",""))+1))</f>
        <v/>
      </c>
      <c r="O153" s="85">
        <f>IF(OR(Y153="估算法",Y153="算法类",Y153="无法识别"),"",IF(Y153="",IF(OR(J153="ILF",J153="EIF",J153="EI",J153="EO",J153="EQ"),0,""),LEN(Y153)-LEN(SUBSTITUTE(SUBSTITUTE(SUBSTITUTE(SUBSTITUTE(SUBSTITUTE(Y153,"|}","--"),"{|","--"),CHAR(10),""),"、",""),"|",""))+IF(AND(OR(J153="EI",J153="EO",J153="EQ"),$AE$1="NESMA"),2,1)))</f>
        <v/>
      </c>
      <c r="P153" s="86">
        <f>IF(J153="EI",IF(OR(Y153="估算法",Y153="算法类"),"中",IF(Y153="无法识别","低",IF(M153&lt;2,IF(O153&lt;16,"低","中"),IF(M153&lt;3,IF(O153&lt;5,"低",IF(O153&lt;16,"中","高")),IF(O153&lt;5,"中","高"))))),IF(OR(J153="EO",J153="EQ"),IF(OR(Y153="估算法",Y153="算法类"),"中",IF(Y153="无法识别","低",IF(M153&lt;2,IF(O153&lt;20,"低","中"),IF(M153&lt;4,IF(O153&lt;6,"低",IF(O153&lt;20,"中","高")),IF(O153&lt;6,"中","高"))))),IF(OR(J153="ILF",J153="EIF"),IF(OR(Y153="估算法",Y153="算法类",Y153="无法识别"),"低",IF(N153&lt;2,IF(O153&lt;51,"低","中"),IF(N153&lt;6,IF(O153&lt;20,"低",IF(O153&lt;51,"中","高")),IF(O153&lt;20,"中","高")))),"不计算")))</f>
        <v/>
      </c>
      <c r="Q153" s="172">
        <f>IFERROR(IF(J153="EI",IF(P153="低",3,IF(P153="中",4,6)),IF(J153="EO",IF(P153="低",4,IF(P153="中",5,7)),IF(J153="EQ",IF(P153="低",3,IF(P153="中",4,6)),IF(J153="ILF",IF(P153="低",7,IF(P153="中",10,15)),IF(J153="EIF",IF(P153="低",5,IF(P153="中",7,10)),"不计算")))))*R153,"不计算")</f>
        <v/>
      </c>
      <c r="R153" s="172" t="n">
        <v>1</v>
      </c>
      <c r="S153" s="173">
        <f>调整因子!$F$13</f>
        <v/>
      </c>
      <c r="T153" s="92" t="n">
        <v>1</v>
      </c>
      <c r="U153" s="174">
        <f>IFERROR(Q153*S153,0)</f>
        <v/>
      </c>
      <c r="V153" s="174">
        <f>U153*T153</f>
        <v/>
      </c>
      <c r="W153" s="91" t="n"/>
      <c r="X153" s="90" t="inlineStr">
        <is>
          <t>漏洞指纹同步配置表</t>
        </is>
      </c>
      <c r="Y153" s="90" t="inlineStr">
        <is>
          <t>漏洞指纹同步配置表{配置ID、配置名称、配置参数、创建时间}</t>
        </is>
      </c>
      <c r="Z153" s="90">
        <f>IF(COUNTIFS(W:W,"*"&amp;I153&amp;"*")&gt;0,"存在","不存在")</f>
        <v/>
      </c>
      <c r="AA153" s="90">
        <f>IF(COUNTIFS(AB:AB,"*"&amp;I153&amp;"*")&gt;0,"存在","不存在")</f>
        <v/>
      </c>
      <c r="AB153" s="90" t="inlineStr">
        <is>
          <t>漏洞扫描设备规划、漏洞扫描设备规划历史表</t>
        </is>
      </c>
      <c r="AC153" s="66" t="n"/>
    </row>
    <row r="154" customFormat="1" s="66">
      <c r="A154" s="72">
        <f>ROW()-1</f>
        <v/>
      </c>
      <c r="B154" s="175" t="n"/>
      <c r="C154" s="80" t="n">
        <v>2025</v>
      </c>
      <c r="D154" s="80" t="inlineStr">
        <is>
          <t>张明峰</t>
        </is>
      </c>
      <c r="E154" s="81">
        <f>VLOOKUP(I154,'25年交付功能（不含废弃）'!A:A,1,FALSE)</f>
        <v/>
      </c>
      <c r="F154" s="175" t="n"/>
      <c r="G154" s="175" t="n"/>
      <c r="H154" s="176" t="n"/>
      <c r="I154" s="98" t="inlineStr">
        <is>
          <t>漏洞指纹同步类型表</t>
        </is>
      </c>
      <c r="J154" s="93" t="inlineStr">
        <is>
          <t>ILF</t>
        </is>
      </c>
      <c r="K154" s="84" t="n"/>
      <c r="L154" s="84" t="n"/>
      <c r="M154" s="85">
        <f>IF(OR(Y154="估算法",Y154="算法类",Y154="无法识别"),"",IF(W154="",IF(OR(J154="EI",J154="EO",J154="EQ"),0,""),LEN(W154)-LEN(SUBSTITUTE(W154,"、",""))+1))</f>
        <v/>
      </c>
      <c r="N154" s="85">
        <f>IF(OR(Y154="估算法",Y154="算法类",Y154="无法识别"),"",IF(X154="",IF(OR(J154="ILF",J154="EIF"),0,""),LEN(X154)-LEN(SUBSTITUTE(X154,"、",""))+1))</f>
        <v/>
      </c>
      <c r="O154" s="85">
        <f>IF(OR(Y154="估算法",Y154="算法类",Y154="无法识别"),"",IF(Y154="",IF(OR(J154="ILF",J154="EIF",J154="EI",J154="EO",J154="EQ"),0,""),LEN(Y154)-LEN(SUBSTITUTE(SUBSTITUTE(SUBSTITUTE(SUBSTITUTE(SUBSTITUTE(Y154,"|}","--"),"{|","--"),CHAR(10),""),"、",""),"|",""))+IF(AND(OR(J154="EI",J154="EO",J154="EQ"),$AE$1="NESMA"),2,1)))</f>
        <v/>
      </c>
      <c r="P154" s="86">
        <f>IF(J154="EI",IF(OR(Y154="估算法",Y154="算法类"),"中",IF(Y154="无法识别","低",IF(M154&lt;2,IF(O154&lt;16,"低","中"),IF(M154&lt;3,IF(O154&lt;5,"低",IF(O154&lt;16,"中","高")),IF(O154&lt;5,"中","高"))))),IF(OR(J154="EO",J154="EQ"),IF(OR(Y154="估算法",Y154="算法类"),"中",IF(Y154="无法识别","低",IF(M154&lt;2,IF(O154&lt;20,"低","中"),IF(M154&lt;4,IF(O154&lt;6,"低",IF(O154&lt;20,"中","高")),IF(O154&lt;6,"中","高"))))),IF(OR(J154="ILF",J154="EIF"),IF(OR(Y154="估算法",Y154="算法类",Y154="无法识别"),"低",IF(N154&lt;2,IF(O154&lt;51,"低","中"),IF(N154&lt;6,IF(O154&lt;20,"低",IF(O154&lt;51,"中","高")),IF(O154&lt;20,"中","高")))),"不计算")))</f>
        <v/>
      </c>
      <c r="Q154" s="172">
        <f>IFERROR(IF(J154="EI",IF(P154="低",3,IF(P154="中",4,6)),IF(J154="EO",IF(P154="低",4,IF(P154="中",5,7)),IF(J154="EQ",IF(P154="低",3,IF(P154="中",4,6)),IF(J154="ILF",IF(P154="低",7,IF(P154="中",10,15)),IF(J154="EIF",IF(P154="低",5,IF(P154="中",7,10)),"不计算")))))*R154,"不计算")</f>
        <v/>
      </c>
      <c r="R154" s="172" t="n">
        <v>1</v>
      </c>
      <c r="S154" s="173">
        <f>调整因子!$F$13</f>
        <v/>
      </c>
      <c r="T154" s="92" t="n">
        <v>1</v>
      </c>
      <c r="U154" s="174">
        <f>IFERROR(Q154*S154,0)</f>
        <v/>
      </c>
      <c r="V154" s="174">
        <f>U154*T154</f>
        <v/>
      </c>
      <c r="W154" s="91" t="n"/>
      <c r="X154" s="90" t="inlineStr">
        <is>
          <t>漏洞指纹同步类型表</t>
        </is>
      </c>
      <c r="Y154" s="90" t="inlineStr">
        <is>
          <t>漏洞指纹同步类型表{类型ID、类型名称、描述}</t>
        </is>
      </c>
      <c r="Z154" s="90">
        <f>IF(COUNTIFS(W:W,"*"&amp;I154&amp;"*")&gt;0,"存在","不存在")</f>
        <v/>
      </c>
      <c r="AA154" s="90">
        <f>IF(COUNTIFS(AB:AB,"*"&amp;I154&amp;"*")&gt;0,"存在","不存在")</f>
        <v/>
      </c>
      <c r="AB154" s="90" t="inlineStr">
        <is>
          <t>POC引擎规划、扫描节点表、扫描器表、扫描器版本表、扫描器分类表、安全厂商信息、资产管理表、POC引擎规划历史记录表</t>
        </is>
      </c>
      <c r="AC154" s="66" t="n"/>
    </row>
    <row r="155" customFormat="1" s="66">
      <c r="A155" s="72">
        <f>ROW()-1</f>
        <v/>
      </c>
      <c r="B155" s="175" t="n"/>
      <c r="C155" s="80" t="n">
        <v>2025</v>
      </c>
      <c r="D155" s="80" t="inlineStr">
        <is>
          <t>张明峰</t>
        </is>
      </c>
      <c r="E155" s="81">
        <f>VLOOKUP(I155,'25年交付功能（不含废弃）'!A:A,1,FALSE)</f>
        <v/>
      </c>
      <c r="F155" s="175" t="n"/>
      <c r="G155" s="175" t="n"/>
      <c r="H155" s="93" t="inlineStr">
        <is>
          <t>漏洞指纹信息全貌</t>
        </is>
      </c>
      <c r="I155" s="98" t="inlineStr">
        <is>
          <t>查询漏洞指纹类型树</t>
        </is>
      </c>
      <c r="J155" s="93" t="inlineStr">
        <is>
          <t>EQ</t>
        </is>
      </c>
      <c r="K155" s="84" t="n"/>
      <c r="L155" s="84" t="n"/>
      <c r="M155" s="85">
        <f>IF(OR(Y155="估算法",Y155="算法类",Y155="无法识别"),"",IF(W155="",IF(OR(J155="EI",J155="EO",J155="EQ"),0,""),LEN(W155)-LEN(SUBSTITUTE(W155,"、",""))+1))</f>
        <v/>
      </c>
      <c r="N155" s="85">
        <f>IF(OR(Y155="估算法",Y155="算法类",Y155="无法识别"),"",IF(X155="",IF(OR(J155="ILF",J155="EIF"),0,""),LEN(X155)-LEN(SUBSTITUTE(X155,"、",""))+1))</f>
        <v/>
      </c>
      <c r="O155" s="85">
        <f>IF(OR(Y155="估算法",Y155="算法类",Y155="无法识别"),"",IF(Y155="",IF(OR(J155="ILF",J155="EIF",J155="EI",J155="EO",J155="EQ"),0,""),LEN(Y155)-LEN(SUBSTITUTE(SUBSTITUTE(SUBSTITUTE(SUBSTITUTE(SUBSTITUTE(Y155,"|}","--"),"{|","--"),CHAR(10),""),"、",""),"|",""))+IF(AND(OR(J155="EI",J155="EO",J155="EQ"),$AE$1="NESMA"),2,1)))</f>
        <v/>
      </c>
      <c r="P155" s="86">
        <f>IF(J155="EI",IF(OR(Y155="估算法",Y155="算法类"),"中",IF(Y155="无法识别","低",IF(M155&lt;2,IF(O155&lt;16,"低","中"),IF(M155&lt;3,IF(O155&lt;5,"低",IF(O155&lt;16,"中","高")),IF(O155&lt;5,"中","高"))))),IF(OR(J155="EO",J155="EQ"),IF(OR(Y155="估算法",Y155="算法类"),"中",IF(Y155="无法识别","低",IF(M155&lt;2,IF(O155&lt;20,"低","中"),IF(M155&lt;4,IF(O155&lt;6,"低",IF(O155&lt;20,"中","高")),IF(O155&lt;6,"中","高"))))),IF(OR(J155="ILF",J155="EIF"),IF(OR(Y155="估算法",Y155="算法类",Y155="无法识别"),"低",IF(N155&lt;2,IF(O155&lt;51,"低","中"),IF(N155&lt;6,IF(O155&lt;20,"低",IF(O155&lt;51,"中","高")),IF(O155&lt;20,"中","高")))),"不计算")))</f>
        <v/>
      </c>
      <c r="Q155" s="172">
        <f>IFERROR(IF(J155="EI",IF(P155="低",3,IF(P155="中",4,6)),IF(J155="EO",IF(P155="低",4,IF(P155="中",5,7)),IF(J155="EQ",IF(P155="低",3,IF(P155="中",4,6)),IF(J155="ILF",IF(P155="低",7,IF(P155="中",10,15)),IF(J155="EIF",IF(P155="低",5,IF(P155="中",7,10)),"不计算")))))*R155,"不计算")</f>
        <v/>
      </c>
      <c r="R155" s="172" t="n">
        <v>1</v>
      </c>
      <c r="S155" s="173">
        <f>调整因子!$F$13</f>
        <v/>
      </c>
      <c r="T155" s="93" t="n">
        <v>1</v>
      </c>
      <c r="U155" s="174">
        <f>IFERROR(Q155*S155,0)</f>
        <v/>
      </c>
      <c r="V155" s="174">
        <f>U155*T155</f>
        <v/>
      </c>
      <c r="W155" s="90" t="inlineStr">
        <is>
          <t>漏洞指纹类型表</t>
        </is>
      </c>
      <c r="X155" s="91" t="n"/>
      <c r="Y155" s="90" t="inlineStr">
        <is>
          <t>漏洞指纹类型表{指纹类型ID、类型名称、描述}</t>
        </is>
      </c>
      <c r="Z155" s="90" t="n"/>
      <c r="AA155" s="90" t="n"/>
      <c r="AB155" s="90" t="inlineStr">
        <is>
          <t>POC引擎规划、扫描节点表、扫描器表、扫描器版本表、扫描器分类表、安全厂商信息、资产管理表、POC引擎规划历史记录表</t>
        </is>
      </c>
      <c r="AC155" s="66" t="n"/>
    </row>
    <row r="156" customFormat="1" s="66">
      <c r="A156" s="72">
        <f>ROW()-1</f>
        <v/>
      </c>
      <c r="B156" s="175" t="n"/>
      <c r="C156" s="80" t="n">
        <v>2025</v>
      </c>
      <c r="D156" s="80" t="inlineStr">
        <is>
          <t>张明峰</t>
        </is>
      </c>
      <c r="E156" s="81">
        <f>VLOOKUP(I156,'25年交付功能（不含废弃）'!A:A,1,FALSE)</f>
        <v/>
      </c>
      <c r="F156" s="175" t="n"/>
      <c r="G156" s="175" t="n"/>
      <c r="H156" s="175" t="n"/>
      <c r="I156" s="98" t="inlineStr">
        <is>
          <t>查询漏洞指纹动态属性表头</t>
        </is>
      </c>
      <c r="J156" s="93" t="inlineStr">
        <is>
          <t>EQ</t>
        </is>
      </c>
      <c r="K156" s="100" t="inlineStr">
        <is>
          <t>修改类型「EQ -&gt; EO」</t>
        </is>
      </c>
      <c r="L156" s="84" t="n"/>
      <c r="M156" s="85">
        <f>IF(OR(Y156="估算法",Y156="算法类",Y156="无法识别"),"",IF(W156="",IF(OR(J156="EI",J156="EO",J156="EQ"),0,""),LEN(W156)-LEN(SUBSTITUTE(W156,"、",""))+1))</f>
        <v/>
      </c>
      <c r="N156" s="85">
        <f>IF(OR(Y156="估算法",Y156="算法类",Y156="无法识别"),"",IF(X156="",IF(OR(J156="ILF",J156="EIF"),0,""),LEN(X156)-LEN(SUBSTITUTE(X156,"、",""))+1))</f>
        <v/>
      </c>
      <c r="O156" s="85">
        <f>IF(OR(Y156="估算法",Y156="算法类",Y156="无法识别"),"",IF(Y156="",IF(OR(J156="ILF",J156="EIF",J156="EI",J156="EO",J156="EQ"),0,""),LEN(Y156)-LEN(SUBSTITUTE(SUBSTITUTE(SUBSTITUTE(SUBSTITUTE(SUBSTITUTE(Y156,"|}","--"),"{|","--"),CHAR(10),""),"、",""),"|",""))+IF(AND(OR(J156="EI",J156="EO",J156="EQ"),$AE$1="NESMA"),2,1)))</f>
        <v/>
      </c>
      <c r="P156" s="86">
        <f>IF(J156="EI",IF(OR(Y156="估算法",Y156="算法类"),"中",IF(Y156="无法识别","低",IF(M156&lt;2,IF(O156&lt;16,"低","中"),IF(M156&lt;3,IF(O156&lt;5,"低",IF(O156&lt;16,"中","高")),IF(O156&lt;5,"中","高"))))),IF(OR(J156="EO",J156="EQ"),IF(OR(Y156="估算法",Y156="算法类"),"中",IF(Y156="无法识别","低",IF(M156&lt;2,IF(O156&lt;20,"低","中"),IF(M156&lt;4,IF(O156&lt;6,"低",IF(O156&lt;20,"中","高")),IF(O156&lt;6,"中","高"))))),IF(OR(J156="ILF",J156="EIF"),IF(OR(Y156="估算法",Y156="算法类",Y156="无法识别"),"低",IF(N156&lt;2,IF(O156&lt;51,"低","中"),IF(N156&lt;6,IF(O156&lt;20,"低",IF(O156&lt;51,"中","高")),IF(O156&lt;20,"中","高")))),"不计算")))</f>
        <v/>
      </c>
      <c r="Q156" s="172">
        <f>IFERROR(IF(J156="EI",IF(P156="低",3,IF(P156="中",4,6)),IF(J156="EO",IF(P156="低",4,IF(P156="中",5,7)),IF(J156="EQ",IF(P156="低",3,IF(P156="中",4,6)),IF(J156="ILF",IF(P156="低",7,IF(P156="中",10,15)),IF(J156="EIF",IF(P156="低",5,IF(P156="中",7,10)),"不计算")))))*R156,"不计算")</f>
        <v/>
      </c>
      <c r="R156" s="172" t="n">
        <v>1</v>
      </c>
      <c r="S156" s="173">
        <f>调整因子!$F$13</f>
        <v/>
      </c>
      <c r="T156" s="92" t="n">
        <v>1</v>
      </c>
      <c r="U156" s="174">
        <f>IFERROR(Q156*S156,0)</f>
        <v/>
      </c>
      <c r="V156" s="174">
        <f>U156*T156</f>
        <v/>
      </c>
      <c r="W156" s="90" t="inlineStr">
        <is>
          <t>漏洞指纹属性分类表、漏洞指纹动态属性表</t>
        </is>
      </c>
      <c r="X156" s="91" t="n"/>
      <c r="Y156" s="90" t="inlineStr">
        <is>
          <t>漏洞指纹属性分类表{分类ID、分类名称、描述}、漏洞指纹动态属性表{属性ID、指纹ID、属性名称、值、更新时间}</t>
        </is>
      </c>
      <c r="Z156" s="90" t="n"/>
      <c r="AA156" s="90" t="n"/>
      <c r="AB156" s="90" t="inlineStr">
        <is>
          <t>POC引擎规划、POC引擎规划历史记录表</t>
        </is>
      </c>
      <c r="AC156" s="66" t="n"/>
    </row>
    <row r="157" customFormat="1" s="66">
      <c r="A157" s="72">
        <f>ROW()-1</f>
        <v/>
      </c>
      <c r="B157" s="175" t="n"/>
      <c r="C157" s="80" t="n">
        <v>2025</v>
      </c>
      <c r="D157" s="80" t="inlineStr">
        <is>
          <t>张明峰</t>
        </is>
      </c>
      <c r="E157" s="81">
        <f>VLOOKUP(I157,'25年交付功能（不含废弃）'!A:A,1,FALSE)</f>
        <v/>
      </c>
      <c r="F157" s="175" t="n"/>
      <c r="G157" s="175" t="n"/>
      <c r="H157" s="175" t="n"/>
      <c r="I157" s="98" t="inlineStr">
        <is>
          <t>查询漏洞指纹信息列表</t>
        </is>
      </c>
      <c r="J157" s="93" t="inlineStr">
        <is>
          <t>EQ</t>
        </is>
      </c>
      <c r="K157" s="98" t="n"/>
      <c r="L157" s="84" t="n"/>
      <c r="M157" s="85">
        <f>IF(OR(Y157="估算法",Y157="算法类",Y157="无法识别"),"",IF(W157="",IF(OR(J157="EI",J157="EO",J157="EQ"),0,""),LEN(W157)-LEN(SUBSTITUTE(W157,"、",""))+1))</f>
        <v/>
      </c>
      <c r="N157" s="85">
        <f>IF(OR(Y157="估算法",Y157="算法类",Y157="无法识别"),"",IF(X157="",IF(OR(J157="ILF",J157="EIF"),0,""),LEN(X157)-LEN(SUBSTITUTE(X157,"、",""))+1))</f>
        <v/>
      </c>
      <c r="O157" s="85">
        <f>IF(OR(Y157="估算法",Y157="算法类",Y157="无法识别"),"",IF(Y157="",IF(OR(J157="ILF",J157="EIF",J157="EI",J157="EO",J157="EQ"),0,""),LEN(Y157)-LEN(SUBSTITUTE(SUBSTITUTE(SUBSTITUTE(SUBSTITUTE(SUBSTITUTE(Y157,"|}","--"),"{|","--"),CHAR(10),""),"、",""),"|",""))+IF(AND(OR(J157="EI",J157="EO",J157="EQ"),$AE$1="NESMA"),2,1)))</f>
        <v/>
      </c>
      <c r="P157" s="86">
        <f>IF(J157="EI",IF(OR(Y157="估算法",Y157="算法类"),"中",IF(Y157="无法识别","低",IF(M157&lt;2,IF(O157&lt;16,"低","中"),IF(M157&lt;3,IF(O157&lt;5,"低",IF(O157&lt;16,"中","高")),IF(O157&lt;5,"中","高"))))),IF(OR(J157="EO",J157="EQ"),IF(OR(Y157="估算法",Y157="算法类"),"中",IF(Y157="无法识别","低",IF(M157&lt;2,IF(O157&lt;20,"低","中"),IF(M157&lt;4,IF(O157&lt;6,"低",IF(O157&lt;20,"中","高")),IF(O157&lt;6,"中","高"))))),IF(OR(J157="ILF",J157="EIF"),IF(OR(Y157="估算法",Y157="算法类",Y157="无法识别"),"低",IF(N157&lt;2,IF(O157&lt;51,"低","中"),IF(N157&lt;6,IF(O157&lt;20,"低",IF(O157&lt;51,"中","高")),IF(O157&lt;20,"中","高")))),"不计算")))</f>
        <v/>
      </c>
      <c r="Q157" s="172">
        <f>IFERROR(IF(J157="EI",IF(P157="低",3,IF(P157="中",4,6)),IF(J157="EO",IF(P157="低",4,IF(P157="中",5,7)),IF(J157="EQ",IF(P157="低",3,IF(P157="中",4,6)),IF(J157="ILF",IF(P157="低",7,IF(P157="中",10,15)),IF(J157="EIF",IF(P157="低",5,IF(P157="中",7,10)),"不计算")))))*R157,"不计算")</f>
        <v/>
      </c>
      <c r="R157" s="172" t="n">
        <v>0.333333333333333</v>
      </c>
      <c r="S157" s="173">
        <f>调整因子!$F$13</f>
        <v/>
      </c>
      <c r="T157" s="92" t="n">
        <v>1</v>
      </c>
      <c r="U157" s="174">
        <f>IFERROR(Q157*S157,0)</f>
        <v/>
      </c>
      <c r="V157" s="174">
        <f>U157*T157</f>
        <v/>
      </c>
      <c r="W157" s="90" t="inlineStr">
        <is>
          <t>漏洞指纹信息表</t>
        </is>
      </c>
      <c r="X157" s="91" t="n"/>
      <c r="Y157" s="90" t="inlineStr">
        <is>
          <t>漏洞指纹信息表{指纹ID、漏洞ID、资产ID、详细信息、创建时间}</t>
        </is>
      </c>
      <c r="Z157" s="90" t="n"/>
      <c r="AA157" s="90" t="n"/>
      <c r="AB157" s="90" t="inlineStr">
        <is>
          <t>POC引擎规划、POC引擎规划历史记录表</t>
        </is>
      </c>
      <c r="AC157" s="66" t="n"/>
    </row>
    <row r="158" customFormat="1" s="66">
      <c r="A158" s="72">
        <f>ROW()-1</f>
        <v/>
      </c>
      <c r="B158" s="175" t="n"/>
      <c r="C158" s="80" t="n">
        <v>2025</v>
      </c>
      <c r="D158" s="80" t="inlineStr">
        <is>
          <t>张明峰</t>
        </is>
      </c>
      <c r="E158" s="81">
        <f>VLOOKUP(I158,'25年交付功能（不含废弃）'!A:A,1,FALSE)</f>
        <v/>
      </c>
      <c r="F158" s="175" t="n"/>
      <c r="G158" s="175" t="n"/>
      <c r="H158" s="175" t="n"/>
      <c r="I158" s="98" t="inlineStr">
        <is>
          <t>查询漏洞指纹信息影响资产</t>
        </is>
      </c>
      <c r="J158" s="93" t="inlineStr">
        <is>
          <t>EQ</t>
        </is>
      </c>
      <c r="K158" s="100" t="inlineStr">
        <is>
          <t>修改类型「EQ -&gt; EO」</t>
        </is>
      </c>
      <c r="L158" s="84" t="n"/>
      <c r="M158" s="85">
        <f>IF(OR(Y158="估算法",Y158="算法类",Y158="无法识别"),"",IF(W158="",IF(OR(J158="EI",J158="EO",J158="EQ"),0,""),LEN(W158)-LEN(SUBSTITUTE(W158,"、",""))+1))</f>
        <v/>
      </c>
      <c r="N158" s="85">
        <f>IF(OR(Y158="估算法",Y158="算法类",Y158="无法识别"),"",IF(X158="",IF(OR(J158="ILF",J158="EIF"),0,""),LEN(X158)-LEN(SUBSTITUTE(X158,"、",""))+1))</f>
        <v/>
      </c>
      <c r="O158" s="85">
        <f>IF(OR(Y158="估算法",Y158="算法类",Y158="无法识别"),"",IF(Y158="",IF(OR(J158="ILF",J158="EIF",J158="EI",J158="EO",J158="EQ"),0,""),LEN(Y158)-LEN(SUBSTITUTE(SUBSTITUTE(SUBSTITUTE(SUBSTITUTE(SUBSTITUTE(Y158,"|}","--"),"{|","--"),CHAR(10),""),"、",""),"|",""))+IF(AND(OR(J158="EI",J158="EO",J158="EQ"),$AE$1="NESMA"),2,1)))</f>
        <v/>
      </c>
      <c r="P158" s="86">
        <f>IF(J158="EI",IF(OR(Y158="估算法",Y158="算法类"),"中",IF(Y158="无法识别","低",IF(M158&lt;2,IF(O158&lt;16,"低","中"),IF(M158&lt;3,IF(O158&lt;5,"低",IF(O158&lt;16,"中","高")),IF(O158&lt;5,"中","高"))))),IF(OR(J158="EO",J158="EQ"),IF(OR(Y158="估算法",Y158="算法类"),"中",IF(Y158="无法识别","低",IF(M158&lt;2,IF(O158&lt;20,"低","中"),IF(M158&lt;4,IF(O158&lt;6,"低",IF(O158&lt;20,"中","高")),IF(O158&lt;6,"中","高"))))),IF(OR(J158="ILF",J158="EIF"),IF(OR(Y158="估算法",Y158="算法类",Y158="无法识别"),"低",IF(N158&lt;2,IF(O158&lt;51,"低","中"),IF(N158&lt;6,IF(O158&lt;20,"低",IF(O158&lt;51,"中","高")),IF(O158&lt;20,"中","高")))),"不计算")))</f>
        <v/>
      </c>
      <c r="Q158" s="172">
        <f>IFERROR(IF(J158="EI",IF(P158="低",3,IF(P158="中",4,6)),IF(J158="EO",IF(P158="低",4,IF(P158="中",5,7)),IF(J158="EQ",IF(P158="低",3,IF(P158="中",4,6)),IF(J158="ILF",IF(P158="低",7,IF(P158="中",10,15)),IF(J158="EIF",IF(P158="低",5,IF(P158="中",7,10)),"不计算")))))*R158,"不计算")</f>
        <v/>
      </c>
      <c r="R158" s="172" t="n">
        <v>0.333333333333333</v>
      </c>
      <c r="S158" s="173">
        <f>调整因子!$F$13</f>
        <v/>
      </c>
      <c r="T158" s="93" t="n">
        <v>1</v>
      </c>
      <c r="U158" s="174">
        <f>IFERROR(Q158*S158,0)</f>
        <v/>
      </c>
      <c r="V158" s="174">
        <f>U158*T158</f>
        <v/>
      </c>
      <c r="W158" s="90" t="inlineStr">
        <is>
          <t>漏洞指纹数据仓库表</t>
        </is>
      </c>
      <c r="X158" s="91" t="n"/>
      <c r="Y158" s="90" t="inlineStr">
        <is>
          <t>漏洞指纹数据仓库表{数据ID、指纹ID、数据内容、存储位置、创建时间}</t>
        </is>
      </c>
      <c r="Z158" s="90" t="n"/>
      <c r="AA158" s="90" t="n"/>
      <c r="AB158" s="90" t="inlineStr">
        <is>
          <t>等效防护设备规划、扫描节点表、扫描器表、扫描器版本表、扫描器分类表、安全厂商信息、资产管理表、等效防护设备规划历史记录表</t>
        </is>
      </c>
      <c r="AC158" s="66" t="n"/>
    </row>
    <row r="159" customFormat="1" s="66">
      <c r="A159" s="72">
        <f>ROW()-1</f>
        <v/>
      </c>
      <c r="B159" s="175" t="n"/>
      <c r="C159" s="80" t="n">
        <v>2025</v>
      </c>
      <c r="D159" s="80" t="inlineStr">
        <is>
          <t>张明峰</t>
        </is>
      </c>
      <c r="E159" s="81">
        <f>VLOOKUP(I159,'25年交付功能（不含废弃）'!A:A,1,FALSE)</f>
        <v/>
      </c>
      <c r="F159" s="175" t="n"/>
      <c r="G159" s="175" t="n"/>
      <c r="H159" s="175" t="n"/>
      <c r="I159" s="98" t="inlineStr">
        <is>
          <t>漏洞指纹类型表</t>
        </is>
      </c>
      <c r="J159" s="93" t="inlineStr">
        <is>
          <t>ILF</t>
        </is>
      </c>
      <c r="K159" s="101" t="inlineStr">
        <is>
          <t>删除</t>
        </is>
      </c>
      <c r="L159" s="84" t="inlineStr">
        <is>
          <t>数据库表未被本系统所维护</t>
        </is>
      </c>
      <c r="M159" s="85">
        <f>IF(OR(Y159="估算法",Y159="算法类",Y159="无法识别"),"",IF(W159="",IF(OR(J159="EI",J159="EO",J159="EQ"),0,""),LEN(W159)-LEN(SUBSTITUTE(W159,"、",""))+1))</f>
        <v/>
      </c>
      <c r="N159" s="85">
        <f>IF(OR(Y159="估算法",Y159="算法类",Y159="无法识别"),"",IF(X159="",IF(OR(J159="ILF",J159="EIF"),0,""),LEN(X159)-LEN(SUBSTITUTE(X159,"、",""))+1))</f>
        <v/>
      </c>
      <c r="O159" s="85">
        <f>IF(OR(Y159="估算法",Y159="算法类",Y159="无法识别"),"",IF(Y159="",IF(OR(J159="ILF",J159="EIF",J159="EI",J159="EO",J159="EQ"),0,""),LEN(Y159)-LEN(SUBSTITUTE(SUBSTITUTE(SUBSTITUTE(SUBSTITUTE(SUBSTITUTE(Y159,"|}","--"),"{|","--"),CHAR(10),""),"、",""),"|",""))+IF(AND(OR(J159="EI",J159="EO",J159="EQ"),$AE$1="NESMA"),2,1)))</f>
        <v/>
      </c>
      <c r="P159" s="86">
        <f>IF(J159="EI",IF(OR(Y159="估算法",Y159="算法类"),"中",IF(Y159="无法识别","低",IF(M159&lt;2,IF(O159&lt;16,"低","中"),IF(M159&lt;3,IF(O159&lt;5,"低",IF(O159&lt;16,"中","高")),IF(O159&lt;5,"中","高"))))),IF(OR(J159="EO",J159="EQ"),IF(OR(Y159="估算法",Y159="算法类"),"中",IF(Y159="无法识别","低",IF(M159&lt;2,IF(O159&lt;20,"低","中"),IF(M159&lt;4,IF(O159&lt;6,"低",IF(O159&lt;20,"中","高")),IF(O159&lt;6,"中","高"))))),IF(OR(J159="ILF",J159="EIF"),IF(OR(Y159="估算法",Y159="算法类",Y159="无法识别"),"低",IF(N159&lt;2,IF(O159&lt;51,"低","中"),IF(N159&lt;6,IF(O159&lt;20,"低",IF(O159&lt;51,"中","高")),IF(O159&lt;20,"中","高")))),"不计算")))</f>
        <v/>
      </c>
      <c r="Q159" s="172">
        <f>IFERROR(IF(J159="EI",IF(P159="低",3,IF(P159="中",4,6)),IF(J159="EO",IF(P159="低",4,IF(P159="中",5,7)),IF(J159="EQ",IF(P159="低",3,IF(P159="中",4,6)),IF(J159="ILF",IF(P159="低",7,IF(P159="中",10,15)),IF(J159="EIF",IF(P159="低",5,IF(P159="中",7,10)),"不计算")))))*R159,"不计算")</f>
        <v/>
      </c>
      <c r="R159" s="172" t="n">
        <v>0</v>
      </c>
      <c r="S159" s="173">
        <f>调整因子!$F$13</f>
        <v/>
      </c>
      <c r="T159" s="92" t="n">
        <v>1</v>
      </c>
      <c r="U159" s="174">
        <f>IFERROR(Q159*S159,0)</f>
        <v/>
      </c>
      <c r="V159" s="174">
        <f>U159*T159</f>
        <v/>
      </c>
      <c r="W159" s="91" t="n"/>
      <c r="X159" s="90" t="inlineStr">
        <is>
          <t>漏洞指纹类型表</t>
        </is>
      </c>
      <c r="Y159" s="90" t="inlineStr">
        <is>
          <t>漏洞指纹类型表{指纹类型ID、类型名称、描述}</t>
        </is>
      </c>
      <c r="Z159" s="90">
        <f>IF(COUNTIFS(W:W,"*"&amp;I159&amp;"*")&gt;0,"存在","不存在")</f>
        <v/>
      </c>
      <c r="AA159" s="90">
        <f>IF(COUNTIFS(AB:AB,"*"&amp;I159&amp;"*")&gt;0,"存在","不存在")</f>
        <v/>
      </c>
      <c r="AB159" s="90" t="inlineStr">
        <is>
          <t>等效防护设备规划、扫描节点表、扫描器表、扫描器版本表、扫描器分类表、安全厂商信息、资产管理表、等效防护设备规划历史记录表</t>
        </is>
      </c>
      <c r="AC159" s="66" t="n"/>
    </row>
    <row r="160" customFormat="1" s="66">
      <c r="A160" s="72">
        <f>ROW()-1</f>
        <v/>
      </c>
      <c r="B160" s="175" t="n"/>
      <c r="C160" s="80" t="n">
        <v>2025</v>
      </c>
      <c r="D160" s="80" t="inlineStr">
        <is>
          <t>张明峰</t>
        </is>
      </c>
      <c r="E160" s="81">
        <f>VLOOKUP(I160,'25年交付功能（不含废弃）'!A:A,1,FALSE)</f>
        <v/>
      </c>
      <c r="F160" s="175" t="n"/>
      <c r="G160" s="175" t="n"/>
      <c r="H160" s="175" t="n"/>
      <c r="I160" s="98" t="inlineStr">
        <is>
          <t>漏洞指纹属性分类表</t>
        </is>
      </c>
      <c r="J160" s="93" t="inlineStr">
        <is>
          <t>ILF</t>
        </is>
      </c>
      <c r="K160" s="101" t="inlineStr">
        <is>
          <t>删除</t>
        </is>
      </c>
      <c r="L160" s="84" t="inlineStr">
        <is>
          <t>数据库表未被本系统所维护</t>
        </is>
      </c>
      <c r="M160" s="85">
        <f>IF(OR(Y160="估算法",Y160="算法类",Y160="无法识别"),"",IF(W160="",IF(OR(J160="EI",J160="EO",J160="EQ"),0,""),LEN(W160)-LEN(SUBSTITUTE(W160,"、",""))+1))</f>
        <v/>
      </c>
      <c r="N160" s="85">
        <f>IF(OR(Y160="估算法",Y160="算法类",Y160="无法识别"),"",IF(X160="",IF(OR(J160="ILF",J160="EIF"),0,""),LEN(X160)-LEN(SUBSTITUTE(X160,"、",""))+1))</f>
        <v/>
      </c>
      <c r="O160" s="85">
        <f>IF(OR(Y160="估算法",Y160="算法类",Y160="无法识别"),"",IF(Y160="",IF(OR(J160="ILF",J160="EIF",J160="EI",J160="EO",J160="EQ"),0,""),LEN(Y160)-LEN(SUBSTITUTE(SUBSTITUTE(SUBSTITUTE(SUBSTITUTE(SUBSTITUTE(Y160,"|}","--"),"{|","--"),CHAR(10),""),"、",""),"|",""))+IF(AND(OR(J160="EI",J160="EO",J160="EQ"),$AE$1="NESMA"),2,1)))</f>
        <v/>
      </c>
      <c r="P160" s="86">
        <f>IF(J160="EI",IF(OR(Y160="估算法",Y160="算法类"),"中",IF(Y160="无法识别","低",IF(M160&lt;2,IF(O160&lt;16,"低","中"),IF(M160&lt;3,IF(O160&lt;5,"低",IF(O160&lt;16,"中","高")),IF(O160&lt;5,"中","高"))))),IF(OR(J160="EO",J160="EQ"),IF(OR(Y160="估算法",Y160="算法类"),"中",IF(Y160="无法识别","低",IF(M160&lt;2,IF(O160&lt;20,"低","中"),IF(M160&lt;4,IF(O160&lt;6,"低",IF(O160&lt;20,"中","高")),IF(O160&lt;6,"中","高"))))),IF(OR(J160="ILF",J160="EIF"),IF(OR(Y160="估算法",Y160="算法类",Y160="无法识别"),"低",IF(N160&lt;2,IF(O160&lt;51,"低","中"),IF(N160&lt;6,IF(O160&lt;20,"低",IF(O160&lt;51,"中","高")),IF(O160&lt;20,"中","高")))),"不计算")))</f>
        <v/>
      </c>
      <c r="Q160" s="172">
        <f>IFERROR(IF(J160="EI",IF(P160="低",3,IF(P160="中",4,6)),IF(J160="EO",IF(P160="低",4,IF(P160="中",5,7)),IF(J160="EQ",IF(P160="低",3,IF(P160="中",4,6)),IF(J160="ILF",IF(P160="低",7,IF(P160="中",10,15)),IF(J160="EIF",IF(P160="低",5,IF(P160="中",7,10)),"不计算")))))*R160,"不计算")</f>
        <v/>
      </c>
      <c r="R160" s="172" t="n">
        <v>0</v>
      </c>
      <c r="S160" s="173">
        <f>调整因子!$F$13</f>
        <v/>
      </c>
      <c r="T160" s="92" t="n">
        <v>1</v>
      </c>
      <c r="U160" s="174">
        <f>IFERROR(Q160*S160,0)</f>
        <v/>
      </c>
      <c r="V160" s="174">
        <f>U160*T160</f>
        <v/>
      </c>
      <c r="W160" s="91" t="n"/>
      <c r="X160" s="90" t="inlineStr">
        <is>
          <t>漏洞指纹属性分类表</t>
        </is>
      </c>
      <c r="Y160" s="90" t="inlineStr">
        <is>
          <t>漏洞指纹属性分类表{分类ID、分类名称、描述}</t>
        </is>
      </c>
      <c r="Z160" s="90">
        <f>IF(COUNTIFS(W:W,"*"&amp;I160&amp;"*")&gt;0,"存在","不存在")</f>
        <v/>
      </c>
      <c r="AA160" s="90">
        <f>IF(COUNTIFS(AB:AB,"*"&amp;I160&amp;"*")&gt;0,"存在","不存在")</f>
        <v/>
      </c>
      <c r="AB160" s="90" t="inlineStr">
        <is>
          <t>等效防护设备规划、等效防护设备规划历史记录表</t>
        </is>
      </c>
      <c r="AC160" s="66" t="n"/>
    </row>
    <row r="161" customFormat="1" s="66">
      <c r="A161" s="72">
        <f>ROW()-1</f>
        <v/>
      </c>
      <c r="B161" s="175" t="n"/>
      <c r="C161" s="80" t="n">
        <v>2025</v>
      </c>
      <c r="D161" s="80" t="inlineStr">
        <is>
          <t>张明峰</t>
        </is>
      </c>
      <c r="E161" s="81">
        <f>VLOOKUP(I161,'25年交付功能（不含废弃）'!A:A,1,FALSE)</f>
        <v/>
      </c>
      <c r="F161" s="175" t="n"/>
      <c r="G161" s="175" t="n"/>
      <c r="H161" s="175" t="n"/>
      <c r="I161" s="98" t="inlineStr">
        <is>
          <t>漏洞指纹动态属性表</t>
        </is>
      </c>
      <c r="J161" s="93" t="inlineStr">
        <is>
          <t>ILF</t>
        </is>
      </c>
      <c r="K161" s="101" t="inlineStr">
        <is>
          <t>删除</t>
        </is>
      </c>
      <c r="L161" s="84" t="inlineStr">
        <is>
          <t>数据库表未被本系统所维护</t>
        </is>
      </c>
      <c r="M161" s="85">
        <f>IF(OR(Y161="估算法",Y161="算法类",Y161="无法识别"),"",IF(W161="",IF(OR(J161="EI",J161="EO",J161="EQ"),0,""),LEN(W161)-LEN(SUBSTITUTE(W161,"、",""))+1))</f>
        <v/>
      </c>
      <c r="N161" s="85">
        <f>IF(OR(Y161="估算法",Y161="算法类",Y161="无法识别"),"",IF(X161="",IF(OR(J161="ILF",J161="EIF"),0,""),LEN(X161)-LEN(SUBSTITUTE(X161,"、",""))+1))</f>
        <v/>
      </c>
      <c r="O161" s="85">
        <f>IF(OR(Y161="估算法",Y161="算法类",Y161="无法识别"),"",IF(Y161="",IF(OR(J161="ILF",J161="EIF",J161="EI",J161="EO",J161="EQ"),0,""),LEN(Y161)-LEN(SUBSTITUTE(SUBSTITUTE(SUBSTITUTE(SUBSTITUTE(SUBSTITUTE(Y161,"|}","--"),"{|","--"),CHAR(10),""),"、",""),"|",""))+IF(AND(OR(J161="EI",J161="EO",J161="EQ"),$AE$1="NESMA"),2,1)))</f>
        <v/>
      </c>
      <c r="P161" s="86">
        <f>IF(J161="EI",IF(OR(Y161="估算法",Y161="算法类"),"中",IF(Y161="无法识别","低",IF(M161&lt;2,IF(O161&lt;16,"低","中"),IF(M161&lt;3,IF(O161&lt;5,"低",IF(O161&lt;16,"中","高")),IF(O161&lt;5,"中","高"))))),IF(OR(J161="EO",J161="EQ"),IF(OR(Y161="估算法",Y161="算法类"),"中",IF(Y161="无法识别","低",IF(M161&lt;2,IF(O161&lt;20,"低","中"),IF(M161&lt;4,IF(O161&lt;6,"低",IF(O161&lt;20,"中","高")),IF(O161&lt;6,"中","高"))))),IF(OR(J161="ILF",J161="EIF"),IF(OR(Y161="估算法",Y161="算法类",Y161="无法识别"),"低",IF(N161&lt;2,IF(O161&lt;51,"低","中"),IF(N161&lt;6,IF(O161&lt;20,"低",IF(O161&lt;51,"中","高")),IF(O161&lt;20,"中","高")))),"不计算")))</f>
        <v/>
      </c>
      <c r="Q161" s="172">
        <f>IFERROR(IF(J161="EI",IF(P161="低",3,IF(P161="中",4,6)),IF(J161="EO",IF(P161="低",4,IF(P161="中",5,7)),IF(J161="EQ",IF(P161="低",3,IF(P161="中",4,6)),IF(J161="ILF",IF(P161="低",7,IF(P161="中",10,15)),IF(J161="EIF",IF(P161="低",5,IF(P161="中",7,10)),"不计算")))))*R161,"不计算")</f>
        <v/>
      </c>
      <c r="R161" s="172" t="n">
        <v>0</v>
      </c>
      <c r="S161" s="173">
        <f>调整因子!$F$13</f>
        <v/>
      </c>
      <c r="T161" s="93" t="n">
        <v>1</v>
      </c>
      <c r="U161" s="174">
        <f>IFERROR(Q161*S161,0)</f>
        <v/>
      </c>
      <c r="V161" s="174">
        <f>U161*T161</f>
        <v/>
      </c>
      <c r="W161" s="91" t="n"/>
      <c r="X161" s="90" t="inlineStr">
        <is>
          <t>漏洞指纹动态属性表</t>
        </is>
      </c>
      <c r="Y161" s="90" t="inlineStr">
        <is>
          <t>漏洞指纹动态属性表{属性ID、指纹ID、属性名称、值、更新时间}</t>
        </is>
      </c>
      <c r="Z161" s="90">
        <f>IF(COUNTIFS(W:W,"*"&amp;I161&amp;"*")&gt;0,"存在","不存在")</f>
        <v/>
      </c>
      <c r="AA161" s="90">
        <f>IF(COUNTIFS(AB:AB,"*"&amp;I161&amp;"*")&gt;0,"存在","不存在")</f>
        <v/>
      </c>
      <c r="AB161" s="90" t="inlineStr">
        <is>
          <t>等效防护设备规划、等效防护设备规划历史记录表</t>
        </is>
      </c>
      <c r="AC161" s="66" t="n"/>
    </row>
    <row r="162" customFormat="1" s="66">
      <c r="A162" s="72">
        <f>ROW()-1</f>
        <v/>
      </c>
      <c r="B162" s="175" t="n"/>
      <c r="C162" s="80" t="n">
        <v>2025</v>
      </c>
      <c r="D162" s="80" t="inlineStr">
        <is>
          <t>张明峰</t>
        </is>
      </c>
      <c r="E162" s="81">
        <f>VLOOKUP(I162,'25年交付功能（不含废弃）'!A:A,1,FALSE)</f>
        <v/>
      </c>
      <c r="F162" s="175" t="n"/>
      <c r="G162" s="175" t="n"/>
      <c r="H162" s="175" t="n"/>
      <c r="I162" s="98" t="inlineStr">
        <is>
          <t>漏洞指纹信息表</t>
        </is>
      </c>
      <c r="J162" s="93" t="inlineStr">
        <is>
          <t>ILF</t>
        </is>
      </c>
      <c r="K162" s="101" t="inlineStr">
        <is>
          <t>删除</t>
        </is>
      </c>
      <c r="L162" s="84" t="inlineStr">
        <is>
          <t>数据库表未被本系统所维护</t>
        </is>
      </c>
      <c r="M162" s="85">
        <f>IF(OR(Y162="估算法",Y162="算法类",Y162="无法识别"),"",IF(W162="",IF(OR(J162="EI",J162="EO",J162="EQ"),0,""),LEN(W162)-LEN(SUBSTITUTE(W162,"、",""))+1))</f>
        <v/>
      </c>
      <c r="N162" s="85">
        <f>IF(OR(Y162="估算法",Y162="算法类",Y162="无法识别"),"",IF(X162="",IF(OR(J162="ILF",J162="EIF"),0,""),LEN(X162)-LEN(SUBSTITUTE(X162,"、",""))+1))</f>
        <v/>
      </c>
      <c r="O162" s="85">
        <f>IF(OR(Y162="估算法",Y162="算法类",Y162="无法识别"),"",IF(Y162="",IF(OR(J162="ILF",J162="EIF",J162="EI",J162="EO",J162="EQ"),0,""),LEN(Y162)-LEN(SUBSTITUTE(SUBSTITUTE(SUBSTITUTE(SUBSTITUTE(SUBSTITUTE(Y162,"|}","--"),"{|","--"),CHAR(10),""),"、",""),"|",""))+IF(AND(OR(J162="EI",J162="EO",J162="EQ"),$AE$1="NESMA"),2,1)))</f>
        <v/>
      </c>
      <c r="P162" s="86">
        <f>IF(J162="EI",IF(OR(Y162="估算法",Y162="算法类"),"中",IF(Y162="无法识别","低",IF(M162&lt;2,IF(O162&lt;16,"低","中"),IF(M162&lt;3,IF(O162&lt;5,"低",IF(O162&lt;16,"中","高")),IF(O162&lt;5,"中","高"))))),IF(OR(J162="EO",J162="EQ"),IF(OR(Y162="估算法",Y162="算法类"),"中",IF(Y162="无法识别","低",IF(M162&lt;2,IF(O162&lt;20,"低","中"),IF(M162&lt;4,IF(O162&lt;6,"低",IF(O162&lt;20,"中","高")),IF(O162&lt;6,"中","高"))))),IF(OR(J162="ILF",J162="EIF"),IF(OR(Y162="估算法",Y162="算法类",Y162="无法识别"),"低",IF(N162&lt;2,IF(O162&lt;51,"低","中"),IF(N162&lt;6,IF(O162&lt;20,"低",IF(O162&lt;51,"中","高")),IF(O162&lt;20,"中","高")))),"不计算")))</f>
        <v/>
      </c>
      <c r="Q162" s="172">
        <f>IFERROR(IF(J162="EI",IF(P162="低",3,IF(P162="中",4,6)),IF(J162="EO",IF(P162="低",4,IF(P162="中",5,7)),IF(J162="EQ",IF(P162="低",3,IF(P162="中",4,6)),IF(J162="ILF",IF(P162="低",7,IF(P162="中",10,15)),IF(J162="EIF",IF(P162="低",5,IF(P162="中",7,10)),"不计算")))))*R162,"不计算")</f>
        <v/>
      </c>
      <c r="R162" s="172" t="n">
        <v>0</v>
      </c>
      <c r="S162" s="173">
        <f>调整因子!$F$13</f>
        <v/>
      </c>
      <c r="T162" s="92" t="n">
        <v>1</v>
      </c>
      <c r="U162" s="174">
        <f>IFERROR(Q162*S162,0)</f>
        <v/>
      </c>
      <c r="V162" s="174">
        <f>U162*T162</f>
        <v/>
      </c>
      <c r="W162" s="91" t="n"/>
      <c r="X162" s="90" t="inlineStr">
        <is>
          <t>漏洞指纹信息表</t>
        </is>
      </c>
      <c r="Y162" s="90" t="inlineStr">
        <is>
          <t>漏洞指纹信息表{指纹ID、漏洞ID、资产ID、详细信息、创建时间}</t>
        </is>
      </c>
      <c r="Z162" s="90">
        <f>IF(COUNTIFS(W:W,"*"&amp;I162&amp;"*")&gt;0,"存在","不存在")</f>
        <v/>
      </c>
      <c r="AA162" s="90">
        <f>IF(COUNTIFS(AB:AB,"*"&amp;I162&amp;"*")&gt;0,"存在","不存在")</f>
        <v/>
      </c>
      <c r="AB162" s="90" t="inlineStr">
        <is>
          <t>任务分配策略表</t>
        </is>
      </c>
      <c r="AC162" s="66" t="n"/>
    </row>
    <row r="163" customFormat="1" s="66">
      <c r="A163" s="72">
        <f>ROW()-1</f>
        <v/>
      </c>
      <c r="B163" s="175" t="n"/>
      <c r="C163" s="80" t="n">
        <v>2025</v>
      </c>
      <c r="D163" s="80" t="inlineStr">
        <is>
          <t>张明峰</t>
        </is>
      </c>
      <c r="E163" s="81">
        <f>VLOOKUP(I163,'25年交付功能（不含废弃）'!A:A,1,FALSE)</f>
        <v/>
      </c>
      <c r="F163" s="176" t="n"/>
      <c r="G163" s="176" t="n"/>
      <c r="H163" s="176" t="n"/>
      <c r="I163" s="98" t="inlineStr">
        <is>
          <t>漏洞指纹数据仓库表</t>
        </is>
      </c>
      <c r="J163" s="93" t="inlineStr">
        <is>
          <t>ILF</t>
        </is>
      </c>
      <c r="K163" s="101" t="inlineStr">
        <is>
          <t>删除</t>
        </is>
      </c>
      <c r="L163" s="84" t="inlineStr">
        <is>
          <t>数据库表未被本系统所维护</t>
        </is>
      </c>
      <c r="M163" s="85">
        <f>IF(OR(Y163="估算法",Y163="算法类",Y163="无法识别"),"",IF(W163="",IF(OR(J163="EI",J163="EO",J163="EQ"),0,""),LEN(W163)-LEN(SUBSTITUTE(W163,"、",""))+1))</f>
        <v/>
      </c>
      <c r="N163" s="85">
        <f>IF(OR(Y163="估算法",Y163="算法类",Y163="无法识别"),"",IF(X163="",IF(OR(J163="ILF",J163="EIF"),0,""),LEN(X163)-LEN(SUBSTITUTE(X163,"、",""))+1))</f>
        <v/>
      </c>
      <c r="O163" s="85">
        <f>IF(OR(Y163="估算法",Y163="算法类",Y163="无法识别"),"",IF(Y163="",IF(OR(J163="ILF",J163="EIF",J163="EI",J163="EO",J163="EQ"),0,""),LEN(Y163)-LEN(SUBSTITUTE(SUBSTITUTE(SUBSTITUTE(SUBSTITUTE(SUBSTITUTE(Y163,"|}","--"),"{|","--"),CHAR(10),""),"、",""),"|",""))+IF(AND(OR(J163="EI",J163="EO",J163="EQ"),$AE$1="NESMA"),2,1)))</f>
        <v/>
      </c>
      <c r="P163" s="86">
        <f>IF(J163="EI",IF(OR(Y163="估算法",Y163="算法类"),"中",IF(Y163="无法识别","低",IF(M163&lt;2,IF(O163&lt;16,"低","中"),IF(M163&lt;3,IF(O163&lt;5,"低",IF(O163&lt;16,"中","高")),IF(O163&lt;5,"中","高"))))),IF(OR(J163="EO",J163="EQ"),IF(OR(Y163="估算法",Y163="算法类"),"中",IF(Y163="无法识别","低",IF(M163&lt;2,IF(O163&lt;20,"低","中"),IF(M163&lt;4,IF(O163&lt;6,"低",IF(O163&lt;20,"中","高")),IF(O163&lt;6,"中","高"))))),IF(OR(J163="ILF",J163="EIF"),IF(OR(Y163="估算法",Y163="算法类",Y163="无法识别"),"低",IF(N163&lt;2,IF(O163&lt;51,"低","中"),IF(N163&lt;6,IF(O163&lt;20,"低",IF(O163&lt;51,"中","高")),IF(O163&lt;20,"中","高")))),"不计算")))</f>
        <v/>
      </c>
      <c r="Q163" s="172">
        <f>IFERROR(IF(J163="EI",IF(P163="低",3,IF(P163="中",4,6)),IF(J163="EO",IF(P163="低",4,IF(P163="中",5,7)),IF(J163="EQ",IF(P163="低",3,IF(P163="中",4,6)),IF(J163="ILF",IF(P163="低",7,IF(P163="中",10,15)),IF(J163="EIF",IF(P163="低",5,IF(P163="中",7,10)),"不计算")))))*R163,"不计算")</f>
        <v/>
      </c>
      <c r="R163" s="172" t="n">
        <v>0</v>
      </c>
      <c r="S163" s="173">
        <f>调整因子!$F$13</f>
        <v/>
      </c>
      <c r="T163" s="92" t="n">
        <v>1</v>
      </c>
      <c r="U163" s="174">
        <f>IFERROR(Q163*S163,0)</f>
        <v/>
      </c>
      <c r="V163" s="174">
        <f>U163*T163</f>
        <v/>
      </c>
      <c r="W163" s="91" t="n"/>
      <c r="X163" s="90" t="inlineStr">
        <is>
          <t>漏洞指纹数据仓库表</t>
        </is>
      </c>
      <c r="Y163" s="90" t="inlineStr">
        <is>
          <t>漏洞指纹数据仓库表{数据ID、指纹ID、数据内容、存储位置、创建时间}</t>
        </is>
      </c>
      <c r="Z163" s="90">
        <f>IF(COUNTIFS(W:W,"*"&amp;I163&amp;"*")&gt;0,"存在","不存在")</f>
        <v/>
      </c>
      <c r="AA163" s="90">
        <f>IF(COUNTIFS(AB:AB,"*"&amp;I163&amp;"*")&gt;0,"存在","不存在")</f>
        <v/>
      </c>
      <c r="AB163" s="90" t="inlineStr">
        <is>
          <t>任务分配策略表</t>
        </is>
      </c>
      <c r="AC163" s="66" t="n"/>
    </row>
    <row r="164" customFormat="1" s="66">
      <c r="A164" s="72">
        <f>ROW()-1</f>
        <v/>
      </c>
      <c r="B164" s="175" t="n"/>
      <c r="C164" s="80" t="n">
        <v>2025</v>
      </c>
      <c r="D164" s="80" t="inlineStr">
        <is>
          <t>窦鹏岐</t>
        </is>
      </c>
      <c r="E164" s="81">
        <f>VLOOKUP(I164,'25年交付功能（不含废弃）'!A:A,1,FALSE)</f>
        <v/>
      </c>
      <c r="F164" s="92" t="inlineStr">
        <is>
          <t>数据同步</t>
        </is>
      </c>
      <c r="G164" s="82" t="inlineStr">
        <is>
          <t>VEX数据上报及接收</t>
        </is>
      </c>
      <c r="H164" s="82" t="inlineStr">
        <is>
          <t>VEX数据接口</t>
        </is>
      </c>
      <c r="I164" s="81" t="inlineStr">
        <is>
          <t>上传VEX文档</t>
        </is>
      </c>
      <c r="J164" s="98" t="inlineStr">
        <is>
          <t>EI</t>
        </is>
      </c>
      <c r="K164" s="102" t="n"/>
      <c r="L164" s="102" t="n"/>
      <c r="M164" s="85">
        <f>IF(OR(Y164="估算法",Y164="算法类",Y164="无法识别"),"",IF(W164="",IF(OR(J164="EI",J164="EO",J164="EQ"),0,""),LEN(W164)-LEN(SUBSTITUTE(W164,"、",""))+1))</f>
        <v/>
      </c>
      <c r="N164" s="85">
        <f>IF(OR(Y164="估算法",Y164="算法类",Y164="无法识别"),"",IF(X164="",IF(OR(J164="ILF",J164="EIF"),0,""),LEN(X164)-LEN(SUBSTITUTE(X164,"、",""))+1))</f>
        <v/>
      </c>
      <c r="O164" s="85">
        <f>IF(OR(Y164="估算法",Y164="算法类",Y164="无法识别"),"",IF(Y164="",IF(OR(J164="ILF",J164="EIF",J164="EI",J164="EO",J164="EQ"),0,""),LEN(Y164)-LEN(SUBSTITUTE(SUBSTITUTE(SUBSTITUTE(SUBSTITUTE(SUBSTITUTE(Y164,"|}","--"),"{|","--"),CHAR(10),""),"、",""),"|",""))+IF(AND(OR(J164="EI",J164="EO",J164="EQ"),$AE$1="NESMA"),2,1)))</f>
        <v/>
      </c>
      <c r="P164" s="86">
        <f>IF(J164="EI",IF(OR(Y164="估算法",Y164="算法类"),"中",IF(Y164="无法识别","低",IF(M164&lt;2,IF(O164&lt;16,"低","中"),IF(M164&lt;3,IF(O164&lt;5,"低",IF(O164&lt;16,"中","高")),IF(O164&lt;5,"中","高"))))),IF(OR(J164="EO",J164="EQ"),IF(OR(Y164="估算法",Y164="算法类"),"中",IF(Y164="无法识别","低",IF(M164&lt;2,IF(O164&lt;20,"低","中"),IF(M164&lt;4,IF(O164&lt;6,"低",IF(O164&lt;20,"中","高")),IF(O164&lt;6,"中","高"))))),IF(OR(J164="ILF",J164="EIF"),IF(OR(Y164="估算法",Y164="算法类",Y164="无法识别"),"低",IF(N164&lt;2,IF(O164&lt;51,"低","中"),IF(N164&lt;6,IF(O164&lt;20,"低",IF(O164&lt;51,"中","高")),IF(O164&lt;20,"中","高")))),"不计算")))</f>
        <v/>
      </c>
      <c r="Q164" s="172">
        <f>IFERROR(IF(J164="EI",IF(P164="低",3,IF(P164="中",4,6)),IF(J164="EO",IF(P164="低",4,IF(P164="中",5,7)),IF(J164="EQ",IF(P164="低",3,IF(P164="中",4,6)),IF(J164="ILF",IF(P164="低",7,IF(P164="中",10,15)),IF(J164="EIF",IF(P164="低",5,IF(P164="中",7,10)),"不计算")))))*R164,"不计算")</f>
        <v/>
      </c>
      <c r="R164" s="172" t="n">
        <v>1</v>
      </c>
      <c r="S164" s="173">
        <f>调整因子!$F$13</f>
        <v/>
      </c>
      <c r="T164" s="93" t="n">
        <v>1</v>
      </c>
      <c r="U164" s="174">
        <f>IFERROR(Q164*S164,0)</f>
        <v/>
      </c>
      <c r="V164" s="174">
        <f>U164*T164</f>
        <v/>
      </c>
      <c r="W164" s="93" t="inlineStr">
        <is>
          <t>VEX 文档上传记录表</t>
        </is>
      </c>
      <c r="X164" s="98" t="n"/>
      <c r="Y164" s="93" t="inlineStr">
        <is>
          <t>VEX 文档上传记录表{主键 id 、VEX 文档基本信息表主键 id （用于关联对应的文档）、上传者、上传时间、上传状态 （如成功、失败等）、上传位置}</t>
        </is>
      </c>
      <c r="Z164" s="90" t="n"/>
      <c r="AA164" s="90" t="n"/>
      <c r="AB164" s="90" t="inlineStr">
        <is>
          <t>任务分配策略表</t>
        </is>
      </c>
      <c r="AC164" s="66" t="n"/>
    </row>
    <row r="165" customFormat="1" s="66">
      <c r="A165" s="72">
        <f>ROW()-1</f>
        <v/>
      </c>
      <c r="B165" s="175" t="n"/>
      <c r="C165" s="80" t="n">
        <v>2025</v>
      </c>
      <c r="D165" s="80" t="inlineStr">
        <is>
          <t>窦鹏岐</t>
        </is>
      </c>
      <c r="E165" s="81">
        <f>VLOOKUP(I165,'25年交付功能（不含废弃）'!A:A,1,FALSE)</f>
        <v/>
      </c>
      <c r="F165" s="175" t="n"/>
      <c r="G165" s="175" t="n"/>
      <c r="H165" s="175" t="n"/>
      <c r="I165" s="81" t="inlineStr">
        <is>
          <t>接收VEX文档</t>
        </is>
      </c>
      <c r="J165" s="98" t="inlineStr">
        <is>
          <t>EI</t>
        </is>
      </c>
      <c r="K165" s="102" t="n"/>
      <c r="L165" s="102" t="n"/>
      <c r="M165" s="85">
        <f>IF(OR(Y165="估算法",Y165="算法类",Y165="无法识别"),"",IF(W165="",IF(OR(J165="EI",J165="EO",J165="EQ"),0,""),LEN(W165)-LEN(SUBSTITUTE(W165,"、",""))+1))</f>
        <v/>
      </c>
      <c r="N165" s="85">
        <f>IF(OR(Y165="估算法",Y165="算法类",Y165="无法识别"),"",IF(X165="",IF(OR(J165="ILF",J165="EIF"),0,""),LEN(X165)-LEN(SUBSTITUTE(X165,"、",""))+1))</f>
        <v/>
      </c>
      <c r="O165" s="85">
        <f>IF(OR(Y165="估算法",Y165="算法类",Y165="无法识别"),"",IF(Y165="",IF(OR(J165="ILF",J165="EIF",J165="EI",J165="EO",J165="EQ"),0,""),LEN(Y165)-LEN(SUBSTITUTE(SUBSTITUTE(SUBSTITUTE(SUBSTITUTE(SUBSTITUTE(Y165,"|}","--"),"{|","--"),CHAR(10),""),"、",""),"|",""))+IF(AND(OR(J165="EI",J165="EO",J165="EQ"),$AE$1="NESMA"),2,1)))</f>
        <v/>
      </c>
      <c r="P165" s="86">
        <f>IF(J165="EI",IF(OR(Y165="估算法",Y165="算法类"),"中",IF(Y165="无法识别","低",IF(M165&lt;2,IF(O165&lt;16,"低","中"),IF(M165&lt;3,IF(O165&lt;5,"低",IF(O165&lt;16,"中","高")),IF(O165&lt;5,"中","高"))))),IF(OR(J165="EO",J165="EQ"),IF(OR(Y165="估算法",Y165="算法类"),"中",IF(Y165="无法识别","低",IF(M165&lt;2,IF(O165&lt;20,"低","中"),IF(M165&lt;4,IF(O165&lt;6,"低",IF(O165&lt;20,"中","高")),IF(O165&lt;6,"中","高"))))),IF(OR(J165="ILF",J165="EIF"),IF(OR(Y165="估算法",Y165="算法类",Y165="无法识别"),"低",IF(N165&lt;2,IF(O165&lt;51,"低","中"),IF(N165&lt;6,IF(O165&lt;20,"低",IF(O165&lt;51,"中","高")),IF(O165&lt;20,"中","高")))),"不计算")))</f>
        <v/>
      </c>
      <c r="Q165" s="172">
        <f>IFERROR(IF(J165="EI",IF(P165="低",3,IF(P165="中",4,6)),IF(J165="EO",IF(P165="低",4,IF(P165="中",5,7)),IF(J165="EQ",IF(P165="低",3,IF(P165="中",4,6)),IF(J165="ILF",IF(P165="低",7,IF(P165="中",10,15)),IF(J165="EIF",IF(P165="低",5,IF(P165="中",7,10)),"不计算")))))*R165,"不计算")</f>
        <v/>
      </c>
      <c r="R165" s="172" t="n">
        <v>1</v>
      </c>
      <c r="S165" s="173">
        <f>调整因子!$F$13</f>
        <v/>
      </c>
      <c r="T165" s="92" t="n">
        <v>1</v>
      </c>
      <c r="U165" s="174">
        <f>IFERROR(Q165*S165,0)</f>
        <v/>
      </c>
      <c r="V165" s="174">
        <f>U165*T165</f>
        <v/>
      </c>
      <c r="W165" s="93" t="inlineStr">
        <is>
          <t>VEX 文档接收记录表</t>
        </is>
      </c>
      <c r="X165" s="98" t="n"/>
      <c r="Y165" s="93" t="inlineStr">
        <is>
          <t>VEX 文档接收记录表{主键 id 、VEX 文档基本信息表主键 id （用于关联对应的文档）、接收来源、接收时间、接收状态 （如成功、失败等）}</t>
        </is>
      </c>
      <c r="Z165" s="90" t="n"/>
      <c r="AA165" s="90" t="n"/>
      <c r="AB165" s="90" t="inlineStr">
        <is>
          <t>自动化执行步骤表</t>
        </is>
      </c>
      <c r="AC165" s="66" t="n"/>
    </row>
    <row r="166" customFormat="1" s="66">
      <c r="A166" s="72">
        <f>ROW()-1</f>
        <v/>
      </c>
      <c r="B166" s="175" t="n"/>
      <c r="C166" s="80" t="n">
        <v>2025</v>
      </c>
      <c r="D166" s="80" t="inlineStr">
        <is>
          <t>窦鹏岐</t>
        </is>
      </c>
      <c r="E166" s="81">
        <f>VLOOKUP(I166,'25年交付功能（不含废弃）'!A:A,1,FALSE)</f>
        <v/>
      </c>
      <c r="F166" s="175" t="n"/>
      <c r="G166" s="175" t="n"/>
      <c r="H166" s="175" t="n"/>
      <c r="I166" s="81" t="inlineStr">
        <is>
          <t>显示VEX文档信息</t>
        </is>
      </c>
      <c r="J166" s="98" t="inlineStr">
        <is>
          <t>EQ</t>
        </is>
      </c>
      <c r="K166" s="102" t="n"/>
      <c r="L166" s="102" t="n"/>
      <c r="M166" s="85">
        <f>IF(OR(Y166="估算法",Y166="算法类",Y166="无法识别"),"",IF(W166="",IF(OR(J166="EI",J166="EO",J166="EQ"),0,""),LEN(W166)-LEN(SUBSTITUTE(W166,"、",""))+1))</f>
        <v/>
      </c>
      <c r="N166" s="85">
        <f>IF(OR(Y166="估算法",Y166="算法类",Y166="无法识别"),"",IF(X166="",IF(OR(J166="ILF",J166="EIF"),0,""),LEN(X166)-LEN(SUBSTITUTE(X166,"、",""))+1))</f>
        <v/>
      </c>
      <c r="O166" s="85">
        <f>IF(OR(Y166="估算法",Y166="算法类",Y166="无法识别"),"",IF(Y166="",IF(OR(J166="ILF",J166="EIF",J166="EI",J166="EO",J166="EQ"),0,""),LEN(Y166)-LEN(SUBSTITUTE(SUBSTITUTE(SUBSTITUTE(SUBSTITUTE(SUBSTITUTE(Y166,"|}","--"),"{|","--"),CHAR(10),""),"、",""),"|",""))+IF(AND(OR(J166="EI",J166="EO",J166="EQ"),$AE$1="NESMA"),2,1)))</f>
        <v/>
      </c>
      <c r="P166" s="86">
        <f>IF(J166="EI",IF(OR(Y166="估算法",Y166="算法类"),"中",IF(Y166="无法识别","低",IF(M166&lt;2,IF(O166&lt;16,"低","中"),IF(M166&lt;3,IF(O166&lt;5,"低",IF(O166&lt;16,"中","高")),IF(O166&lt;5,"中","高"))))),IF(OR(J166="EO",J166="EQ"),IF(OR(Y166="估算法",Y166="算法类"),"中",IF(Y166="无法识别","低",IF(M166&lt;2,IF(O166&lt;20,"低","中"),IF(M166&lt;4,IF(O166&lt;6,"低",IF(O166&lt;20,"中","高")),IF(O166&lt;6,"中","高"))))),IF(OR(J166="ILF",J166="EIF"),IF(OR(Y166="估算法",Y166="算法类",Y166="无法识别"),"低",IF(N166&lt;2,IF(O166&lt;51,"低","中"),IF(N166&lt;6,IF(O166&lt;20,"低",IF(O166&lt;51,"中","高")),IF(O166&lt;20,"中","高")))),"不计算")))</f>
        <v/>
      </c>
      <c r="Q166" s="172">
        <f>IFERROR(IF(J166="EI",IF(P166="低",3,IF(P166="中",4,6)),IF(J166="EO",IF(P166="低",4,IF(P166="中",5,7)),IF(J166="EQ",IF(P166="低",3,IF(P166="中",4,6)),IF(J166="ILF",IF(P166="低",7,IF(P166="中",10,15)),IF(J166="EIF",IF(P166="低",5,IF(P166="中",7,10)),"不计算")))))*R166,"不计算")</f>
        <v/>
      </c>
      <c r="R166" s="172" t="n">
        <v>1</v>
      </c>
      <c r="S166" s="173">
        <f>调整因子!$F$13</f>
        <v/>
      </c>
      <c r="T166" s="92" t="n">
        <v>1</v>
      </c>
      <c r="U166" s="174">
        <f>IFERROR(Q166*S166,0)</f>
        <v/>
      </c>
      <c r="V166" s="174">
        <f>U166*T166</f>
        <v/>
      </c>
      <c r="W166" s="93" t="inlineStr">
        <is>
          <t>VEX文档展示记录表</t>
        </is>
      </c>
      <c r="X166" s="98" t="n"/>
      <c r="Y166" s="93" t="inlineStr">
        <is>
          <t>VEX文档展示记录表{主键 id 、VEX 文档基本信息表主键 id （用于关联对应的文档）、展示用户 id 、展示时间、展示详情 （如展示的文档部分信息等}</t>
        </is>
      </c>
      <c r="Z166" s="90" t="n"/>
      <c r="AA166" s="90" t="n"/>
      <c r="AB166" s="90" t="inlineStr">
        <is>
          <t>自动化执行步骤表</t>
        </is>
      </c>
      <c r="AC166" s="66" t="n"/>
    </row>
    <row r="167" customFormat="1" s="66">
      <c r="A167" s="72">
        <f>ROW()-1</f>
        <v/>
      </c>
      <c r="B167" s="175" t="n"/>
      <c r="C167" s="80" t="n">
        <v>2025</v>
      </c>
      <c r="D167" s="80" t="inlineStr">
        <is>
          <t>窦鹏岐</t>
        </is>
      </c>
      <c r="E167" s="81">
        <f>VLOOKUP(I167,'25年交付功能（不含废弃）'!A:A,1,FALSE)</f>
        <v/>
      </c>
      <c r="F167" s="175" t="n"/>
      <c r="G167" s="175" t="n"/>
      <c r="H167" s="175" t="n"/>
      <c r="I167" s="81" t="inlineStr">
        <is>
          <t>VEX 文档上传记录表</t>
        </is>
      </c>
      <c r="J167" s="98" t="n"/>
      <c r="K167" s="102" t="n"/>
      <c r="L167" s="102" t="inlineStr">
        <is>
          <t>非ILF</t>
        </is>
      </c>
      <c r="M167" s="85">
        <f>IF(OR(Y167="估算法",Y167="算法类",Y167="无法识别"),"",IF(W167="",IF(OR(J167="EI",J167="EO",J167="EQ"),0,""),LEN(W167)-LEN(SUBSTITUTE(W167,"、",""))+1))</f>
        <v/>
      </c>
      <c r="N167" s="85">
        <f>IF(OR(Y167="估算法",Y167="算法类",Y167="无法识别"),"",IF(X167="",IF(OR(J167="ILF",J167="EIF"),0,""),LEN(X167)-LEN(SUBSTITUTE(X167,"、",""))+1))</f>
        <v/>
      </c>
      <c r="O167" s="85">
        <f>IF(OR(Y167="估算法",Y167="算法类",Y167="无法识别"),"",IF(Y167="",IF(OR(J167="ILF",J167="EIF",J167="EI",J167="EO",J167="EQ"),0,""),LEN(Y167)-LEN(SUBSTITUTE(SUBSTITUTE(SUBSTITUTE(SUBSTITUTE(SUBSTITUTE(Y167,"|}","--"),"{|","--"),CHAR(10),""),"、",""),"|",""))+IF(AND(OR(J167="EI",J167="EO",J167="EQ"),$AE$1="NESMA"),2,1)))</f>
        <v/>
      </c>
      <c r="P167" s="86">
        <f>IF(J167="EI",IF(OR(Y167="估算法",Y167="算法类"),"中",IF(Y167="无法识别","低",IF(M167&lt;2,IF(O167&lt;16,"低","中"),IF(M167&lt;3,IF(O167&lt;5,"低",IF(O167&lt;16,"中","高")),IF(O167&lt;5,"中","高"))))),IF(OR(J167="EO",J167="EQ"),IF(OR(Y167="估算法",Y167="算法类"),"中",IF(Y167="无法识别","低",IF(M167&lt;2,IF(O167&lt;20,"低","中"),IF(M167&lt;4,IF(O167&lt;6,"低",IF(O167&lt;20,"中","高")),IF(O167&lt;6,"中","高"))))),IF(OR(J167="ILF",J167="EIF"),IF(OR(Y167="估算法",Y167="算法类",Y167="无法识别"),"低",IF(N167&lt;2,IF(O167&lt;51,"低","中"),IF(N167&lt;6,IF(O167&lt;20,"低",IF(O167&lt;51,"中","高")),IF(O167&lt;20,"中","高")))),"不计算")))</f>
        <v/>
      </c>
      <c r="Q167" s="172">
        <f>IFERROR(IF(J167="EI",IF(P167="低",3,IF(P167="中",4,6)),IF(J167="EO",IF(P167="低",4,IF(P167="中",5,7)),IF(J167="EQ",IF(P167="低",3,IF(P167="中",4,6)),IF(J167="ILF",IF(P167="低",7,IF(P167="中",10,15)),IF(J167="EIF",IF(P167="低",5,IF(P167="中",7,10)),"不计算")))))*R167,"不计算")</f>
        <v/>
      </c>
      <c r="R167" s="172" t="n">
        <v>0</v>
      </c>
      <c r="S167" s="173">
        <f>调整因子!$F$13</f>
        <v/>
      </c>
      <c r="T167" s="93" t="n">
        <v>1</v>
      </c>
      <c r="U167" s="174">
        <f>IFERROR(Q167*S167,0)</f>
        <v/>
      </c>
      <c r="V167" s="174">
        <f>U167*T167</f>
        <v/>
      </c>
      <c r="W167" s="98" t="n"/>
      <c r="X167" s="93" t="inlineStr">
        <is>
          <t>VEX 文档上传记录表</t>
        </is>
      </c>
      <c r="Y167" s="93" t="inlineStr">
        <is>
          <t>VEX 文档上传记录表{主键 id 、VEX 文档基本信息表主键 id （用于关联对应的文档）、上传者、上传时间、上传状态 （如成功、失败等）、上传位置}</t>
        </is>
      </c>
      <c r="Z167" s="90">
        <f>IF(COUNTIFS(W:W,"*"&amp;I167&amp;"*")&gt;0,"存在","不存在")</f>
        <v/>
      </c>
      <c r="AA167" s="90">
        <f>IF(COUNTIFS(AB:AB,"*"&amp;I167&amp;"*")&gt;0,"存在","不存在")</f>
        <v/>
      </c>
      <c r="AB167" s="90" t="inlineStr">
        <is>
          <t>自动化执行步骤表</t>
        </is>
      </c>
      <c r="AC167" s="66" t="n"/>
    </row>
    <row r="168" customFormat="1" s="66">
      <c r="A168" s="72">
        <f>ROW()-1</f>
        <v/>
      </c>
      <c r="B168" s="175" t="n"/>
      <c r="C168" s="80" t="n">
        <v>2025</v>
      </c>
      <c r="D168" s="80" t="inlineStr">
        <is>
          <t>窦鹏岐</t>
        </is>
      </c>
      <c r="E168" s="81">
        <f>VLOOKUP(I168,'25年交付功能（不含废弃）'!A:A,1,FALSE)</f>
        <v/>
      </c>
      <c r="F168" s="175" t="n"/>
      <c r="G168" s="175" t="n"/>
      <c r="H168" s="175" t="n"/>
      <c r="I168" s="81" t="inlineStr">
        <is>
          <t>VEX 文档接收记录表</t>
        </is>
      </c>
      <c r="J168" s="98" t="n"/>
      <c r="K168" s="102" t="n"/>
      <c r="L168" s="102" t="inlineStr">
        <is>
          <t>非ILF</t>
        </is>
      </c>
      <c r="M168" s="85">
        <f>IF(OR(Y168="估算法",Y168="算法类",Y168="无法识别"),"",IF(W168="",IF(OR(J168="EI",J168="EO",J168="EQ"),0,""),LEN(W168)-LEN(SUBSTITUTE(W168,"、",""))+1))</f>
        <v/>
      </c>
      <c r="N168" s="85">
        <f>IF(OR(Y168="估算法",Y168="算法类",Y168="无法识别"),"",IF(X168="",IF(OR(J168="ILF",J168="EIF"),0,""),LEN(X168)-LEN(SUBSTITUTE(X168,"、",""))+1))</f>
        <v/>
      </c>
      <c r="O168" s="85">
        <f>IF(OR(Y168="估算法",Y168="算法类",Y168="无法识别"),"",IF(Y168="",IF(OR(J168="ILF",J168="EIF",J168="EI",J168="EO",J168="EQ"),0,""),LEN(Y168)-LEN(SUBSTITUTE(SUBSTITUTE(SUBSTITUTE(SUBSTITUTE(SUBSTITUTE(Y168,"|}","--"),"{|","--"),CHAR(10),""),"、",""),"|",""))+IF(AND(OR(J168="EI",J168="EO",J168="EQ"),$AE$1="NESMA"),2,1)))</f>
        <v/>
      </c>
      <c r="P168" s="86">
        <f>IF(J168="EI",IF(OR(Y168="估算法",Y168="算法类"),"中",IF(Y168="无法识别","低",IF(M168&lt;2,IF(O168&lt;16,"低","中"),IF(M168&lt;3,IF(O168&lt;5,"低",IF(O168&lt;16,"中","高")),IF(O168&lt;5,"中","高"))))),IF(OR(J168="EO",J168="EQ"),IF(OR(Y168="估算法",Y168="算法类"),"中",IF(Y168="无法识别","低",IF(M168&lt;2,IF(O168&lt;20,"低","中"),IF(M168&lt;4,IF(O168&lt;6,"低",IF(O168&lt;20,"中","高")),IF(O168&lt;6,"中","高"))))),IF(OR(J168="ILF",J168="EIF"),IF(OR(Y168="估算法",Y168="算法类",Y168="无法识别"),"低",IF(N168&lt;2,IF(O168&lt;51,"低","中"),IF(N168&lt;6,IF(O168&lt;20,"低",IF(O168&lt;51,"中","高")),IF(O168&lt;20,"中","高")))),"不计算")))</f>
        <v/>
      </c>
      <c r="Q168" s="172">
        <f>IFERROR(IF(J168="EI",IF(P168="低",3,IF(P168="中",4,6)),IF(J168="EO",IF(P168="低",4,IF(P168="中",5,7)),IF(J168="EQ",IF(P168="低",3,IF(P168="中",4,6)),IF(J168="ILF",IF(P168="低",7,IF(P168="中",10,15)),IF(J168="EIF",IF(P168="低",5,IF(P168="中",7,10)),"不计算")))))*R168,"不计算")</f>
        <v/>
      </c>
      <c r="R168" s="172" t="n">
        <v>0</v>
      </c>
      <c r="S168" s="173">
        <f>调整因子!$F$13</f>
        <v/>
      </c>
      <c r="T168" s="92" t="n">
        <v>1</v>
      </c>
      <c r="U168" s="174">
        <f>IFERROR(Q168*S168,0)</f>
        <v/>
      </c>
      <c r="V168" s="174">
        <f>U168*T168</f>
        <v/>
      </c>
      <c r="W168" s="98" t="n"/>
      <c r="X168" s="93" t="inlineStr">
        <is>
          <t>VEX 文档接收记录表</t>
        </is>
      </c>
      <c r="Y168" s="93" t="inlineStr">
        <is>
          <t>VEX 文档接收记录表{主键 id 、VEX 文档基本信息表主键 id （用于关联对应的文档）、接收来源、接收时间、接收状态 （如成功、失败等）}</t>
        </is>
      </c>
      <c r="Z168" s="90">
        <f>IF(COUNTIFS(W:W,"*"&amp;I168&amp;"*")&gt;0,"存在","不存在")</f>
        <v/>
      </c>
      <c r="AA168" s="90">
        <f>IF(COUNTIFS(AB:AB,"*"&amp;I168&amp;"*")&gt;0,"存在","不存在")</f>
        <v/>
      </c>
      <c r="AB168" s="93" t="inlineStr">
        <is>
          <t>工单状态记录表</t>
        </is>
      </c>
      <c r="AC168" s="66" t="n"/>
    </row>
    <row r="169" customFormat="1" s="66">
      <c r="A169" s="72">
        <f>ROW()-1</f>
        <v/>
      </c>
      <c r="B169" s="175" t="n"/>
      <c r="C169" s="80" t="n">
        <v>2025</v>
      </c>
      <c r="D169" s="80" t="inlineStr">
        <is>
          <t>窦鹏岐</t>
        </is>
      </c>
      <c r="E169" s="81">
        <f>VLOOKUP(I169,'25年交付功能（不含废弃）'!A:A,1,FALSE)</f>
        <v/>
      </c>
      <c r="F169" s="175" t="n"/>
      <c r="G169" s="176" t="n"/>
      <c r="H169" s="176" t="n"/>
      <c r="I169" s="81" t="inlineStr">
        <is>
          <t>VEX文档展示记录表</t>
        </is>
      </c>
      <c r="J169" s="98" t="inlineStr">
        <is>
          <t>ILF</t>
        </is>
      </c>
      <c r="K169" s="84" t="n"/>
      <c r="L169" s="84" t="inlineStr">
        <is>
          <t>数据库表未被本系统所维护</t>
        </is>
      </c>
      <c r="M169" s="85">
        <f>IF(OR(Y169="估算法",Y169="算法类",Y169="无法识别"),"",IF(W169="",IF(OR(J169="EI",J169="EO",J169="EQ"),0,""),LEN(W169)-LEN(SUBSTITUTE(W169,"、",""))+1))</f>
        <v/>
      </c>
      <c r="N169" s="85">
        <f>IF(OR(Y169="估算法",Y169="算法类",Y169="无法识别"),"",IF(X169="",IF(OR(J169="ILF",J169="EIF"),0,""),LEN(X169)-LEN(SUBSTITUTE(X169,"、",""))+1))</f>
        <v/>
      </c>
      <c r="O169" s="85">
        <f>IF(OR(Y169="估算法",Y169="算法类",Y169="无法识别"),"",IF(Y169="",IF(OR(J169="ILF",J169="EIF",J169="EI",J169="EO",J169="EQ"),0,""),LEN(Y169)-LEN(SUBSTITUTE(SUBSTITUTE(SUBSTITUTE(SUBSTITUTE(SUBSTITUTE(Y169,"|}","--"),"{|","--"),CHAR(10),""),"、",""),"|",""))+IF(AND(OR(J169="EI",J169="EO",J169="EQ"),$AE$1="NESMA"),2,1)))</f>
        <v/>
      </c>
      <c r="P169" s="86">
        <f>IF(J169="EI",IF(OR(Y169="估算法",Y169="算法类"),"中",IF(Y169="无法识别","低",IF(M169&lt;2,IF(O169&lt;16,"低","中"),IF(M169&lt;3,IF(O169&lt;5,"低",IF(O169&lt;16,"中","高")),IF(O169&lt;5,"中","高"))))),IF(OR(J169="EO",J169="EQ"),IF(OR(Y169="估算法",Y169="算法类"),"中",IF(Y169="无法识别","低",IF(M169&lt;2,IF(O169&lt;20,"低","中"),IF(M169&lt;4,IF(O169&lt;6,"低",IF(O169&lt;20,"中","高")),IF(O169&lt;6,"中","高"))))),IF(OR(J169="ILF",J169="EIF"),IF(OR(Y169="估算法",Y169="算法类",Y169="无法识别"),"低",IF(N169&lt;2,IF(O169&lt;51,"低","中"),IF(N169&lt;6,IF(O169&lt;20,"低",IF(O169&lt;51,"中","高")),IF(O169&lt;20,"中","高")))),"不计算")))</f>
        <v/>
      </c>
      <c r="Q169" s="172">
        <f>IFERROR(IF(J169="EI",IF(P169="低",3,IF(P169="中",4,6)),IF(J169="EO",IF(P169="低",4,IF(P169="中",5,7)),IF(J169="EQ",IF(P169="低",3,IF(P169="中",4,6)),IF(J169="ILF",IF(P169="低",7,IF(P169="中",10,15)),IF(J169="EIF",IF(P169="低",5,IF(P169="中",7,10)),"不计算")))))*R169,"不计算")</f>
        <v/>
      </c>
      <c r="R169" s="172" t="n">
        <v>0</v>
      </c>
      <c r="S169" s="173">
        <f>调整因子!$F$13</f>
        <v/>
      </c>
      <c r="T169" s="92" t="n">
        <v>1</v>
      </c>
      <c r="U169" s="174">
        <f>IFERROR(Q169*S169,0)</f>
        <v/>
      </c>
      <c r="V169" s="174">
        <f>U169*T169</f>
        <v/>
      </c>
      <c r="W169" s="98" t="n"/>
      <c r="X169" s="93" t="inlineStr">
        <is>
          <t>VEX文档展示记录表</t>
        </is>
      </c>
      <c r="Y169" s="93" t="inlineStr">
        <is>
          <t>VEX文档展示记录表{主键 id 、VEX 文档基本信息表主键 id （用于关联对应的文档）、展示用户 id 、展示时间、展示详情 （如展示的文档部分信息等}</t>
        </is>
      </c>
      <c r="Z169" s="90">
        <f>IF(COUNTIFS(W:W,"*"&amp;I169&amp;"*")&gt;0,"存在","不存在")</f>
        <v/>
      </c>
      <c r="AA169" s="90">
        <f>IF(COUNTIFS(AB:AB,"*"&amp;I169&amp;"*")&gt;0,"存在","不存在")</f>
        <v/>
      </c>
      <c r="AB169" s="93" t="inlineStr">
        <is>
          <t>工单状态记录表</t>
        </is>
      </c>
      <c r="AC169" s="66" t="n"/>
    </row>
    <row r="170" customFormat="1" s="66">
      <c r="A170" s="72">
        <f>ROW()-1</f>
        <v/>
      </c>
      <c r="B170" s="175" t="n"/>
      <c r="C170" s="80" t="n">
        <v>2025</v>
      </c>
      <c r="D170" s="80" t="inlineStr">
        <is>
          <t>蔡云飞</t>
        </is>
      </c>
      <c r="E170" s="81">
        <f>VLOOKUP(I170,'25年交付功能（不含废弃）'!A:A,1,FALSE)</f>
        <v/>
      </c>
      <c r="F170" s="175" t="n"/>
      <c r="G170" s="82" t="inlineStr">
        <is>
          <t>漏洞修复状态同步</t>
        </is>
      </c>
      <c r="H170" s="82" t="inlineStr">
        <is>
          <t>漏洞修复状态同步接口</t>
        </is>
      </c>
      <c r="I170" s="81" t="inlineStr">
        <is>
          <t>漏洞修复状态查询</t>
        </is>
      </c>
      <c r="J170" s="93" t="inlineStr">
        <is>
          <t>EQ</t>
        </is>
      </c>
      <c r="K170" s="102" t="n"/>
      <c r="L170" s="102" t="n"/>
      <c r="M170" s="85">
        <f>IF(OR(Y170="估算法",Y170="算法类",Y170="无法识别"),"",IF(W170="",IF(OR(J170="EI",J170="EO",J170="EQ"),0,""),LEN(W170)-LEN(SUBSTITUTE(W170,"、",""))+1))</f>
        <v/>
      </c>
      <c r="N170" s="85">
        <f>IF(OR(Y170="估算法",Y170="算法类",Y170="无法识别"),"",IF(X170="",IF(OR(J170="ILF",J170="EIF"),0,""),LEN(X170)-LEN(SUBSTITUTE(X170,"、",""))+1))</f>
        <v/>
      </c>
      <c r="O170" s="85">
        <f>IF(OR(Y170="估算法",Y170="算法类",Y170="无法识别"),"",IF(Y170="",IF(OR(J170="ILF",J170="EIF",J170="EI",J170="EO",J170="EQ"),0,""),LEN(Y170)-LEN(SUBSTITUTE(SUBSTITUTE(SUBSTITUTE(SUBSTITUTE(SUBSTITUTE(Y170,"|}","--"),"{|","--"),CHAR(10),""),"、",""),"|",""))+IF(AND(OR(J170="EI",J170="EO",J170="EQ"),$AE$1="NESMA"),2,1)))</f>
        <v/>
      </c>
      <c r="P170" s="86">
        <f>IF(J170="EI",IF(OR(Y170="估算法",Y170="算法类"),"中",IF(Y170="无法识别","低",IF(M170&lt;2,IF(O170&lt;16,"低","中"),IF(M170&lt;3,IF(O170&lt;5,"低",IF(O170&lt;16,"中","高")),IF(O170&lt;5,"中","高"))))),IF(OR(J170="EO",J170="EQ"),IF(OR(Y170="估算法",Y170="算法类"),"中",IF(Y170="无法识别","低",IF(M170&lt;2,IF(O170&lt;20,"低","中"),IF(M170&lt;4,IF(O170&lt;6,"低",IF(O170&lt;20,"中","高")),IF(O170&lt;6,"中","高"))))),IF(OR(J170="ILF",J170="EIF"),IF(OR(Y170="估算法",Y170="算法类",Y170="无法识别"),"低",IF(N170&lt;2,IF(O170&lt;51,"低","中"),IF(N170&lt;6,IF(O170&lt;20,"低",IF(O170&lt;51,"中","高")),IF(O170&lt;20,"中","高")))),"不计算")))</f>
        <v/>
      </c>
      <c r="Q170" s="172">
        <f>IFERROR(IF(J170="EI",IF(P170="低",3,IF(P170="中",4,6)),IF(J170="EO",IF(P170="低",4,IF(P170="中",5,7)),IF(J170="EQ",IF(P170="低",3,IF(P170="中",4,6)),IF(J170="ILF",IF(P170="低",7,IF(P170="中",10,15)),IF(J170="EIF",IF(P170="低",5,IF(P170="中",7,10)),"不计算")))))*R170,"不计算")</f>
        <v/>
      </c>
      <c r="R170" s="172" t="n">
        <v>1</v>
      </c>
      <c r="S170" s="173">
        <f>调整因子!$F$13</f>
        <v/>
      </c>
      <c r="T170" s="93" t="n">
        <v>1</v>
      </c>
      <c r="U170" s="174">
        <f>IFERROR(Q170*S170,0)</f>
        <v/>
      </c>
      <c r="V170" s="174">
        <f>U170*T170</f>
        <v/>
      </c>
      <c r="W170" s="90" t="inlineStr">
        <is>
          <t>漏洞修复状态表</t>
        </is>
      </c>
      <c r="X170" s="91" t="n"/>
      <c r="Y170" s="90" t="inlineStr">
        <is>
          <t>漏洞修复状态表
{记录ID、漏洞编号、漏洞名称、漏洞等级、资产ID、资产名称、资产IP、组件名称、组件版本、组件类型、CPE名称、修复状态、修复方式、修复来源、修复时间、责任人、修复工具、修复耗时、更新时间、备注
}</t>
        </is>
      </c>
      <c r="Z170" s="90" t="n"/>
      <c r="AA170" s="90" t="n"/>
      <c r="AB170" s="93" t="inlineStr">
        <is>
          <t>异常捕捉规则表</t>
        </is>
      </c>
      <c r="AC170" s="66" t="n"/>
    </row>
    <row r="171" customFormat="1" s="66">
      <c r="A171" s="72">
        <f>ROW()-1</f>
        <v/>
      </c>
      <c r="B171" s="175" t="n"/>
      <c r="C171" s="80" t="n">
        <v>2025</v>
      </c>
      <c r="D171" s="80" t="inlineStr">
        <is>
          <t>蔡云飞</t>
        </is>
      </c>
      <c r="E171" s="81">
        <f>VLOOKUP(I171,'25年交付功能（不含废弃）'!A:A,1,FALSE)</f>
        <v/>
      </c>
      <c r="F171" s="175" t="n"/>
      <c r="G171" s="175" t="n"/>
      <c r="H171" s="175" t="n"/>
      <c r="I171" s="81" t="inlineStr">
        <is>
          <t>漏洞修复状态更新</t>
        </is>
      </c>
      <c r="J171" s="93" t="n"/>
      <c r="K171" s="102" t="n"/>
      <c r="L171" s="102" t="inlineStr">
        <is>
          <t>非事务功能</t>
        </is>
      </c>
      <c r="M171" s="85">
        <f>IF(OR(Y171="估算法",Y171="算法类",Y171="无法识别"),"",IF(W171="",IF(OR(J171="EI",J171="EO",J171="EQ"),0,""),LEN(W171)-LEN(SUBSTITUTE(W171,"、",""))+1))</f>
        <v/>
      </c>
      <c r="N171" s="85">
        <f>IF(OR(Y171="估算法",Y171="算法类",Y171="无法识别"),"",IF(X171="",IF(OR(J171="ILF",J171="EIF"),0,""),LEN(X171)-LEN(SUBSTITUTE(X171,"、",""))+1))</f>
        <v/>
      </c>
      <c r="O171" s="85">
        <f>IF(OR(Y171="估算法",Y171="算法类",Y171="无法识别"),"",IF(Y171="",IF(OR(J171="ILF",J171="EIF",J171="EI",J171="EO",J171="EQ"),0,""),LEN(Y171)-LEN(SUBSTITUTE(SUBSTITUTE(SUBSTITUTE(SUBSTITUTE(SUBSTITUTE(Y171,"|}","--"),"{|","--"),CHAR(10),""),"、",""),"|",""))+IF(AND(OR(J171="EI",J171="EO",J171="EQ"),$AE$1="NESMA"),2,1)))</f>
        <v/>
      </c>
      <c r="P171" s="86">
        <f>IF(J171="EI",IF(OR(Y171="估算法",Y171="算法类"),"中",IF(Y171="无法识别","低",IF(M171&lt;2,IF(O171&lt;16,"低","中"),IF(M171&lt;3,IF(O171&lt;5,"低",IF(O171&lt;16,"中","高")),IF(O171&lt;5,"中","高"))))),IF(OR(J171="EO",J171="EQ"),IF(OR(Y171="估算法",Y171="算法类"),"中",IF(Y171="无法识别","低",IF(M171&lt;2,IF(O171&lt;20,"低","中"),IF(M171&lt;4,IF(O171&lt;6,"低",IF(O171&lt;20,"中","高")),IF(O171&lt;6,"中","高"))))),IF(OR(J171="ILF",J171="EIF"),IF(OR(Y171="估算法",Y171="算法类",Y171="无法识别"),"低",IF(N171&lt;2,IF(O171&lt;51,"低","中"),IF(N171&lt;6,IF(O171&lt;20,"低",IF(O171&lt;51,"中","高")),IF(O171&lt;20,"中","高")))),"不计算")))</f>
        <v/>
      </c>
      <c r="Q171" s="172">
        <f>IFERROR(IF(J171="EI",IF(P171="低",3,IF(P171="中",4,6)),IF(J171="EO",IF(P171="低",4,IF(P171="中",5,7)),IF(J171="EQ",IF(P171="低",3,IF(P171="中",4,6)),IF(J171="ILF",IF(P171="低",7,IF(P171="中",10,15)),IF(J171="EIF",IF(P171="低",5,IF(P171="中",7,10)),"不计算")))))*R171,"不计算")</f>
        <v/>
      </c>
      <c r="R171" s="172" t="n">
        <v>1</v>
      </c>
      <c r="S171" s="173">
        <f>调整因子!$F$13</f>
        <v/>
      </c>
      <c r="T171" s="92" t="n">
        <v>1</v>
      </c>
      <c r="U171" s="174">
        <f>IFERROR(Q171*S171,0)</f>
        <v/>
      </c>
      <c r="V171" s="174">
        <f>U171*T171</f>
        <v/>
      </c>
      <c r="W171" s="90" t="inlineStr">
        <is>
          <t>漏洞修复状态表</t>
        </is>
      </c>
      <c r="X171" s="91" t="n"/>
      <c r="Y171" s="90" t="inlineStr">
        <is>
          <t>漏洞修复状态表
{记录ID、漏洞编号、漏洞名称、漏洞等级、资产ID、资产名称、资产IP、组件名称、组件版本、组件类型、CPE名称、修复状态、修复方式、修复来源、修复时间、责任人、修复工具、修复耗时、更新时间、备注
}</t>
        </is>
      </c>
      <c r="Z171" s="90" t="n"/>
      <c r="AA171" s="90" t="n"/>
      <c r="AB171" s="93" t="inlineStr">
        <is>
          <t>异常捕捉规则表</t>
        </is>
      </c>
      <c r="AC171" s="66" t="n"/>
    </row>
    <row r="172" customFormat="1" s="66">
      <c r="A172" s="72">
        <f>ROW()-1</f>
        <v/>
      </c>
      <c r="B172" s="175" t="n"/>
      <c r="C172" s="80" t="n">
        <v>2025</v>
      </c>
      <c r="D172" s="80" t="inlineStr">
        <is>
          <t>蔡云飞</t>
        </is>
      </c>
      <c r="E172" s="81">
        <f>VLOOKUP(I172,'25年交付功能（不含废弃）'!A:A,1,FALSE)</f>
        <v/>
      </c>
      <c r="F172" s="175" t="n"/>
      <c r="G172" s="175" t="n"/>
      <c r="H172" s="175" t="n"/>
      <c r="I172" s="98" t="inlineStr">
        <is>
          <t>漏洞修复状态同步至资产管理平台</t>
        </is>
      </c>
      <c r="J172" s="93" t="inlineStr">
        <is>
          <t>EO</t>
        </is>
      </c>
      <c r="K172" s="102" t="n"/>
      <c r="L172" s="102" t="n"/>
      <c r="M172" s="85">
        <f>IF(OR(Y172="估算法",Y172="算法类",Y172="无法识别"),"",IF(W172="",IF(OR(J172="EI",J172="EO",J172="EQ"),0,""),LEN(W172)-LEN(SUBSTITUTE(W172,"、",""))+1))</f>
        <v/>
      </c>
      <c r="N172" s="85">
        <f>IF(OR(Y172="估算法",Y172="算法类",Y172="无法识别"),"",IF(X172="",IF(OR(J172="ILF",J172="EIF"),0,""),LEN(X172)-LEN(SUBSTITUTE(X172,"、",""))+1))</f>
        <v/>
      </c>
      <c r="O172" s="85">
        <f>IF(OR(Y172="估算法",Y172="算法类",Y172="无法识别"),"",IF(Y172="",IF(OR(J172="ILF",J172="EIF",J172="EI",J172="EO",J172="EQ"),0,""),LEN(Y172)-LEN(SUBSTITUTE(SUBSTITUTE(SUBSTITUTE(SUBSTITUTE(SUBSTITUTE(Y172,"|}","--"),"{|","--"),CHAR(10),""),"、",""),"|",""))+IF(AND(OR(J172="EI",J172="EO",J172="EQ"),$AE$1="NESMA"),2,1)))</f>
        <v/>
      </c>
      <c r="P172" s="86">
        <f>IF(J172="EI",IF(OR(Y172="估算法",Y172="算法类"),"中",IF(Y172="无法识别","低",IF(M172&lt;2,IF(O172&lt;16,"低","中"),IF(M172&lt;3,IF(O172&lt;5,"低",IF(O172&lt;16,"中","高")),IF(O172&lt;5,"中","高"))))),IF(OR(J172="EO",J172="EQ"),IF(OR(Y172="估算法",Y172="算法类"),"中",IF(Y172="无法识别","低",IF(M172&lt;2,IF(O172&lt;20,"低","中"),IF(M172&lt;4,IF(O172&lt;6,"低",IF(O172&lt;20,"中","高")),IF(O172&lt;6,"中","高"))))),IF(OR(J172="ILF",J172="EIF"),IF(OR(Y172="估算法",Y172="算法类",Y172="无法识别"),"低",IF(N172&lt;2,IF(O172&lt;51,"低","中"),IF(N172&lt;6,IF(O172&lt;20,"低",IF(O172&lt;51,"中","高")),IF(O172&lt;20,"中","高")))),"不计算")))</f>
        <v/>
      </c>
      <c r="Q172" s="172">
        <f>IFERROR(IF(J172="EI",IF(P172="低",3,IF(P172="中",4,6)),IF(J172="EO",IF(P172="低",4,IF(P172="中",5,7)),IF(J172="EQ",IF(P172="低",3,IF(P172="中",4,6)),IF(J172="ILF",IF(P172="低",7,IF(P172="中",10,15)),IF(J172="EIF",IF(P172="低",5,IF(P172="中",7,10)),"不计算")))))*R172,"不计算")</f>
        <v/>
      </c>
      <c r="R172" s="172" t="n">
        <v>1</v>
      </c>
      <c r="S172" s="173">
        <f>调整因子!$F$13</f>
        <v/>
      </c>
      <c r="T172" s="92" t="n">
        <v>1</v>
      </c>
      <c r="U172" s="174">
        <f>IFERROR(Q172*S172,0)</f>
        <v/>
      </c>
      <c r="V172" s="174">
        <f>U172*T172</f>
        <v/>
      </c>
      <c r="W172" s="90" t="inlineStr">
        <is>
          <t>漏洞修复状态表</t>
        </is>
      </c>
      <c r="X172" s="91" t="n"/>
      <c r="Y172" s="90" t="inlineStr">
        <is>
          <t>漏洞修复状态表
{记录ID、漏洞编号、漏洞名称、漏洞等级、资产ID、资产名称、资产IP、组件名称、组件版本、组件类型、CPE名称、修复状态、修复方式、修复来源、修复时间、责任人、修复工具、修复耗时、更新时间、备注
}</t>
        </is>
      </c>
      <c r="Z172" s="90" t="n"/>
      <c r="AA172" s="90" t="n"/>
      <c r="AB172" s="93" t="inlineStr">
        <is>
          <t>上报批次记录表、上报结果表、上报状态记录表</t>
        </is>
      </c>
      <c r="AC172" s="66" t="n"/>
    </row>
    <row r="173" customFormat="1" s="66">
      <c r="A173" s="72">
        <f>ROW()-1</f>
        <v/>
      </c>
      <c r="B173" s="175" t="n"/>
      <c r="C173" s="80" t="n">
        <v>2025</v>
      </c>
      <c r="D173" s="80" t="inlineStr">
        <is>
          <t>蔡云飞</t>
        </is>
      </c>
      <c r="E173" s="81">
        <f>VLOOKUP(I173,'25年交付功能（不含废弃）'!A:A,1,FALSE)</f>
        <v/>
      </c>
      <c r="F173" s="175" t="n"/>
      <c r="G173" s="175" t="n"/>
      <c r="H173" s="175" t="n"/>
      <c r="I173" s="98" t="inlineStr">
        <is>
          <t>漏洞修复状态同步结果查询</t>
        </is>
      </c>
      <c r="J173" s="93" t="inlineStr">
        <is>
          <t>EQ</t>
        </is>
      </c>
      <c r="K173" s="102" t="n"/>
      <c r="L173" s="102" t="n"/>
      <c r="M173" s="85">
        <f>IF(OR(Y173="估算法",Y173="算法类",Y173="无法识别"),"",IF(W173="",IF(OR(J173="EI",J173="EO",J173="EQ"),0,""),LEN(W173)-LEN(SUBSTITUTE(W173,"、",""))+1))</f>
        <v/>
      </c>
      <c r="N173" s="85">
        <f>IF(OR(Y173="估算法",Y173="算法类",Y173="无法识别"),"",IF(X173="",IF(OR(J173="ILF",J173="EIF"),0,""),LEN(X173)-LEN(SUBSTITUTE(X173,"、",""))+1))</f>
        <v/>
      </c>
      <c r="O173" s="85">
        <f>IF(OR(Y173="估算法",Y173="算法类",Y173="无法识别"),"",IF(Y173="",IF(OR(J173="ILF",J173="EIF",J173="EI",J173="EO",J173="EQ"),0,""),LEN(Y173)-LEN(SUBSTITUTE(SUBSTITUTE(SUBSTITUTE(SUBSTITUTE(SUBSTITUTE(Y173,"|}","--"),"{|","--"),CHAR(10),""),"、",""),"|",""))+IF(AND(OR(J173="EI",J173="EO",J173="EQ"),$AE$1="NESMA"),2,1)))</f>
        <v/>
      </c>
      <c r="P173" s="86">
        <f>IF(J173="EI",IF(OR(Y173="估算法",Y173="算法类"),"中",IF(Y173="无法识别","低",IF(M173&lt;2,IF(O173&lt;16,"低","中"),IF(M173&lt;3,IF(O173&lt;5,"低",IF(O173&lt;16,"中","高")),IF(O173&lt;5,"中","高"))))),IF(OR(J173="EO",J173="EQ"),IF(OR(Y173="估算法",Y173="算法类"),"中",IF(Y173="无法识别","低",IF(M173&lt;2,IF(O173&lt;20,"低","中"),IF(M173&lt;4,IF(O173&lt;6,"低",IF(O173&lt;20,"中","高")),IF(O173&lt;6,"中","高"))))),IF(OR(J173="ILF",J173="EIF"),IF(OR(Y173="估算法",Y173="算法类",Y173="无法识别"),"低",IF(N173&lt;2,IF(O173&lt;51,"低","中"),IF(N173&lt;6,IF(O173&lt;20,"低",IF(O173&lt;51,"中","高")),IF(O173&lt;20,"中","高")))),"不计算")))</f>
        <v/>
      </c>
      <c r="Q173" s="172">
        <f>IFERROR(IF(J173="EI",IF(P173="低",3,IF(P173="中",4,6)),IF(J173="EO",IF(P173="低",4,IF(P173="中",5,7)),IF(J173="EQ",IF(P173="低",3,IF(P173="中",4,6)),IF(J173="ILF",IF(P173="低",7,IF(P173="中",10,15)),IF(J173="EIF",IF(P173="低",5,IF(P173="中",7,10)),"不计算")))))*R173,"不计算")</f>
        <v/>
      </c>
      <c r="R173" s="172" t="n">
        <v>1</v>
      </c>
      <c r="S173" s="173">
        <f>调整因子!$F$13</f>
        <v/>
      </c>
      <c r="T173" s="93" t="n">
        <v>1</v>
      </c>
      <c r="U173" s="174">
        <f>IFERROR(Q173*S173,0)</f>
        <v/>
      </c>
      <c r="V173" s="174">
        <f>U173*T173</f>
        <v/>
      </c>
      <c r="W173" s="90" t="inlineStr">
        <is>
          <t>漏洞修复状态表</t>
        </is>
      </c>
      <c r="X173" s="91" t="n"/>
      <c r="Y173" s="90" t="inlineStr">
        <is>
          <t>漏洞修复状态表
{记录ID、漏洞编号、漏洞名称、漏洞等级、资产ID、资产名称、资产IP、组件名称、组件版本、组件类型、CPE名称、修复状态、修复方式、修复来源、修复时间、责任人、修复工具、修复耗时、更新时间、备注
}</t>
        </is>
      </c>
      <c r="Z173" s="90" t="n"/>
      <c r="AA173" s="90" t="n"/>
      <c r="AB173" s="93" t="inlineStr">
        <is>
          <t>上报批次记录表、上报结果表、上报状态记录表、状态变化日志表</t>
        </is>
      </c>
      <c r="AC173" s="66" t="n"/>
    </row>
    <row r="174" customFormat="1" s="66">
      <c r="A174" s="72">
        <f>ROW()-1</f>
        <v/>
      </c>
      <c r="B174" s="175" t="n"/>
      <c r="C174" s="80" t="n">
        <v>2025</v>
      </c>
      <c r="D174" s="80" t="inlineStr">
        <is>
          <t>蔡云飞</t>
        </is>
      </c>
      <c r="E174" s="81">
        <f>VLOOKUP(I174,'25年交付功能（不含废弃）'!A:A,1,FALSE)</f>
        <v/>
      </c>
      <c r="F174" s="175" t="n"/>
      <c r="G174" s="175" t="n"/>
      <c r="H174" s="175" t="n"/>
      <c r="I174" s="98" t="inlineStr">
        <is>
          <t>漏洞修复状态表</t>
        </is>
      </c>
      <c r="J174" s="93" t="inlineStr">
        <is>
          <t>ILF</t>
        </is>
      </c>
      <c r="K174" s="84" t="n"/>
      <c r="L174" s="84" t="inlineStr">
        <is>
          <t>数据库表未被本系统所维护</t>
        </is>
      </c>
      <c r="M174" s="85">
        <f>IF(OR(Y174="估算法",Y174="算法类",Y174="无法识别"),"",IF(W174="",IF(OR(J174="EI",J174="EO",J174="EQ"),0,""),LEN(W174)-LEN(SUBSTITUTE(W174,"、",""))+1))</f>
        <v/>
      </c>
      <c r="N174" s="85">
        <f>IF(OR(Y174="估算法",Y174="算法类",Y174="无法识别"),"",IF(X174="",IF(OR(J174="ILF",J174="EIF"),0,""),LEN(X174)-LEN(SUBSTITUTE(X174,"、",""))+1))</f>
        <v/>
      </c>
      <c r="O174" s="85">
        <f>IF(OR(Y174="估算法",Y174="算法类",Y174="无法识别"),"",IF(Y174="",IF(OR(J174="ILF",J174="EIF",J174="EI",J174="EO",J174="EQ"),0,""),LEN(Y174)-LEN(SUBSTITUTE(SUBSTITUTE(SUBSTITUTE(SUBSTITUTE(SUBSTITUTE(Y174,"|}","--"),"{|","--"),CHAR(10),""),"、",""),"|",""))+IF(AND(OR(J174="EI",J174="EO",J174="EQ"),$AE$1="NESMA"),2,1)))</f>
        <v/>
      </c>
      <c r="P174" s="86">
        <f>IF(J174="EI",IF(OR(Y174="估算法",Y174="算法类"),"中",IF(Y174="无法识别","低",IF(M174&lt;2,IF(O174&lt;16,"低","中"),IF(M174&lt;3,IF(O174&lt;5,"低",IF(O174&lt;16,"中","高")),IF(O174&lt;5,"中","高"))))),IF(OR(J174="EO",J174="EQ"),IF(OR(Y174="估算法",Y174="算法类"),"中",IF(Y174="无法识别","低",IF(M174&lt;2,IF(O174&lt;20,"低","中"),IF(M174&lt;4,IF(O174&lt;6,"低",IF(O174&lt;20,"中","高")),IF(O174&lt;6,"中","高"))))),IF(OR(J174="ILF",J174="EIF"),IF(OR(Y174="估算法",Y174="算法类",Y174="无法识别"),"低",IF(N174&lt;2,IF(O174&lt;51,"低","中"),IF(N174&lt;6,IF(O174&lt;20,"低",IF(O174&lt;51,"中","高")),IF(O174&lt;20,"中","高")))),"不计算")))</f>
        <v/>
      </c>
      <c r="Q174" s="172">
        <f>IFERROR(IF(J174="EI",IF(P174="低",3,IF(P174="中",4,6)),IF(J174="EO",IF(P174="低",4,IF(P174="中",5,7)),IF(J174="EQ",IF(P174="低",3,IF(P174="中",4,6)),IF(J174="ILF",IF(P174="低",7,IF(P174="中",10,15)),IF(J174="EIF",IF(P174="低",5,IF(P174="中",7,10)),"不计算")))))*R174,"不计算")</f>
        <v/>
      </c>
      <c r="R174" s="172" t="n">
        <v>0</v>
      </c>
      <c r="S174" s="173">
        <f>调整因子!$F$13</f>
        <v/>
      </c>
      <c r="T174" s="92" t="n">
        <v>1</v>
      </c>
      <c r="U174" s="174">
        <f>IFERROR(Q174*S174,0)</f>
        <v/>
      </c>
      <c r="V174" s="174">
        <f>U174*T174</f>
        <v/>
      </c>
      <c r="W174" s="91" t="n"/>
      <c r="X174" s="90" t="inlineStr">
        <is>
          <t>漏洞修复状态表</t>
        </is>
      </c>
      <c r="Y174" s="90" t="inlineStr">
        <is>
          <t>漏洞修复状态表
{记录ID、漏洞编号、漏洞名称、漏洞等级、资产ID、资产名称、资产IP、组件名称、组件版本、组件类型、CPE名称、修复状态、修复方式、修复来源、修复时间、责任人、修复工具、修复耗时、更新时间、备注
}</t>
        </is>
      </c>
      <c r="Z174" s="90">
        <f>IF(COUNTIFS(W:W,"*"&amp;I174&amp;"*")&gt;0,"存在","不存在")</f>
        <v/>
      </c>
      <c r="AA174" s="90">
        <f>IF(COUNTIFS(AB:AB,"*"&amp;I174&amp;"*")&gt;0,"存在","不存在")</f>
        <v/>
      </c>
      <c r="AB174" s="93" t="inlineStr">
        <is>
          <t>上报批次记录表、上报结果表、上报状态记录表、状态变化日志表</t>
        </is>
      </c>
      <c r="AC174" s="66" t="n"/>
    </row>
    <row r="175" customFormat="1" s="66">
      <c r="A175" s="72">
        <f>ROW()-1</f>
        <v/>
      </c>
      <c r="B175" s="175" t="n"/>
      <c r="C175" s="80" t="n">
        <v>2025</v>
      </c>
      <c r="D175" s="80" t="inlineStr">
        <is>
          <t>蔡云飞</t>
        </is>
      </c>
      <c r="E175" s="81">
        <f>VLOOKUP(I175,'25年交付功能（不含废弃）'!A:A,1,FALSE)</f>
        <v/>
      </c>
      <c r="F175" s="175" t="n"/>
      <c r="G175" s="175" t="n"/>
      <c r="H175" s="175" t="n"/>
      <c r="I175" s="98" t="inlineStr">
        <is>
          <t>漏洞修复状态变更记录表</t>
        </is>
      </c>
      <c r="J175" s="93" t="n"/>
      <c r="K175" s="84" t="n"/>
      <c r="L175" s="84" t="inlineStr">
        <is>
          <t>数据库表未被本系统所使用</t>
        </is>
      </c>
      <c r="M175" s="85">
        <f>IF(OR(Y175="估算法",Y175="算法类",Y175="无法识别"),"",IF(W175="",IF(OR(J175="EI",J175="EO",J175="EQ"),0,""),LEN(W175)-LEN(SUBSTITUTE(W175,"、",""))+1))</f>
        <v/>
      </c>
      <c r="N175" s="85">
        <f>IF(OR(Y175="估算法",Y175="算法类",Y175="无法识别"),"",IF(X175="",IF(OR(J175="ILF",J175="EIF"),0,""),LEN(X175)-LEN(SUBSTITUTE(X175,"、",""))+1))</f>
        <v/>
      </c>
      <c r="O175" s="85">
        <f>IF(OR(Y175="估算法",Y175="算法类",Y175="无法识别"),"",IF(Y175="",IF(OR(J175="ILF",J175="EIF",J175="EI",J175="EO",J175="EQ"),0,""),LEN(Y175)-LEN(SUBSTITUTE(SUBSTITUTE(SUBSTITUTE(SUBSTITUTE(SUBSTITUTE(Y175,"|}","--"),"{|","--"),CHAR(10),""),"、",""),"|",""))+IF(AND(OR(J175="EI",J175="EO",J175="EQ"),$AE$1="NESMA"),2,1)))</f>
        <v/>
      </c>
      <c r="P175" s="86">
        <f>IF(J175="EI",IF(OR(Y175="估算法",Y175="算法类"),"中",IF(Y175="无法识别","低",IF(M175&lt;2,IF(O175&lt;16,"低","中"),IF(M175&lt;3,IF(O175&lt;5,"低",IF(O175&lt;16,"中","高")),IF(O175&lt;5,"中","高"))))),IF(OR(J175="EO",J175="EQ"),IF(OR(Y175="估算法",Y175="算法类"),"中",IF(Y175="无法识别","低",IF(M175&lt;2,IF(O175&lt;20,"低","中"),IF(M175&lt;4,IF(O175&lt;6,"低",IF(O175&lt;20,"中","高")),IF(O175&lt;6,"中","高"))))),IF(OR(J175="ILF",J175="EIF"),IF(OR(Y175="估算法",Y175="算法类",Y175="无法识别"),"低",IF(N175&lt;2,IF(O175&lt;51,"低","中"),IF(N175&lt;6,IF(O175&lt;20,"低",IF(O175&lt;51,"中","高")),IF(O175&lt;20,"中","高")))),"不计算")))</f>
        <v/>
      </c>
      <c r="Q175" s="172">
        <f>IFERROR(IF(J175="EI",IF(P175="低",3,IF(P175="中",4,6)),IF(J175="EO",IF(P175="低",4,IF(P175="中",5,7)),IF(J175="EQ",IF(P175="低",3,IF(P175="中",4,6)),IF(J175="ILF",IF(P175="低",7,IF(P175="中",10,15)),IF(J175="EIF",IF(P175="低",5,IF(P175="中",7,10)),"不计算")))))*R175,"不计算")</f>
        <v/>
      </c>
      <c r="R175" s="172" t="n">
        <v>1</v>
      </c>
      <c r="S175" s="173">
        <f>调整因子!$F$13</f>
        <v/>
      </c>
      <c r="T175" s="92" t="n">
        <v>1</v>
      </c>
      <c r="U175" s="174">
        <f>IFERROR(Q175*S175,0)</f>
        <v/>
      </c>
      <c r="V175" s="174">
        <f>U175*T175</f>
        <v/>
      </c>
      <c r="W175" s="91" t="n"/>
      <c r="X175" s="90" t="inlineStr">
        <is>
          <t>漏洞修复状态变更记录表</t>
        </is>
      </c>
      <c r="Y175" s="90" t="inlineStr">
        <is>
          <t>漏洞修复状态变更记录表
{变更ID、记录ID、原状态、新状态、变更人、变更时间、变更原因、来源系统、备注}</t>
        </is>
      </c>
      <c r="Z175" s="90">
        <f>IF(COUNTIFS(W:W,"*"&amp;I175&amp;"*")&gt;0,"存在","不存在")</f>
        <v/>
      </c>
      <c r="AA175" s="90">
        <f>IF(COUNTIFS(AB:AB,"*"&amp;I175&amp;"*")&gt;0,"存在","不存在")</f>
        <v/>
      </c>
      <c r="AB175" s="93" t="inlineStr">
        <is>
          <t>上报批次记录表、上报结果表</t>
        </is>
      </c>
      <c r="AC175" s="66" t="n"/>
    </row>
    <row r="176" customFormat="1" s="66">
      <c r="A176" s="72">
        <f>ROW()-1</f>
        <v/>
      </c>
      <c r="B176" s="175" t="n"/>
      <c r="C176" s="80" t="n">
        <v>2025</v>
      </c>
      <c r="D176" s="80" t="inlineStr">
        <is>
          <t>蔡云飞</t>
        </is>
      </c>
      <c r="E176" s="81">
        <f>VLOOKUP(I176,'25年交付功能（不含废弃）'!A:A,1,FALSE)</f>
        <v/>
      </c>
      <c r="F176" s="175" t="n"/>
      <c r="G176" s="176" t="n"/>
      <c r="H176" s="176" t="n"/>
      <c r="I176" s="98" t="inlineStr">
        <is>
          <t>漏洞修复状态同步记录表</t>
        </is>
      </c>
      <c r="J176" s="93" t="n"/>
      <c r="K176" s="84" t="n"/>
      <c r="L176" s="84" t="inlineStr">
        <is>
          <t>数据库表未被本系统所使用</t>
        </is>
      </c>
      <c r="M176" s="85">
        <f>IF(OR(Y176="估算法",Y176="算法类",Y176="无法识别"),"",IF(W176="",IF(OR(J176="EI",J176="EO",J176="EQ"),0,""),LEN(W176)-LEN(SUBSTITUTE(W176,"、",""))+1))</f>
        <v/>
      </c>
      <c r="N176" s="85">
        <f>IF(OR(Y176="估算法",Y176="算法类",Y176="无法识别"),"",IF(X176="",IF(OR(J176="ILF",J176="EIF"),0,""),LEN(X176)-LEN(SUBSTITUTE(X176,"、",""))+1))</f>
        <v/>
      </c>
      <c r="O176" s="85">
        <f>IF(OR(Y176="估算法",Y176="算法类",Y176="无法识别"),"",IF(Y176="",IF(OR(J176="ILF",J176="EIF",J176="EI",J176="EO",J176="EQ"),0,""),LEN(Y176)-LEN(SUBSTITUTE(SUBSTITUTE(SUBSTITUTE(SUBSTITUTE(SUBSTITUTE(Y176,"|}","--"),"{|","--"),CHAR(10),""),"、",""),"|",""))+IF(AND(OR(J176="EI",J176="EO",J176="EQ"),$AE$1="NESMA"),2,1)))</f>
        <v/>
      </c>
      <c r="P176" s="86">
        <f>IF(J176="EI",IF(OR(Y176="估算法",Y176="算法类"),"中",IF(Y176="无法识别","低",IF(M176&lt;2,IF(O176&lt;16,"低","中"),IF(M176&lt;3,IF(O176&lt;5,"低",IF(O176&lt;16,"中","高")),IF(O176&lt;5,"中","高"))))),IF(OR(J176="EO",J176="EQ"),IF(OR(Y176="估算法",Y176="算法类"),"中",IF(Y176="无法识别","低",IF(M176&lt;2,IF(O176&lt;20,"低","中"),IF(M176&lt;4,IF(O176&lt;6,"低",IF(O176&lt;20,"中","高")),IF(O176&lt;6,"中","高"))))),IF(OR(J176="ILF",J176="EIF"),IF(OR(Y176="估算法",Y176="算法类",Y176="无法识别"),"低",IF(N176&lt;2,IF(O176&lt;51,"低","中"),IF(N176&lt;6,IF(O176&lt;20,"低",IF(O176&lt;51,"中","高")),IF(O176&lt;20,"中","高")))),"不计算")))</f>
        <v/>
      </c>
      <c r="Q176" s="172">
        <f>IFERROR(IF(J176="EI",IF(P176="低",3,IF(P176="中",4,6)),IF(J176="EO",IF(P176="低",4,IF(P176="中",5,7)),IF(J176="EQ",IF(P176="低",3,IF(P176="中",4,6)),IF(J176="ILF",IF(P176="低",7,IF(P176="中",10,15)),IF(J176="EIF",IF(P176="低",5,IF(P176="中",7,10)),"不计算")))))*R176,"不计算")</f>
        <v/>
      </c>
      <c r="R176" s="172" t="n">
        <v>1</v>
      </c>
      <c r="S176" s="173">
        <f>调整因子!$F$13</f>
        <v/>
      </c>
      <c r="T176" s="93" t="n">
        <v>1</v>
      </c>
      <c r="U176" s="174">
        <f>IFERROR(Q176*S176,0)</f>
        <v/>
      </c>
      <c r="V176" s="174">
        <f>U176*T176</f>
        <v/>
      </c>
      <c r="W176" s="91" t="n"/>
      <c r="X176" s="90" t="inlineStr">
        <is>
          <t>漏洞修复状态同步记录表</t>
        </is>
      </c>
      <c r="Y176" s="90" t="inlineStr">
        <is>
          <t>漏洞修复状态同步记录表
{同步ID、同步批次号、记录ID、漏洞编号、资产ID、同步目标系统、同步时间、同步状态、响应内容、备注}</t>
        </is>
      </c>
      <c r="Z176" s="90">
        <f>IF(COUNTIFS(W:W,"*"&amp;I176&amp;"*")&gt;0,"存在","不存在")</f>
        <v/>
      </c>
      <c r="AA176" s="90">
        <f>IF(COUNTIFS(AB:AB,"*"&amp;I176&amp;"*")&gt;0,"存在","不存在")</f>
        <v/>
      </c>
      <c r="AB176" s="103" t="inlineStr">
        <is>
          <t>数据清洗任务表、资产同步任务表、同步任务调度表、任务统计数据表、任务趋势分析表</t>
        </is>
      </c>
      <c r="AC176" s="66" t="n"/>
    </row>
    <row r="177" customFormat="1" s="66">
      <c r="A177" s="72">
        <f>ROW()-1</f>
        <v/>
      </c>
      <c r="B177" s="175" t="n"/>
      <c r="C177" s="80" t="n">
        <v>2025</v>
      </c>
      <c r="D177" s="80" t="inlineStr">
        <is>
          <t>蔡云飞</t>
        </is>
      </c>
      <c r="E177" s="81">
        <f>VLOOKUP(I177,'25年交付功能（不含废弃）'!A:A,1,FALSE)</f>
        <v/>
      </c>
      <c r="F177" s="175" t="n"/>
      <c r="G177" s="82" t="inlineStr">
        <is>
          <t>数据一致性保障</t>
        </is>
      </c>
      <c r="H177" s="82" t="inlineStr">
        <is>
          <t>数据一致性校验任务</t>
        </is>
      </c>
      <c r="I177" s="81" t="inlineStr">
        <is>
          <t>数据一致性审批查询</t>
        </is>
      </c>
      <c r="J177" s="93" t="inlineStr">
        <is>
          <t>EQ</t>
        </is>
      </c>
      <c r="K177" s="102" t="n"/>
      <c r="L177" s="102" t="n"/>
      <c r="M177" s="85">
        <f>IF(OR(Y177="估算法",Y177="算法类",Y177="无法识别"),"",IF(W177="",IF(OR(J177="EI",J177="EO",J177="EQ"),0,""),LEN(W177)-LEN(SUBSTITUTE(W177,"、",""))+1))</f>
        <v/>
      </c>
      <c r="N177" s="85">
        <f>IF(OR(Y177="估算法",Y177="算法类",Y177="无法识别"),"",IF(X177="",IF(OR(J177="ILF",J177="EIF"),0,""),LEN(X177)-LEN(SUBSTITUTE(X177,"、",""))+1))</f>
        <v/>
      </c>
      <c r="O177" s="85">
        <f>IF(OR(Y177="估算法",Y177="算法类",Y177="无法识别"),"",IF(Y177="",IF(OR(J177="ILF",J177="EIF",J177="EI",J177="EO",J177="EQ"),0,""),LEN(Y177)-LEN(SUBSTITUTE(SUBSTITUTE(SUBSTITUTE(SUBSTITUTE(SUBSTITUTE(Y177,"|}","--"),"{|","--"),CHAR(10),""),"、",""),"|",""))+IF(AND(OR(J177="EI",J177="EO",J177="EQ"),$AE$1="NESMA"),2,1)))</f>
        <v/>
      </c>
      <c r="P177" s="86">
        <f>IF(J177="EI",IF(OR(Y177="估算法",Y177="算法类"),"中",IF(Y177="无法识别","低",IF(M177&lt;2,IF(O177&lt;16,"低","中"),IF(M177&lt;3,IF(O177&lt;5,"低",IF(O177&lt;16,"中","高")),IF(O177&lt;5,"中","高"))))),IF(OR(J177="EO",J177="EQ"),IF(OR(Y177="估算法",Y177="算法类"),"中",IF(Y177="无法识别","低",IF(M177&lt;2,IF(O177&lt;20,"低","中"),IF(M177&lt;4,IF(O177&lt;6,"低",IF(O177&lt;20,"中","高")),IF(O177&lt;6,"中","高"))))),IF(OR(J177="ILF",J177="EIF"),IF(OR(Y177="估算法",Y177="算法类",Y177="无法识别"),"低",IF(N177&lt;2,IF(O177&lt;51,"低","中"),IF(N177&lt;6,IF(O177&lt;20,"低",IF(O177&lt;51,"中","高")),IF(O177&lt;20,"中","高")))),"不计算")))</f>
        <v/>
      </c>
      <c r="Q177" s="172">
        <f>IFERROR(IF(J177="EI",IF(P177="低",3,IF(P177="中",4,6)),IF(J177="EO",IF(P177="低",4,IF(P177="中",5,7)),IF(J177="EQ",IF(P177="低",3,IF(P177="中",4,6)),IF(J177="ILF",IF(P177="低",7,IF(P177="中",10,15)),IF(J177="EIF",IF(P177="低",5,IF(P177="中",7,10)),"不计算")))))*R177,"不计算")</f>
        <v/>
      </c>
      <c r="R177" s="172" t="n">
        <v>1</v>
      </c>
      <c r="S177" s="173">
        <f>调整因子!$F$13</f>
        <v/>
      </c>
      <c r="T177" s="92" t="n">
        <v>1</v>
      </c>
      <c r="U177" s="174">
        <f>IFERROR(Q177*S177,0)</f>
        <v/>
      </c>
      <c r="V177" s="174">
        <f>U177*T177</f>
        <v/>
      </c>
      <c r="W177" s="90" t="inlineStr">
        <is>
          <t>数据一致性审批表</t>
        </is>
      </c>
      <c r="X177" s="91" t="n"/>
      <c r="Y177"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7" s="90" t="n"/>
      <c r="AA177" s="90" t="n"/>
      <c r="AB177" s="103" t="inlineStr">
        <is>
          <t>数据清洗任务表、资产同步任务表、同步任务调度表、任务统计数据表</t>
        </is>
      </c>
      <c r="AC177" s="66" t="n"/>
    </row>
    <row r="178" customFormat="1" s="66">
      <c r="A178" s="72">
        <f>ROW()-1</f>
        <v/>
      </c>
      <c r="B178" s="175" t="n"/>
      <c r="C178" s="80" t="n">
        <v>2025</v>
      </c>
      <c r="D178" s="80" t="inlineStr">
        <is>
          <t>蔡云飞</t>
        </is>
      </c>
      <c r="E178" s="81">
        <f>VLOOKUP(I178,'25年交付功能（不含废弃）'!A:A,1,FALSE)</f>
        <v/>
      </c>
      <c r="F178" s="175" t="n"/>
      <c r="G178" s="175" t="n"/>
      <c r="H178" s="175" t="n"/>
      <c r="I178" s="81" t="inlineStr">
        <is>
          <t>数据一致性审批创建</t>
        </is>
      </c>
      <c r="J178" s="93" t="inlineStr">
        <is>
          <t>EI</t>
        </is>
      </c>
      <c r="K178" s="102" t="n"/>
      <c r="L178" s="102" t="n"/>
      <c r="M178" s="85">
        <f>IF(OR(Y178="估算法",Y178="算法类",Y178="无法识别"),"",IF(W178="",IF(OR(J178="EI",J178="EO",J178="EQ"),0,""),LEN(W178)-LEN(SUBSTITUTE(W178,"、",""))+1))</f>
        <v/>
      </c>
      <c r="N178" s="85">
        <f>IF(OR(Y178="估算法",Y178="算法类",Y178="无法识别"),"",IF(X178="",IF(OR(J178="ILF",J178="EIF"),0,""),LEN(X178)-LEN(SUBSTITUTE(X178,"、",""))+1))</f>
        <v/>
      </c>
      <c r="O178" s="85">
        <f>IF(OR(Y178="估算法",Y178="算法类",Y178="无法识别"),"",IF(Y178="",IF(OR(J178="ILF",J178="EIF",J178="EI",J178="EO",J178="EQ"),0,""),LEN(Y178)-LEN(SUBSTITUTE(SUBSTITUTE(SUBSTITUTE(SUBSTITUTE(SUBSTITUTE(Y178,"|}","--"),"{|","--"),CHAR(10),""),"、",""),"|",""))+IF(AND(OR(J178="EI",J178="EO",J178="EQ"),$AE$1="NESMA"),2,1)))</f>
        <v/>
      </c>
      <c r="P178" s="86">
        <f>IF(J178="EI",IF(OR(Y178="估算法",Y178="算法类"),"中",IF(Y178="无法识别","低",IF(M178&lt;2,IF(O178&lt;16,"低","中"),IF(M178&lt;3,IF(O178&lt;5,"低",IF(O178&lt;16,"中","高")),IF(O178&lt;5,"中","高"))))),IF(OR(J178="EO",J178="EQ"),IF(OR(Y178="估算法",Y178="算法类"),"中",IF(Y178="无法识别","低",IF(M178&lt;2,IF(O178&lt;20,"低","中"),IF(M178&lt;4,IF(O178&lt;6,"低",IF(O178&lt;20,"中","高")),IF(O178&lt;6,"中","高"))))),IF(OR(J178="ILF",J178="EIF"),IF(OR(Y178="估算法",Y178="算法类",Y178="无法识别"),"低",IF(N178&lt;2,IF(O178&lt;51,"低","中"),IF(N178&lt;6,IF(O178&lt;20,"低",IF(O178&lt;51,"中","高")),IF(O178&lt;20,"中","高")))),"不计算")))</f>
        <v/>
      </c>
      <c r="Q178" s="172">
        <f>IFERROR(IF(J178="EI",IF(P178="低",3,IF(P178="中",4,6)),IF(J178="EO",IF(P178="低",4,IF(P178="中",5,7)),IF(J178="EQ",IF(P178="低",3,IF(P178="中",4,6)),IF(J178="ILF",IF(P178="低",7,IF(P178="中",10,15)),IF(J178="EIF",IF(P178="低",5,IF(P178="中",7,10)),"不计算")))))*R178,"不计算")</f>
        <v/>
      </c>
      <c r="R178" s="172" t="n">
        <v>1</v>
      </c>
      <c r="S178" s="173">
        <f>调整因子!$F$13</f>
        <v/>
      </c>
      <c r="T178" s="92" t="n">
        <v>1</v>
      </c>
      <c r="U178" s="174">
        <f>IFERROR(Q178*S178,0)</f>
        <v/>
      </c>
      <c r="V178" s="174">
        <f>U178*T178</f>
        <v/>
      </c>
      <c r="W178" s="90" t="inlineStr">
        <is>
          <t>数据一致性审批表</t>
        </is>
      </c>
      <c r="X178" s="91" t="n"/>
      <c r="Y178"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8" s="90" t="n"/>
      <c r="AA178" s="90" t="n"/>
      <c r="AB178" s="103" t="inlineStr">
        <is>
          <t>数据清洗任务表、资产同步任务表、同步任务调度表</t>
        </is>
      </c>
      <c r="AC178" s="66" t="n"/>
    </row>
    <row r="179" customFormat="1" s="66">
      <c r="A179" s="72">
        <f>ROW()-1</f>
        <v/>
      </c>
      <c r="B179" s="175" t="n"/>
      <c r="C179" s="80" t="n">
        <v>2025</v>
      </c>
      <c r="D179" s="80" t="inlineStr">
        <is>
          <t>蔡云飞</t>
        </is>
      </c>
      <c r="E179" s="81">
        <f>VLOOKUP(I179,'25年交付功能（不含废弃）'!A:A,1,FALSE)</f>
        <v/>
      </c>
      <c r="F179" s="175" t="n"/>
      <c r="G179" s="175" t="n"/>
      <c r="H179" s="175" t="n"/>
      <c r="I179" s="81" t="inlineStr">
        <is>
          <t>数据一致性审批启动</t>
        </is>
      </c>
      <c r="J179" s="93" t="inlineStr">
        <is>
          <t>EI</t>
        </is>
      </c>
      <c r="K179" s="102" t="n"/>
      <c r="L179" s="102" t="n"/>
      <c r="M179" s="85">
        <f>IF(OR(Y179="估算法",Y179="算法类",Y179="无法识别"),"",IF(W179="",IF(OR(J179="EI",J179="EO",J179="EQ"),0,""),LEN(W179)-LEN(SUBSTITUTE(W179,"、",""))+1))</f>
        <v/>
      </c>
      <c r="N179" s="85">
        <f>IF(OR(Y179="估算法",Y179="算法类",Y179="无法识别"),"",IF(X179="",IF(OR(J179="ILF",J179="EIF"),0,""),LEN(X179)-LEN(SUBSTITUTE(X179,"、",""))+1))</f>
        <v/>
      </c>
      <c r="O179" s="85">
        <f>IF(OR(Y179="估算法",Y179="算法类",Y179="无法识别"),"",IF(Y179="",IF(OR(J179="ILF",J179="EIF",J179="EI",J179="EO",J179="EQ"),0,""),LEN(Y179)-LEN(SUBSTITUTE(SUBSTITUTE(SUBSTITUTE(SUBSTITUTE(SUBSTITUTE(Y179,"|}","--"),"{|","--"),CHAR(10),""),"、",""),"|",""))+IF(AND(OR(J179="EI",J179="EO",J179="EQ"),$AE$1="NESMA"),2,1)))</f>
        <v/>
      </c>
      <c r="P179" s="86">
        <f>IF(J179="EI",IF(OR(Y179="估算法",Y179="算法类"),"中",IF(Y179="无法识别","低",IF(M179&lt;2,IF(O179&lt;16,"低","中"),IF(M179&lt;3,IF(O179&lt;5,"低",IF(O179&lt;16,"中","高")),IF(O179&lt;5,"中","高"))))),IF(OR(J179="EO",J179="EQ"),IF(OR(Y179="估算法",Y179="算法类"),"中",IF(Y179="无法识别","低",IF(M179&lt;2,IF(O179&lt;20,"低","中"),IF(M179&lt;4,IF(O179&lt;6,"低",IF(O179&lt;20,"中","高")),IF(O179&lt;6,"中","高"))))),IF(OR(J179="ILF",J179="EIF"),IF(OR(Y179="估算法",Y179="算法类",Y179="无法识别"),"低",IF(N179&lt;2,IF(O179&lt;51,"低","中"),IF(N179&lt;6,IF(O179&lt;20,"低",IF(O179&lt;51,"中","高")),IF(O179&lt;20,"中","高")))),"不计算")))</f>
        <v/>
      </c>
      <c r="Q179" s="172">
        <f>IFERROR(IF(J179="EI",IF(P179="低",3,IF(P179="中",4,6)),IF(J179="EO",IF(P179="低",4,IF(P179="中",5,7)),IF(J179="EQ",IF(P179="低",3,IF(P179="中",4,6)),IF(J179="ILF",IF(P179="低",7,IF(P179="中",10,15)),IF(J179="EIF",IF(P179="低",5,IF(P179="中",7,10)),"不计算")))))*R179,"不计算")</f>
        <v/>
      </c>
      <c r="R179" s="172" t="n">
        <v>1</v>
      </c>
      <c r="S179" s="173">
        <f>调整因子!$F$13</f>
        <v/>
      </c>
      <c r="T179" s="93" t="n">
        <v>1</v>
      </c>
      <c r="U179" s="174">
        <f>IFERROR(Q179*S179,0)</f>
        <v/>
      </c>
      <c r="V179" s="174">
        <f>U179*T179</f>
        <v/>
      </c>
      <c r="W179" s="90" t="inlineStr">
        <is>
          <t>数据一致性审批表</t>
        </is>
      </c>
      <c r="X179" s="91" t="n"/>
      <c r="Y179"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79" s="90" t="n"/>
      <c r="AA179" s="90" t="n"/>
      <c r="AB179" s="103" t="inlineStr">
        <is>
          <t>数据清洗任务表、资产同步任务表、同步任务调度表</t>
        </is>
      </c>
      <c r="AC179" s="66" t="n"/>
    </row>
    <row r="180" customFormat="1" s="66">
      <c r="A180" s="72">
        <f>ROW()-1</f>
        <v/>
      </c>
      <c r="B180" s="175" t="n"/>
      <c r="C180" s="80" t="n">
        <v>2025</v>
      </c>
      <c r="D180" s="80" t="inlineStr">
        <is>
          <t>蔡云飞</t>
        </is>
      </c>
      <c r="E180" s="81">
        <f>VLOOKUP(I180,'25年交付功能（不含废弃）'!A:A,1,FALSE)</f>
        <v/>
      </c>
      <c r="F180" s="175" t="n"/>
      <c r="G180" s="175" t="n"/>
      <c r="H180" s="175" t="n"/>
      <c r="I180" s="81" t="inlineStr">
        <is>
          <t>数据一致性审批结果收集</t>
        </is>
      </c>
      <c r="J180" s="93" t="n"/>
      <c r="K180" s="102" t="n"/>
      <c r="L180" s="102" t="inlineStr">
        <is>
          <t>和上行合并，相同审批流程</t>
        </is>
      </c>
      <c r="M180" s="85">
        <f>IF(OR(Y180="估算法",Y180="算法类",Y180="无法识别"),"",IF(W180="",IF(OR(J180="EI",J180="EO",J180="EQ"),0,""),LEN(W180)-LEN(SUBSTITUTE(W180,"、",""))+1))</f>
        <v/>
      </c>
      <c r="N180" s="85">
        <f>IF(OR(Y180="估算法",Y180="算法类",Y180="无法识别"),"",IF(X180="",IF(OR(J180="ILF",J180="EIF"),0,""),LEN(X180)-LEN(SUBSTITUTE(X180,"、",""))+1))</f>
        <v/>
      </c>
      <c r="O180" s="85">
        <f>IF(OR(Y180="估算法",Y180="算法类",Y180="无法识别"),"",IF(Y180="",IF(OR(J180="ILF",J180="EIF",J180="EI",J180="EO",J180="EQ"),0,""),LEN(Y180)-LEN(SUBSTITUTE(SUBSTITUTE(SUBSTITUTE(SUBSTITUTE(SUBSTITUTE(Y180,"|}","--"),"{|","--"),CHAR(10),""),"、",""),"|",""))+IF(AND(OR(J180="EI",J180="EO",J180="EQ"),$AE$1="NESMA"),2,1)))</f>
        <v/>
      </c>
      <c r="P180" s="86">
        <f>IF(J180="EI",IF(OR(Y180="估算法",Y180="算法类"),"中",IF(Y180="无法识别","低",IF(M180&lt;2,IF(O180&lt;16,"低","中"),IF(M180&lt;3,IF(O180&lt;5,"低",IF(O180&lt;16,"中","高")),IF(O180&lt;5,"中","高"))))),IF(OR(J180="EO",J180="EQ"),IF(OR(Y180="估算法",Y180="算法类"),"中",IF(Y180="无法识别","低",IF(M180&lt;2,IF(O180&lt;20,"低","中"),IF(M180&lt;4,IF(O180&lt;6,"低",IF(O180&lt;20,"中","高")),IF(O180&lt;6,"中","高"))))),IF(OR(J180="ILF",J180="EIF"),IF(OR(Y180="估算法",Y180="算法类",Y180="无法识别"),"低",IF(N180&lt;2,IF(O180&lt;51,"低","中"),IF(N180&lt;6,IF(O180&lt;20,"低",IF(O180&lt;51,"中","高")),IF(O180&lt;20,"中","高")))),"不计算")))</f>
        <v/>
      </c>
      <c r="Q180" s="172">
        <f>IFERROR(IF(J180="EI",IF(P180="低",3,IF(P180="中",4,6)),IF(J180="EO",IF(P180="低",4,IF(P180="中",5,7)),IF(J180="EQ",IF(P180="低",3,IF(P180="中",4,6)),IF(J180="ILF",IF(P180="低",7,IF(P180="中",10,15)),IF(J180="EIF",IF(P180="低",5,IF(P180="中",7,10)),"不计算")))))*R180,"不计算")</f>
        <v/>
      </c>
      <c r="R180" s="172" t="n">
        <v>1</v>
      </c>
      <c r="S180" s="173">
        <f>调整因子!$F$13</f>
        <v/>
      </c>
      <c r="T180" s="92" t="n">
        <v>1</v>
      </c>
      <c r="U180" s="174">
        <f>IFERROR(Q180*S180,0)</f>
        <v/>
      </c>
      <c r="V180" s="174">
        <f>U180*T180</f>
        <v/>
      </c>
      <c r="W180" s="90" t="inlineStr">
        <is>
          <t>数据一致性审批表</t>
        </is>
      </c>
      <c r="X180" s="91" t="n"/>
      <c r="Y180"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80" s="90" t="n"/>
      <c r="AA180" s="90" t="n"/>
      <c r="AB180" s="103" t="inlineStr">
        <is>
          <t>数据清洗任务表、资产同步任务表、同步任务调度表</t>
        </is>
      </c>
      <c r="AC180" s="66" t="n"/>
    </row>
    <row r="181" customFormat="1" s="66">
      <c r="A181" s="72">
        <f>ROW()-1</f>
        <v/>
      </c>
      <c r="B181" s="175" t="n"/>
      <c r="C181" s="80" t="n">
        <v>2025</v>
      </c>
      <c r="D181" s="80" t="inlineStr">
        <is>
          <t>蔡云飞</t>
        </is>
      </c>
      <c r="E181" s="81">
        <f>VLOOKUP(I181,'25年交付功能（不含废弃）'!A:A,1,FALSE)</f>
        <v/>
      </c>
      <c r="F181" s="175" t="n"/>
      <c r="G181" s="175" t="n"/>
      <c r="H181" s="175" t="n"/>
      <c r="I181" s="98" t="inlineStr">
        <is>
          <t>数据一致性审批表</t>
        </is>
      </c>
      <c r="J181" s="93" t="inlineStr">
        <is>
          <t>ILF</t>
        </is>
      </c>
      <c r="K181" s="102" t="n"/>
      <c r="L181" s="102" t="n"/>
      <c r="M181" s="85">
        <f>IF(OR(Y181="估算法",Y181="算法类",Y181="无法识别"),"",IF(W181="",IF(OR(J181="EI",J181="EO",J181="EQ"),0,""),LEN(W181)-LEN(SUBSTITUTE(W181,"、",""))+1))</f>
        <v/>
      </c>
      <c r="N181" s="85">
        <f>IF(OR(Y181="估算法",Y181="算法类",Y181="无法识别"),"",IF(X181="",IF(OR(J181="ILF",J181="EIF"),0,""),LEN(X181)-LEN(SUBSTITUTE(X181,"、",""))+1))</f>
        <v/>
      </c>
      <c r="O181" s="85">
        <f>IF(OR(Y181="估算法",Y181="算法类",Y181="无法识别"),"",IF(Y181="",IF(OR(J181="ILF",J181="EIF",J181="EI",J181="EO",J181="EQ"),0,""),LEN(Y181)-LEN(SUBSTITUTE(SUBSTITUTE(SUBSTITUTE(SUBSTITUTE(SUBSTITUTE(Y181,"|}","--"),"{|","--"),CHAR(10),""),"、",""),"|",""))+IF(AND(OR(J181="EI",J181="EO",J181="EQ"),$AE$1="NESMA"),2,1)))</f>
        <v/>
      </c>
      <c r="P181" s="86">
        <f>IF(J181="EI",IF(OR(Y181="估算法",Y181="算法类"),"中",IF(Y181="无法识别","低",IF(M181&lt;2,IF(O181&lt;16,"低","中"),IF(M181&lt;3,IF(O181&lt;5,"低",IF(O181&lt;16,"中","高")),IF(O181&lt;5,"中","高"))))),IF(OR(J181="EO",J181="EQ"),IF(OR(Y181="估算法",Y181="算法类"),"中",IF(Y181="无法识别","低",IF(M181&lt;2,IF(O181&lt;20,"低","中"),IF(M181&lt;4,IF(O181&lt;6,"低",IF(O181&lt;20,"中","高")),IF(O181&lt;6,"中","高"))))),IF(OR(J181="ILF",J181="EIF"),IF(OR(Y181="估算法",Y181="算法类",Y181="无法识别"),"低",IF(N181&lt;2,IF(O181&lt;51,"低","中"),IF(N181&lt;6,IF(O181&lt;20,"低",IF(O181&lt;51,"中","高")),IF(O181&lt;20,"中","高")))),"不计算")))</f>
        <v/>
      </c>
      <c r="Q181" s="172">
        <f>IFERROR(IF(J181="EI",IF(P181="低",3,IF(P181="中",4,6)),IF(J181="EO",IF(P181="低",4,IF(P181="中",5,7)),IF(J181="EQ",IF(P181="低",3,IF(P181="中",4,6)),IF(J181="ILF",IF(P181="低",7,IF(P181="中",10,15)),IF(J181="EIF",IF(P181="低",5,IF(P181="中",7,10)),"不计算")))))*R181,"不计算")</f>
        <v/>
      </c>
      <c r="R181" s="172" t="n">
        <v>1</v>
      </c>
      <c r="S181" s="173">
        <f>调整因子!$F$13</f>
        <v/>
      </c>
      <c r="T181" s="92" t="n">
        <v>1</v>
      </c>
      <c r="U181" s="174">
        <f>IFERROR(Q181*S181,0)</f>
        <v/>
      </c>
      <c r="V181" s="174">
        <f>U181*T181</f>
        <v/>
      </c>
      <c r="W181" s="91" t="n"/>
      <c r="X181" s="90" t="inlineStr">
        <is>
          <t>数据一致性审批表</t>
        </is>
      </c>
      <c r="Y181" s="90" t="inlineStr">
        <is>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is>
      </c>
      <c r="Z181" s="90">
        <f>IF(COUNTIFS(W:W,"*"&amp;I181&amp;"*")&gt;0,"存在","不存在")</f>
        <v/>
      </c>
      <c r="AA181" s="90">
        <f>IF(COUNTIFS(AB:AB,"*"&amp;I181&amp;"*")&gt;0,"存在","不存在")</f>
        <v/>
      </c>
      <c r="AB181" s="103" t="inlineStr">
        <is>
          <t>数据清洗任务表、资产同步任务表、同步任务调度表</t>
        </is>
      </c>
      <c r="AC181" s="66" t="n"/>
    </row>
    <row r="182" customFormat="1" s="66">
      <c r="A182" s="72">
        <f>ROW()-1</f>
        <v/>
      </c>
      <c r="B182" s="175" t="n"/>
      <c r="C182" s="80" t="n">
        <v>2025</v>
      </c>
      <c r="D182" s="80" t="inlineStr">
        <is>
          <t>蔡云飞</t>
        </is>
      </c>
      <c r="E182" s="81">
        <f>VLOOKUP(I182,'25年交付功能（不含废弃）'!A:A,1,FALSE)</f>
        <v/>
      </c>
      <c r="F182" s="175" t="n"/>
      <c r="G182" s="175" t="n"/>
      <c r="H182" s="175" t="n"/>
      <c r="I182" s="98" t="inlineStr">
        <is>
          <t>数据一致性审批流程表</t>
        </is>
      </c>
      <c r="J182" s="93" t="n"/>
      <c r="K182" s="84" t="n"/>
      <c r="L182" s="84" t="inlineStr">
        <is>
          <t>数据库表未被本系统所使用</t>
        </is>
      </c>
      <c r="M182" s="85">
        <f>IF(OR(Y182="估算法",Y182="算法类",Y182="无法识别"),"",IF(W182="",IF(OR(J182="EI",J182="EO",J182="EQ"),0,""),LEN(W182)-LEN(SUBSTITUTE(W182,"、",""))+1))</f>
        <v/>
      </c>
      <c r="N182" s="85">
        <f>IF(OR(Y182="估算法",Y182="算法类",Y182="无法识别"),"",IF(X182="",IF(OR(J182="ILF",J182="EIF"),0,""),LEN(X182)-LEN(SUBSTITUTE(X182,"、",""))+1))</f>
        <v/>
      </c>
      <c r="O182" s="85">
        <f>IF(OR(Y182="估算法",Y182="算法类",Y182="无法识别"),"",IF(Y182="",IF(OR(J182="ILF",J182="EIF",J182="EI",J182="EO",J182="EQ"),0,""),LEN(Y182)-LEN(SUBSTITUTE(SUBSTITUTE(SUBSTITUTE(SUBSTITUTE(SUBSTITUTE(Y182,"|}","--"),"{|","--"),CHAR(10),""),"、",""),"|",""))+IF(AND(OR(J182="EI",J182="EO",J182="EQ"),$AE$1="NESMA"),2,1)))</f>
        <v/>
      </c>
      <c r="P182" s="86">
        <f>IF(J182="EI",IF(OR(Y182="估算法",Y182="算法类"),"中",IF(Y182="无法识别","低",IF(M182&lt;2,IF(O182&lt;16,"低","中"),IF(M182&lt;3,IF(O182&lt;5,"低",IF(O182&lt;16,"中","高")),IF(O182&lt;5,"中","高"))))),IF(OR(J182="EO",J182="EQ"),IF(OR(Y182="估算法",Y182="算法类"),"中",IF(Y182="无法识别","低",IF(M182&lt;2,IF(O182&lt;20,"低","中"),IF(M182&lt;4,IF(O182&lt;6,"低",IF(O182&lt;20,"中","高")),IF(O182&lt;6,"中","高"))))),IF(OR(J182="ILF",J182="EIF"),IF(OR(Y182="估算法",Y182="算法类",Y182="无法识别"),"低",IF(N182&lt;2,IF(O182&lt;51,"低","中"),IF(N182&lt;6,IF(O182&lt;20,"低",IF(O182&lt;51,"中","高")),IF(O182&lt;20,"中","高")))),"不计算")))</f>
        <v/>
      </c>
      <c r="Q182" s="172">
        <f>IFERROR(IF(J182="EI",IF(P182="低",3,IF(P182="中",4,6)),IF(J182="EO",IF(P182="低",4,IF(P182="中",5,7)),IF(J182="EQ",IF(P182="低",3,IF(P182="中",4,6)),IF(J182="ILF",IF(P182="低",7,IF(P182="中",10,15)),IF(J182="EIF",IF(P182="低",5,IF(P182="中",7,10)),"不计算")))))*R182,"不计算")</f>
        <v/>
      </c>
      <c r="R182" s="172" t="n">
        <v>1</v>
      </c>
      <c r="S182" s="173">
        <f>调整因子!$F$13</f>
        <v/>
      </c>
      <c r="T182" s="93" t="n">
        <v>1</v>
      </c>
      <c r="U182" s="174">
        <f>IFERROR(Q182*S182,0)</f>
        <v/>
      </c>
      <c r="V182" s="174">
        <f>U182*T182</f>
        <v/>
      </c>
      <c r="W182" s="91" t="n"/>
      <c r="X182" s="90" t="inlineStr">
        <is>
          <t>数据一致性审批流程表</t>
        </is>
      </c>
      <c r="Y182" s="90" t="inlineStr">
        <is>
          <t>数据一致性审批流程表
{流程ID、任务ID、节点序号、审批人、审批角色、审批状态、审批意见、审批时间、处理结果、处理时间、备注}</t>
        </is>
      </c>
      <c r="Z182" s="90">
        <f>IF(COUNTIFS(W:W,"*"&amp;I182&amp;"*")&gt;0,"存在","不存在")</f>
        <v/>
      </c>
      <c r="AA182" s="90">
        <f>IF(COUNTIFS(AB:AB,"*"&amp;I182&amp;"*")&gt;0,"存在","不存在")</f>
        <v/>
      </c>
      <c r="AB182" s="103" t="inlineStr">
        <is>
          <t>推送规则表、提醒规则表、脱敏规则表</t>
        </is>
      </c>
      <c r="AC182" s="66" t="n"/>
    </row>
    <row r="183" customFormat="1" s="66">
      <c r="A183" s="72">
        <f>ROW()-1</f>
        <v/>
      </c>
      <c r="B183" s="175" t="n"/>
      <c r="C183" s="80" t="n">
        <v>2025</v>
      </c>
      <c r="D183" s="80" t="inlineStr">
        <is>
          <t>蔡云飞</t>
        </is>
      </c>
      <c r="E183" s="81">
        <f>VLOOKUP(I183,'25年交付功能（不含废弃）'!A:A,1,FALSE)</f>
        <v/>
      </c>
      <c r="F183" s="176" t="n"/>
      <c r="G183" s="176" t="n"/>
      <c r="H183" s="176" t="n"/>
      <c r="I183" s="98" t="inlineStr">
        <is>
          <t>数据一致性审批结果表</t>
        </is>
      </c>
      <c r="J183" s="93" t="n"/>
      <c r="K183" s="84" t="n"/>
      <c r="L183" s="84" t="inlineStr">
        <is>
          <t>数据库表未被本系统所使用</t>
        </is>
      </c>
      <c r="M183" s="85">
        <f>IF(OR(Y183="估算法",Y183="算法类",Y183="无法识别"),"",IF(W183="",IF(OR(J183="EI",J183="EO",J183="EQ"),0,""),LEN(W183)-LEN(SUBSTITUTE(W183,"、",""))+1))</f>
        <v/>
      </c>
      <c r="N183" s="85">
        <f>IF(OR(Y183="估算法",Y183="算法类",Y183="无法识别"),"",IF(X183="",IF(OR(J183="ILF",J183="EIF"),0,""),LEN(X183)-LEN(SUBSTITUTE(X183,"、",""))+1))</f>
        <v/>
      </c>
      <c r="O183" s="85">
        <f>IF(OR(Y183="估算法",Y183="算法类",Y183="无法识别"),"",IF(Y183="",IF(OR(J183="ILF",J183="EIF",J183="EI",J183="EO",J183="EQ"),0,""),LEN(Y183)-LEN(SUBSTITUTE(SUBSTITUTE(SUBSTITUTE(SUBSTITUTE(SUBSTITUTE(Y183,"|}","--"),"{|","--"),CHAR(10),""),"、",""),"|",""))+IF(AND(OR(J183="EI",J183="EO",J183="EQ"),$AE$1="NESMA"),2,1)))</f>
        <v/>
      </c>
      <c r="P183" s="86">
        <f>IF(J183="EI",IF(OR(Y183="估算法",Y183="算法类"),"中",IF(Y183="无法识别","低",IF(M183&lt;2,IF(O183&lt;16,"低","中"),IF(M183&lt;3,IF(O183&lt;5,"低",IF(O183&lt;16,"中","高")),IF(O183&lt;5,"中","高"))))),IF(OR(J183="EO",J183="EQ"),IF(OR(Y183="估算法",Y183="算法类"),"中",IF(Y183="无法识别","低",IF(M183&lt;2,IF(O183&lt;20,"低","中"),IF(M183&lt;4,IF(O183&lt;6,"低",IF(O183&lt;20,"中","高")),IF(O183&lt;6,"中","高"))))),IF(OR(J183="ILF",J183="EIF"),IF(OR(Y183="估算法",Y183="算法类",Y183="无法识别"),"低",IF(N183&lt;2,IF(O183&lt;51,"低","中"),IF(N183&lt;6,IF(O183&lt;20,"低",IF(O183&lt;51,"中","高")),IF(O183&lt;20,"中","高")))),"不计算")))</f>
        <v/>
      </c>
      <c r="Q183" s="172">
        <f>IFERROR(IF(J183="EI",IF(P183="低",3,IF(P183="中",4,6)),IF(J183="EO",IF(P183="低",4,IF(P183="中",5,7)),IF(J183="EQ",IF(P183="低",3,IF(P183="中",4,6)),IF(J183="ILF",IF(P183="低",7,IF(P183="中",10,15)),IF(J183="EIF",IF(P183="低",5,IF(P183="中",7,10)),"不计算")))))*R183,"不计算")</f>
        <v/>
      </c>
      <c r="R183" s="172" t="n">
        <v>1</v>
      </c>
      <c r="S183" s="173">
        <f>调整因子!$F$13</f>
        <v/>
      </c>
      <c r="T183" s="92" t="n">
        <v>1</v>
      </c>
      <c r="U183" s="174">
        <f>IFERROR(Q183*S183,0)</f>
        <v/>
      </c>
      <c r="V183" s="174">
        <f>U183*T183</f>
        <v/>
      </c>
      <c r="W183" s="91" t="n"/>
      <c r="X183" s="90" t="inlineStr">
        <is>
          <t>数据一致性审批结果表</t>
        </is>
      </c>
      <c r="Y183" s="90" t="inlineStr">
        <is>
          <t>数据一致性审批结果表
{结果ID、任务ID、目标数据ID、最终结果、一致性结论、处理建议、处理人、处理时间、备注}</t>
        </is>
      </c>
      <c r="Z183" s="90">
        <f>IF(COUNTIFS(W:W,"*"&amp;I183&amp;"*")&gt;0,"存在","不存在")</f>
        <v/>
      </c>
      <c r="AA183" s="90">
        <f>IF(COUNTIFS(AB:AB,"*"&amp;I183&amp;"*")&gt;0,"存在","不存在")</f>
        <v/>
      </c>
      <c r="AB183" s="103" t="inlineStr">
        <is>
          <t>推送规则表、提醒规则表、脱敏规则表、加密规则表</t>
        </is>
      </c>
      <c r="AC183" s="66" t="n"/>
    </row>
    <row r="184" customFormat="1" s="66">
      <c r="A184" s="72" t="n"/>
      <c r="B184" s="175" t="n"/>
      <c r="C184" s="80" t="n">
        <v>2025</v>
      </c>
      <c r="D184" s="80" t="inlineStr">
        <is>
          <t>张明峰</t>
        </is>
      </c>
      <c r="E184" s="81" t="n"/>
      <c r="F184" s="93" t="inlineStr">
        <is>
          <t>漏洞概念验证全生命周期管理</t>
        </is>
      </c>
      <c r="G184" s="93" t="inlineStr">
        <is>
          <t>漏洞概念验证全生命周期管理</t>
        </is>
      </c>
      <c r="H184" s="93" t="inlineStr">
        <is>
          <t>插件模板管理</t>
        </is>
      </c>
      <c r="I184" s="98" t="inlineStr">
        <is>
          <t>添加插件版本</t>
        </is>
      </c>
      <c r="J184" s="93" t="inlineStr">
        <is>
          <t>EI</t>
        </is>
      </c>
      <c r="K184" s="99" t="inlineStr">
        <is>
          <t>新增</t>
        </is>
      </c>
      <c r="L184" s="84" t="n"/>
      <c r="M184" s="85" t="n"/>
      <c r="N184" s="85" t="n"/>
      <c r="O184" s="85" t="n"/>
      <c r="P184" s="86" t="n"/>
      <c r="Q184" s="172" t="n"/>
      <c r="R184" s="172" t="n"/>
      <c r="S184" s="173" t="n"/>
      <c r="T184" s="92" t="n"/>
      <c r="U184" s="174" t="n"/>
      <c r="V184" s="174" t="n"/>
      <c r="W184" s="91" t="n"/>
      <c r="X184" s="90" t="n"/>
      <c r="Y184" s="90" t="n"/>
      <c r="Z184" s="90" t="n"/>
      <c r="AA184" s="90" t="n"/>
      <c r="AB184" s="103" t="n"/>
      <c r="AC184" s="66" t="n"/>
    </row>
    <row r="185" customFormat="1" s="66">
      <c r="A185" s="72" t="n"/>
      <c r="B185" s="175" t="n"/>
      <c r="C185" s="80" t="n">
        <v>2025</v>
      </c>
      <c r="D185" s="80" t="inlineStr">
        <is>
          <t>张明峰</t>
        </is>
      </c>
      <c r="E185" s="81" t="n"/>
      <c r="F185" s="175" t="n"/>
      <c r="G185" s="175" t="n"/>
      <c r="H185" s="175" t="n"/>
      <c r="I185" s="98" t="inlineStr">
        <is>
          <t>编辑插件版本</t>
        </is>
      </c>
      <c r="J185" s="93" t="inlineStr">
        <is>
          <t>EI</t>
        </is>
      </c>
      <c r="K185" s="99" t="inlineStr">
        <is>
          <t>新增</t>
        </is>
      </c>
      <c r="L185" s="84" t="n"/>
      <c r="M185" s="85" t="n"/>
      <c r="N185" s="85" t="n"/>
      <c r="O185" s="85" t="n"/>
      <c r="P185" s="86" t="n"/>
      <c r="Q185" s="172" t="n"/>
      <c r="R185" s="172" t="n"/>
      <c r="S185" s="173" t="n"/>
      <c r="T185" s="92" t="n"/>
      <c r="U185" s="174" t="n"/>
      <c r="V185" s="174" t="n"/>
      <c r="W185" s="91" t="n"/>
      <c r="X185" s="90" t="n"/>
      <c r="Y185" s="90" t="n"/>
      <c r="Z185" s="90" t="n"/>
      <c r="AA185" s="90" t="n"/>
      <c r="AB185" s="103" t="n"/>
      <c r="AC185" s="66" t="n"/>
    </row>
    <row r="186" customFormat="1" s="66">
      <c r="A186" s="72" t="n"/>
      <c r="B186" s="175" t="n"/>
      <c r="C186" s="80" t="n">
        <v>2025</v>
      </c>
      <c r="D186" s="80" t="inlineStr">
        <is>
          <t>张明峰</t>
        </is>
      </c>
      <c r="E186" s="81" t="n"/>
      <c r="F186" s="175" t="n"/>
      <c r="G186" s="175" t="n"/>
      <c r="H186" s="175" t="n"/>
      <c r="I186" s="98" t="inlineStr">
        <is>
          <t>删除插件版本</t>
        </is>
      </c>
      <c r="J186" s="93" t="inlineStr">
        <is>
          <t>EI</t>
        </is>
      </c>
      <c r="K186" s="99" t="inlineStr">
        <is>
          <t>新增</t>
        </is>
      </c>
      <c r="L186" s="84" t="n"/>
      <c r="M186" s="85" t="n"/>
      <c r="N186" s="85" t="n"/>
      <c r="O186" s="85" t="n"/>
      <c r="P186" s="86" t="n"/>
      <c r="Q186" s="172" t="n"/>
      <c r="R186" s="172" t="n"/>
      <c r="S186" s="173" t="n"/>
      <c r="T186" s="92" t="n"/>
      <c r="U186" s="174" t="n"/>
      <c r="V186" s="174" t="n"/>
      <c r="W186" s="91" t="n"/>
      <c r="X186" s="90" t="n"/>
      <c r="Y186" s="90" t="n"/>
      <c r="Z186" s="90" t="n"/>
      <c r="AA186" s="90" t="n"/>
      <c r="AB186" s="103" t="n"/>
      <c r="AC186" s="66" t="n"/>
    </row>
    <row r="187" customFormat="1" s="66">
      <c r="A187" s="72" t="n"/>
      <c r="B187" s="175" t="n"/>
      <c r="C187" s="80" t="n">
        <v>2025</v>
      </c>
      <c r="D187" s="80" t="inlineStr">
        <is>
          <t>张明峰</t>
        </is>
      </c>
      <c r="E187" s="81" t="n"/>
      <c r="F187" s="175" t="n"/>
      <c r="G187" s="175" t="n"/>
      <c r="H187" s="175" t="n"/>
      <c r="I187" s="98" t="inlineStr">
        <is>
          <t>查询插件版本</t>
        </is>
      </c>
      <c r="J187" s="93" t="inlineStr">
        <is>
          <t>EQ</t>
        </is>
      </c>
      <c r="K187" s="99" t="inlineStr">
        <is>
          <t>新增</t>
        </is>
      </c>
      <c r="L187" s="84" t="n"/>
      <c r="M187" s="85" t="n"/>
      <c r="N187" s="85" t="n"/>
      <c r="O187" s="85" t="n"/>
      <c r="P187" s="86" t="n"/>
      <c r="Q187" s="172" t="n"/>
      <c r="R187" s="172" t="n"/>
      <c r="S187" s="173" t="n"/>
      <c r="T187" s="92" t="n"/>
      <c r="U187" s="174" t="n"/>
      <c r="V187" s="174" t="n"/>
      <c r="W187" s="91" t="n"/>
      <c r="X187" s="90" t="n"/>
      <c r="Y187" s="90" t="n"/>
      <c r="Z187" s="90" t="n"/>
      <c r="AA187" s="90" t="n"/>
      <c r="AB187" s="103" t="n"/>
      <c r="AC187" s="66" t="n"/>
    </row>
    <row r="188" customFormat="1" s="66">
      <c r="A188" s="72">
        <f>ROW()-1</f>
        <v/>
      </c>
      <c r="B188" s="175" t="n"/>
      <c r="C188" s="80" t="n">
        <v>2025</v>
      </c>
      <c r="D188" s="80" t="inlineStr">
        <is>
          <t>张明峰</t>
        </is>
      </c>
      <c r="E188" s="81">
        <f>VLOOKUP(I188,'25年交付功能（不含废弃）'!A:A,1,FALSE)</f>
        <v/>
      </c>
      <c r="F188" s="175" t="n"/>
      <c r="G188" s="175" t="n"/>
      <c r="H188" s="175" t="n"/>
      <c r="I188" s="98" t="inlineStr">
        <is>
          <t>添加插件规范模板</t>
        </is>
      </c>
      <c r="J188" s="93" t="inlineStr">
        <is>
          <t>EI</t>
        </is>
      </c>
      <c r="K188" s="84" t="n"/>
      <c r="L188" s="84" t="n"/>
      <c r="M188" s="85">
        <f>IF(OR(Y188="估算法",Y188="算法类",Y188="无法识别"),"",IF(W188="",IF(OR(J188="EI",J188="EO",J188="EQ"),0,""),LEN(W188)-LEN(SUBSTITUTE(W188,"、",""))+1))</f>
        <v/>
      </c>
      <c r="N188" s="85">
        <f>IF(OR(Y188="估算法",Y188="算法类",Y188="无法识别"),"",IF(X188="",IF(OR(J188="ILF",J188="EIF"),0,""),LEN(X188)-LEN(SUBSTITUTE(X188,"、",""))+1))</f>
        <v/>
      </c>
      <c r="O188" s="85">
        <f>IF(OR(Y188="估算法",Y188="算法类",Y188="无法识别"),"",IF(Y188="",IF(OR(J188="ILF",J188="EIF",J188="EI",J188="EO",J188="EQ"),0,""),LEN(Y188)-LEN(SUBSTITUTE(SUBSTITUTE(SUBSTITUTE(SUBSTITUTE(SUBSTITUTE(Y188,"|}","--"),"{|","--"),CHAR(10),""),"、",""),"|",""))+IF(AND(OR(J188="EI",J188="EO",J188="EQ"),$AE$1="NESMA"),2,1)))</f>
        <v/>
      </c>
      <c r="P188" s="86">
        <f>IF(J188="EI",IF(OR(Y188="估算法",Y188="算法类"),"中",IF(Y188="无法识别","低",IF(M188&lt;2,IF(O188&lt;16,"低","中"),IF(M188&lt;3,IF(O188&lt;5,"低",IF(O188&lt;16,"中","高")),IF(O188&lt;5,"中","高"))))),IF(OR(J188="EO",J188="EQ"),IF(OR(Y188="估算法",Y188="算法类"),"中",IF(Y188="无法识别","低",IF(M188&lt;2,IF(O188&lt;20,"低","中"),IF(M188&lt;4,IF(O188&lt;6,"低",IF(O188&lt;20,"中","高")),IF(O188&lt;6,"中","高"))))),IF(OR(J188="ILF",J188="EIF"),IF(OR(Y188="估算法",Y188="算法类",Y188="无法识别"),"低",IF(N188&lt;2,IF(O188&lt;51,"低","中"),IF(N188&lt;6,IF(O188&lt;20,"低",IF(O188&lt;51,"中","高")),IF(O188&lt;20,"中","高")))),"不计算")))</f>
        <v/>
      </c>
      <c r="Q188" s="172">
        <f>IFERROR(IF(J188="EI",IF(P188="低",3,IF(P188="中",4,6)),IF(J188="EO",IF(P188="低",4,IF(P188="中",5,7)),IF(J188="EQ",IF(P188="低",3,IF(P188="中",4,6)),IF(J188="ILF",IF(P188="低",7,IF(P188="中",10,15)),IF(J188="EIF",IF(P188="低",5,IF(P188="中",7,10)),"不计算")))))*R188,"不计算")</f>
        <v/>
      </c>
      <c r="R188" s="172" t="n">
        <v>1</v>
      </c>
      <c r="S188" s="173">
        <f>调整因子!$F$13</f>
        <v/>
      </c>
      <c r="T188" s="92" t="n">
        <v>1</v>
      </c>
      <c r="U188" s="174">
        <f>IFERROR(Q188*S188,0)</f>
        <v/>
      </c>
      <c r="V188" s="174">
        <f>U188*T188</f>
        <v/>
      </c>
      <c r="W188" s="90" t="inlineStr">
        <is>
          <t>插件模板表、插件规范表、插件审计表</t>
        </is>
      </c>
      <c r="X188" s="91" t="n"/>
      <c r="Y188" s="90" t="inlineStr">
        <is>
          <t>插件模板表{模板ID、模板名称、模板内容、创建时间、状态}、插件规范表{规范ID、规范名称、规范版本、规范内容、创建时间}、插件审计表{审计ID、插件ID、审计内容、审计时间}</t>
        </is>
      </c>
      <c r="Z188" s="90" t="n"/>
      <c r="AA188" s="90" t="n"/>
      <c r="AB188" s="103" t="inlineStr">
        <is>
          <t>推送规则表、提醒规则表、脱敏规则表、加密规则表、提醒规则表</t>
        </is>
      </c>
      <c r="AC188" s="66" t="n"/>
    </row>
    <row r="189" customFormat="1" s="66">
      <c r="A189" s="72">
        <f>ROW()-1</f>
        <v/>
      </c>
      <c r="B189" s="175" t="n"/>
      <c r="C189" s="80" t="n">
        <v>2025</v>
      </c>
      <c r="D189" s="80" t="inlineStr">
        <is>
          <t>张明峰</t>
        </is>
      </c>
      <c r="E189" s="81">
        <f>VLOOKUP(I189,'25年交付功能（不含废弃）'!A:A,1,FALSE)</f>
        <v/>
      </c>
      <c r="F189" s="175" t="n"/>
      <c r="G189" s="175" t="n"/>
      <c r="H189" s="175" t="n"/>
      <c r="I189" s="98" t="inlineStr">
        <is>
          <t>编辑插件规范模板内容</t>
        </is>
      </c>
      <c r="J189" s="93" t="inlineStr">
        <is>
          <t>EI</t>
        </is>
      </c>
      <c r="K189" s="84" t="n"/>
      <c r="L189" s="84" t="n"/>
      <c r="M189" s="85">
        <f>IF(OR(Y189="估算法",Y189="算法类",Y189="无法识别"),"",IF(W189="",IF(OR(J189="EI",J189="EO",J189="EQ"),0,""),LEN(W189)-LEN(SUBSTITUTE(W189,"、",""))+1))</f>
        <v/>
      </c>
      <c r="N189" s="85">
        <f>IF(OR(Y189="估算法",Y189="算法类",Y189="无法识别"),"",IF(X189="",IF(OR(J189="ILF",J189="EIF"),0,""),LEN(X189)-LEN(SUBSTITUTE(X189,"、",""))+1))</f>
        <v/>
      </c>
      <c r="O189" s="85">
        <f>IF(OR(Y189="估算法",Y189="算法类",Y189="无法识别"),"",IF(Y189="",IF(OR(J189="ILF",J189="EIF",J189="EI",J189="EO",J189="EQ"),0,""),LEN(Y189)-LEN(SUBSTITUTE(SUBSTITUTE(SUBSTITUTE(SUBSTITUTE(SUBSTITUTE(Y189,"|}","--"),"{|","--"),CHAR(10),""),"、",""),"|",""))+IF(AND(OR(J189="EI",J189="EO",J189="EQ"),$AE$1="NESMA"),2,1)))</f>
        <v/>
      </c>
      <c r="P189" s="86">
        <f>IF(J189="EI",IF(OR(Y189="估算法",Y189="算法类"),"中",IF(Y189="无法识别","低",IF(M189&lt;2,IF(O189&lt;16,"低","中"),IF(M189&lt;3,IF(O189&lt;5,"低",IF(O189&lt;16,"中","高")),IF(O189&lt;5,"中","高"))))),IF(OR(J189="EO",J189="EQ"),IF(OR(Y189="估算法",Y189="算法类"),"中",IF(Y189="无法识别","低",IF(M189&lt;2,IF(O189&lt;20,"低","中"),IF(M189&lt;4,IF(O189&lt;6,"低",IF(O189&lt;20,"中","高")),IF(O189&lt;6,"中","高"))))),IF(OR(J189="ILF",J189="EIF"),IF(OR(Y189="估算法",Y189="算法类",Y189="无法识别"),"低",IF(N189&lt;2,IF(O189&lt;51,"低","中"),IF(N189&lt;6,IF(O189&lt;20,"低",IF(O189&lt;51,"中","高")),IF(O189&lt;20,"中","高")))),"不计算")))</f>
        <v/>
      </c>
      <c r="Q189" s="172">
        <f>IFERROR(IF(J189="EI",IF(P189="低",3,IF(P189="中",4,6)),IF(J189="EO",IF(P189="低",4,IF(P189="中",5,7)),IF(J189="EQ",IF(P189="低",3,IF(P189="中",4,6)),IF(J189="ILF",IF(P189="低",7,IF(P189="中",10,15)),IF(J189="EIF",IF(P189="低",5,IF(P189="中",7,10)),"不计算")))))*R189,"不计算")</f>
        <v/>
      </c>
      <c r="R189" s="172" t="n">
        <v>1</v>
      </c>
      <c r="S189" s="173">
        <f>调整因子!$F$13</f>
        <v/>
      </c>
      <c r="T189" s="93" t="n">
        <v>1</v>
      </c>
      <c r="U189" s="174">
        <f>IFERROR(Q189*S189,0)</f>
        <v/>
      </c>
      <c r="V189" s="174">
        <f>U189*T189</f>
        <v/>
      </c>
      <c r="W189" s="90" t="inlineStr">
        <is>
          <t>插件规范表、插件模板表、插件审计表</t>
        </is>
      </c>
      <c r="X189" s="91" t="n"/>
      <c r="Y189" s="90" t="inlineStr">
        <is>
          <t>插件规范表{规范ID、规范名称、规范版本、规范内容、创建时间}、插件模板表{模板ID、模板名称、模板内容、创建时间、状态}、插件审计表{审计ID、插件ID、审计内容、审计时间}</t>
        </is>
      </c>
      <c r="Z189" s="90" t="n"/>
      <c r="AA189" s="90" t="n"/>
      <c r="AB189" s="103" t="inlineStr">
        <is>
          <t>推送规则表、提醒规则表、脱敏规则表、加密规则表、标签分类表</t>
        </is>
      </c>
      <c r="AC189" s="66" t="n"/>
    </row>
    <row r="190" customFormat="1" s="66">
      <c r="A190" s="72">
        <f>ROW()-1</f>
        <v/>
      </c>
      <c r="B190" s="175" t="n"/>
      <c r="C190" s="80" t="n">
        <v>2025</v>
      </c>
      <c r="D190" s="80" t="inlineStr">
        <is>
          <t>张明峰</t>
        </is>
      </c>
      <c r="E190" s="81">
        <f>VLOOKUP(I190,'25年交付功能（不含废弃）'!A:A,1,FALSE)</f>
        <v/>
      </c>
      <c r="F190" s="175" t="n"/>
      <c r="G190" s="175" t="n"/>
      <c r="H190" s="175" t="n"/>
      <c r="I190" s="98" t="inlineStr">
        <is>
          <t>插件规范模板标记已过时</t>
        </is>
      </c>
      <c r="J190" s="93" t="inlineStr">
        <is>
          <t>EI</t>
        </is>
      </c>
      <c r="K190" s="84" t="n"/>
      <c r="L190" s="84" t="n"/>
      <c r="M190" s="85">
        <f>IF(OR(Y190="估算法",Y190="算法类",Y190="无法识别"),"",IF(W190="",IF(OR(J190="EI",J190="EO",J190="EQ"),0,""),LEN(W190)-LEN(SUBSTITUTE(W190,"、",""))+1))</f>
        <v/>
      </c>
      <c r="N190" s="85">
        <f>IF(OR(Y190="估算法",Y190="算法类",Y190="无法识别"),"",IF(X190="",IF(OR(J190="ILF",J190="EIF"),0,""),LEN(X190)-LEN(SUBSTITUTE(X190,"、",""))+1))</f>
        <v/>
      </c>
      <c r="O190" s="85">
        <f>IF(OR(Y190="估算法",Y190="算法类",Y190="无法识别"),"",IF(Y190="",IF(OR(J190="ILF",J190="EIF",J190="EI",J190="EO",J190="EQ"),0,""),LEN(Y190)-LEN(SUBSTITUTE(SUBSTITUTE(SUBSTITUTE(SUBSTITUTE(SUBSTITUTE(Y190,"|}","--"),"{|","--"),CHAR(10),""),"、",""),"|",""))+IF(AND(OR(J190="EI",J190="EO",J190="EQ"),$AE$1="NESMA"),2,1)))</f>
        <v/>
      </c>
      <c r="P190" s="86">
        <f>IF(J190="EI",IF(OR(Y190="估算法",Y190="算法类"),"中",IF(Y190="无法识别","低",IF(M190&lt;2,IF(O190&lt;16,"低","中"),IF(M190&lt;3,IF(O190&lt;5,"低",IF(O190&lt;16,"中","高")),IF(O190&lt;5,"中","高"))))),IF(OR(J190="EO",J190="EQ"),IF(OR(Y190="估算法",Y190="算法类"),"中",IF(Y190="无法识别","低",IF(M190&lt;2,IF(O190&lt;20,"低","中"),IF(M190&lt;4,IF(O190&lt;6,"低",IF(O190&lt;20,"中","高")),IF(O190&lt;6,"中","高"))))),IF(OR(J190="ILF",J190="EIF"),IF(OR(Y190="估算法",Y190="算法类",Y190="无法识别"),"低",IF(N190&lt;2,IF(O190&lt;51,"低","中"),IF(N190&lt;6,IF(O190&lt;20,"低",IF(O190&lt;51,"中","高")),IF(O190&lt;20,"中","高")))),"不计算")))</f>
        <v/>
      </c>
      <c r="Q190" s="172">
        <f>IFERROR(IF(J190="EI",IF(P190="低",3,IF(P190="中",4,6)),IF(J190="EO",IF(P190="低",4,IF(P190="中",5,7)),IF(J190="EQ",IF(P190="低",3,IF(P190="中",4,6)),IF(J190="ILF",IF(P190="低",7,IF(P190="中",10,15)),IF(J190="EIF",IF(P190="低",5,IF(P190="中",7,10)),"不计算")))))*R190,"不计算")</f>
        <v/>
      </c>
      <c r="R190" s="172" t="n">
        <v>1</v>
      </c>
      <c r="S190" s="173">
        <f>调整因子!$F$13</f>
        <v/>
      </c>
      <c r="T190" s="92" t="n">
        <v>1</v>
      </c>
      <c r="U190" s="174">
        <f>IFERROR(Q190*S190,0)</f>
        <v/>
      </c>
      <c r="V190" s="174">
        <f>U190*T190</f>
        <v/>
      </c>
      <c r="W190" s="90" t="inlineStr">
        <is>
          <t>插件模板表</t>
        </is>
      </c>
      <c r="X190" s="91" t="n"/>
      <c r="Y190" s="90" t="inlineStr">
        <is>
          <t>插件模板表{模板ID、状态|板ID、模板名称、模板内容、状态、创建时间}</t>
        </is>
      </c>
      <c r="Z190" s="90" t="n"/>
      <c r="AA190" s="90" t="n"/>
      <c r="AB190" s="103" t="inlineStr">
        <is>
          <t>数据清洗任务表、资产同步任务表、同步任务调度表、任务统计数据表、任务趋势分析表</t>
        </is>
      </c>
      <c r="AC190" s="66" t="n"/>
    </row>
    <row r="191" customFormat="1" s="66">
      <c r="A191" s="72">
        <f>ROW()-1</f>
        <v/>
      </c>
      <c r="B191" s="175" t="n"/>
      <c r="C191" s="80" t="n">
        <v>2025</v>
      </c>
      <c r="D191" s="80" t="inlineStr">
        <is>
          <t>张明峰</t>
        </is>
      </c>
      <c r="E191" s="81">
        <f>VLOOKUP(I191,'25年交付功能（不含废弃）'!A:A,1,FALSE)</f>
        <v/>
      </c>
      <c r="F191" s="175" t="n"/>
      <c r="G191" s="175" t="n"/>
      <c r="H191" s="175" t="n"/>
      <c r="I191" s="98" t="inlineStr">
        <is>
          <t>插件规范模板标记删除</t>
        </is>
      </c>
      <c r="J191" s="93" t="inlineStr">
        <is>
          <t>EI</t>
        </is>
      </c>
      <c r="K191" s="84" t="n"/>
      <c r="L191" s="84" t="n"/>
      <c r="M191" s="85">
        <f>IF(OR(Y191="估算法",Y191="算法类",Y191="无法识别"),"",IF(W191="",IF(OR(J191="EI",J191="EO",J191="EQ"),0,""),LEN(W191)-LEN(SUBSTITUTE(W191,"、",""))+1))</f>
        <v/>
      </c>
      <c r="N191" s="85">
        <f>IF(OR(Y191="估算法",Y191="算法类",Y191="无法识别"),"",IF(X191="",IF(OR(J191="ILF",J191="EIF"),0,""),LEN(X191)-LEN(SUBSTITUTE(X191,"、",""))+1))</f>
        <v/>
      </c>
      <c r="O191" s="85">
        <f>IF(OR(Y191="估算法",Y191="算法类",Y191="无法识别"),"",IF(Y191="",IF(OR(J191="ILF",J191="EIF",J191="EI",J191="EO",J191="EQ"),0,""),LEN(Y191)-LEN(SUBSTITUTE(SUBSTITUTE(SUBSTITUTE(SUBSTITUTE(SUBSTITUTE(Y191,"|}","--"),"{|","--"),CHAR(10),""),"、",""),"|",""))+IF(AND(OR(J191="EI",J191="EO",J191="EQ"),$AE$1="NESMA"),2,1)))</f>
        <v/>
      </c>
      <c r="P191" s="86">
        <f>IF(J191="EI",IF(OR(Y191="估算法",Y191="算法类"),"中",IF(Y191="无法识别","低",IF(M191&lt;2,IF(O191&lt;16,"低","中"),IF(M191&lt;3,IF(O191&lt;5,"低",IF(O191&lt;16,"中","高")),IF(O191&lt;5,"中","高"))))),IF(OR(J191="EO",J191="EQ"),IF(OR(Y191="估算法",Y191="算法类"),"中",IF(Y191="无法识别","低",IF(M191&lt;2,IF(O191&lt;20,"低","中"),IF(M191&lt;4,IF(O191&lt;6,"低",IF(O191&lt;20,"中","高")),IF(O191&lt;6,"中","高"))))),IF(OR(J191="ILF",J191="EIF"),IF(OR(Y191="估算法",Y191="算法类",Y191="无法识别"),"低",IF(N191&lt;2,IF(O191&lt;51,"低","中"),IF(N191&lt;6,IF(O191&lt;20,"低",IF(O191&lt;51,"中","高")),IF(O191&lt;20,"中","高")))),"不计算")))</f>
        <v/>
      </c>
      <c r="Q191" s="172">
        <f>IFERROR(IF(J191="EI",IF(P191="低",3,IF(P191="中",4,6)),IF(J191="EO",IF(P191="低",4,IF(P191="中",5,7)),IF(J191="EQ",IF(P191="低",3,IF(P191="中",4,6)),IF(J191="ILF",IF(P191="低",7,IF(P191="中",10,15)),IF(J191="EIF",IF(P191="低",5,IF(P191="中",7,10)),"不计算")))))*R191,"不计算")</f>
        <v/>
      </c>
      <c r="R191" s="172" t="n">
        <v>0.333333333333333</v>
      </c>
      <c r="S191" s="173">
        <f>调整因子!$F$13</f>
        <v/>
      </c>
      <c r="T191" s="92" t="n">
        <v>1</v>
      </c>
      <c r="U191" s="174">
        <f>IFERROR(Q191*S191,0)</f>
        <v/>
      </c>
      <c r="V191" s="174">
        <f>U191*T191</f>
        <v/>
      </c>
      <c r="W191" s="90" t="inlineStr">
        <is>
          <t>插件模板表</t>
        </is>
      </c>
      <c r="X191" s="91" t="n"/>
      <c r="Y191" s="90" t="inlineStr">
        <is>
          <t>插件模板表{模板ID、状态|板ID、模板名称、模板内容、状态、创建时间}</t>
        </is>
      </c>
      <c r="Z191" s="90" t="n"/>
      <c r="AA191" s="90" t="n"/>
      <c r="AB191" s="103" t="inlineStr">
        <is>
          <t>数据清洗任务表、资产同步任务表、同步任务调度表</t>
        </is>
      </c>
      <c r="AC191" s="66" t="n"/>
    </row>
    <row r="192" customFormat="1" s="66">
      <c r="A192" s="72">
        <f>ROW()-1</f>
        <v/>
      </c>
      <c r="B192" s="175" t="n"/>
      <c r="C192" s="80" t="n">
        <v>2025</v>
      </c>
      <c r="D192" s="80" t="inlineStr">
        <is>
          <t>张明峰</t>
        </is>
      </c>
      <c r="E192" s="81">
        <f>VLOOKUP(I192,'25年交付功能（不含废弃）'!A:A,1,FALSE)</f>
        <v/>
      </c>
      <c r="F192" s="175" t="n"/>
      <c r="G192" s="175" t="n"/>
      <c r="H192" s="175" t="n"/>
      <c r="I192" s="98" t="inlineStr">
        <is>
          <t>导出插件规范模板</t>
        </is>
      </c>
      <c r="J192" s="93" t="inlineStr">
        <is>
          <t>EO</t>
        </is>
      </c>
      <c r="K192" s="84" t="n"/>
      <c r="L192" s="84" t="n"/>
      <c r="M192" s="85">
        <f>IF(OR(Y192="估算法",Y192="算法类",Y192="无法识别"),"",IF(W192="",IF(OR(J192="EI",J192="EO",J192="EQ"),0,""),LEN(W192)-LEN(SUBSTITUTE(W192,"、",""))+1))</f>
        <v/>
      </c>
      <c r="N192" s="85">
        <f>IF(OR(Y192="估算法",Y192="算法类",Y192="无法识别"),"",IF(X192="",IF(OR(J192="ILF",J192="EIF"),0,""),LEN(X192)-LEN(SUBSTITUTE(X192,"、",""))+1))</f>
        <v/>
      </c>
      <c r="O192" s="85">
        <f>IF(OR(Y192="估算法",Y192="算法类",Y192="无法识别"),"",IF(Y192="",IF(OR(J192="ILF",J192="EIF",J192="EI",J192="EO",J192="EQ"),0,""),LEN(Y192)-LEN(SUBSTITUTE(SUBSTITUTE(SUBSTITUTE(SUBSTITUTE(SUBSTITUTE(Y192,"|}","--"),"{|","--"),CHAR(10),""),"、",""),"|",""))+IF(AND(OR(J192="EI",J192="EO",J192="EQ"),$AE$1="NESMA"),2,1)))</f>
        <v/>
      </c>
      <c r="P192" s="86">
        <f>IF(J192="EI",IF(OR(Y192="估算法",Y192="算法类"),"中",IF(Y192="无法识别","低",IF(M192&lt;2,IF(O192&lt;16,"低","中"),IF(M192&lt;3,IF(O192&lt;5,"低",IF(O192&lt;16,"中","高")),IF(O192&lt;5,"中","高"))))),IF(OR(J192="EO",J192="EQ"),IF(OR(Y192="估算法",Y192="算法类"),"中",IF(Y192="无法识别","低",IF(M192&lt;2,IF(O192&lt;20,"低","中"),IF(M192&lt;4,IF(O192&lt;6,"低",IF(O192&lt;20,"中","高")),IF(O192&lt;6,"中","高"))))),IF(OR(J192="ILF",J192="EIF"),IF(OR(Y192="估算法",Y192="算法类",Y192="无法识别"),"低",IF(N192&lt;2,IF(O192&lt;51,"低","中"),IF(N192&lt;6,IF(O192&lt;20,"低",IF(O192&lt;51,"中","高")),IF(O192&lt;20,"中","高")))),"不计算")))</f>
        <v/>
      </c>
      <c r="Q192" s="172">
        <f>IFERROR(IF(J192="EI",IF(P192="低",3,IF(P192="中",4,6)),IF(J192="EO",IF(P192="低",4,IF(P192="中",5,7)),IF(J192="EQ",IF(P192="低",3,IF(P192="中",4,6)),IF(J192="ILF",IF(P192="低",7,IF(P192="中",10,15)),IF(J192="EIF",IF(P192="低",5,IF(P192="中",7,10)),"不计算")))))*R192,"不计算")</f>
        <v/>
      </c>
      <c r="R192" s="172" t="n">
        <v>1</v>
      </c>
      <c r="S192" s="173">
        <f>调整因子!$F$13</f>
        <v/>
      </c>
      <c r="T192" s="93" t="n">
        <v>1</v>
      </c>
      <c r="U192" s="174">
        <f>IFERROR(Q192*S192,0)</f>
        <v/>
      </c>
      <c r="V192" s="174">
        <f>U192*T192</f>
        <v/>
      </c>
      <c r="W192" s="90" t="inlineStr">
        <is>
          <t>插件规范表、插件模板表</t>
        </is>
      </c>
      <c r="X192" s="91" t="n"/>
      <c r="Y192" s="90" t="inlineStr">
        <is>
          <t>插件规范表{规范ID、规范名称、规范版本、规范内容、创建时间}、插件模板表{模板ID、模板名称、模板内容、创建时间、状态}</t>
        </is>
      </c>
      <c r="Z192" s="90" t="n"/>
      <c r="AA192" s="90" t="n"/>
      <c r="AB192" s="103" t="inlineStr">
        <is>
          <t>审计日志表、漏洞处置推送接口配置表、提醒规则表、扫描策略模板表</t>
        </is>
      </c>
      <c r="AC192" s="66" t="n"/>
    </row>
    <row r="193" customFormat="1" s="66">
      <c r="A193" s="72" t="n"/>
      <c r="B193" s="175" t="n"/>
      <c r="C193" s="80" t="n">
        <v>2025</v>
      </c>
      <c r="D193" s="80" t="inlineStr">
        <is>
          <t>张明峰</t>
        </is>
      </c>
      <c r="E193" s="81" t="n"/>
      <c r="F193" s="175" t="n"/>
      <c r="G193" s="175" t="n"/>
      <c r="H193" s="175" t="n"/>
      <c r="I193" s="98" t="inlineStr">
        <is>
          <t>查询插件规范模板信息</t>
        </is>
      </c>
      <c r="J193" s="93" t="inlineStr">
        <is>
          <t>EQ</t>
        </is>
      </c>
      <c r="K193" s="99" t="inlineStr">
        <is>
          <t>新增</t>
        </is>
      </c>
      <c r="L193" s="84" t="n"/>
      <c r="M193" s="85" t="n"/>
      <c r="N193" s="85" t="n"/>
      <c r="O193" s="85" t="n"/>
      <c r="P193" s="86" t="n"/>
      <c r="Q193" s="172" t="n"/>
      <c r="R193" s="172" t="n"/>
      <c r="S193" s="173" t="n"/>
      <c r="T193" s="93" t="n"/>
      <c r="U193" s="174" t="n"/>
      <c r="V193" s="174" t="n"/>
      <c r="W193" s="90" t="n"/>
      <c r="X193" s="91" t="n"/>
      <c r="Y193" s="90" t="n"/>
      <c r="Z193" s="90" t="n"/>
      <c r="AA193" s="90" t="n"/>
      <c r="AB193" s="103" t="n"/>
      <c r="AC193" s="66" t="n"/>
    </row>
    <row r="194" customFormat="1" s="66">
      <c r="A194" s="72">
        <f>ROW()-1</f>
        <v/>
      </c>
      <c r="B194" s="175" t="n"/>
      <c r="C194" s="80" t="n">
        <v>2025</v>
      </c>
      <c r="D194" s="80" t="inlineStr">
        <is>
          <t>张明峰</t>
        </is>
      </c>
      <c r="E194" s="81">
        <f>VLOOKUP(I194,'25年交付功能（不含废弃）'!A:A,1,FALSE)</f>
        <v/>
      </c>
      <c r="F194" s="175" t="n"/>
      <c r="G194" s="175" t="n"/>
      <c r="H194" s="175" t="n"/>
      <c r="I194" s="98" t="inlineStr">
        <is>
          <t>查询插件规范模板详情</t>
        </is>
      </c>
      <c r="J194" s="93" t="inlineStr">
        <is>
          <t>EO</t>
        </is>
      </c>
      <c r="K194" s="100" t="inlineStr">
        <is>
          <t>修改名称：「查询规范模板日志审计」</t>
        </is>
      </c>
      <c r="L194" s="84" t="n"/>
      <c r="M194" s="85">
        <f>IF(OR(Y194="估算法",Y194="算法类",Y194="无法识别"),"",IF(W194="",IF(OR(J194="EI",J194="EO",J194="EQ"),0,""),LEN(W194)-LEN(SUBSTITUTE(W194,"、",""))+1))</f>
        <v/>
      </c>
      <c r="N194" s="85">
        <f>IF(OR(Y194="估算法",Y194="算法类",Y194="无法识别"),"",IF(X194="",IF(OR(J194="ILF",J194="EIF"),0,""),LEN(X194)-LEN(SUBSTITUTE(X194,"、",""))+1))</f>
        <v/>
      </c>
      <c r="O194" s="85">
        <f>IF(OR(Y194="估算法",Y194="算法类",Y194="无法识别"),"",IF(Y194="",IF(OR(J194="ILF",J194="EIF",J194="EI",J194="EO",J194="EQ"),0,""),LEN(Y194)-LEN(SUBSTITUTE(SUBSTITUTE(SUBSTITUTE(SUBSTITUTE(SUBSTITUTE(Y194,"|}","--"),"{|","--"),CHAR(10),""),"、",""),"|",""))+IF(AND(OR(J194="EI",J194="EO",J194="EQ"),$AE$1="NESMA"),2,1)))</f>
        <v/>
      </c>
      <c r="P194" s="86">
        <f>IF(J194="EI",IF(OR(Y194="估算法",Y194="算法类"),"中",IF(Y194="无法识别","低",IF(M194&lt;2,IF(O194&lt;16,"低","中"),IF(M194&lt;3,IF(O194&lt;5,"低",IF(O194&lt;16,"中","高")),IF(O194&lt;5,"中","高"))))),IF(OR(J194="EO",J194="EQ"),IF(OR(Y194="估算法",Y194="算法类"),"中",IF(Y194="无法识别","低",IF(M194&lt;2,IF(O194&lt;20,"低","中"),IF(M194&lt;4,IF(O194&lt;6,"低",IF(O194&lt;20,"中","高")),IF(O194&lt;6,"中","高"))))),IF(OR(J194="ILF",J194="EIF"),IF(OR(Y194="估算法",Y194="算法类",Y194="无法识别"),"低",IF(N194&lt;2,IF(O194&lt;51,"低","中"),IF(N194&lt;6,IF(O194&lt;20,"低",IF(O194&lt;51,"中","高")),IF(O194&lt;20,"中","高")))),"不计算")))</f>
        <v/>
      </c>
      <c r="Q194" s="172">
        <f>IFERROR(IF(J194="EI",IF(P194="低",3,IF(P194="中",4,6)),IF(J194="EO",IF(P194="低",4,IF(P194="中",5,7)),IF(J194="EQ",IF(P194="低",3,IF(P194="中",4,6)),IF(J194="ILF",IF(P194="低",7,IF(P194="中",10,15)),IF(J194="EIF",IF(P194="低",5,IF(P194="中",7,10)),"不计算")))))*R194,"不计算")</f>
        <v/>
      </c>
      <c r="R194" s="172" t="n">
        <v>1</v>
      </c>
      <c r="S194" s="173">
        <f>调整因子!$F$13</f>
        <v/>
      </c>
      <c r="T194" s="92" t="n">
        <v>1</v>
      </c>
      <c r="U194" s="174">
        <f>IFERROR(Q194*S194,0)</f>
        <v/>
      </c>
      <c r="V194" s="174">
        <f>U194*T194</f>
        <v/>
      </c>
      <c r="W194" s="90" t="inlineStr">
        <is>
          <t>插件审计表</t>
        </is>
      </c>
      <c r="X194" s="91" t="n"/>
      <c r="Y194" s="90" t="inlineStr">
        <is>
          <t>插件审计表{审计ID、插件ID、审计内容、审计时间}</t>
        </is>
      </c>
      <c r="Z194" s="90" t="n"/>
      <c r="AA194" s="90" t="n"/>
      <c r="AB194" s="103" t="inlineStr">
        <is>
          <t>接口参数配置表、任务日志表、提醒规则表、考核指标配置表、漏洞查询接口配置表</t>
        </is>
      </c>
      <c r="AC194" s="66" t="n"/>
    </row>
    <row r="195" customFormat="1" s="66">
      <c r="A195" s="72">
        <f>ROW()-1</f>
        <v/>
      </c>
      <c r="B195" s="175" t="n"/>
      <c r="C195" s="80" t="n">
        <v>2025</v>
      </c>
      <c r="D195" s="80" t="inlineStr">
        <is>
          <t>张明峰</t>
        </is>
      </c>
      <c r="E195" s="81">
        <f>VLOOKUP(I195,'25年交付功能（不含废弃）'!A:A,1,FALSE)</f>
        <v/>
      </c>
      <c r="F195" s="175" t="n"/>
      <c r="G195" s="175" t="n"/>
      <c r="H195" s="175" t="n"/>
      <c r="I195" s="98" t="inlineStr">
        <is>
          <t>插件模板表</t>
        </is>
      </c>
      <c r="J195" s="93" t="inlineStr">
        <is>
          <t>ILF</t>
        </is>
      </c>
      <c r="K195" s="84" t="n"/>
      <c r="L195" s="84" t="n"/>
      <c r="M195" s="85">
        <f>IF(OR(Y195="估算法",Y195="算法类",Y195="无法识别"),"",IF(W195="",IF(OR(J195="EI",J195="EO",J195="EQ"),0,""),LEN(W195)-LEN(SUBSTITUTE(W195,"、",""))+1))</f>
        <v/>
      </c>
      <c r="N195" s="85">
        <f>IF(OR(Y195="估算法",Y195="算法类",Y195="无法识别"),"",IF(X195="",IF(OR(J195="ILF",J195="EIF"),0,""),LEN(X195)-LEN(SUBSTITUTE(X195,"、",""))+1))</f>
        <v/>
      </c>
      <c r="O195" s="85">
        <f>IF(OR(Y195="估算法",Y195="算法类",Y195="无法识别"),"",IF(Y195="",IF(OR(J195="ILF",J195="EIF",J195="EI",J195="EO",J195="EQ"),0,""),LEN(Y195)-LEN(SUBSTITUTE(SUBSTITUTE(SUBSTITUTE(SUBSTITUTE(SUBSTITUTE(Y195,"|}","--"),"{|","--"),CHAR(10),""),"、",""),"|",""))+IF(AND(OR(J195="EI",J195="EO",J195="EQ"),$AE$1="NESMA"),2,1)))</f>
        <v/>
      </c>
      <c r="P195" s="86">
        <f>IF(J195="EI",IF(OR(Y195="估算法",Y195="算法类"),"中",IF(Y195="无法识别","低",IF(M195&lt;2,IF(O195&lt;16,"低","中"),IF(M195&lt;3,IF(O195&lt;5,"低",IF(O195&lt;16,"中","高")),IF(O195&lt;5,"中","高"))))),IF(OR(J195="EO",J195="EQ"),IF(OR(Y195="估算法",Y195="算法类"),"中",IF(Y195="无法识别","低",IF(M195&lt;2,IF(O195&lt;20,"低","中"),IF(M195&lt;4,IF(O195&lt;6,"低",IF(O195&lt;20,"中","高")),IF(O195&lt;6,"中","高"))))),IF(OR(J195="ILF",J195="EIF"),IF(OR(Y195="估算法",Y195="算法类",Y195="无法识别"),"低",IF(N195&lt;2,IF(O195&lt;51,"低","中"),IF(N195&lt;6,IF(O195&lt;20,"低",IF(O195&lt;51,"中","高")),IF(O195&lt;20,"中","高")))),"不计算")))</f>
        <v/>
      </c>
      <c r="Q195" s="172">
        <f>IFERROR(IF(J195="EI",IF(P195="低",3,IF(P195="中",4,6)),IF(J195="EO",IF(P195="低",4,IF(P195="中",5,7)),IF(J195="EQ",IF(P195="低",3,IF(P195="中",4,6)),IF(J195="ILF",IF(P195="低",7,IF(P195="中",10,15)),IF(J195="EIF",IF(P195="低",5,IF(P195="中",7,10)),"不计算")))))*R195,"不计算")</f>
        <v/>
      </c>
      <c r="R195" s="172" t="n">
        <v>1</v>
      </c>
      <c r="S195" s="173">
        <f>调整因子!$F$13</f>
        <v/>
      </c>
      <c r="T195" s="92" t="n">
        <v>1</v>
      </c>
      <c r="U195" s="174">
        <f>IFERROR(Q195*S195,0)</f>
        <v/>
      </c>
      <c r="V195" s="174">
        <f>U195*T195</f>
        <v/>
      </c>
      <c r="W195" s="91" t="n"/>
      <c r="X195" s="90" t="inlineStr">
        <is>
          <t>插件模板表</t>
        </is>
      </c>
      <c r="Y195" s="90" t="inlineStr">
        <is>
          <t>插件模板表{模板ID、模板名称、模板内容、创建时间、状态}</t>
        </is>
      </c>
      <c r="Z195" s="90">
        <f>IF(COUNTIFS(W:W,"*"&amp;I195&amp;"*")&gt;0,"存在","不存在")</f>
        <v/>
      </c>
      <c r="AA195" s="90">
        <f>IF(COUNTIFS(AB:AB,"*"&amp;I195&amp;"*")&gt;0,"存在","不存在")</f>
        <v/>
      </c>
      <c r="AB195" s="103" t="inlineStr">
        <is>
          <t>处置单配置表、验证任务表、验证记录表、报告模板表</t>
        </is>
      </c>
      <c r="AC195" s="66" t="n"/>
    </row>
    <row r="196" customFormat="1" s="66">
      <c r="A196" s="72">
        <f>ROW()-1</f>
        <v/>
      </c>
      <c r="B196" s="175" t="n"/>
      <c r="C196" s="80" t="n">
        <v>2025</v>
      </c>
      <c r="D196" s="80" t="inlineStr">
        <is>
          <t>张明峰</t>
        </is>
      </c>
      <c r="E196" s="81">
        <f>VLOOKUP(I196,'25年交付功能（不含废弃）'!A:A,1,FALSE)</f>
        <v/>
      </c>
      <c r="F196" s="175" t="n"/>
      <c r="G196" s="175" t="n"/>
      <c r="H196" s="175" t="n"/>
      <c r="I196" s="98" t="inlineStr">
        <is>
          <t>插件规范表</t>
        </is>
      </c>
      <c r="J196" s="93" t="inlineStr">
        <is>
          <t>ILF</t>
        </is>
      </c>
      <c r="K196" s="84" t="n"/>
      <c r="L196" s="84" t="n"/>
      <c r="M196" s="85">
        <f>IF(OR(Y196="估算法",Y196="算法类",Y196="无法识别"),"",IF(W196="",IF(OR(J196="EI",J196="EO",J196="EQ"),0,""),LEN(W196)-LEN(SUBSTITUTE(W196,"、",""))+1))</f>
        <v/>
      </c>
      <c r="N196" s="85">
        <f>IF(OR(Y196="估算法",Y196="算法类",Y196="无法识别"),"",IF(X196="",IF(OR(J196="ILF",J196="EIF"),0,""),LEN(X196)-LEN(SUBSTITUTE(X196,"、",""))+1))</f>
        <v/>
      </c>
      <c r="O196" s="85">
        <f>IF(OR(Y196="估算法",Y196="算法类",Y196="无法识别"),"",IF(Y196="",IF(OR(J196="ILF",J196="EIF",J196="EI",J196="EO",J196="EQ"),0,""),LEN(Y196)-LEN(SUBSTITUTE(SUBSTITUTE(SUBSTITUTE(SUBSTITUTE(SUBSTITUTE(Y196,"|}","--"),"{|","--"),CHAR(10),""),"、",""),"|",""))+IF(AND(OR(J196="EI",J196="EO",J196="EQ"),$AE$1="NESMA"),2,1)))</f>
        <v/>
      </c>
      <c r="P196" s="86">
        <f>IF(J196="EI",IF(OR(Y196="估算法",Y196="算法类"),"中",IF(Y196="无法识别","低",IF(M196&lt;2,IF(O196&lt;16,"低","中"),IF(M196&lt;3,IF(O196&lt;5,"低",IF(O196&lt;16,"中","高")),IF(O196&lt;5,"中","高"))))),IF(OR(J196="EO",J196="EQ"),IF(OR(Y196="估算法",Y196="算法类"),"中",IF(Y196="无法识别","低",IF(M196&lt;2,IF(O196&lt;20,"低","中"),IF(M196&lt;4,IF(O196&lt;6,"低",IF(O196&lt;20,"中","高")),IF(O196&lt;6,"中","高"))))),IF(OR(J196="ILF",J196="EIF"),IF(OR(Y196="估算法",Y196="算法类",Y196="无法识别"),"低",IF(N196&lt;2,IF(O196&lt;51,"低","中"),IF(N196&lt;6,IF(O196&lt;20,"低",IF(O196&lt;51,"中","高")),IF(O196&lt;20,"中","高")))),"不计算")))</f>
        <v/>
      </c>
      <c r="Q196" s="172">
        <f>IFERROR(IF(J196="EI",IF(P196="低",3,IF(P196="中",4,6)),IF(J196="EO",IF(P196="低",4,IF(P196="中",5,7)),IF(J196="EQ",IF(P196="低",3,IF(P196="中",4,6)),IF(J196="ILF",IF(P196="低",7,IF(P196="中",10,15)),IF(J196="EIF",IF(P196="低",5,IF(P196="中",7,10)),"不计算")))))*R196,"不计算")</f>
        <v/>
      </c>
      <c r="R196" s="172" t="n">
        <v>1</v>
      </c>
      <c r="S196" s="173">
        <f>调整因子!$F$13</f>
        <v/>
      </c>
      <c r="T196" s="93" t="n">
        <v>1</v>
      </c>
      <c r="U196" s="174">
        <f>IFERROR(Q196*S196,0)</f>
        <v/>
      </c>
      <c r="V196" s="174">
        <f>U196*T196</f>
        <v/>
      </c>
      <c r="W196" s="91" t="n"/>
      <c r="X196" s="90" t="inlineStr">
        <is>
          <t>插件规范表</t>
        </is>
      </c>
      <c r="Y196" s="90" t="inlineStr">
        <is>
          <t>插件规范表{规范ID、规范名称、规范版本、规范内容、创建时间}</t>
        </is>
      </c>
      <c r="Z196" s="90">
        <f>IF(COUNTIFS(W:W,"*"&amp;I196&amp;"*")&gt;0,"存在","不存在")</f>
        <v/>
      </c>
      <c r="AA196" s="90">
        <f>IF(COUNTIFS(AB:AB,"*"&amp;I196&amp;"*")&gt;0,"存在","不存在")</f>
        <v/>
      </c>
      <c r="AB196" s="103" t="inlineStr">
        <is>
          <t>分布分析表、接口参数表、报告导入记录表、扫描能力缺口表、处置单关联表</t>
        </is>
      </c>
      <c r="AC196" s="66" t="n"/>
    </row>
    <row r="197" customFormat="1" s="66">
      <c r="A197" s="72" t="n"/>
      <c r="B197" s="175" t="n"/>
      <c r="C197" s="80" t="n">
        <v>2025</v>
      </c>
      <c r="D197" s="80" t="inlineStr">
        <is>
          <t>张明峰</t>
        </is>
      </c>
      <c r="E197" s="81" t="n"/>
      <c r="F197" s="175" t="n"/>
      <c r="G197" s="175" t="n"/>
      <c r="H197" s="175" t="n"/>
      <c r="I197" s="98" t="inlineStr">
        <is>
          <t>插件参数表</t>
        </is>
      </c>
      <c r="J197" s="93" t="inlineStr">
        <is>
          <t>ILF</t>
        </is>
      </c>
      <c r="K197" s="99" t="inlineStr">
        <is>
          <t>新增</t>
        </is>
      </c>
      <c r="L197" s="84" t="n"/>
      <c r="M197" s="85" t="n"/>
      <c r="N197" s="85" t="n"/>
      <c r="O197" s="85" t="n"/>
      <c r="P197" s="86" t="n"/>
      <c r="Q197" s="172" t="n"/>
      <c r="R197" s="172" t="n"/>
      <c r="S197" s="173" t="n"/>
      <c r="T197" s="93" t="n"/>
      <c r="U197" s="174" t="n"/>
      <c r="V197" s="174" t="n"/>
      <c r="W197" s="91" t="n"/>
      <c r="X197" s="90" t="n"/>
      <c r="Y197" s="90" t="n"/>
      <c r="Z197" s="90" t="n"/>
      <c r="AA197" s="90" t="n"/>
      <c r="AB197" s="103" t="n"/>
      <c r="AC197" s="66" t="n"/>
    </row>
    <row r="198" customFormat="1" s="66">
      <c r="A198" s="72">
        <f>ROW()-1</f>
        <v/>
      </c>
      <c r="B198" s="175" t="n"/>
      <c r="C198" s="80" t="n">
        <v>2025</v>
      </c>
      <c r="D198" s="80" t="inlineStr">
        <is>
          <t>张明峰</t>
        </is>
      </c>
      <c r="E198" s="81">
        <f>VLOOKUP(I198,'25年交付功能（不含废弃）'!A:A,1,FALSE)</f>
        <v/>
      </c>
      <c r="F198" s="175" t="n"/>
      <c r="G198" s="175" t="n"/>
      <c r="H198" s="176" t="n"/>
      <c r="I198" s="98" t="inlineStr">
        <is>
          <t>插件审计表</t>
        </is>
      </c>
      <c r="J198" s="98" t="n"/>
      <c r="K198" s="101" t="inlineStr">
        <is>
          <t>删除</t>
        </is>
      </c>
      <c r="L198" s="102" t="inlineStr">
        <is>
          <t>非ILF</t>
        </is>
      </c>
      <c r="M198" s="85">
        <f>IF(OR(Y198="估算法",Y198="算法类",Y198="无法识别"),"",IF(W198="",IF(OR(J198="EI",J198="EO",J198="EQ"),0,""),LEN(W198)-LEN(SUBSTITUTE(W198,"、",""))+1))</f>
        <v/>
      </c>
      <c r="N198" s="85">
        <f>IF(OR(Y198="估算法",Y198="算法类",Y198="无法识别"),"",IF(X198="",IF(OR(J198="ILF",J198="EIF"),0,""),LEN(X198)-LEN(SUBSTITUTE(X198,"、",""))+1))</f>
        <v/>
      </c>
      <c r="O198" s="85">
        <f>IF(OR(Y198="估算法",Y198="算法类",Y198="无法识别"),"",IF(Y198="",IF(OR(J198="ILF",J198="EIF",J198="EI",J198="EO",J198="EQ"),0,""),LEN(Y198)-LEN(SUBSTITUTE(SUBSTITUTE(SUBSTITUTE(SUBSTITUTE(SUBSTITUTE(Y198,"|}","--"),"{|","--"),CHAR(10),""),"、",""),"|",""))+IF(AND(OR(J198="EI",J198="EO",J198="EQ"),$AE$1="NESMA"),2,1)))</f>
        <v/>
      </c>
      <c r="P198" s="86">
        <f>IF(J198="EI",IF(OR(Y198="估算法",Y198="算法类"),"中",IF(Y198="无法识别","低",IF(M198&lt;2,IF(O198&lt;16,"低","中"),IF(M198&lt;3,IF(O198&lt;5,"低",IF(O198&lt;16,"中","高")),IF(O198&lt;5,"中","高"))))),IF(OR(J198="EO",J198="EQ"),IF(OR(Y198="估算法",Y198="算法类"),"中",IF(Y198="无法识别","低",IF(M198&lt;2,IF(O198&lt;20,"低","中"),IF(M198&lt;4,IF(O198&lt;6,"低",IF(O198&lt;20,"中","高")),IF(O198&lt;6,"中","高"))))),IF(OR(J198="ILF",J198="EIF"),IF(OR(Y198="估算法",Y198="算法类",Y198="无法识别"),"低",IF(N198&lt;2,IF(O198&lt;51,"低","中"),IF(N198&lt;6,IF(O198&lt;20,"低",IF(O198&lt;51,"中","高")),IF(O198&lt;20,"中","高")))),"不计算")))</f>
        <v/>
      </c>
      <c r="Q198" s="172">
        <f>IFERROR(IF(J198="EI",IF(P198="低",3,IF(P198="中",4,6)),IF(J198="EO",IF(P198="低",4,IF(P198="中",5,7)),IF(J198="EQ",IF(P198="低",3,IF(P198="中",4,6)),IF(J198="ILF",IF(P198="低",7,IF(P198="中",10,15)),IF(J198="EIF",IF(P198="低",5,IF(P198="中",7,10)),"不计算")))))*R198,"不计算")</f>
        <v/>
      </c>
      <c r="R198" s="172" t="n">
        <v>1</v>
      </c>
      <c r="S198" s="173">
        <f>调整因子!$F$13</f>
        <v/>
      </c>
      <c r="T198" s="92" t="n">
        <v>1</v>
      </c>
      <c r="U198" s="174">
        <f>IFERROR(Q198*S198,0)</f>
        <v/>
      </c>
      <c r="V198" s="174">
        <f>U198*T198</f>
        <v/>
      </c>
      <c r="W198" s="91" t="n"/>
      <c r="X198" s="90" t="inlineStr">
        <is>
          <t>插件审计表</t>
        </is>
      </c>
      <c r="Y198" s="90" t="inlineStr">
        <is>
          <t>插件审计表{审计ID、插件ID、审计内容、审计时间}</t>
        </is>
      </c>
      <c r="Z198" s="90">
        <f>IF(COUNTIFS(W:W,"*"&amp;I198&amp;"*")&gt;0,"存在","不存在")</f>
        <v/>
      </c>
      <c r="AA198" s="90">
        <f>IF(COUNTIFS(AB:AB,"*"&amp;I198&amp;"*")&gt;0,"存在","不存在")</f>
        <v/>
      </c>
      <c r="AB198" s="103" t="inlineStr">
        <is>
          <t>漏洞统计数据表、通报配置表、任务优先级配置表、验证任务表</t>
        </is>
      </c>
      <c r="AC198" s="66" t="n"/>
    </row>
    <row r="199" customFormat="1" s="66">
      <c r="A199" s="72" t="n"/>
      <c r="B199" s="175" t="n"/>
      <c r="C199" s="80" t="n"/>
      <c r="D199" s="80" t="n"/>
      <c r="E199" s="81" t="n"/>
      <c r="F199" s="175" t="n"/>
      <c r="G199" s="175" t="n"/>
      <c r="H199" s="93" t="inlineStr">
        <is>
          <t>插件信息管理</t>
        </is>
      </c>
      <c r="I199" s="108" t="inlineStr">
        <is>
          <t>编辑插件分类</t>
        </is>
      </c>
      <c r="J199" s="98" t="inlineStr">
        <is>
          <t>EI</t>
        </is>
      </c>
      <c r="K199" s="99" t="inlineStr">
        <is>
          <t>新增</t>
        </is>
      </c>
      <c r="L199" s="102" t="n"/>
      <c r="M199" s="85" t="n"/>
      <c r="N199" s="85" t="n"/>
      <c r="O199" s="85" t="n"/>
      <c r="P199" s="86" t="n"/>
      <c r="Q199" s="172" t="n"/>
      <c r="R199" s="172" t="n"/>
      <c r="S199" s="173" t="n"/>
      <c r="T199" s="92" t="n"/>
      <c r="U199" s="174" t="n"/>
      <c r="V199" s="174" t="n"/>
      <c r="W199" s="91" t="n"/>
      <c r="X199" s="90" t="n"/>
      <c r="Y199" s="90" t="n"/>
      <c r="Z199" s="90" t="n"/>
      <c r="AA199" s="90" t="n"/>
      <c r="AB199" s="103" t="n"/>
      <c r="AC199" s="66" t="n"/>
    </row>
    <row r="200" customFormat="1" s="66">
      <c r="A200" s="72">
        <f>ROW()-1</f>
        <v/>
      </c>
      <c r="B200" s="175" t="n"/>
      <c r="C200" s="80" t="n">
        <v>2025</v>
      </c>
      <c r="D200" s="80" t="inlineStr">
        <is>
          <t>张明峰</t>
        </is>
      </c>
      <c r="E200" s="81">
        <f>VLOOKUP(I200,'25年交付功能（不含废弃）'!A:A,1,FALSE)</f>
        <v/>
      </c>
      <c r="F200" s="175" t="n"/>
      <c r="G200" s="175" t="n"/>
      <c r="H200" s="175" t="n"/>
      <c r="I200" s="108" t="inlineStr">
        <is>
          <t>新增原理检测插件</t>
        </is>
      </c>
      <c r="J200" s="93" t="inlineStr">
        <is>
          <t>EI</t>
        </is>
      </c>
      <c r="K200" s="100" t="inlineStr">
        <is>
          <t>修改名称：「新增保存原理检测插件」</t>
        </is>
      </c>
      <c r="L200" s="84" t="n"/>
      <c r="M200" s="85">
        <f>IF(OR(Y200="估算法",Y200="算法类",Y200="无法识别"),"",IF(W200="",IF(OR(J200="EI",J200="EO",J200="EQ"),0,""),LEN(W200)-LEN(SUBSTITUTE(W200,"、",""))+1))</f>
        <v/>
      </c>
      <c r="N200" s="85">
        <f>IF(OR(Y200="估算法",Y200="算法类",Y200="无法识别"),"",IF(X200="",IF(OR(J200="ILF",J200="EIF"),0,""),LEN(X200)-LEN(SUBSTITUTE(X200,"、",""))+1))</f>
        <v/>
      </c>
      <c r="O200" s="85">
        <f>IF(OR(Y200="估算法",Y200="算法类",Y200="无法识别"),"",IF(Y200="",IF(OR(J200="ILF",J200="EIF",J200="EI",J200="EO",J200="EQ"),0,""),LEN(Y200)-LEN(SUBSTITUTE(SUBSTITUTE(SUBSTITUTE(SUBSTITUTE(SUBSTITUTE(Y200,"|}","--"),"{|","--"),CHAR(10),""),"、",""),"|",""))+IF(AND(OR(J200="EI",J200="EO",J200="EQ"),$AE$1="NESMA"),2,1)))</f>
        <v/>
      </c>
      <c r="P200" s="86">
        <f>IF(J200="EI",IF(OR(Y200="估算法",Y200="算法类"),"中",IF(Y200="无法识别","低",IF(M200&lt;2,IF(O200&lt;16,"低","中"),IF(M200&lt;3,IF(O200&lt;5,"低",IF(O200&lt;16,"中","高")),IF(O200&lt;5,"中","高"))))),IF(OR(J200="EO",J200="EQ"),IF(OR(Y200="估算法",Y200="算法类"),"中",IF(Y200="无法识别","低",IF(M200&lt;2,IF(O200&lt;20,"低","中"),IF(M200&lt;4,IF(O200&lt;6,"低",IF(O200&lt;20,"中","高")),IF(O200&lt;6,"中","高"))))),IF(OR(J200="ILF",J200="EIF"),IF(OR(Y200="估算法",Y200="算法类",Y200="无法识别"),"低",IF(N200&lt;2,IF(O200&lt;51,"低","中"),IF(N200&lt;6,IF(O200&lt;20,"低",IF(O200&lt;51,"中","高")),IF(O200&lt;20,"中","高")))),"不计算")))</f>
        <v/>
      </c>
      <c r="Q200" s="172">
        <f>IFERROR(IF(J200="EI",IF(P200="低",3,IF(P200="中",4,6)),IF(J200="EO",IF(P200="低",4,IF(P200="中",5,7)),IF(J200="EQ",IF(P200="低",3,IF(P200="中",4,6)),IF(J200="ILF",IF(P200="低",7,IF(P200="中",10,15)),IF(J200="EIF",IF(P200="低",5,IF(P200="中",7,10)),"不计算")))))*R200,"不计算")</f>
        <v/>
      </c>
      <c r="R200" s="172" t="n">
        <v>1</v>
      </c>
      <c r="S200" s="173">
        <f>调整因子!$F$13</f>
        <v/>
      </c>
      <c r="T200" s="92" t="n">
        <v>1</v>
      </c>
      <c r="U200" s="174">
        <f>IFERROR(Q200*S200,0)</f>
        <v/>
      </c>
      <c r="V200" s="174">
        <f>U200*T200</f>
        <v/>
      </c>
      <c r="W200" s="90" t="inlineStr">
        <is>
          <t>插件基本信息表、插件语言类型表、插件自定义变量表、插件版本管理表、影响组件表、漏洞类型表</t>
        </is>
      </c>
      <c r="X200" s="91" t="n"/>
      <c r="Y200" s="90"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t>
        </is>
      </c>
      <c r="Z200" s="90" t="n"/>
      <c r="AA200" s="90" t="n"/>
      <c r="AB200" s="103" t="inlineStr">
        <is>
          <t>推送任务表、数据清洗任务表、脱敏规则表、通报模板表</t>
        </is>
      </c>
      <c r="AC200" s="66" t="n"/>
    </row>
    <row r="201" customFormat="1" s="66">
      <c r="A201" s="72">
        <f>ROW()-1</f>
        <v/>
      </c>
      <c r="B201" s="175" t="n"/>
      <c r="C201" s="80" t="n">
        <v>2025</v>
      </c>
      <c r="D201" s="80" t="inlineStr">
        <is>
          <t>张明峰</t>
        </is>
      </c>
      <c r="E201" s="81">
        <f>VLOOKUP(I201,'25年交付功能（不含废弃）'!A:A,1,FALSE)</f>
        <v/>
      </c>
      <c r="F201" s="175" t="n"/>
      <c r="G201" s="175" t="n"/>
      <c r="H201" s="175" t="n"/>
      <c r="I201" s="108" t="inlineStr">
        <is>
          <t>修改原理检测插件</t>
        </is>
      </c>
      <c r="J201" s="93" t="inlineStr">
        <is>
          <t>EI</t>
        </is>
      </c>
      <c r="K201" s="100" t="inlineStr">
        <is>
          <t>修改名称：「修改保存原理检测插件」</t>
        </is>
      </c>
      <c r="L201" s="84" t="n"/>
      <c r="M201" s="85">
        <f>IF(OR(Y201="估算法",Y201="算法类",Y201="无法识别"),"",IF(W201="",IF(OR(J201="EI",J201="EO",J201="EQ"),0,""),LEN(W201)-LEN(SUBSTITUTE(W201,"、",""))+1))</f>
        <v/>
      </c>
      <c r="N201" s="85">
        <f>IF(OR(Y201="估算法",Y201="算法类",Y201="无法识别"),"",IF(X201="",IF(OR(J201="ILF",J201="EIF"),0,""),LEN(X201)-LEN(SUBSTITUTE(X201,"、",""))+1))</f>
        <v/>
      </c>
      <c r="O201" s="85">
        <f>IF(OR(Y201="估算法",Y201="算法类",Y201="无法识别"),"",IF(Y201="",IF(OR(J201="ILF",J201="EIF",J201="EI",J201="EO",J201="EQ"),0,""),LEN(Y201)-LEN(SUBSTITUTE(SUBSTITUTE(SUBSTITUTE(SUBSTITUTE(SUBSTITUTE(Y201,"|}","--"),"{|","--"),CHAR(10),""),"、",""),"|",""))+IF(AND(OR(J201="EI",J201="EO",J201="EQ"),$AE$1="NESMA"),2,1)))</f>
        <v/>
      </c>
      <c r="P201" s="86">
        <f>IF(J201="EI",IF(OR(Y201="估算法",Y201="算法类"),"中",IF(Y201="无法识别","低",IF(M201&lt;2,IF(O201&lt;16,"低","中"),IF(M201&lt;3,IF(O201&lt;5,"低",IF(O201&lt;16,"中","高")),IF(O201&lt;5,"中","高"))))),IF(OR(J201="EO",J201="EQ"),IF(OR(Y201="估算法",Y201="算法类"),"中",IF(Y201="无法识别","低",IF(M201&lt;2,IF(O201&lt;20,"低","中"),IF(M201&lt;4,IF(O201&lt;6,"低",IF(O201&lt;20,"中","高")),IF(O201&lt;6,"中","高"))))),IF(OR(J201="ILF",J201="EIF"),IF(OR(Y201="估算法",Y201="算法类",Y201="无法识别"),"低",IF(N201&lt;2,IF(O201&lt;51,"低","中"),IF(N201&lt;6,IF(O201&lt;20,"低",IF(O201&lt;51,"中","高")),IF(O201&lt;20,"中","高")))),"不计算")))</f>
        <v/>
      </c>
      <c r="Q201" s="172">
        <f>IFERROR(IF(J201="EI",IF(P201="低",3,IF(P201="中",4,6)),IF(J201="EO",IF(P201="低",4,IF(P201="中",5,7)),IF(J201="EQ",IF(P201="低",3,IF(P201="中",4,6)),IF(J201="ILF",IF(P201="低",7,IF(P201="中",10,15)),IF(J201="EIF",IF(P201="低",5,IF(P201="中",7,10)),"不计算")))))*R201,"不计算")</f>
        <v/>
      </c>
      <c r="R201" s="172" t="n">
        <v>0.333333333333333</v>
      </c>
      <c r="S201" s="173">
        <f>调整因子!$F$13</f>
        <v/>
      </c>
      <c r="T201" s="93" t="n">
        <v>1</v>
      </c>
      <c r="U201" s="174">
        <f>IFERROR(Q201*S201,0)</f>
        <v/>
      </c>
      <c r="V201" s="174">
        <f>U201*T201</f>
        <v/>
      </c>
      <c r="W201" s="90" t="inlineStr">
        <is>
          <t>插件自定义变量表、插件基本信息表、插件语言类型表、插件版本管理表</t>
        </is>
      </c>
      <c r="X201" s="91" t="n"/>
      <c r="Y201" s="90" t="inlineStr">
        <is>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t>
        </is>
      </c>
      <c r="Z201" s="90" t="n"/>
      <c r="AA201" s="90" t="n"/>
      <c r="AB201" s="103" t="inlineStr">
        <is>
          <t>推送日志表、加密策略表、资产扫描覆盖表</t>
        </is>
      </c>
      <c r="AC201" s="66" t="n"/>
    </row>
    <row r="202" customFormat="1" s="66">
      <c r="A202" s="72">
        <f>ROW()-1</f>
        <v/>
      </c>
      <c r="B202" s="175" t="n"/>
      <c r="C202" s="80" t="n">
        <v>2025</v>
      </c>
      <c r="D202" s="80" t="inlineStr">
        <is>
          <t>张明峰</t>
        </is>
      </c>
      <c r="E202" s="81">
        <f>VLOOKUP(I202,'25年交付功能（不含废弃）'!A:A,1,FALSE)</f>
        <v/>
      </c>
      <c r="F202" s="175" t="n"/>
      <c r="G202" s="175" t="n"/>
      <c r="H202" s="175" t="n"/>
      <c r="I202" s="108" t="inlineStr">
        <is>
          <t>删除原理检测插件</t>
        </is>
      </c>
      <c r="J202" s="93" t="inlineStr">
        <is>
          <t>EI</t>
        </is>
      </c>
      <c r="K202" s="84" t="n"/>
      <c r="L202" s="84" t="n"/>
      <c r="M202" s="85">
        <f>IF(OR(Y202="估算法",Y202="算法类",Y202="无法识别"),"",IF(W202="",IF(OR(J202="EI",J202="EO",J202="EQ"),0,""),LEN(W202)-LEN(SUBSTITUTE(W202,"、",""))+1))</f>
        <v/>
      </c>
      <c r="N202" s="85">
        <f>IF(OR(Y202="估算法",Y202="算法类",Y202="无法识别"),"",IF(X202="",IF(OR(J202="ILF",J202="EIF"),0,""),LEN(X202)-LEN(SUBSTITUTE(X202,"、",""))+1))</f>
        <v/>
      </c>
      <c r="O202" s="85">
        <f>IF(OR(Y202="估算法",Y202="算法类",Y202="无法识别"),"",IF(Y202="",IF(OR(J202="ILF",J202="EIF",J202="EI",J202="EO",J202="EQ"),0,""),LEN(Y202)-LEN(SUBSTITUTE(SUBSTITUTE(SUBSTITUTE(SUBSTITUTE(SUBSTITUTE(Y202,"|}","--"),"{|","--"),CHAR(10),""),"、",""),"|",""))+IF(AND(OR(J202="EI",J202="EO",J202="EQ"),$AE$1="NESMA"),2,1)))</f>
        <v/>
      </c>
      <c r="P202" s="86">
        <f>IF(J202="EI",IF(OR(Y202="估算法",Y202="算法类"),"中",IF(Y202="无法识别","低",IF(M202&lt;2,IF(O202&lt;16,"低","中"),IF(M202&lt;3,IF(O202&lt;5,"低",IF(O202&lt;16,"中","高")),IF(O202&lt;5,"中","高"))))),IF(OR(J202="EO",J202="EQ"),IF(OR(Y202="估算法",Y202="算法类"),"中",IF(Y202="无法识别","低",IF(M202&lt;2,IF(O202&lt;20,"低","中"),IF(M202&lt;4,IF(O202&lt;6,"低",IF(O202&lt;20,"中","高")),IF(O202&lt;6,"中","高"))))),IF(OR(J202="ILF",J202="EIF"),IF(OR(Y202="估算法",Y202="算法类",Y202="无法识别"),"低",IF(N202&lt;2,IF(O202&lt;51,"低","中"),IF(N202&lt;6,IF(O202&lt;20,"低",IF(O202&lt;51,"中","高")),IF(O202&lt;20,"中","高")))),"不计算")))</f>
        <v/>
      </c>
      <c r="Q202" s="172">
        <f>IFERROR(IF(J202="EI",IF(P202="低",3,IF(P202="中",4,6)),IF(J202="EO",IF(P202="低",4,IF(P202="中",5,7)),IF(J202="EQ",IF(P202="低",3,IF(P202="中",4,6)),IF(J202="ILF",IF(P202="低",7,IF(P202="中",10,15)),IF(J202="EIF",IF(P202="低",5,IF(P202="中",7,10)),"不计算")))))*R202,"不计算")</f>
        <v/>
      </c>
      <c r="R202" s="172" t="n">
        <v>0.333333333333333</v>
      </c>
      <c r="S202" s="173">
        <f>调整因子!$F$13</f>
        <v/>
      </c>
      <c r="T202" s="92" t="n">
        <v>1</v>
      </c>
      <c r="U202" s="174">
        <f>IFERROR(Q202*S202,0)</f>
        <v/>
      </c>
      <c r="V202" s="174">
        <f>U202*T202</f>
        <v/>
      </c>
      <c r="W202" s="90" t="inlineStr">
        <is>
          <t>插件基本信息表、插件语言类型表、插件版本管理表</t>
        </is>
      </c>
      <c r="X202" s="91" t="n"/>
      <c r="Y202" s="90" t="inlineStr">
        <is>
          <t>插件基本信息表{插件ID、插件名称、编码、状态、描述、版本、创建时间|响应码、响应头、响应内容、消息}、插件语言类型表{语言类型ID、语言名称、编码、描述}、插件版本管理表{版本ID、插件ID、版本号、发布说明、发布时间}</t>
        </is>
      </c>
      <c r="Z202" s="90" t="n"/>
      <c r="AA202" s="90" t="n"/>
      <c r="AB202" s="103" t="inlineStr">
        <is>
          <t>加密规则表、漏洞处置单表、同步任务调度表、分类层级关系表、通报对象表</t>
        </is>
      </c>
      <c r="AC202" s="66" t="n"/>
    </row>
    <row r="203" customFormat="1" s="66">
      <c r="A203" s="72">
        <f>ROW()-1</f>
        <v/>
      </c>
      <c r="B203" s="175" t="n"/>
      <c r="C203" s="80" t="n">
        <v>2025</v>
      </c>
      <c r="D203" s="80" t="inlineStr">
        <is>
          <t>张明峰</t>
        </is>
      </c>
      <c r="E203" s="81">
        <f>VLOOKUP(I203,'25年交付功能（不含废弃）'!A:A,1,FALSE)</f>
        <v/>
      </c>
      <c r="F203" s="175" t="n"/>
      <c r="G203" s="175" t="n"/>
      <c r="H203" s="175" t="n"/>
      <c r="I203" s="108" t="inlineStr">
        <is>
          <t>导入原理检测插件</t>
        </is>
      </c>
      <c r="J203" s="93" t="inlineStr">
        <is>
          <t>EI</t>
        </is>
      </c>
      <c r="K203" s="84" t="n"/>
      <c r="L203" s="84" t="n"/>
      <c r="M203" s="85">
        <f>IF(OR(Y203="估算法",Y203="算法类",Y203="无法识别"),"",IF(W203="",IF(OR(J203="EI",J203="EO",J203="EQ"),0,""),LEN(W203)-LEN(SUBSTITUTE(W203,"、",""))+1))</f>
        <v/>
      </c>
      <c r="N203" s="85">
        <f>IF(OR(Y203="估算法",Y203="算法类",Y203="无法识别"),"",IF(X203="",IF(OR(J203="ILF",J203="EIF"),0,""),LEN(X203)-LEN(SUBSTITUTE(X203,"、",""))+1))</f>
        <v/>
      </c>
      <c r="O203" s="85">
        <f>IF(OR(Y203="估算法",Y203="算法类",Y203="无法识别"),"",IF(Y203="",IF(OR(J203="ILF",J203="EIF",J203="EI",J203="EO",J203="EQ"),0,""),LEN(Y203)-LEN(SUBSTITUTE(SUBSTITUTE(SUBSTITUTE(SUBSTITUTE(SUBSTITUTE(Y203,"|}","--"),"{|","--"),CHAR(10),""),"、",""),"|",""))+IF(AND(OR(J203="EI",J203="EO",J203="EQ"),$AE$1="NESMA"),2,1)))</f>
        <v/>
      </c>
      <c r="P203" s="86">
        <f>IF(J203="EI",IF(OR(Y203="估算法",Y203="算法类"),"中",IF(Y203="无法识别","低",IF(M203&lt;2,IF(O203&lt;16,"低","中"),IF(M203&lt;3,IF(O203&lt;5,"低",IF(O203&lt;16,"中","高")),IF(O203&lt;5,"中","高"))))),IF(OR(J203="EO",J203="EQ"),IF(OR(Y203="估算法",Y203="算法类"),"中",IF(Y203="无法识别","低",IF(M203&lt;2,IF(O203&lt;20,"低","中"),IF(M203&lt;4,IF(O203&lt;6,"低",IF(O203&lt;20,"中","高")),IF(O203&lt;6,"中","高"))))),IF(OR(J203="ILF",J203="EIF"),IF(OR(Y203="估算法",Y203="算法类",Y203="无法识别"),"低",IF(N203&lt;2,IF(O203&lt;51,"低","中"),IF(N203&lt;6,IF(O203&lt;20,"低",IF(O203&lt;51,"中","高")),IF(O203&lt;20,"中","高")))),"不计算")))</f>
        <v/>
      </c>
      <c r="Q203" s="172">
        <f>IFERROR(IF(J203="EI",IF(P203="低",3,IF(P203="中",4,6)),IF(J203="EO",IF(P203="低",4,IF(P203="中",5,7)),IF(J203="EQ",IF(P203="低",3,IF(P203="中",4,6)),IF(J203="ILF",IF(P203="低",7,IF(P203="中",10,15)),IF(J203="EIF",IF(P203="低",5,IF(P203="中",7,10)),"不计算")))))*R203,"不计算")</f>
        <v/>
      </c>
      <c r="R203" s="172" t="n">
        <v>1</v>
      </c>
      <c r="S203" s="173">
        <f>调整因子!$F$13</f>
        <v/>
      </c>
      <c r="T203" s="92" t="n">
        <v>1</v>
      </c>
      <c r="U203" s="174">
        <f>IFERROR(Q203*S203,0)</f>
        <v/>
      </c>
      <c r="V203" s="174">
        <f>U203*T203</f>
        <v/>
      </c>
      <c r="W203" s="90" t="inlineStr">
        <is>
          <t>插件基本信息表、插件语言类型表、插件自定义变量表</t>
        </is>
      </c>
      <c r="X203" s="91" t="n"/>
      <c r="Y203" s="90" t="inlineStr">
        <is>
          <t>插件基本信息表{插件ID、插件名称、编码、状态、描述、版本、创建时间|响应码、响应头、响应内容、消息}、插件语言类型表{语言类型ID、语言名称、编码、描述}、插件自定义变量表{变量ID、变量名称、值、插件ID}</t>
        </is>
      </c>
      <c r="Z203" s="90" t="n"/>
      <c r="AA203" s="90" t="n"/>
      <c r="AB203" s="103" t="inlineStr">
        <is>
          <t>复测任务表、推送结果表、报表模板表</t>
        </is>
      </c>
      <c r="AC203" s="66" t="n"/>
    </row>
    <row r="204" customFormat="1" s="66">
      <c r="A204" s="72">
        <f>ROW()-1</f>
        <v/>
      </c>
      <c r="B204" s="175" t="n"/>
      <c r="C204" s="80" t="n">
        <v>2025</v>
      </c>
      <c r="D204" s="80" t="inlineStr">
        <is>
          <t>张明峰</t>
        </is>
      </c>
      <c r="E204" s="81">
        <f>VLOOKUP(I204,'25年交付功能（不含废弃）'!A:A,1,FALSE)</f>
        <v/>
      </c>
      <c r="F204" s="175" t="n"/>
      <c r="G204" s="175" t="n"/>
      <c r="H204" s="175" t="n"/>
      <c r="I204" s="108" t="inlineStr">
        <is>
          <t>导出原理检测插件</t>
        </is>
      </c>
      <c r="J204" s="93" t="inlineStr">
        <is>
          <t>EO</t>
        </is>
      </c>
      <c r="K204" s="84" t="n"/>
      <c r="L204" s="84" t="n"/>
      <c r="M204" s="85">
        <f>IF(OR(Y204="估算法",Y204="算法类",Y204="无法识别"),"",IF(W204="",IF(OR(J204="EI",J204="EO",J204="EQ"),0,""),LEN(W204)-LEN(SUBSTITUTE(W204,"、",""))+1))</f>
        <v/>
      </c>
      <c r="N204" s="85">
        <f>IF(OR(Y204="估算法",Y204="算法类",Y204="无法识别"),"",IF(X204="",IF(OR(J204="ILF",J204="EIF"),0,""),LEN(X204)-LEN(SUBSTITUTE(X204,"、",""))+1))</f>
        <v/>
      </c>
      <c r="O204" s="85">
        <f>IF(OR(Y204="估算法",Y204="算法类",Y204="无法识别"),"",IF(Y204="",IF(OR(J204="ILF",J204="EIF",J204="EI",J204="EO",J204="EQ"),0,""),LEN(Y204)-LEN(SUBSTITUTE(SUBSTITUTE(SUBSTITUTE(SUBSTITUTE(SUBSTITUTE(Y204,"|}","--"),"{|","--"),CHAR(10),""),"、",""),"|",""))+IF(AND(OR(J204="EI",J204="EO",J204="EQ"),$AE$1="NESMA"),2,1)))</f>
        <v/>
      </c>
      <c r="P204" s="86">
        <f>IF(J204="EI",IF(OR(Y204="估算法",Y204="算法类"),"中",IF(Y204="无法识别","低",IF(M204&lt;2,IF(O204&lt;16,"低","中"),IF(M204&lt;3,IF(O204&lt;5,"低",IF(O204&lt;16,"中","高")),IF(O204&lt;5,"中","高"))))),IF(OR(J204="EO",J204="EQ"),IF(OR(Y204="估算法",Y204="算法类"),"中",IF(Y204="无法识别","低",IF(M204&lt;2,IF(O204&lt;20,"低","中"),IF(M204&lt;4,IF(O204&lt;6,"低",IF(O204&lt;20,"中","高")),IF(O204&lt;6,"中","高"))))),IF(OR(J204="ILF",J204="EIF"),IF(OR(Y204="估算法",Y204="算法类",Y204="无法识别"),"低",IF(N204&lt;2,IF(O204&lt;51,"低","中"),IF(N204&lt;6,IF(O204&lt;20,"低",IF(O204&lt;51,"中","高")),IF(O204&lt;20,"中","高")))),"不计算")))</f>
        <v/>
      </c>
      <c r="Q204" s="172">
        <f>IFERROR(IF(J204="EI",IF(P204="低",3,IF(P204="中",4,6)),IF(J204="EO",IF(P204="低",4,IF(P204="中",5,7)),IF(J204="EQ",IF(P204="低",3,IF(P204="中",4,6)),IF(J204="ILF",IF(P204="低",7,IF(P204="中",10,15)),IF(J204="EIF",IF(P204="低",5,IF(P204="中",7,10)),"不计算")))))*R204,"不计算")</f>
        <v/>
      </c>
      <c r="R204" s="172" t="n">
        <v>1</v>
      </c>
      <c r="S204" s="173">
        <f>调整因子!$F$13</f>
        <v/>
      </c>
      <c r="T204" s="93" t="n">
        <v>1</v>
      </c>
      <c r="U204" s="174">
        <f>IFERROR(Q204*S204,0)</f>
        <v/>
      </c>
      <c r="V204" s="174">
        <f>U204*T204</f>
        <v/>
      </c>
      <c r="W204" s="90" t="inlineStr">
        <is>
          <t>插件基本信息表</t>
        </is>
      </c>
      <c r="X204" s="91" t="n"/>
      <c r="Y204" s="90" t="inlineStr">
        <is>
          <t>插件基本信息表{插件ID、插件名称、编码、状态、描述、版本、创建时间|文件}</t>
        </is>
      </c>
      <c r="Z204" s="90" t="n"/>
      <c r="AA204" s="90" t="n"/>
      <c r="AB204" s="103" t="inlineStr">
        <is>
          <t>资产同步任务表、资产扫描覆盖表、资产查询接口配置表、扫描能力缺口表、任务日志表</t>
        </is>
      </c>
      <c r="AC204" s="66" t="n"/>
    </row>
    <row r="205" customFormat="1" s="66">
      <c r="A205" s="72">
        <f>ROW()-1</f>
        <v/>
      </c>
      <c r="B205" s="175" t="n"/>
      <c r="C205" s="80" t="n">
        <v>2025</v>
      </c>
      <c r="D205" s="80" t="inlineStr">
        <is>
          <t>张明峰</t>
        </is>
      </c>
      <c r="E205" s="81">
        <f>VLOOKUP(I205,'25年交付功能（不含废弃）'!A:A,1,FALSE)</f>
        <v/>
      </c>
      <c r="F205" s="175" t="n"/>
      <c r="G205" s="175" t="n"/>
      <c r="H205" s="175" t="n"/>
      <c r="I205" s="108" t="inlineStr">
        <is>
          <t>查询原理检测插件记录</t>
        </is>
      </c>
      <c r="J205" s="93" t="inlineStr">
        <is>
          <t>EQ</t>
        </is>
      </c>
      <c r="K205" s="100" t="inlineStr">
        <is>
          <t>修改名称：「查询原理检测插件类型」</t>
        </is>
      </c>
      <c r="L205" s="84" t="n"/>
      <c r="M205" s="85">
        <f>IF(OR(Y205="估算法",Y205="算法类",Y205="无法识别"),"",IF(W205="",IF(OR(J205="EI",J205="EO",J205="EQ"),0,""),LEN(W205)-LEN(SUBSTITUTE(W205,"、",""))+1))</f>
        <v/>
      </c>
      <c r="N205" s="85">
        <f>IF(OR(Y205="估算法",Y205="算法类",Y205="无法识别"),"",IF(X205="",IF(OR(J205="ILF",J205="EIF"),0,""),LEN(X205)-LEN(SUBSTITUTE(X205,"、",""))+1))</f>
        <v/>
      </c>
      <c r="O205" s="85">
        <f>IF(OR(Y205="估算法",Y205="算法类",Y205="无法识别"),"",IF(Y205="",IF(OR(J205="ILF",J205="EIF",J205="EI",J205="EO",J205="EQ"),0,""),LEN(Y205)-LEN(SUBSTITUTE(SUBSTITUTE(SUBSTITUTE(SUBSTITUTE(SUBSTITUTE(Y205,"|}","--"),"{|","--"),CHAR(10),""),"、",""),"|",""))+IF(AND(OR(J205="EI",J205="EO",J205="EQ"),$AE$1="NESMA"),2,1)))</f>
        <v/>
      </c>
      <c r="P205" s="86">
        <f>IF(J205="EI",IF(OR(Y205="估算法",Y205="算法类"),"中",IF(Y205="无法识别","低",IF(M205&lt;2,IF(O205&lt;16,"低","中"),IF(M205&lt;3,IF(O205&lt;5,"低",IF(O205&lt;16,"中","高")),IF(O205&lt;5,"中","高"))))),IF(OR(J205="EO",J205="EQ"),IF(OR(Y205="估算法",Y205="算法类"),"中",IF(Y205="无法识别","低",IF(M205&lt;2,IF(O205&lt;20,"低","中"),IF(M205&lt;4,IF(O205&lt;6,"低",IF(O205&lt;20,"中","高")),IF(O205&lt;6,"中","高"))))),IF(OR(J205="ILF",J205="EIF"),IF(OR(Y205="估算法",Y205="算法类",Y205="无法识别"),"低",IF(N205&lt;2,IF(O205&lt;51,"低","中"),IF(N205&lt;6,IF(O205&lt;20,"低",IF(O205&lt;51,"中","高")),IF(O205&lt;20,"中","高")))),"不计算")))</f>
        <v/>
      </c>
      <c r="Q205" s="172">
        <f>IFERROR(IF(J205="EI",IF(P205="低",3,IF(P205="中",4,6)),IF(J205="EO",IF(P205="低",4,IF(P205="中",5,7)),IF(J205="EQ",IF(P205="低",3,IF(P205="中",4,6)),IF(J205="ILF",IF(P205="低",7,IF(P205="中",10,15)),IF(J205="EIF",IF(P205="低",5,IF(P205="中",7,10)),"不计算")))))*R205,"不计算")</f>
        <v/>
      </c>
      <c r="R205" s="172" t="n">
        <v>1</v>
      </c>
      <c r="S205" s="173">
        <f>调整因子!$F$13</f>
        <v/>
      </c>
      <c r="T205" s="92" t="n">
        <v>1</v>
      </c>
      <c r="U205" s="174">
        <f>IFERROR(Q205*S205,0)</f>
        <v/>
      </c>
      <c r="V205" s="174">
        <f>U205*T205</f>
        <v/>
      </c>
      <c r="W205" s="90" t="inlineStr">
        <is>
          <t>插件分类表</t>
        </is>
      </c>
      <c r="X205" s="91" t="n"/>
      <c r="Y205" s="90" t="inlineStr">
        <is>
          <t>插件分类表{分类ID、分类名称、编码、描述}</t>
        </is>
      </c>
      <c r="Z205" s="90" t="n"/>
      <c r="AA205" s="90" t="n"/>
      <c r="AB205" s="103" t="inlineStr">
        <is>
          <t>资产同步任务表、资产扫描覆盖表、资产查询接口配置表、故障诊断结果表、报告导入记录表</t>
        </is>
      </c>
      <c r="AC205" s="66" t="n"/>
    </row>
    <row r="206" customFormat="1" s="66">
      <c r="A206" s="72">
        <f>ROW()-1</f>
        <v/>
      </c>
      <c r="B206" s="175" t="n"/>
      <c r="C206" s="80" t="n">
        <v>2025</v>
      </c>
      <c r="D206" s="80" t="inlineStr">
        <is>
          <t>张明峰</t>
        </is>
      </c>
      <c r="E206" s="81">
        <f>VLOOKUP(I206,'25年交付功能（不含废弃）'!A:A,1,FALSE)</f>
        <v/>
      </c>
      <c r="F206" s="175" t="n"/>
      <c r="G206" s="175" t="n"/>
      <c r="H206" s="175" t="n"/>
      <c r="I206" s="108" t="inlineStr">
        <is>
          <t>查询原理检测插件列表</t>
        </is>
      </c>
      <c r="J206" s="93" t="inlineStr">
        <is>
          <t>EQ</t>
        </is>
      </c>
      <c r="K206" s="84" t="n"/>
      <c r="L206" s="84" t="n"/>
      <c r="M206" s="85">
        <f>IF(OR(Y206="估算法",Y206="算法类",Y206="无法识别"),"",IF(W206="",IF(OR(J206="EI",J206="EO",J206="EQ"),0,""),LEN(W206)-LEN(SUBSTITUTE(W206,"、",""))+1))</f>
        <v/>
      </c>
      <c r="N206" s="85">
        <f>IF(OR(Y206="估算法",Y206="算法类",Y206="无法识别"),"",IF(X206="",IF(OR(J206="ILF",J206="EIF"),0,""),LEN(X206)-LEN(SUBSTITUTE(X206,"、",""))+1))</f>
        <v/>
      </c>
      <c r="O206" s="85">
        <f>IF(OR(Y206="估算法",Y206="算法类",Y206="无法识别"),"",IF(Y206="",IF(OR(J206="ILF",J206="EIF",J206="EI",J206="EO",J206="EQ"),0,""),LEN(Y206)-LEN(SUBSTITUTE(SUBSTITUTE(SUBSTITUTE(SUBSTITUTE(SUBSTITUTE(Y206,"|}","--"),"{|","--"),CHAR(10),""),"、",""),"|",""))+IF(AND(OR(J206="EI",J206="EO",J206="EQ"),$AE$1="NESMA"),2,1)))</f>
        <v/>
      </c>
      <c r="P206" s="86">
        <f>IF(J206="EI",IF(OR(Y206="估算法",Y206="算法类"),"中",IF(Y206="无法识别","低",IF(M206&lt;2,IF(O206&lt;16,"低","中"),IF(M206&lt;3,IF(O206&lt;5,"低",IF(O206&lt;16,"中","高")),IF(O206&lt;5,"中","高"))))),IF(OR(J206="EO",J206="EQ"),IF(OR(Y206="估算法",Y206="算法类"),"中",IF(Y206="无法识别","低",IF(M206&lt;2,IF(O206&lt;20,"低","中"),IF(M206&lt;4,IF(O206&lt;6,"低",IF(O206&lt;20,"中","高")),IF(O206&lt;6,"中","高"))))),IF(OR(J206="ILF",J206="EIF"),IF(OR(Y206="估算法",Y206="算法类",Y206="无法识别"),"低",IF(N206&lt;2,IF(O206&lt;51,"低","中"),IF(N206&lt;6,IF(O206&lt;20,"低",IF(O206&lt;51,"中","高")),IF(O206&lt;20,"中","高")))),"不计算")))</f>
        <v/>
      </c>
      <c r="Q206" s="172">
        <f>IFERROR(IF(J206="EI",IF(P206="低",3,IF(P206="中",4,6)),IF(J206="EO",IF(P206="低",4,IF(P206="中",5,7)),IF(J206="EQ",IF(P206="低",3,IF(P206="中",4,6)),IF(J206="ILF",IF(P206="低",7,IF(P206="中",10,15)),IF(J206="EIF",IF(P206="低",5,IF(P206="中",7,10)),"不计算")))))*R206,"不计算")</f>
        <v/>
      </c>
      <c r="R206" s="172" t="n">
        <v>0.333333333333333</v>
      </c>
      <c r="S206" s="173">
        <f>调整因子!$F$13</f>
        <v/>
      </c>
      <c r="T206" s="92" t="n">
        <v>1</v>
      </c>
      <c r="U206" s="174">
        <f>IFERROR(Q206*S206,0)</f>
        <v/>
      </c>
      <c r="V206" s="174">
        <f>U206*T206</f>
        <v/>
      </c>
      <c r="W206" s="90" t="inlineStr">
        <is>
          <t>插件基本信息表</t>
        </is>
      </c>
      <c r="X206" s="91" t="n"/>
      <c r="Y206" s="90" t="inlineStr">
        <is>
          <t>插件基本信息表{插件ID、插件名称、编码、状态、描述、版本、创建时间|插件名称、编码、状态、描述、版本、创建时间}</t>
        </is>
      </c>
      <c r="Z206" s="90" t="n"/>
      <c r="AA206" s="90" t="n"/>
      <c r="AB206" s="103" t="inlineStr">
        <is>
          <t>资产同步任务表、资产扫描覆盖表、资产查询接口配置表</t>
        </is>
      </c>
      <c r="AC206" s="66" t="n"/>
    </row>
    <row r="207" customFormat="1" s="66">
      <c r="A207" s="72">
        <f>ROW()-1</f>
        <v/>
      </c>
      <c r="B207" s="175" t="n"/>
      <c r="C207" s="80" t="n">
        <v>2025</v>
      </c>
      <c r="D207" s="80" t="inlineStr">
        <is>
          <t>张明峰</t>
        </is>
      </c>
      <c r="E207" s="81">
        <f>VLOOKUP(I207,'25年交付功能（不含废弃）'!A:A,1,FALSE)</f>
        <v/>
      </c>
      <c r="F207" s="175" t="n"/>
      <c r="G207" s="175" t="n"/>
      <c r="H207" s="175" t="n"/>
      <c r="I207" s="108" t="inlineStr">
        <is>
          <t>查询原理检测插件摘要</t>
        </is>
      </c>
      <c r="J207" s="93" t="inlineStr">
        <is>
          <t>EO</t>
        </is>
      </c>
      <c r="K207" s="100" t="inlineStr">
        <is>
          <t>修改类型「EQ -&gt; EO」</t>
        </is>
      </c>
      <c r="L207" s="84" t="n"/>
      <c r="M207" s="85">
        <f>IF(OR(Y207="估算法",Y207="算法类",Y207="无法识别"),"",IF(W207="",IF(OR(J207="EI",J207="EO",J207="EQ"),0,""),LEN(W207)-LEN(SUBSTITUTE(W207,"、",""))+1))</f>
        <v/>
      </c>
      <c r="N207" s="85">
        <f>IF(OR(Y207="估算法",Y207="算法类",Y207="无法识别"),"",IF(X207="",IF(OR(J207="ILF",J207="EIF"),0,""),LEN(X207)-LEN(SUBSTITUTE(X207,"、",""))+1))</f>
        <v/>
      </c>
      <c r="O207" s="85">
        <f>IF(OR(Y207="估算法",Y207="算法类",Y207="无法识别"),"",IF(Y207="",IF(OR(J207="ILF",J207="EIF",J207="EI",J207="EO",J207="EQ"),0,""),LEN(Y207)-LEN(SUBSTITUTE(SUBSTITUTE(SUBSTITUTE(SUBSTITUTE(SUBSTITUTE(Y207,"|}","--"),"{|","--"),CHAR(10),""),"、",""),"|",""))+IF(AND(OR(J207="EI",J207="EO",J207="EQ"),$AE$1="NESMA"),2,1)))</f>
        <v/>
      </c>
      <c r="P207" s="86">
        <f>IF(J207="EI",IF(OR(Y207="估算法",Y207="算法类"),"中",IF(Y207="无法识别","低",IF(M207&lt;2,IF(O207&lt;16,"低","中"),IF(M207&lt;3,IF(O207&lt;5,"低",IF(O207&lt;16,"中","高")),IF(O207&lt;5,"中","高"))))),IF(OR(J207="EO",J207="EQ"),IF(OR(Y207="估算法",Y207="算法类"),"中",IF(Y207="无法识别","低",IF(M207&lt;2,IF(O207&lt;20,"低","中"),IF(M207&lt;4,IF(O207&lt;6,"低",IF(O207&lt;20,"中","高")),IF(O207&lt;6,"中","高"))))),IF(OR(J207="ILF",J207="EIF"),IF(OR(Y207="估算法",Y207="算法类",Y207="无法识别"),"低",IF(N207&lt;2,IF(O207&lt;51,"低","中"),IF(N207&lt;6,IF(O207&lt;20,"低",IF(O207&lt;51,"中","高")),IF(O207&lt;20,"中","高")))),"不计算")))</f>
        <v/>
      </c>
      <c r="Q207" s="172">
        <f>IFERROR(IF(J207="EI",IF(P207="低",3,IF(P207="中",4,6)),IF(J207="EO",IF(P207="低",4,IF(P207="中",5,7)),IF(J207="EQ",IF(P207="低",3,IF(P207="中",4,6)),IF(J207="ILF",IF(P207="低",7,IF(P207="中",10,15)),IF(J207="EIF",IF(P207="低",5,IF(P207="中",7,10)),"不计算")))))*R207,"不计算")</f>
        <v/>
      </c>
      <c r="R207" s="172" t="n">
        <v>0.333333333333333</v>
      </c>
      <c r="S207" s="173">
        <f>调整因子!$F$13</f>
        <v/>
      </c>
      <c r="T207" s="93" t="n">
        <v>1</v>
      </c>
      <c r="U207" s="174">
        <f>IFERROR(Q207*S207,0)</f>
        <v/>
      </c>
      <c r="V207" s="174">
        <f>U207*T207</f>
        <v/>
      </c>
      <c r="W207" s="90" t="inlineStr">
        <is>
          <t>插件基本信息表</t>
        </is>
      </c>
      <c r="X207" s="91" t="n"/>
      <c r="Y207" s="90" t="inlineStr">
        <is>
          <t>插件基本信息表{插件ID|插件名称、编码、状态、描述、版本、创建时间间}</t>
        </is>
      </c>
      <c r="Z207" s="90" t="n"/>
      <c r="AA207" s="90" t="n"/>
      <c r="AB207" s="103" t="inlineStr">
        <is>
          <t>资产同步任务表、资产扫描覆盖表、资产查询接口配置表、资产查询接口配置表、任务优先级配置表</t>
        </is>
      </c>
      <c r="AC207" s="66" t="n"/>
    </row>
    <row r="208" customFormat="1" s="66">
      <c r="A208" s="72">
        <f>ROW()-1</f>
        <v/>
      </c>
      <c r="B208" s="175" t="n"/>
      <c r="C208" s="80" t="n">
        <v>2025</v>
      </c>
      <c r="D208" s="80" t="inlineStr">
        <is>
          <t>张明峰</t>
        </is>
      </c>
      <c r="E208" s="81">
        <f>VLOOKUP(I208,'25年交付功能（不含废弃）'!A:A,1,FALSE)</f>
        <v/>
      </c>
      <c r="F208" s="175" t="n"/>
      <c r="G208" s="175" t="n"/>
      <c r="H208" s="175" t="n"/>
      <c r="I208" s="108" t="inlineStr">
        <is>
          <t>插件语言类型表</t>
        </is>
      </c>
      <c r="J208" s="93" t="inlineStr">
        <is>
          <t>ILF</t>
        </is>
      </c>
      <c r="K208" s="84" t="n"/>
      <c r="L208" s="84" t="n"/>
      <c r="M208" s="85">
        <f>IF(OR(Y208="估算法",Y208="算法类",Y208="无法识别"),"",IF(W208="",IF(OR(J208="EI",J208="EO",J208="EQ"),0,""),LEN(W208)-LEN(SUBSTITUTE(W208,"、",""))+1))</f>
        <v/>
      </c>
      <c r="N208" s="85">
        <f>IF(OR(Y208="估算法",Y208="算法类",Y208="无法识别"),"",IF(X208="",IF(OR(J208="ILF",J208="EIF"),0,""),LEN(X208)-LEN(SUBSTITUTE(X208,"、",""))+1))</f>
        <v/>
      </c>
      <c r="O208" s="85">
        <f>IF(OR(Y208="估算法",Y208="算法类",Y208="无法识别"),"",IF(Y208="",IF(OR(J208="ILF",J208="EIF",J208="EI",J208="EO",J208="EQ"),0,""),LEN(Y208)-LEN(SUBSTITUTE(SUBSTITUTE(SUBSTITUTE(SUBSTITUTE(SUBSTITUTE(Y208,"|}","--"),"{|","--"),CHAR(10),""),"、",""),"|",""))+IF(AND(OR(J208="EI",J208="EO",J208="EQ"),$AE$1="NESMA"),2,1)))</f>
        <v/>
      </c>
      <c r="P208" s="86">
        <f>IF(J208="EI",IF(OR(Y208="估算法",Y208="算法类"),"中",IF(Y208="无法识别","低",IF(M208&lt;2,IF(O208&lt;16,"低","中"),IF(M208&lt;3,IF(O208&lt;5,"低",IF(O208&lt;16,"中","高")),IF(O208&lt;5,"中","高"))))),IF(OR(J208="EO",J208="EQ"),IF(OR(Y208="估算法",Y208="算法类"),"中",IF(Y208="无法识别","低",IF(M208&lt;2,IF(O208&lt;20,"低","中"),IF(M208&lt;4,IF(O208&lt;6,"低",IF(O208&lt;20,"中","高")),IF(O208&lt;6,"中","高"))))),IF(OR(J208="ILF",J208="EIF"),IF(OR(Y208="估算法",Y208="算法类",Y208="无法识别"),"低",IF(N208&lt;2,IF(O208&lt;51,"低","中"),IF(N208&lt;6,IF(O208&lt;20,"低",IF(O208&lt;51,"中","高")),IF(O208&lt;20,"中","高")))),"不计算")))</f>
        <v/>
      </c>
      <c r="Q208" s="172">
        <f>IFERROR(IF(J208="EI",IF(P208="低",3,IF(P208="中",4,6)),IF(J208="EO",IF(P208="低",4,IF(P208="中",5,7)),IF(J208="EQ",IF(P208="低",3,IF(P208="中",4,6)),IF(J208="ILF",IF(P208="低",7,IF(P208="中",10,15)),IF(J208="EIF",IF(P208="低",5,IF(P208="中",7,10)),"不计算")))))*R208,"不计算")</f>
        <v/>
      </c>
      <c r="R208" s="172" t="n">
        <v>1</v>
      </c>
      <c r="S208" s="173">
        <f>调整因子!$F$13</f>
        <v/>
      </c>
      <c r="T208" s="92" t="n">
        <v>1</v>
      </c>
      <c r="U208" s="174">
        <f>IFERROR(Q208*S208,0)</f>
        <v/>
      </c>
      <c r="V208" s="174">
        <f>U208*T208</f>
        <v/>
      </c>
      <c r="W208" s="91" t="n"/>
      <c r="X208" s="90" t="inlineStr">
        <is>
          <t>插件语言类型表</t>
        </is>
      </c>
      <c r="Y208" s="90" t="inlineStr">
        <is>
          <t>插件语言类型表{语言类型ID、语言名称、编码、描述}</t>
        </is>
      </c>
      <c r="Z208" s="90">
        <f>IF(COUNTIFS(W:W,"*"&amp;I208&amp;"*")&gt;0,"存在","不存在")</f>
        <v/>
      </c>
      <c r="AA208" s="90">
        <f>IF(COUNTIFS(AB:AB,"*"&amp;I208&amp;"*")&gt;0,"存在","不存在")</f>
        <v/>
      </c>
      <c r="AB208" s="103" t="inlineStr">
        <is>
          <t>推送规则表、提醒规则表、脱敏规则表</t>
        </is>
      </c>
      <c r="AC208" s="66" t="n"/>
    </row>
    <row r="209" customFormat="1" s="66">
      <c r="A209" s="72">
        <f>ROW()-1</f>
        <v/>
      </c>
      <c r="B209" s="175" t="n"/>
      <c r="C209" s="80" t="n">
        <v>2025</v>
      </c>
      <c r="D209" s="80" t="inlineStr">
        <is>
          <t>张明峰</t>
        </is>
      </c>
      <c r="E209" s="81">
        <f>VLOOKUP(I209,'25年交付功能（不含废弃）'!A:A,1,FALSE)</f>
        <v/>
      </c>
      <c r="F209" s="175" t="n"/>
      <c r="G209" s="175" t="n"/>
      <c r="H209" s="175" t="n"/>
      <c r="I209" s="108" t="inlineStr">
        <is>
          <t>插件自定义变量表</t>
        </is>
      </c>
      <c r="J209" s="93" t="inlineStr">
        <is>
          <t>ILF</t>
        </is>
      </c>
      <c r="K209" s="84" t="n"/>
      <c r="L209" s="84" t="n"/>
      <c r="M209" s="85">
        <f>IF(OR(Y209="估算法",Y209="算法类",Y209="无法识别"),"",IF(W209="",IF(OR(J209="EI",J209="EO",J209="EQ"),0,""),LEN(W209)-LEN(SUBSTITUTE(W209,"、",""))+1))</f>
        <v/>
      </c>
      <c r="N209" s="85">
        <f>IF(OR(Y209="估算法",Y209="算法类",Y209="无法识别"),"",IF(X209="",IF(OR(J209="ILF",J209="EIF"),0,""),LEN(X209)-LEN(SUBSTITUTE(X209,"、",""))+1))</f>
        <v/>
      </c>
      <c r="O209" s="85">
        <f>IF(OR(Y209="估算法",Y209="算法类",Y209="无法识别"),"",IF(Y209="",IF(OR(J209="ILF",J209="EIF",J209="EI",J209="EO",J209="EQ"),0,""),LEN(Y209)-LEN(SUBSTITUTE(SUBSTITUTE(SUBSTITUTE(SUBSTITUTE(SUBSTITUTE(Y209,"|}","--"),"{|","--"),CHAR(10),""),"、",""),"|",""))+IF(AND(OR(J209="EI",J209="EO",J209="EQ"),$AE$1="NESMA"),2,1)))</f>
        <v/>
      </c>
      <c r="P209" s="86">
        <f>IF(J209="EI",IF(OR(Y209="估算法",Y209="算法类"),"中",IF(Y209="无法识别","低",IF(M209&lt;2,IF(O209&lt;16,"低","中"),IF(M209&lt;3,IF(O209&lt;5,"低",IF(O209&lt;16,"中","高")),IF(O209&lt;5,"中","高"))))),IF(OR(J209="EO",J209="EQ"),IF(OR(Y209="估算法",Y209="算法类"),"中",IF(Y209="无法识别","低",IF(M209&lt;2,IF(O209&lt;20,"低","中"),IF(M209&lt;4,IF(O209&lt;6,"低",IF(O209&lt;20,"中","高")),IF(O209&lt;6,"中","高"))))),IF(OR(J209="ILF",J209="EIF"),IF(OR(Y209="估算法",Y209="算法类",Y209="无法识别"),"低",IF(N209&lt;2,IF(O209&lt;51,"低","中"),IF(N209&lt;6,IF(O209&lt;20,"低",IF(O209&lt;51,"中","高")),IF(O209&lt;20,"中","高")))),"不计算")))</f>
        <v/>
      </c>
      <c r="Q209" s="172">
        <f>IFERROR(IF(J209="EI",IF(P209="低",3,IF(P209="中",4,6)),IF(J209="EO",IF(P209="低",4,IF(P209="中",5,7)),IF(J209="EQ",IF(P209="低",3,IF(P209="中",4,6)),IF(J209="ILF",IF(P209="低",7,IF(P209="中",10,15)),IF(J209="EIF",IF(P209="低",5,IF(P209="中",7,10)),"不计算")))))*R209,"不计算")</f>
        <v/>
      </c>
      <c r="R209" s="172" t="n">
        <v>1</v>
      </c>
      <c r="S209" s="173">
        <f>调整因子!$F$13</f>
        <v/>
      </c>
      <c r="T209" s="92" t="n">
        <v>1</v>
      </c>
      <c r="U209" s="174">
        <f>IFERROR(Q209*S209,0)</f>
        <v/>
      </c>
      <c r="V209" s="174">
        <f>U209*T209</f>
        <v/>
      </c>
      <c r="W209" s="91" t="n"/>
      <c r="X209" s="90" t="inlineStr">
        <is>
          <t>插件自定义变量表</t>
        </is>
      </c>
      <c r="Y209" s="90" t="inlineStr">
        <is>
          <t>插件自定义变量表{变量ID、变量名称、值、插件ID}</t>
        </is>
      </c>
      <c r="Z209" s="90">
        <f>IF(COUNTIFS(W:W,"*"&amp;I209&amp;"*")&gt;0,"存在","不存在")</f>
        <v/>
      </c>
      <c r="AA209" s="90">
        <f>IF(COUNTIFS(AB:AB,"*"&amp;I209&amp;"*")&gt;0,"存在","不存在")</f>
        <v/>
      </c>
      <c r="AB209" s="103" t="inlineStr">
        <is>
          <t>推送规则表、提醒规则表、脱敏规则表、加密规则表、考核指标配置表</t>
        </is>
      </c>
      <c r="AC209" s="66" t="n"/>
    </row>
    <row r="210" customFormat="1" s="66">
      <c r="A210" s="72">
        <f>ROW()-1</f>
        <v/>
      </c>
      <c r="B210" s="175" t="n"/>
      <c r="C210" s="80" t="n">
        <v>2025</v>
      </c>
      <c r="D210" s="80" t="inlineStr">
        <is>
          <t>张明峰</t>
        </is>
      </c>
      <c r="E210" s="81">
        <f>VLOOKUP(I210,'25年交付功能（不含废弃）'!A:A,1,FALSE)</f>
        <v/>
      </c>
      <c r="F210" s="175" t="n"/>
      <c r="G210" s="175" t="n"/>
      <c r="H210" s="175" t="n"/>
      <c r="I210" s="108" t="inlineStr">
        <is>
          <t>插件基本信息表</t>
        </is>
      </c>
      <c r="J210" s="93" t="inlineStr">
        <is>
          <t>ILF</t>
        </is>
      </c>
      <c r="K210" s="84" t="n"/>
      <c r="L210" s="84" t="n"/>
      <c r="M210" s="85">
        <f>IF(OR(Y210="估算法",Y210="算法类",Y210="无法识别"),"",IF(W210="",IF(OR(J210="EI",J210="EO",J210="EQ"),0,""),LEN(W210)-LEN(SUBSTITUTE(W210,"、",""))+1))</f>
        <v/>
      </c>
      <c r="N210" s="85">
        <f>IF(OR(Y210="估算法",Y210="算法类",Y210="无法识别"),"",IF(X210="",IF(OR(J210="ILF",J210="EIF"),0,""),LEN(X210)-LEN(SUBSTITUTE(X210,"、",""))+1))</f>
        <v/>
      </c>
      <c r="O210" s="85">
        <f>IF(OR(Y210="估算法",Y210="算法类",Y210="无法识别"),"",IF(Y210="",IF(OR(J210="ILF",J210="EIF",J210="EI",J210="EO",J210="EQ"),0,""),LEN(Y210)-LEN(SUBSTITUTE(SUBSTITUTE(SUBSTITUTE(SUBSTITUTE(SUBSTITUTE(Y210,"|}","--"),"{|","--"),CHAR(10),""),"、",""),"|",""))+IF(AND(OR(J210="EI",J210="EO",J210="EQ"),$AE$1="NESMA"),2,1)))</f>
        <v/>
      </c>
      <c r="P210" s="86">
        <f>IF(J210="EI",IF(OR(Y210="估算法",Y210="算法类"),"中",IF(Y210="无法识别","低",IF(M210&lt;2,IF(O210&lt;16,"低","中"),IF(M210&lt;3,IF(O210&lt;5,"低",IF(O210&lt;16,"中","高")),IF(O210&lt;5,"中","高"))))),IF(OR(J210="EO",J210="EQ"),IF(OR(Y210="估算法",Y210="算法类"),"中",IF(Y210="无法识别","低",IF(M210&lt;2,IF(O210&lt;20,"低","中"),IF(M210&lt;4,IF(O210&lt;6,"低",IF(O210&lt;20,"中","高")),IF(O210&lt;6,"中","高"))))),IF(OR(J210="ILF",J210="EIF"),IF(OR(Y210="估算法",Y210="算法类",Y210="无法识别"),"低",IF(N210&lt;2,IF(O210&lt;51,"低","中"),IF(N210&lt;6,IF(O210&lt;20,"低",IF(O210&lt;51,"中","高")),IF(O210&lt;20,"中","高")))),"不计算")))</f>
        <v/>
      </c>
      <c r="Q210" s="172">
        <f>IFERROR(IF(J210="EI",IF(P210="低",3,IF(P210="中",4,6)),IF(J210="EO",IF(P210="低",4,IF(P210="中",5,7)),IF(J210="EQ",IF(P210="低",3,IF(P210="中",4,6)),IF(J210="ILF",IF(P210="低",7,IF(P210="中",10,15)),IF(J210="EIF",IF(P210="低",5,IF(P210="中",7,10)),"不计算")))))*R210,"不计算")</f>
        <v/>
      </c>
      <c r="R210" s="172" t="n">
        <v>1</v>
      </c>
      <c r="S210" s="173">
        <f>调整因子!$F$13</f>
        <v/>
      </c>
      <c r="T210" s="93" t="n">
        <v>1</v>
      </c>
      <c r="U210" s="174">
        <f>IFERROR(Q210*S210,0)</f>
        <v/>
      </c>
      <c r="V210" s="174">
        <f>U210*T210</f>
        <v/>
      </c>
      <c r="W210" s="91" t="n"/>
      <c r="X210" s="90" t="inlineStr">
        <is>
          <t>插件基本信息表</t>
        </is>
      </c>
      <c r="Y210" s="90" t="inlineStr">
        <is>
          <t>插件基本信息表{插件ID、插件名称、编码、状态、描述、版本、创建时间|响应码、响应头、响应内容、消息、文件}</t>
        </is>
      </c>
      <c r="Z210" s="90">
        <f>IF(COUNTIFS(W:W,"*"&amp;I210&amp;"*")&gt;0,"存在","不存在")</f>
        <v/>
      </c>
      <c r="AA210" s="90">
        <f>IF(COUNTIFS(AB:AB,"*"&amp;I210&amp;"*")&gt;0,"存在","不存在")</f>
        <v/>
      </c>
      <c r="AB210" s="103" t="inlineStr">
        <is>
          <t>推送规则表、提醒规则表、脱敏规则表、加密规则表</t>
        </is>
      </c>
      <c r="AC210" s="66" t="n"/>
    </row>
    <row r="211" customFormat="1" s="66">
      <c r="A211" s="72">
        <f>ROW()-1</f>
        <v/>
      </c>
      <c r="B211" s="175" t="n"/>
      <c r="C211" s="80" t="n">
        <v>2025</v>
      </c>
      <c r="D211" s="80" t="inlineStr">
        <is>
          <t>张明峰</t>
        </is>
      </c>
      <c r="E211" s="81">
        <f>VLOOKUP(I211,'25年交付功能（不含废弃）'!A:A,1,FALSE)</f>
        <v/>
      </c>
      <c r="F211" s="175" t="n"/>
      <c r="G211" s="175" t="n"/>
      <c r="H211" s="175" t="n"/>
      <c r="I211" s="108" t="inlineStr">
        <is>
          <t>插件版本管理表</t>
        </is>
      </c>
      <c r="J211" s="93" t="inlineStr">
        <is>
          <t>ILF</t>
        </is>
      </c>
      <c r="K211" s="84" t="n"/>
      <c r="L211" s="84" t="n"/>
      <c r="M211" s="85">
        <f>IF(OR(Y211="估算法",Y211="算法类",Y211="无法识别"),"",IF(W211="",IF(OR(J211="EI",J211="EO",J211="EQ"),0,""),LEN(W211)-LEN(SUBSTITUTE(W211,"、",""))+1))</f>
        <v/>
      </c>
      <c r="N211" s="85">
        <f>IF(OR(Y211="估算法",Y211="算法类",Y211="无法识别"),"",IF(X211="",IF(OR(J211="ILF",J211="EIF"),0,""),LEN(X211)-LEN(SUBSTITUTE(X211,"、",""))+1))</f>
        <v/>
      </c>
      <c r="O211" s="85">
        <f>IF(OR(Y211="估算法",Y211="算法类",Y211="无法识别"),"",IF(Y211="",IF(OR(J211="ILF",J211="EIF",J211="EI",J211="EO",J211="EQ"),0,""),LEN(Y211)-LEN(SUBSTITUTE(SUBSTITUTE(SUBSTITUTE(SUBSTITUTE(SUBSTITUTE(Y211,"|}","--"),"{|","--"),CHAR(10),""),"、",""),"|",""))+IF(AND(OR(J211="EI",J211="EO",J211="EQ"),$AE$1="NESMA"),2,1)))</f>
        <v/>
      </c>
      <c r="P211" s="86">
        <f>IF(J211="EI",IF(OR(Y211="估算法",Y211="算法类"),"中",IF(Y211="无法识别","低",IF(M211&lt;2,IF(O211&lt;16,"低","中"),IF(M211&lt;3,IF(O211&lt;5,"低",IF(O211&lt;16,"中","高")),IF(O211&lt;5,"中","高"))))),IF(OR(J211="EO",J211="EQ"),IF(OR(Y211="估算法",Y211="算法类"),"中",IF(Y211="无法识别","低",IF(M211&lt;2,IF(O211&lt;20,"低","中"),IF(M211&lt;4,IF(O211&lt;6,"低",IF(O211&lt;20,"中","高")),IF(O211&lt;6,"中","高"))))),IF(OR(J211="ILF",J211="EIF"),IF(OR(Y211="估算法",Y211="算法类",Y211="无法识别"),"低",IF(N211&lt;2,IF(O211&lt;51,"低","中"),IF(N211&lt;6,IF(O211&lt;20,"低",IF(O211&lt;51,"中","高")),IF(O211&lt;20,"中","高")))),"不计算")))</f>
        <v/>
      </c>
      <c r="Q211" s="172">
        <f>IFERROR(IF(J211="EI",IF(P211="低",3,IF(P211="中",4,6)),IF(J211="EO",IF(P211="低",4,IF(P211="中",5,7)),IF(J211="EQ",IF(P211="低",3,IF(P211="中",4,6)),IF(J211="ILF",IF(P211="低",7,IF(P211="中",10,15)),IF(J211="EIF",IF(P211="低",5,IF(P211="中",7,10)),"不计算")))))*R211,"不计算")</f>
        <v/>
      </c>
      <c r="R211" s="172" t="n">
        <v>1</v>
      </c>
      <c r="S211" s="173">
        <f>调整因子!$F$13</f>
        <v/>
      </c>
      <c r="T211" s="92" t="n">
        <v>1</v>
      </c>
      <c r="U211" s="174">
        <f>IFERROR(Q211*S211,0)</f>
        <v/>
      </c>
      <c r="V211" s="174">
        <f>U211*T211</f>
        <v/>
      </c>
      <c r="W211" s="91" t="n"/>
      <c r="X211" s="90" t="inlineStr">
        <is>
          <t>插件版本管理表</t>
        </is>
      </c>
      <c r="Y211" s="90" t="inlineStr">
        <is>
          <t>插件版本管理表{版本ID、插件ID、版本号、发布说明、发布时间}</t>
        </is>
      </c>
      <c r="Z211" s="90">
        <f>IF(COUNTIFS(W:W,"*"&amp;I211&amp;"*")&gt;0,"存在","不存在")</f>
        <v/>
      </c>
      <c r="AA211" s="90">
        <f>IF(COUNTIFS(AB:AB,"*"&amp;I211&amp;"*")&gt;0,"存在","不存在")</f>
        <v/>
      </c>
      <c r="AB211" s="103" t="inlineStr">
        <is>
          <t>推送规则表、提醒规则表、脱敏规则表、加密规则表</t>
        </is>
      </c>
      <c r="AC211" s="66" t="n"/>
    </row>
    <row r="212" customFormat="1" s="66">
      <c r="A212" s="72">
        <f>ROW()-1</f>
        <v/>
      </c>
      <c r="B212" s="175" t="n"/>
      <c r="C212" s="80" t="n">
        <v>2025</v>
      </c>
      <c r="D212" s="80" t="inlineStr">
        <is>
          <t>张明峰</t>
        </is>
      </c>
      <c r="E212" s="81">
        <f>VLOOKUP(I212,'25年交付功能（不含废弃）'!A:A,1,FALSE)</f>
        <v/>
      </c>
      <c r="F212" s="175" t="n"/>
      <c r="G212" s="175" t="n"/>
      <c r="H212" s="175" t="n"/>
      <c r="I212" s="108" t="inlineStr">
        <is>
          <t>漏洞类型表</t>
        </is>
      </c>
      <c r="J212" s="93" t="inlineStr">
        <is>
          <t>ILF</t>
        </is>
      </c>
      <c r="K212" s="84" t="n"/>
      <c r="L212" s="84" t="n"/>
      <c r="M212" s="85">
        <f>IF(OR(Y212="估算法",Y212="算法类",Y212="无法识别"),"",IF(W212="",IF(OR(J212="EI",J212="EO",J212="EQ"),0,""),LEN(W212)-LEN(SUBSTITUTE(W212,"、",""))+1))</f>
        <v/>
      </c>
      <c r="N212" s="85">
        <f>IF(OR(Y212="估算法",Y212="算法类",Y212="无法识别"),"",IF(X212="",IF(OR(J212="ILF",J212="EIF"),0,""),LEN(X212)-LEN(SUBSTITUTE(X212,"、",""))+1))</f>
        <v/>
      </c>
      <c r="O212" s="85">
        <f>IF(OR(Y212="估算法",Y212="算法类",Y212="无法识别"),"",IF(Y212="",IF(OR(J212="ILF",J212="EIF",J212="EI",J212="EO",J212="EQ"),0,""),LEN(Y212)-LEN(SUBSTITUTE(SUBSTITUTE(SUBSTITUTE(SUBSTITUTE(SUBSTITUTE(Y212,"|}","--"),"{|","--"),CHAR(10),""),"、",""),"|",""))+IF(AND(OR(J212="EI",J212="EO",J212="EQ"),$AE$1="NESMA"),2,1)))</f>
        <v/>
      </c>
      <c r="P212" s="86">
        <f>IF(J212="EI",IF(OR(Y212="估算法",Y212="算法类"),"中",IF(Y212="无法识别","低",IF(M212&lt;2,IF(O212&lt;16,"低","中"),IF(M212&lt;3,IF(O212&lt;5,"低",IF(O212&lt;16,"中","高")),IF(O212&lt;5,"中","高"))))),IF(OR(J212="EO",J212="EQ"),IF(OR(Y212="估算法",Y212="算法类"),"中",IF(Y212="无法识别","低",IF(M212&lt;2,IF(O212&lt;20,"低","中"),IF(M212&lt;4,IF(O212&lt;6,"低",IF(O212&lt;20,"中","高")),IF(O212&lt;6,"中","高"))))),IF(OR(J212="ILF",J212="EIF"),IF(OR(Y212="估算法",Y212="算法类",Y212="无法识别"),"低",IF(N212&lt;2,IF(O212&lt;51,"低","中"),IF(N212&lt;6,IF(O212&lt;20,"低",IF(O212&lt;51,"中","高")),IF(O212&lt;20,"中","高")))),"不计算")))</f>
        <v/>
      </c>
      <c r="Q212" s="172">
        <f>IFERROR(IF(J212="EI",IF(P212="低",3,IF(P212="中",4,6)),IF(J212="EO",IF(P212="低",4,IF(P212="中",5,7)),IF(J212="EQ",IF(P212="低",3,IF(P212="中",4,6)),IF(J212="ILF",IF(P212="低",7,IF(P212="中",10,15)),IF(J212="EIF",IF(P212="低",5,IF(P212="中",7,10)),"不计算")))))*R212,"不计算")</f>
        <v/>
      </c>
      <c r="R212" s="172" t="n">
        <v>1</v>
      </c>
      <c r="S212" s="173">
        <f>调整因子!$F$13</f>
        <v/>
      </c>
      <c r="T212" s="92" t="n">
        <v>1</v>
      </c>
      <c r="U212" s="174">
        <f>IFERROR(Q212*S212,0)</f>
        <v/>
      </c>
      <c r="V212" s="174">
        <f>U212*T212</f>
        <v/>
      </c>
      <c r="W212" s="91" t="n"/>
      <c r="X212" s="90" t="inlineStr">
        <is>
          <t>漏洞类型表</t>
        </is>
      </c>
      <c r="Y212" s="90" t="inlineStr">
        <is>
          <t>漏洞类型表{类型ID、类型名称、描述、类型编码}</t>
        </is>
      </c>
      <c r="Z212" s="90">
        <f>IF(COUNTIFS(W:W,"*"&amp;I212&amp;"*")&gt;0,"存在","不存在")</f>
        <v/>
      </c>
      <c r="AA212" s="90">
        <f>IF(COUNTIFS(AB:AB,"*"&amp;I212&amp;"*")&gt;0,"存在","不存在")</f>
        <v/>
      </c>
      <c r="AB212" s="103" t="inlineStr">
        <is>
          <t>验证记录表、同步任务调度表、任务故障记录表</t>
        </is>
      </c>
      <c r="AC212" s="66" t="n"/>
    </row>
    <row r="213" customFormat="1" s="66">
      <c r="A213" s="72">
        <f>ROW()-1</f>
        <v/>
      </c>
      <c r="B213" s="175" t="n"/>
      <c r="C213" s="80" t="n">
        <v>2025</v>
      </c>
      <c r="D213" s="80" t="inlineStr">
        <is>
          <t>张明峰</t>
        </is>
      </c>
      <c r="E213" s="81">
        <f>VLOOKUP(I213,'25年交付功能（不含废弃）'!A:A,1,FALSE)</f>
        <v/>
      </c>
      <c r="F213" s="175" t="n"/>
      <c r="G213" s="175" t="n"/>
      <c r="H213" s="175" t="n"/>
      <c r="I213" s="108" t="inlineStr">
        <is>
          <t>影响组件表</t>
        </is>
      </c>
      <c r="J213" s="93" t="inlineStr">
        <is>
          <t>ILF</t>
        </is>
      </c>
      <c r="K213" s="84" t="n"/>
      <c r="L213" s="84" t="n"/>
      <c r="M213" s="85">
        <f>IF(OR(Y213="估算法",Y213="算法类",Y213="无法识别"),"",IF(W213="",IF(OR(J213="EI",J213="EO",J213="EQ"),0,""),LEN(W213)-LEN(SUBSTITUTE(W213,"、",""))+1))</f>
        <v/>
      </c>
      <c r="N213" s="85">
        <f>IF(OR(Y213="估算法",Y213="算法类",Y213="无法识别"),"",IF(X213="",IF(OR(J213="ILF",J213="EIF"),0,""),LEN(X213)-LEN(SUBSTITUTE(X213,"、",""))+1))</f>
        <v/>
      </c>
      <c r="O213" s="85">
        <f>IF(OR(Y213="估算法",Y213="算法类",Y213="无法识别"),"",IF(Y213="",IF(OR(J213="ILF",J213="EIF",J213="EI",J213="EO",J213="EQ"),0,""),LEN(Y213)-LEN(SUBSTITUTE(SUBSTITUTE(SUBSTITUTE(SUBSTITUTE(SUBSTITUTE(Y213,"|}","--"),"{|","--"),CHAR(10),""),"、",""),"|",""))+IF(AND(OR(J213="EI",J213="EO",J213="EQ"),$AE$1="NESMA"),2,1)))</f>
        <v/>
      </c>
      <c r="P213" s="86">
        <f>IF(J213="EI",IF(OR(Y213="估算法",Y213="算法类"),"中",IF(Y213="无法识别","低",IF(M213&lt;2,IF(O213&lt;16,"低","中"),IF(M213&lt;3,IF(O213&lt;5,"低",IF(O213&lt;16,"中","高")),IF(O213&lt;5,"中","高"))))),IF(OR(J213="EO",J213="EQ"),IF(OR(Y213="估算法",Y213="算法类"),"中",IF(Y213="无法识别","低",IF(M213&lt;2,IF(O213&lt;20,"低","中"),IF(M213&lt;4,IF(O213&lt;6,"低",IF(O213&lt;20,"中","高")),IF(O213&lt;6,"中","高"))))),IF(OR(J213="ILF",J213="EIF"),IF(OR(Y213="估算法",Y213="算法类",Y213="无法识别"),"低",IF(N213&lt;2,IF(O213&lt;51,"低","中"),IF(N213&lt;6,IF(O213&lt;20,"低",IF(O213&lt;51,"中","高")),IF(O213&lt;20,"中","高")))),"不计算")))</f>
        <v/>
      </c>
      <c r="Q213" s="172">
        <f>IFERROR(IF(J213="EI",IF(P213="低",3,IF(P213="中",4,6)),IF(J213="EO",IF(P213="低",4,IF(P213="中",5,7)),IF(J213="EQ",IF(P213="低",3,IF(P213="中",4,6)),IF(J213="ILF",IF(P213="低",7,IF(P213="中",10,15)),IF(J213="EIF",IF(P213="低",5,IF(P213="中",7,10)),"不计算")))))*R213,"不计算")</f>
        <v/>
      </c>
      <c r="R213" s="172" t="n">
        <v>1</v>
      </c>
      <c r="S213" s="173">
        <f>调整因子!$F$13</f>
        <v/>
      </c>
      <c r="T213" s="93" t="n">
        <v>1</v>
      </c>
      <c r="U213" s="174">
        <f>IFERROR(Q213*S213,0)</f>
        <v/>
      </c>
      <c r="V213" s="174">
        <f>U213*T213</f>
        <v/>
      </c>
      <c r="W213" s="91" t="n"/>
      <c r="X213" s="90" t="inlineStr">
        <is>
          <t>影响组件表</t>
        </is>
      </c>
      <c r="Y213" s="90" t="inlineStr">
        <is>
          <t>影响组件表{组件ID、漏洞ID、组件名称、组件厂商、组件版本、版本}</t>
        </is>
      </c>
      <c r="Z213" s="90">
        <f>IF(COUNTIFS(W:W,"*"&amp;I213&amp;"*")&gt;0,"存在","不存在")</f>
        <v/>
      </c>
      <c r="AA213" s="90">
        <f>IF(COUNTIFS(AB:AB,"*"&amp;I213&amp;"*")&gt;0,"存在","不存在")</f>
        <v/>
      </c>
      <c r="AB213" s="103" t="inlineStr">
        <is>
          <t>数据清洗任务表、资产同步任务表、同步任务调度表</t>
        </is>
      </c>
      <c r="AC213" s="66" t="n"/>
    </row>
    <row r="214" customFormat="1" s="66">
      <c r="A214" s="72">
        <f>ROW()-1</f>
        <v/>
      </c>
      <c r="B214" s="175" t="n"/>
      <c r="C214" s="80" t="n">
        <v>2025</v>
      </c>
      <c r="D214" s="80" t="inlineStr">
        <is>
          <t>张明峰</t>
        </is>
      </c>
      <c r="E214" s="81">
        <f>VLOOKUP(I214,'25年交付功能（不含废弃）'!A:A,1,FALSE)</f>
        <v/>
      </c>
      <c r="F214" s="175" t="n"/>
      <c r="G214" s="175" t="n"/>
      <c r="H214" s="176" t="n"/>
      <c r="I214" s="108" t="inlineStr">
        <is>
          <t>插件分类表</t>
        </is>
      </c>
      <c r="J214" s="93" t="inlineStr">
        <is>
          <t>ILF</t>
        </is>
      </c>
      <c r="K214" s="109" t="inlineStr">
        <is>
          <t>添加引用到「编辑插件分类、新增原理检测插件、修改原理检测插件」</t>
        </is>
      </c>
      <c r="L214" s="84" t="inlineStr">
        <is>
          <t>数据库表未被本系统所维护</t>
        </is>
      </c>
      <c r="M214" s="85">
        <f>IF(OR(Y214="估算法",Y214="算法类",Y214="无法识别"),"",IF(W214="",IF(OR(J214="EI",J214="EO",J214="EQ"),0,""),LEN(W214)-LEN(SUBSTITUTE(W214,"、",""))+1))</f>
        <v/>
      </c>
      <c r="N214" s="85">
        <f>IF(OR(Y214="估算法",Y214="算法类",Y214="无法识别"),"",IF(X214="",IF(OR(J214="ILF",J214="EIF"),0,""),LEN(X214)-LEN(SUBSTITUTE(X214,"、",""))+1))</f>
        <v/>
      </c>
      <c r="O214" s="85">
        <f>IF(OR(Y214="估算法",Y214="算法类",Y214="无法识别"),"",IF(Y214="",IF(OR(J214="ILF",J214="EIF",J214="EI",J214="EO",J214="EQ"),0,""),LEN(Y214)-LEN(SUBSTITUTE(SUBSTITUTE(SUBSTITUTE(SUBSTITUTE(SUBSTITUTE(Y214,"|}","--"),"{|","--"),CHAR(10),""),"、",""),"|",""))+IF(AND(OR(J214="EI",J214="EO",J214="EQ"),$AE$1="NESMA"),2,1)))</f>
        <v/>
      </c>
      <c r="P214" s="86">
        <f>IF(J214="EI",IF(OR(Y214="估算法",Y214="算法类"),"中",IF(Y214="无法识别","低",IF(M214&lt;2,IF(O214&lt;16,"低","中"),IF(M214&lt;3,IF(O214&lt;5,"低",IF(O214&lt;16,"中","高")),IF(O214&lt;5,"中","高"))))),IF(OR(J214="EO",J214="EQ"),IF(OR(Y214="估算法",Y214="算法类"),"中",IF(Y214="无法识别","低",IF(M214&lt;2,IF(O214&lt;20,"低","中"),IF(M214&lt;4,IF(O214&lt;6,"低",IF(O214&lt;20,"中","高")),IF(O214&lt;6,"中","高"))))),IF(OR(J214="ILF",J214="EIF"),IF(OR(Y214="估算法",Y214="算法类",Y214="无法识别"),"低",IF(N214&lt;2,IF(O214&lt;51,"低","中"),IF(N214&lt;6,IF(O214&lt;20,"低",IF(O214&lt;51,"中","高")),IF(O214&lt;20,"中","高")))),"不计算")))</f>
        <v/>
      </c>
      <c r="Q214" s="172">
        <f>IFERROR(IF(J214="EI",IF(P214="低",3,IF(P214="中",4,6)),IF(J214="EO",IF(P214="低",4,IF(P214="中",5,7)),IF(J214="EQ",IF(P214="低",3,IF(P214="中",4,6)),IF(J214="ILF",IF(P214="低",7,IF(P214="中",10,15)),IF(J214="EIF",IF(P214="低",5,IF(P214="中",7,10)),"不计算")))))*R214,"不计算")</f>
        <v/>
      </c>
      <c r="R214" s="172" t="n">
        <v>1</v>
      </c>
      <c r="S214" s="173">
        <f>调整因子!$F$13</f>
        <v/>
      </c>
      <c r="T214" s="92" t="n">
        <v>1</v>
      </c>
      <c r="U214" s="174">
        <f>IFERROR(Q214*S214,0)</f>
        <v/>
      </c>
      <c r="V214" s="174">
        <f>U214*T214</f>
        <v/>
      </c>
      <c r="W214" s="91" t="n"/>
      <c r="X214" s="90" t="inlineStr">
        <is>
          <t>插件分类表</t>
        </is>
      </c>
      <c r="Y214" s="90" t="inlineStr">
        <is>
          <t>插件分类表{分类ID、分类名称、编码、描述}</t>
        </is>
      </c>
      <c r="Z214" s="90">
        <f>IF(COUNTIFS(W:W,"*"&amp;I214&amp;"*")&gt;0,"存在","不存在")</f>
        <v/>
      </c>
      <c r="AA214" s="90">
        <f>IF(COUNTIFS(AB:AB,"*"&amp;I214&amp;"*")&gt;0,"存在","不存在")</f>
        <v/>
      </c>
      <c r="AB214" s="103" t="inlineStr">
        <is>
          <t>数据清洗任务表、资产同步任务表、同步任务调度表、任务统计数据表、任务趋势分析表</t>
        </is>
      </c>
      <c r="AC214" s="66" t="n"/>
    </row>
    <row r="215" customFormat="1" s="66">
      <c r="A215" s="72">
        <f>ROW()-1</f>
        <v/>
      </c>
      <c r="B215" s="175" t="n"/>
      <c r="C215" s="80" t="n">
        <v>2025</v>
      </c>
      <c r="D215" s="80" t="inlineStr">
        <is>
          <t>张明峰</t>
        </is>
      </c>
      <c r="E215" s="81">
        <f>VLOOKUP(I215,'25年交付功能（不含废弃）'!A:A,1,FALSE)</f>
        <v/>
      </c>
      <c r="F215" s="175" t="n"/>
      <c r="G215" s="175" t="n"/>
      <c r="H215" s="93" t="inlineStr">
        <is>
          <t>插件审核流程</t>
        </is>
      </c>
      <c r="I215" s="98" t="inlineStr">
        <is>
          <t>提交原理检测插件审核流程</t>
        </is>
      </c>
      <c r="J215" s="93" t="inlineStr">
        <is>
          <t>EI</t>
        </is>
      </c>
      <c r="K215" s="84" t="n"/>
      <c r="L215" s="84" t="n"/>
      <c r="M215" s="85">
        <f>IF(OR(Y215="估算法",Y215="算法类",Y215="无法识别"),"",IF(W215="",IF(OR(J215="EI",J215="EO",J215="EQ"),0,""),LEN(W215)-LEN(SUBSTITUTE(W215,"、",""))+1))</f>
        <v/>
      </c>
      <c r="N215" s="85">
        <f>IF(OR(Y215="估算法",Y215="算法类",Y215="无法识别"),"",IF(X215="",IF(OR(J215="ILF",J215="EIF"),0,""),LEN(X215)-LEN(SUBSTITUTE(X215,"、",""))+1))</f>
        <v/>
      </c>
      <c r="O215" s="85">
        <f>IF(OR(Y215="估算法",Y215="算法类",Y215="无法识别"),"",IF(Y215="",IF(OR(J215="ILF",J215="EIF",J215="EI",J215="EO",J215="EQ"),0,""),LEN(Y215)-LEN(SUBSTITUTE(SUBSTITUTE(SUBSTITUTE(SUBSTITUTE(SUBSTITUTE(Y215,"|}","--"),"{|","--"),CHAR(10),""),"、",""),"|",""))+IF(AND(OR(J215="EI",J215="EO",J215="EQ"),$AE$1="NESMA"),2,1)))</f>
        <v/>
      </c>
      <c r="P215" s="86">
        <f>IF(J215="EI",IF(OR(Y215="估算法",Y215="算法类"),"中",IF(Y215="无法识别","低",IF(M215&lt;2,IF(O215&lt;16,"低","中"),IF(M215&lt;3,IF(O215&lt;5,"低",IF(O215&lt;16,"中","高")),IF(O215&lt;5,"中","高"))))),IF(OR(J215="EO",J215="EQ"),IF(OR(Y215="估算法",Y215="算法类"),"中",IF(Y215="无法识别","低",IF(M215&lt;2,IF(O215&lt;20,"低","中"),IF(M215&lt;4,IF(O215&lt;6,"低",IF(O215&lt;20,"中","高")),IF(O215&lt;6,"中","高"))))),IF(OR(J215="ILF",J215="EIF"),IF(OR(Y215="估算法",Y215="算法类",Y215="无法识别"),"低",IF(N215&lt;2,IF(O215&lt;51,"低","中"),IF(N215&lt;6,IF(O215&lt;20,"低",IF(O215&lt;51,"中","高")),IF(O215&lt;20,"中","高")))),"不计算")))</f>
        <v/>
      </c>
      <c r="Q215" s="172">
        <f>IFERROR(IF(J215="EI",IF(P215="低",3,IF(P215="中",4,6)),IF(J215="EO",IF(P215="低",4,IF(P215="中",5,7)),IF(J215="EQ",IF(P215="低",3,IF(P215="中",4,6)),IF(J215="ILF",IF(P215="低",7,IF(P215="中",10,15)),IF(J215="EIF",IF(P215="低",5,IF(P215="中",7,10)),"不计算")))))*R215,"不计算")</f>
        <v/>
      </c>
      <c r="R215" s="172" t="n">
        <v>1</v>
      </c>
      <c r="S215" s="173">
        <f>调整因子!$F$13</f>
        <v/>
      </c>
      <c r="T215" s="92" t="n">
        <v>1</v>
      </c>
      <c r="U215" s="174">
        <f>IFERROR(Q215*S215,0)</f>
        <v/>
      </c>
      <c r="V215" s="174">
        <f>U215*T215</f>
        <v/>
      </c>
      <c r="W215" s="90" t="inlineStr">
        <is>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is>
      </c>
      <c r="X215" s="91" t="n"/>
      <c r="Y215" s="90" t="inlineStr">
        <is>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is>
      </c>
      <c r="Z215" s="90" t="n"/>
      <c r="AA215" s="90" t="n"/>
      <c r="AB215" s="103" t="inlineStr">
        <is>
          <t>数据清洗任务表、资产同步任务表、同步任务调度表、任务统计数据表</t>
        </is>
      </c>
      <c r="AC215" s="66" t="n"/>
    </row>
    <row r="216" customFormat="1" s="66">
      <c r="A216" s="72">
        <f>ROW()-1</f>
        <v/>
      </c>
      <c r="B216" s="175" t="n"/>
      <c r="C216" s="80" t="n">
        <v>2025</v>
      </c>
      <c r="D216" s="80" t="inlineStr">
        <is>
          <t>张明峰</t>
        </is>
      </c>
      <c r="E216" s="81">
        <f>VLOOKUP(I216,'25年交付功能（不含废弃）'!A:A,1,FALSE)</f>
        <v/>
      </c>
      <c r="F216" s="175" t="n"/>
      <c r="G216" s="175" t="n"/>
      <c r="H216" s="175" t="n"/>
      <c r="I216" s="98" t="inlineStr">
        <is>
          <t>插件初步功能审核</t>
        </is>
      </c>
      <c r="J216" s="93" t="n"/>
      <c r="K216" s="84" t="inlineStr">
        <is>
          <t>删除</t>
        </is>
      </c>
      <c r="L216" s="84" t="inlineStr">
        <is>
          <t>审核流程分支，合并</t>
        </is>
      </c>
      <c r="M216" s="85">
        <f>IF(OR(Y216="估算法",Y216="算法类",Y216="无法识别"),"",IF(W216="",IF(OR(J216="EI",J216="EO",J216="EQ"),0,""),LEN(W216)-LEN(SUBSTITUTE(W216,"、",""))+1))</f>
        <v/>
      </c>
      <c r="N216" s="85">
        <f>IF(OR(Y216="估算法",Y216="算法类",Y216="无法识别"),"",IF(X216="",IF(OR(J216="ILF",J216="EIF"),0,""),LEN(X216)-LEN(SUBSTITUTE(X216,"、",""))+1))</f>
        <v/>
      </c>
      <c r="O216" s="85">
        <f>IF(OR(Y216="估算法",Y216="算法类",Y216="无法识别"),"",IF(Y216="",IF(OR(J216="ILF",J216="EIF",J216="EI",J216="EO",J216="EQ"),0,""),LEN(Y216)-LEN(SUBSTITUTE(SUBSTITUTE(SUBSTITUTE(SUBSTITUTE(SUBSTITUTE(Y216,"|}","--"),"{|","--"),CHAR(10),""),"、",""),"|",""))+IF(AND(OR(J216="EI",J216="EO",J216="EQ"),$AE$1="NESMA"),2,1)))</f>
        <v/>
      </c>
      <c r="P216" s="86">
        <f>IF(J216="EI",IF(OR(Y216="估算法",Y216="算法类"),"中",IF(Y216="无法识别","低",IF(M216&lt;2,IF(O216&lt;16,"低","中"),IF(M216&lt;3,IF(O216&lt;5,"低",IF(O216&lt;16,"中","高")),IF(O216&lt;5,"中","高"))))),IF(OR(J216="EO",J216="EQ"),IF(OR(Y216="估算法",Y216="算法类"),"中",IF(Y216="无法识别","低",IF(M216&lt;2,IF(O216&lt;20,"低","中"),IF(M216&lt;4,IF(O216&lt;6,"低",IF(O216&lt;20,"中","高")),IF(O216&lt;6,"中","高"))))),IF(OR(J216="ILF",J216="EIF"),IF(OR(Y216="估算法",Y216="算法类",Y216="无法识别"),"低",IF(N216&lt;2,IF(O216&lt;51,"低","中"),IF(N216&lt;6,IF(O216&lt;20,"低",IF(O216&lt;51,"中","高")),IF(O216&lt;20,"中","高")))),"不计算")))</f>
        <v/>
      </c>
      <c r="Q216" s="172">
        <f>IFERROR(IF(J216="EI",IF(P216="低",3,IF(P216="中",4,6)),IF(J216="EO",IF(P216="低",4,IF(P216="中",5,7)),IF(J216="EQ",IF(P216="低",3,IF(P216="中",4,6)),IF(J216="ILF",IF(P216="低",7,IF(P216="中",10,15)),IF(J216="EIF",IF(P216="低",5,IF(P216="中",7,10)),"不计算")))))*R216,"不计算")</f>
        <v/>
      </c>
      <c r="R216" s="172" t="n">
        <v>1</v>
      </c>
      <c r="S216" s="173">
        <f>调整因子!$F$13</f>
        <v/>
      </c>
      <c r="T216" s="93" t="n">
        <v>1</v>
      </c>
      <c r="U216" s="174">
        <f>IFERROR(Q216*S216,0)</f>
        <v/>
      </c>
      <c r="V216" s="174">
        <f>U216*T216</f>
        <v/>
      </c>
      <c r="W216" s="90" t="inlineStr">
        <is>
          <t>插件审核表、数据库变更日志表、数据库变更日志锁表、插件漏洞表</t>
        </is>
      </c>
      <c r="X216" s="91" t="n"/>
      <c r="Y216" s="90" t="inlineStr">
        <is>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is>
      </c>
      <c r="Z216" s="90" t="n"/>
      <c r="AA216" s="90" t="n"/>
      <c r="AB216" s="103" t="inlineStr">
        <is>
          <t>通报模板表、离线扫描报告表、日志采集配置表、漏洞处置单表、任务趋势分析表</t>
        </is>
      </c>
      <c r="AC216" s="66" t="n"/>
    </row>
    <row r="217" customFormat="1" s="66">
      <c r="A217" s="72">
        <f>ROW()-1</f>
        <v/>
      </c>
      <c r="B217" s="175" t="n"/>
      <c r="C217" s="80" t="n">
        <v>2025</v>
      </c>
      <c r="D217" s="80" t="inlineStr">
        <is>
          <t>张明峰</t>
        </is>
      </c>
      <c r="E217" s="81">
        <f>VLOOKUP(I217,'25年交付功能（不含废弃）'!A:A,1,FALSE)</f>
        <v/>
      </c>
      <c r="F217" s="175" t="n"/>
      <c r="G217" s="175" t="n"/>
      <c r="H217" s="175" t="n"/>
      <c r="I217" s="98" t="inlineStr">
        <is>
          <t>查看插件支持的漏洞信息</t>
        </is>
      </c>
      <c r="J217" s="93" t="inlineStr">
        <is>
          <t>EQ</t>
        </is>
      </c>
      <c r="K217" s="84" t="n"/>
      <c r="L217" s="84" t="n"/>
      <c r="M217" s="85">
        <f>IF(OR(Y217="估算法",Y217="算法类",Y217="无法识别"),"",IF(W217="",IF(OR(J217="EI",J217="EO",J217="EQ"),0,""),LEN(W217)-LEN(SUBSTITUTE(W217,"、",""))+1))</f>
        <v/>
      </c>
      <c r="N217" s="85">
        <f>IF(OR(Y217="估算法",Y217="算法类",Y217="无法识别"),"",IF(X217="",IF(OR(J217="ILF",J217="EIF"),0,""),LEN(X217)-LEN(SUBSTITUTE(X217,"、",""))+1))</f>
        <v/>
      </c>
      <c r="O217" s="85">
        <f>IF(OR(Y217="估算法",Y217="算法类",Y217="无法识别"),"",IF(Y217="",IF(OR(J217="ILF",J217="EIF",J217="EI",J217="EO",J217="EQ"),0,""),LEN(Y217)-LEN(SUBSTITUTE(SUBSTITUTE(SUBSTITUTE(SUBSTITUTE(SUBSTITUTE(Y217,"|}","--"),"{|","--"),CHAR(10),""),"、",""),"|",""))+IF(AND(OR(J217="EI",J217="EO",J217="EQ"),$AE$1="NESMA"),2,1)))</f>
        <v/>
      </c>
      <c r="P217" s="86">
        <f>IF(J217="EI",IF(OR(Y217="估算法",Y217="算法类"),"中",IF(Y217="无法识别","低",IF(M217&lt;2,IF(O217&lt;16,"低","中"),IF(M217&lt;3,IF(O217&lt;5,"低",IF(O217&lt;16,"中","高")),IF(O217&lt;5,"中","高"))))),IF(OR(J217="EO",J217="EQ"),IF(OR(Y217="估算法",Y217="算法类"),"中",IF(Y217="无法识别","低",IF(M217&lt;2,IF(O217&lt;20,"低","中"),IF(M217&lt;4,IF(O217&lt;6,"低",IF(O217&lt;20,"中","高")),IF(O217&lt;6,"中","高"))))),IF(OR(J217="ILF",J217="EIF"),IF(OR(Y217="估算法",Y217="算法类",Y217="无法识别"),"低",IF(N217&lt;2,IF(O217&lt;51,"低","中"),IF(N217&lt;6,IF(O217&lt;20,"低",IF(O217&lt;51,"中","高")),IF(O217&lt;20,"中","高")))),"不计算")))</f>
        <v/>
      </c>
      <c r="Q217" s="172">
        <f>IFERROR(IF(J217="EI",IF(P217="低",3,IF(P217="中",4,6)),IF(J217="EO",IF(P217="低",4,IF(P217="中",5,7)),IF(J217="EQ",IF(P217="低",3,IF(P217="中",4,6)),IF(J217="ILF",IF(P217="低",7,IF(P217="中",10,15)),IF(J217="EIF",IF(P217="低",5,IF(P217="中",7,10)),"不计算")))))*R217,"不计算")</f>
        <v/>
      </c>
      <c r="R217" s="172" t="n">
        <v>1</v>
      </c>
      <c r="S217" s="173">
        <f>调整因子!$F$13</f>
        <v/>
      </c>
      <c r="T217" s="92" t="n">
        <v>1</v>
      </c>
      <c r="U217" s="174">
        <f>IFERROR(Q217*S217,0)</f>
        <v/>
      </c>
      <c r="V217" s="174">
        <f>U217*T217</f>
        <v/>
      </c>
      <c r="W217" s="90" t="inlineStr">
        <is>
          <t>插件漏洞表</t>
        </is>
      </c>
      <c r="X217" s="91" t="n"/>
      <c r="Y217" s="90" t="inlineStr">
        <is>
          <t>插件漏洞表{漏洞ID、插件ID、漏洞名称、描述、发现时间}</t>
        </is>
      </c>
      <c r="Z217" s="90" t="n"/>
      <c r="AA217" s="90" t="n"/>
      <c r="AB217" s="103" t="inlineStr">
        <is>
          <t>资产扫描覆盖表、扫描盲区记录表、扫描能力缺口表、离线扫描报告表</t>
        </is>
      </c>
      <c r="AC217" s="66" t="n"/>
    </row>
    <row r="218" customFormat="1" s="66">
      <c r="A218" s="72">
        <f>ROW()-1</f>
        <v/>
      </c>
      <c r="B218" s="175" t="n"/>
      <c r="C218" s="80" t="n">
        <v>2025</v>
      </c>
      <c r="D218" s="80" t="inlineStr">
        <is>
          <t>张明峰</t>
        </is>
      </c>
      <c r="E218" s="81">
        <f>VLOOKUP(I218,'25年交付功能（不含废弃）'!A:A,1,FALSE)</f>
        <v/>
      </c>
      <c r="F218" s="175" t="n"/>
      <c r="G218" s="175" t="n"/>
      <c r="H218" s="175" t="n"/>
      <c r="I218" s="98" t="inlineStr">
        <is>
          <t>插件基础安全性审核</t>
        </is>
      </c>
      <c r="J218" s="93" t="n"/>
      <c r="K218" s="84" t="inlineStr">
        <is>
          <t>删除</t>
        </is>
      </c>
      <c r="L218" s="84" t="inlineStr">
        <is>
          <t>审核流程分支，合并</t>
        </is>
      </c>
      <c r="M218" s="85">
        <f>IF(OR(Y218="估算法",Y218="算法类",Y218="无法识别"),"",IF(W218="",IF(OR(J218="EI",J218="EO",J218="EQ"),0,""),LEN(W218)-LEN(SUBSTITUTE(W218,"、",""))+1))</f>
        <v/>
      </c>
      <c r="N218" s="85">
        <f>IF(OR(Y218="估算法",Y218="算法类",Y218="无法识别"),"",IF(X218="",IF(OR(J218="ILF",J218="EIF"),0,""),LEN(X218)-LEN(SUBSTITUTE(X218,"、",""))+1))</f>
        <v/>
      </c>
      <c r="O218" s="85">
        <f>IF(OR(Y218="估算法",Y218="算法类",Y218="无法识别"),"",IF(Y218="",IF(OR(J218="ILF",J218="EIF",J218="EI",J218="EO",J218="EQ"),0,""),LEN(Y218)-LEN(SUBSTITUTE(SUBSTITUTE(SUBSTITUTE(SUBSTITUTE(SUBSTITUTE(Y218,"|}","--"),"{|","--"),CHAR(10),""),"、",""),"|",""))+IF(AND(OR(J218="EI",J218="EO",J218="EQ"),$AE$1="NESMA"),2,1)))</f>
        <v/>
      </c>
      <c r="P218" s="86">
        <f>IF(J218="EI",IF(OR(Y218="估算法",Y218="算法类"),"中",IF(Y218="无法识别","低",IF(M218&lt;2,IF(O218&lt;16,"低","中"),IF(M218&lt;3,IF(O218&lt;5,"低",IF(O218&lt;16,"中","高")),IF(O218&lt;5,"中","高"))))),IF(OR(J218="EO",J218="EQ"),IF(OR(Y218="估算法",Y218="算法类"),"中",IF(Y218="无法识别","低",IF(M218&lt;2,IF(O218&lt;20,"低","中"),IF(M218&lt;4,IF(O218&lt;6,"低",IF(O218&lt;20,"中","高")),IF(O218&lt;6,"中","高"))))),IF(OR(J218="ILF",J218="EIF"),IF(OR(Y218="估算法",Y218="算法类",Y218="无法识别"),"低",IF(N218&lt;2,IF(O218&lt;51,"低","中"),IF(N218&lt;6,IF(O218&lt;20,"低",IF(O218&lt;51,"中","高")),IF(O218&lt;20,"中","高")))),"不计算")))</f>
        <v/>
      </c>
      <c r="Q218" s="172">
        <f>IFERROR(IF(J218="EI",IF(P218="低",3,IF(P218="中",4,6)),IF(J218="EO",IF(P218="低",4,IF(P218="中",5,7)),IF(J218="EQ",IF(P218="低",3,IF(P218="中",4,6)),IF(J218="ILF",IF(P218="低",7,IF(P218="中",10,15)),IF(J218="EIF",IF(P218="低",5,IF(P218="中",7,10)),"不计算")))))*R218,"不计算")</f>
        <v/>
      </c>
      <c r="R218" s="172" t="n">
        <v>1</v>
      </c>
      <c r="S218" s="173">
        <f>调整因子!$F$13</f>
        <v/>
      </c>
      <c r="T218" s="92" t="n">
        <v>1</v>
      </c>
      <c r="U218" s="174">
        <f>IFERROR(Q218*S218,0)</f>
        <v/>
      </c>
      <c r="V218" s="174">
        <f>U218*T218</f>
        <v/>
      </c>
      <c r="W218" s="90" t="inlineStr">
        <is>
          <t>插件审核表、数据库变更日志表、数据库变更日志锁表、插件漏洞表、属性配置表</t>
        </is>
      </c>
      <c r="X218" s="91" t="n"/>
      <c r="Y218" s="90" t="inlineStr">
        <is>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is>
      </c>
      <c r="Z218" s="90" t="n"/>
      <c r="AA218" s="90" t="n"/>
      <c r="AB218" s="103" t="inlineStr">
        <is>
          <t>资产扫描覆盖表、扫描盲区记录表、扫描能力缺口表、离线扫描报告表</t>
        </is>
      </c>
      <c r="AC218" s="66" t="n"/>
    </row>
    <row r="219" customFormat="1" s="66">
      <c r="A219" s="72">
        <f>ROW()-1</f>
        <v/>
      </c>
      <c r="B219" s="175" t="n"/>
      <c r="C219" s="80" t="n">
        <v>2025</v>
      </c>
      <c r="D219" s="80" t="inlineStr">
        <is>
          <t>张明峰</t>
        </is>
      </c>
      <c r="E219" s="81">
        <f>VLOOKUP(I219,'25年交付功能（不含废弃）'!A:A,1,FALSE)</f>
        <v/>
      </c>
      <c r="F219" s="175" t="n"/>
      <c r="G219" s="175" t="n"/>
      <c r="H219" s="175" t="n"/>
      <c r="I219" s="98" t="inlineStr">
        <is>
          <t>插件等级评定</t>
        </is>
      </c>
      <c r="J219" s="93" t="n"/>
      <c r="K219" s="84" t="inlineStr">
        <is>
          <t>删除</t>
        </is>
      </c>
      <c r="L219" s="84" t="inlineStr">
        <is>
          <t>审核流程分支，合并</t>
        </is>
      </c>
      <c r="M219" s="85">
        <f>IF(OR(Y219="估算法",Y219="算法类",Y219="无法识别"),"",IF(W219="",IF(OR(J219="EI",J219="EO",J219="EQ"),0,""),LEN(W219)-LEN(SUBSTITUTE(W219,"、",""))+1))</f>
        <v/>
      </c>
      <c r="N219" s="85">
        <f>IF(OR(Y219="估算法",Y219="算法类",Y219="无法识别"),"",IF(X219="",IF(OR(J219="ILF",J219="EIF"),0,""),LEN(X219)-LEN(SUBSTITUTE(X219,"、",""))+1))</f>
        <v/>
      </c>
      <c r="O219" s="85">
        <f>IF(OR(Y219="估算法",Y219="算法类",Y219="无法识别"),"",IF(Y219="",IF(OR(J219="ILF",J219="EIF",J219="EI",J219="EO",J219="EQ"),0,""),LEN(Y219)-LEN(SUBSTITUTE(SUBSTITUTE(SUBSTITUTE(SUBSTITUTE(SUBSTITUTE(Y219,"|}","--"),"{|","--"),CHAR(10),""),"、",""),"|",""))+IF(AND(OR(J219="EI",J219="EO",J219="EQ"),$AE$1="NESMA"),2,1)))</f>
        <v/>
      </c>
      <c r="P219" s="86">
        <f>IF(J219="EI",IF(OR(Y219="估算法",Y219="算法类"),"中",IF(Y219="无法识别","低",IF(M219&lt;2,IF(O219&lt;16,"低","中"),IF(M219&lt;3,IF(O219&lt;5,"低",IF(O219&lt;16,"中","高")),IF(O219&lt;5,"中","高"))))),IF(OR(J219="EO",J219="EQ"),IF(OR(Y219="估算法",Y219="算法类"),"中",IF(Y219="无法识别","低",IF(M219&lt;2,IF(O219&lt;20,"低","中"),IF(M219&lt;4,IF(O219&lt;6,"低",IF(O219&lt;20,"中","高")),IF(O219&lt;6,"中","高"))))),IF(OR(J219="ILF",J219="EIF"),IF(OR(Y219="估算法",Y219="算法类",Y219="无法识别"),"低",IF(N219&lt;2,IF(O219&lt;51,"低","中"),IF(N219&lt;6,IF(O219&lt;20,"低",IF(O219&lt;51,"中","高")),IF(O219&lt;20,"中","高")))),"不计算")))</f>
        <v/>
      </c>
      <c r="Q219" s="172">
        <f>IFERROR(IF(J219="EI",IF(P219="低",3,IF(P219="中",4,6)),IF(J219="EO",IF(P219="低",4,IF(P219="中",5,7)),IF(J219="EQ",IF(P219="低",3,IF(P219="中",4,6)),IF(J219="ILF",IF(P219="低",7,IF(P219="中",10,15)),IF(J219="EIF",IF(P219="低",5,IF(P219="中",7,10)),"不计算")))))*R219,"不计算")</f>
        <v/>
      </c>
      <c r="R219" s="172" t="n">
        <v>1</v>
      </c>
      <c r="S219" s="173">
        <f>调整因子!$F$13</f>
        <v/>
      </c>
      <c r="T219" s="93" t="n">
        <v>1</v>
      </c>
      <c r="U219" s="174">
        <f>IFERROR(Q219*S219,0)</f>
        <v/>
      </c>
      <c r="V219" s="174">
        <f>U219*T219</f>
        <v/>
      </c>
      <c r="W219" s="90" t="inlineStr">
        <is>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is>
      </c>
      <c r="X219" s="91" t="n"/>
      <c r="Y219" s="90" t="inlineStr">
        <is>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is>
      </c>
      <c r="Z219" s="90" t="n"/>
      <c r="AA219" s="90" t="n"/>
      <c r="AB219" s="103" t="inlineStr">
        <is>
          <t>资产扫描覆盖表、扫描盲区记录表、扫描能力缺口表</t>
        </is>
      </c>
      <c r="AC219" s="66" t="n"/>
    </row>
    <row r="220" customFormat="1" s="66">
      <c r="A220" s="72">
        <f>ROW()-1</f>
        <v/>
      </c>
      <c r="B220" s="175" t="n"/>
      <c r="C220" s="80" t="n">
        <v>2025</v>
      </c>
      <c r="D220" s="80" t="inlineStr">
        <is>
          <t>张明峰</t>
        </is>
      </c>
      <c r="E220" s="81">
        <f>VLOOKUP(I220,'25年交付功能（不含废弃）'!A:A,1,FALSE)</f>
        <v/>
      </c>
      <c r="F220" s="175" t="n"/>
      <c r="G220" s="175" t="n"/>
      <c r="H220" s="175" t="n"/>
      <c r="I220" s="98" t="inlineStr">
        <is>
          <t>原理检测插件审批</t>
        </is>
      </c>
      <c r="J220" s="93" t="n"/>
      <c r="K220" s="84" t="inlineStr">
        <is>
          <t>删除</t>
        </is>
      </c>
      <c r="L220" s="84" t="inlineStr">
        <is>
          <t>审核流程分支，合并</t>
        </is>
      </c>
      <c r="M220" s="85">
        <f>IF(OR(Y220="估算法",Y220="算法类",Y220="无法识别"),"",IF(W220="",IF(OR(J220="EI",J220="EO",J220="EQ"),0,""),LEN(W220)-LEN(SUBSTITUTE(W220,"、",""))+1))</f>
        <v/>
      </c>
      <c r="N220" s="85">
        <f>IF(OR(Y220="估算法",Y220="算法类",Y220="无法识别"),"",IF(X220="",IF(OR(J220="ILF",J220="EIF"),0,""),LEN(X220)-LEN(SUBSTITUTE(X220,"、",""))+1))</f>
        <v/>
      </c>
      <c r="O220" s="85">
        <f>IF(OR(Y220="估算法",Y220="算法类",Y220="无法识别"),"",IF(Y220="",IF(OR(J220="ILF",J220="EIF",J220="EI",J220="EO",J220="EQ"),0,""),LEN(Y220)-LEN(SUBSTITUTE(SUBSTITUTE(SUBSTITUTE(SUBSTITUTE(SUBSTITUTE(Y220,"|}","--"),"{|","--"),CHAR(10),""),"、",""),"|",""))+IF(AND(OR(J220="EI",J220="EO",J220="EQ"),$AE$1="NESMA"),2,1)))</f>
        <v/>
      </c>
      <c r="P220" s="86">
        <f>IF(J220="EI",IF(OR(Y220="估算法",Y220="算法类"),"中",IF(Y220="无法识别","低",IF(M220&lt;2,IF(O220&lt;16,"低","中"),IF(M220&lt;3,IF(O220&lt;5,"低",IF(O220&lt;16,"中","高")),IF(O220&lt;5,"中","高"))))),IF(OR(J220="EO",J220="EQ"),IF(OR(Y220="估算法",Y220="算法类"),"中",IF(Y220="无法识别","低",IF(M220&lt;2,IF(O220&lt;20,"低","中"),IF(M220&lt;4,IF(O220&lt;6,"低",IF(O220&lt;20,"中","高")),IF(O220&lt;6,"中","高"))))),IF(OR(J220="ILF",J220="EIF"),IF(OR(Y220="估算法",Y220="算法类",Y220="无法识别"),"低",IF(N220&lt;2,IF(O220&lt;51,"低","中"),IF(N220&lt;6,IF(O220&lt;20,"低",IF(O220&lt;51,"中","高")),IF(O220&lt;20,"中","高")))),"不计算")))</f>
        <v/>
      </c>
      <c r="Q220" s="172">
        <f>IFERROR(IF(J220="EI",IF(P220="低",3,IF(P220="中",4,6)),IF(J220="EO",IF(P220="低",4,IF(P220="中",5,7)),IF(J220="EQ",IF(P220="低",3,IF(P220="中",4,6)),IF(J220="ILF",IF(P220="低",7,IF(P220="中",10,15)),IF(J220="EIF",IF(P220="低",5,IF(P220="中",7,10)),"不计算")))))*R220,"不计算")</f>
        <v/>
      </c>
      <c r="R220" s="172" t="n">
        <v>1</v>
      </c>
      <c r="S220" s="173">
        <f>调整因子!$F$13</f>
        <v/>
      </c>
      <c r="T220" s="92" t="n">
        <v>1</v>
      </c>
      <c r="U220" s="174">
        <f>IFERROR(Q220*S220,0)</f>
        <v/>
      </c>
      <c r="V220" s="174">
        <f>U220*T220</f>
        <v/>
      </c>
      <c r="W220" s="90" t="inlineStr">
        <is>
          <t>事件数据库变更日志表、事件数据库变更日志锁表、事件定义表、事件部署表、事件资源表、表单定义内容表、表单定义表、表单定义历史表、表单定义单元表、表单类型表</t>
        </is>
      </c>
      <c r="X220" s="91" t="n"/>
      <c r="Y220" s="90" t="inlineStr">
        <is>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is>
      </c>
      <c r="Z220" s="90" t="n"/>
      <c r="AA220" s="90" t="n"/>
      <c r="AB220" s="103" t="inlineStr">
        <is>
          <t>推送规则表、提醒规则表、脱敏规则表、加密规则表、接口参数表</t>
        </is>
      </c>
      <c r="AC220" s="66" t="n"/>
    </row>
    <row r="221" customFormat="1" s="66">
      <c r="A221" s="72" t="n"/>
      <c r="B221" s="175" t="n"/>
      <c r="C221" s="80" t="n"/>
      <c r="D221" s="80" t="inlineStr">
        <is>
          <t>张明峰</t>
        </is>
      </c>
      <c r="E221" s="81" t="n"/>
      <c r="F221" s="175" t="n"/>
      <c r="G221" s="175" t="n"/>
      <c r="H221" s="175" t="n"/>
      <c r="I221" s="98" t="inlineStr">
        <is>
          <t>插件内容安全检测</t>
        </is>
      </c>
      <c r="J221" s="93" t="inlineStr">
        <is>
          <t>EI</t>
        </is>
      </c>
      <c r="K221" s="99" t="inlineStr">
        <is>
          <t>新增</t>
        </is>
      </c>
      <c r="L221" s="84" t="n"/>
      <c r="M221" s="85" t="n"/>
      <c r="N221" s="85" t="n"/>
      <c r="O221" s="85" t="n"/>
      <c r="P221" s="86" t="n"/>
      <c r="Q221" s="172" t="n"/>
      <c r="R221" s="172" t="n"/>
      <c r="S221" s="173" t="n"/>
      <c r="T221" s="92" t="n"/>
      <c r="U221" s="174" t="n"/>
      <c r="V221" s="174" t="n"/>
      <c r="W221" s="90" t="n"/>
      <c r="X221" s="91" t="n"/>
      <c r="Y221" s="90" t="n"/>
      <c r="Z221" s="90" t="n"/>
      <c r="AA221" s="90" t="n"/>
      <c r="AB221" s="103" t="n"/>
      <c r="AC221" s="66" t="n"/>
    </row>
    <row r="222" customFormat="1" s="66">
      <c r="A222" s="72" t="n"/>
      <c r="B222" s="175" t="n"/>
      <c r="C222" s="80" t="n"/>
      <c r="D222" s="80" t="inlineStr">
        <is>
          <t>张明峰</t>
        </is>
      </c>
      <c r="E222" s="81" t="n"/>
      <c r="F222" s="175" t="n"/>
      <c r="G222" s="175" t="n"/>
      <c r="H222" s="175" t="n"/>
      <c r="I222" s="98" t="inlineStr">
        <is>
          <t>插件内容编译运行</t>
        </is>
      </c>
      <c r="J222" s="93" t="inlineStr">
        <is>
          <t>EI</t>
        </is>
      </c>
      <c r="K222" s="99" t="inlineStr">
        <is>
          <t>新增</t>
        </is>
      </c>
      <c r="L222" s="84" t="n"/>
      <c r="M222" s="85" t="n"/>
      <c r="N222" s="85" t="n"/>
      <c r="O222" s="85" t="n"/>
      <c r="P222" s="86" t="n"/>
      <c r="Q222" s="172" t="n"/>
      <c r="R222" s="172" t="n"/>
      <c r="S222" s="173" t="n"/>
      <c r="T222" s="92" t="n"/>
      <c r="U222" s="174" t="n"/>
      <c r="V222" s="174" t="n"/>
      <c r="W222" s="90" t="n"/>
      <c r="X222" s="91" t="n"/>
      <c r="Y222" s="90" t="n"/>
      <c r="Z222" s="90" t="n"/>
      <c r="AA222" s="90" t="n"/>
      <c r="AB222" s="103" t="n"/>
      <c r="AC222" s="66" t="n"/>
    </row>
    <row r="223" customFormat="1" s="66">
      <c r="A223" s="72" t="n"/>
      <c r="B223" s="175" t="n"/>
      <c r="C223" s="80" t="n"/>
      <c r="D223" s="80" t="inlineStr">
        <is>
          <t>张明峰</t>
        </is>
      </c>
      <c r="E223" s="81" t="n"/>
      <c r="F223" s="175" t="n"/>
      <c r="G223" s="175" t="n"/>
      <c r="H223" s="175" t="n"/>
      <c r="I223" s="98" t="inlineStr">
        <is>
          <t>综合判定插件状态</t>
        </is>
      </c>
      <c r="J223" s="93" t="inlineStr">
        <is>
          <t>EI</t>
        </is>
      </c>
      <c r="K223" s="99" t="inlineStr">
        <is>
          <t>新增</t>
        </is>
      </c>
      <c r="L223" s="84" t="n"/>
      <c r="M223" s="85" t="n"/>
      <c r="N223" s="85" t="n"/>
      <c r="O223" s="85" t="n"/>
      <c r="P223" s="86" t="n"/>
      <c r="Q223" s="172" t="n"/>
      <c r="R223" s="172" t="n"/>
      <c r="S223" s="173" t="n"/>
      <c r="T223" s="92" t="n"/>
      <c r="U223" s="174" t="n"/>
      <c r="V223" s="174" t="n"/>
      <c r="W223" s="90" t="n"/>
      <c r="X223" s="91" t="n"/>
      <c r="Y223" s="90" t="n"/>
      <c r="Z223" s="90" t="n"/>
      <c r="AA223" s="90" t="n"/>
      <c r="AB223" s="103" t="n"/>
      <c r="AC223" s="66" t="n"/>
    </row>
    <row r="224" customFormat="1" s="66">
      <c r="A224" s="72">
        <f>ROW()-1</f>
        <v/>
      </c>
      <c r="B224" s="175" t="n"/>
      <c r="C224" s="80" t="n">
        <v>2025</v>
      </c>
      <c r="D224" s="80" t="inlineStr">
        <is>
          <t>张明峰</t>
        </is>
      </c>
      <c r="E224" s="81">
        <f>VLOOKUP(I224,'25年交付功能（不含废弃）'!A:A,1,FALSE)</f>
        <v/>
      </c>
      <c r="F224" s="175" t="n"/>
      <c r="G224" s="175" t="n"/>
      <c r="H224" s="175" t="n"/>
      <c r="I224" s="98" t="inlineStr">
        <is>
          <t>查看插件审核审计日志</t>
        </is>
      </c>
      <c r="J224" s="93" t="inlineStr">
        <is>
          <t>EQ</t>
        </is>
      </c>
      <c r="K224" s="84" t="n"/>
      <c r="L224" s="84" t="n"/>
      <c r="M224" s="85">
        <f>IF(OR(Y224="估算法",Y224="算法类",Y224="无法识别"),"",IF(W224="",IF(OR(J224="EI",J224="EO",J224="EQ"),0,""),LEN(W224)-LEN(SUBSTITUTE(W224,"、",""))+1))</f>
        <v/>
      </c>
      <c r="N224" s="85">
        <f>IF(OR(Y224="估算法",Y224="算法类",Y224="无法识别"),"",IF(X224="",IF(OR(J224="ILF",J224="EIF"),0,""),LEN(X224)-LEN(SUBSTITUTE(X224,"、",""))+1))</f>
        <v/>
      </c>
      <c r="O224" s="85">
        <f>IF(OR(Y224="估算法",Y224="算法类",Y224="无法识别"),"",IF(Y224="",IF(OR(J224="ILF",J224="EIF",J224="EI",J224="EO",J224="EQ"),0,""),LEN(Y224)-LEN(SUBSTITUTE(SUBSTITUTE(SUBSTITUTE(SUBSTITUTE(SUBSTITUTE(Y224,"|}","--"),"{|","--"),CHAR(10),""),"、",""),"|",""))+IF(AND(OR(J224="EI",J224="EO",J224="EQ"),$AE$1="NESMA"),2,1)))</f>
        <v/>
      </c>
      <c r="P224" s="86">
        <f>IF(J224="EI",IF(OR(Y224="估算法",Y224="算法类"),"中",IF(Y224="无法识别","低",IF(M224&lt;2,IF(O224&lt;16,"低","中"),IF(M224&lt;3,IF(O224&lt;5,"低",IF(O224&lt;16,"中","高")),IF(O224&lt;5,"中","高"))))),IF(OR(J224="EO",J224="EQ"),IF(OR(Y224="估算法",Y224="算法类"),"中",IF(Y224="无法识别","低",IF(M224&lt;2,IF(O224&lt;20,"低","中"),IF(M224&lt;4,IF(O224&lt;6,"低",IF(O224&lt;20,"中","高")),IF(O224&lt;6,"中","高"))))),IF(OR(J224="ILF",J224="EIF"),IF(OR(Y224="估算法",Y224="算法类",Y224="无法识别"),"低",IF(N224&lt;2,IF(O224&lt;51,"低","中"),IF(N224&lt;6,IF(O224&lt;20,"低",IF(O224&lt;51,"中","高")),IF(O224&lt;20,"中","高")))),"不计算")))</f>
        <v/>
      </c>
      <c r="Q224" s="172">
        <f>IFERROR(IF(J224="EI",IF(P224="低",3,IF(P224="中",4,6)),IF(J224="EO",IF(P224="低",4,IF(P224="中",5,7)),IF(J224="EQ",IF(P224="低",3,IF(P224="中",4,6)),IF(J224="ILF",IF(P224="低",7,IF(P224="中",10,15)),IF(J224="EIF",IF(P224="低",5,IF(P224="中",7,10)),"不计算")))))*R224,"不计算")</f>
        <v/>
      </c>
      <c r="R224" s="172" t="n">
        <v>1</v>
      </c>
      <c r="S224" s="173">
        <f>调整因子!$F$13</f>
        <v/>
      </c>
      <c r="T224" s="92" t="n">
        <v>1</v>
      </c>
      <c r="U224" s="174">
        <f>IFERROR(Q224*S224,0)</f>
        <v/>
      </c>
      <c r="V224" s="174">
        <f>U224*T224</f>
        <v/>
      </c>
      <c r="W224" s="90" t="inlineStr">
        <is>
          <t>历史附件表、历史评论表、历史详情表、历史实体链接表、历史身份链接表、历史流程实例表、历史任务实例表、历史任务日志表、历史变量实例表、历史作业表</t>
        </is>
      </c>
      <c r="X224" s="91" t="n"/>
      <c r="Y224" s="90" t="inlineStr">
        <is>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is>
      </c>
      <c r="Z224" s="90" t="n"/>
      <c r="AA224" s="90" t="n"/>
      <c r="AB224" s="103" t="inlineStr">
        <is>
          <t>推送规则表、提醒规则表、脱敏规则表、加密规则表、任务日志表</t>
        </is>
      </c>
      <c r="AC224" s="66" t="n"/>
    </row>
    <row r="225" customFormat="1" s="66">
      <c r="A225" s="72">
        <f>ROW()-1</f>
        <v/>
      </c>
      <c r="B225" s="175" t="n"/>
      <c r="C225" s="80" t="n">
        <v>2025</v>
      </c>
      <c r="D225" s="80" t="inlineStr">
        <is>
          <t>张明峰</t>
        </is>
      </c>
      <c r="E225" s="81">
        <f>VLOOKUP(I225,'25年交付功能（不含废弃）'!A:A,1,FALSE)</f>
        <v/>
      </c>
      <c r="F225" s="175" t="n"/>
      <c r="G225" s="175" t="n"/>
      <c r="H225" s="175" t="n"/>
      <c r="I225" s="98" t="inlineStr">
        <is>
          <t>提交部侧审核原理插件流程</t>
        </is>
      </c>
      <c r="J225" s="93" t="inlineStr">
        <is>
          <t>EI</t>
        </is>
      </c>
      <c r="K225" s="84" t="n"/>
      <c r="L225" s="84" t="n"/>
      <c r="M225" s="85">
        <f>IF(OR(Y225="估算法",Y225="算法类",Y225="无法识别"),"",IF(W225="",IF(OR(J225="EI",J225="EO",J225="EQ"),0,""),LEN(W225)-LEN(SUBSTITUTE(W225,"、",""))+1))</f>
        <v/>
      </c>
      <c r="N225" s="85">
        <f>IF(OR(Y225="估算法",Y225="算法类",Y225="无法识别"),"",IF(X225="",IF(OR(J225="ILF",J225="EIF"),0,""),LEN(X225)-LEN(SUBSTITUTE(X225,"、",""))+1))</f>
        <v/>
      </c>
      <c r="O225" s="85">
        <f>IF(OR(Y225="估算法",Y225="算法类",Y225="无法识别"),"",IF(Y225="",IF(OR(J225="ILF",J225="EIF",J225="EI",J225="EO",J225="EQ"),0,""),LEN(Y225)-LEN(SUBSTITUTE(SUBSTITUTE(SUBSTITUTE(SUBSTITUTE(SUBSTITUTE(Y225,"|}","--"),"{|","--"),CHAR(10),""),"、",""),"|",""))+IF(AND(OR(J225="EI",J225="EO",J225="EQ"),$AE$1="NESMA"),2,1)))</f>
        <v/>
      </c>
      <c r="P225" s="86">
        <f>IF(J225="EI",IF(OR(Y225="估算法",Y225="算法类"),"中",IF(Y225="无法识别","低",IF(M225&lt;2,IF(O225&lt;16,"低","中"),IF(M225&lt;3,IF(O225&lt;5,"低",IF(O225&lt;16,"中","高")),IF(O225&lt;5,"中","高"))))),IF(OR(J225="EO",J225="EQ"),IF(OR(Y225="估算法",Y225="算法类"),"中",IF(Y225="无法识别","低",IF(M225&lt;2,IF(O225&lt;20,"低","中"),IF(M225&lt;4,IF(O225&lt;6,"低",IF(O225&lt;20,"中","高")),IF(O225&lt;6,"中","高"))))),IF(OR(J225="ILF",J225="EIF"),IF(OR(Y225="估算法",Y225="算法类",Y225="无法识别"),"低",IF(N225&lt;2,IF(O225&lt;51,"低","中"),IF(N225&lt;6,IF(O225&lt;20,"低",IF(O225&lt;51,"中","高")),IF(O225&lt;20,"中","高")))),"不计算")))</f>
        <v/>
      </c>
      <c r="Q225" s="172">
        <f>IFERROR(IF(J225="EI",IF(P225="低",3,IF(P225="中",4,6)),IF(J225="EO",IF(P225="低",4,IF(P225="中",5,7)),IF(J225="EQ",IF(P225="低",3,IF(P225="中",4,6)),IF(J225="ILF",IF(P225="低",7,IF(P225="中",10,15)),IF(J225="EIF",IF(P225="低",5,IF(P225="中",7,10)),"不计算")))))*R225,"不计算")</f>
        <v/>
      </c>
      <c r="R225" s="172" t="n">
        <v>1</v>
      </c>
      <c r="S225" s="173">
        <f>调整因子!$F$13</f>
        <v/>
      </c>
      <c r="T225" s="93" t="n">
        <v>1</v>
      </c>
      <c r="U225" s="174">
        <f>IFERROR(Q225*S225,0)</f>
        <v/>
      </c>
      <c r="V225" s="174">
        <f>U225*T225</f>
        <v/>
      </c>
      <c r="W225" s="90" t="inlineStr">
        <is>
          <t>插件部侧审核接口请求文件、指纹参数文件、数据库变更日志表、数据库变更日志锁表</t>
        </is>
      </c>
      <c r="X225" s="91" t="n"/>
      <c r="Y225" s="90" t="inlineStr">
        <is>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is>
      </c>
      <c r="Z225" s="90" t="n"/>
      <c r="AA225" s="90" t="n"/>
      <c r="AB225" s="103" t="inlineStr">
        <is>
          <t>日志采集配置表、推送配置表、接口参数配置表、指标阈值表</t>
        </is>
      </c>
      <c r="AC225" s="66" t="n"/>
    </row>
    <row r="226" customFormat="1" s="66">
      <c r="A226" s="72">
        <f>ROW()-1</f>
        <v/>
      </c>
      <c r="B226" s="175" t="n"/>
      <c r="C226" s="80" t="n">
        <v>2025</v>
      </c>
      <c r="D226" s="80" t="inlineStr">
        <is>
          <t>张明峰</t>
        </is>
      </c>
      <c r="E226" s="81">
        <f>VLOOKUP(I226,'25年交付功能（不含废弃）'!A:A,1,FALSE)</f>
        <v/>
      </c>
      <c r="F226" s="175" t="n"/>
      <c r="G226" s="175" t="n"/>
      <c r="H226" s="175" t="n"/>
      <c r="I226" s="98" t="inlineStr">
        <is>
          <t>部侧调用企业测接口同步审核结果</t>
        </is>
      </c>
      <c r="J226" s="93" t="inlineStr">
        <is>
          <t>EI</t>
        </is>
      </c>
      <c r="K226" s="84" t="n"/>
      <c r="L226" s="84" t="n"/>
      <c r="M226" s="85">
        <f>IF(OR(Y226="估算法",Y226="算法类",Y226="无法识别"),"",IF(W226="",IF(OR(J226="EI",J226="EO",J226="EQ"),0,""),LEN(W226)-LEN(SUBSTITUTE(W226,"、",""))+1))</f>
        <v/>
      </c>
      <c r="N226" s="85">
        <f>IF(OR(Y226="估算法",Y226="算法类",Y226="无法识别"),"",IF(X226="",IF(OR(J226="ILF",J226="EIF"),0,""),LEN(X226)-LEN(SUBSTITUTE(X226,"、",""))+1))</f>
        <v/>
      </c>
      <c r="O226" s="85">
        <f>IF(OR(Y226="估算法",Y226="算法类",Y226="无法识别"),"",IF(Y226="",IF(OR(J226="ILF",J226="EIF",J226="EI",J226="EO",J226="EQ"),0,""),LEN(Y226)-LEN(SUBSTITUTE(SUBSTITUTE(SUBSTITUTE(SUBSTITUTE(SUBSTITUTE(Y226,"|}","--"),"{|","--"),CHAR(10),""),"、",""),"|",""))+IF(AND(OR(J226="EI",J226="EO",J226="EQ"),$AE$1="NESMA"),2,1)))</f>
        <v/>
      </c>
      <c r="P226" s="86">
        <f>IF(J226="EI",IF(OR(Y226="估算法",Y226="算法类"),"中",IF(Y226="无法识别","低",IF(M226&lt;2,IF(O226&lt;16,"低","中"),IF(M226&lt;3,IF(O226&lt;5,"低",IF(O226&lt;16,"中","高")),IF(O226&lt;5,"中","高"))))),IF(OR(J226="EO",J226="EQ"),IF(OR(Y226="估算法",Y226="算法类"),"中",IF(Y226="无法识别","低",IF(M226&lt;2,IF(O226&lt;20,"低","中"),IF(M226&lt;4,IF(O226&lt;6,"低",IF(O226&lt;20,"中","高")),IF(O226&lt;6,"中","高"))))),IF(OR(J226="ILF",J226="EIF"),IF(OR(Y226="估算法",Y226="算法类",Y226="无法识别"),"低",IF(N226&lt;2,IF(O226&lt;51,"低","中"),IF(N226&lt;6,IF(O226&lt;20,"低",IF(O226&lt;51,"中","高")),IF(O226&lt;20,"中","高")))),"不计算")))</f>
        <v/>
      </c>
      <c r="Q226" s="172">
        <f>IFERROR(IF(J226="EI",IF(P226="低",3,IF(P226="中",4,6)),IF(J226="EO",IF(P226="低",4,IF(P226="中",5,7)),IF(J226="EQ",IF(P226="低",3,IF(P226="中",4,6)),IF(J226="ILF",IF(P226="低",7,IF(P226="中",10,15)),IF(J226="EIF",IF(P226="低",5,IF(P226="中",7,10)),"不计算")))))*R226,"不计算")</f>
        <v/>
      </c>
      <c r="R226" s="172" t="n">
        <v>1</v>
      </c>
      <c r="S226" s="173">
        <f>调整因子!$F$13</f>
        <v/>
      </c>
      <c r="T226" s="92" t="n">
        <v>1</v>
      </c>
      <c r="U226" s="174">
        <f>IFERROR(Q226*S226,0)</f>
        <v/>
      </c>
      <c r="V226" s="174">
        <f>U226*T226</f>
        <v/>
      </c>
      <c r="W226" s="90" t="inlineStr">
        <is>
          <t>插件部侧审核接口回参文件、指纹参数文件、数据库变更日志表、数据库变更日志锁表</t>
        </is>
      </c>
      <c r="X226" s="91" t="n"/>
      <c r="Y226" s="90" t="inlineStr">
        <is>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is>
      </c>
      <c r="Z226" s="90" t="n"/>
      <c r="AA226" s="90" t="n"/>
      <c r="AB226" s="103" t="inlineStr">
        <is>
          <t>推送规则表、提醒规则表、脱敏规则表、加密规则表、资产扫描覆盖表</t>
        </is>
      </c>
      <c r="AC226" s="66" t="n"/>
    </row>
    <row r="227" customFormat="1" s="66">
      <c r="A227" s="72">
        <f>ROW()-1</f>
        <v/>
      </c>
      <c r="B227" s="175" t="n"/>
      <c r="C227" s="80" t="n">
        <v>2025</v>
      </c>
      <c r="D227" s="80" t="inlineStr">
        <is>
          <t>张明峰</t>
        </is>
      </c>
      <c r="E227" s="81">
        <f>VLOOKUP(I227,'25年交付功能（不含废弃）'!A:A,1,FALSE)</f>
        <v/>
      </c>
      <c r="F227" s="175" t="n"/>
      <c r="G227" s="175" t="n"/>
      <c r="H227" s="175" t="n"/>
      <c r="I227" s="98" t="inlineStr">
        <is>
          <t>插件添加本地产品漏洞</t>
        </is>
      </c>
      <c r="J227" s="93" t="inlineStr">
        <is>
          <t>EI</t>
        </is>
      </c>
      <c r="K227" s="84" t="n"/>
      <c r="L227" s="84" t="n"/>
      <c r="M227" s="85">
        <f>IF(OR(Y227="估算法",Y227="算法类",Y227="无法识别"),"",IF(W227="",IF(OR(J227="EI",J227="EO",J227="EQ"),0,""),LEN(W227)-LEN(SUBSTITUTE(W227,"、",""))+1))</f>
        <v/>
      </c>
      <c r="N227" s="85">
        <f>IF(OR(Y227="估算法",Y227="算法类",Y227="无法识别"),"",IF(X227="",IF(OR(J227="ILF",J227="EIF"),0,""),LEN(X227)-LEN(SUBSTITUTE(X227,"、",""))+1))</f>
        <v/>
      </c>
      <c r="O227" s="85">
        <f>IF(OR(Y227="估算法",Y227="算法类",Y227="无法识别"),"",IF(Y227="",IF(OR(J227="ILF",J227="EIF",J227="EI",J227="EO",J227="EQ"),0,""),LEN(Y227)-LEN(SUBSTITUTE(SUBSTITUTE(SUBSTITUTE(SUBSTITUTE(SUBSTITUTE(Y227,"|}","--"),"{|","--"),CHAR(10),""),"、",""),"|",""))+IF(AND(OR(J227="EI",J227="EO",J227="EQ"),$AE$1="NESMA"),2,1)))</f>
        <v/>
      </c>
      <c r="P227" s="86">
        <f>IF(J227="EI",IF(OR(Y227="估算法",Y227="算法类"),"中",IF(Y227="无法识别","低",IF(M227&lt;2,IF(O227&lt;16,"低","中"),IF(M227&lt;3,IF(O227&lt;5,"低",IF(O227&lt;16,"中","高")),IF(O227&lt;5,"中","高"))))),IF(OR(J227="EO",J227="EQ"),IF(OR(Y227="估算法",Y227="算法类"),"中",IF(Y227="无法识别","低",IF(M227&lt;2,IF(O227&lt;20,"低","中"),IF(M227&lt;4,IF(O227&lt;6,"低",IF(O227&lt;20,"中","高")),IF(O227&lt;6,"中","高"))))),IF(OR(J227="ILF",J227="EIF"),IF(OR(Y227="估算法",Y227="算法类",Y227="无法识别"),"低",IF(N227&lt;2,IF(O227&lt;51,"低","中"),IF(N227&lt;6,IF(O227&lt;20,"低",IF(O227&lt;51,"中","高")),IF(O227&lt;20,"中","高")))),"不计算")))</f>
        <v/>
      </c>
      <c r="Q227" s="172">
        <f>IFERROR(IF(J227="EI",IF(P227="低",3,IF(P227="中",4,6)),IF(J227="EO",IF(P227="低",4,IF(P227="中",5,7)),IF(J227="EQ",IF(P227="低",3,IF(P227="中",4,6)),IF(J227="ILF",IF(P227="低",7,IF(P227="中",10,15)),IF(J227="EIF",IF(P227="低",5,IF(P227="中",7,10)),"不计算")))))*R227,"不计算")</f>
        <v/>
      </c>
      <c r="R227" s="172" t="n">
        <v>1</v>
      </c>
      <c r="S227" s="173">
        <f>调整因子!$F$13</f>
        <v/>
      </c>
      <c r="T227" s="92" t="n">
        <v>1</v>
      </c>
      <c r="U227" s="174">
        <f>IFERROR(Q227*S227,0)</f>
        <v/>
      </c>
      <c r="V227" s="174">
        <f>U227*T227</f>
        <v/>
      </c>
      <c r="W227" s="90" t="inlineStr">
        <is>
          <t>插件漏洞表、插件审核表、数据库变更日志表、数据库变更日志锁表</t>
        </is>
      </c>
      <c r="X227" s="91" t="n"/>
      <c r="Y227" s="90" t="inlineStr">
        <is>
          <t>插件漏洞表{漏洞ID、插件ID、漏洞名称、描述、发现时间}、插件审核表{审核ID、插件ID、审核内容、审核时间}、数据库变更日志锁表{锁ID、锁定状态、锁定时间、数据库变更日志表{日志ID、变更内容、变更时间}</t>
        </is>
      </c>
      <c r="Z227" s="90" t="n"/>
      <c r="AA227" s="90" t="n"/>
      <c r="AB227" s="103" t="inlineStr">
        <is>
          <t>推送规则表、提醒规则表、脱敏规则表</t>
        </is>
      </c>
      <c r="AC227" s="66" t="n"/>
    </row>
    <row r="228" customFormat="1" s="66">
      <c r="A228" s="72">
        <f>ROW()-1</f>
        <v/>
      </c>
      <c r="B228" s="175" t="n"/>
      <c r="C228" s="80" t="n">
        <v>2025</v>
      </c>
      <c r="D228" s="80" t="inlineStr">
        <is>
          <t>张明峰</t>
        </is>
      </c>
      <c r="E228" s="81">
        <f>VLOOKUP(I228,'25年交付功能（不含废弃）'!A:A,1,FALSE)</f>
        <v/>
      </c>
      <c r="F228" s="175" t="n"/>
      <c r="G228" s="175" t="n"/>
      <c r="H228" s="175" t="n"/>
      <c r="I228" s="98" t="inlineStr">
        <is>
          <t>插件修改本地产品漏洞</t>
        </is>
      </c>
      <c r="J228" s="93" t="inlineStr">
        <is>
          <t>EI</t>
        </is>
      </c>
      <c r="K228" s="84" t="n"/>
      <c r="L228" s="84" t="n"/>
      <c r="M228" s="85">
        <f>IF(OR(Y228="估算法",Y228="算法类",Y228="无法识别"),"",IF(W228="",IF(OR(J228="EI",J228="EO",J228="EQ"),0,""),LEN(W228)-LEN(SUBSTITUTE(W228,"、",""))+1))</f>
        <v/>
      </c>
      <c r="N228" s="85">
        <f>IF(OR(Y228="估算法",Y228="算法类",Y228="无法识别"),"",IF(X228="",IF(OR(J228="ILF",J228="EIF"),0,""),LEN(X228)-LEN(SUBSTITUTE(X228,"、",""))+1))</f>
        <v/>
      </c>
      <c r="O228" s="85">
        <f>IF(OR(Y228="估算法",Y228="算法类",Y228="无法识别"),"",IF(Y228="",IF(OR(J228="ILF",J228="EIF",J228="EI",J228="EO",J228="EQ"),0,""),LEN(Y228)-LEN(SUBSTITUTE(SUBSTITUTE(SUBSTITUTE(SUBSTITUTE(SUBSTITUTE(Y228,"|}","--"),"{|","--"),CHAR(10),""),"、",""),"|",""))+IF(AND(OR(J228="EI",J228="EO",J228="EQ"),$AE$1="NESMA"),2,1)))</f>
        <v/>
      </c>
      <c r="P228" s="86">
        <f>IF(J228="EI",IF(OR(Y228="估算法",Y228="算法类"),"中",IF(Y228="无法识别","低",IF(M228&lt;2,IF(O228&lt;16,"低","中"),IF(M228&lt;3,IF(O228&lt;5,"低",IF(O228&lt;16,"中","高")),IF(O228&lt;5,"中","高"))))),IF(OR(J228="EO",J228="EQ"),IF(OR(Y228="估算法",Y228="算法类"),"中",IF(Y228="无法识别","低",IF(M228&lt;2,IF(O228&lt;20,"低","中"),IF(M228&lt;4,IF(O228&lt;6,"低",IF(O228&lt;20,"中","高")),IF(O228&lt;6,"中","高"))))),IF(OR(J228="ILF",J228="EIF"),IF(OR(Y228="估算法",Y228="算法类",Y228="无法识别"),"低",IF(N228&lt;2,IF(O228&lt;51,"低","中"),IF(N228&lt;6,IF(O228&lt;20,"低",IF(O228&lt;51,"中","高")),IF(O228&lt;20,"中","高")))),"不计算")))</f>
        <v/>
      </c>
      <c r="Q228" s="172">
        <f>IFERROR(IF(J228="EI",IF(P228="低",3,IF(P228="中",4,6)),IF(J228="EO",IF(P228="低",4,IF(P228="中",5,7)),IF(J228="EQ",IF(P228="低",3,IF(P228="中",4,6)),IF(J228="ILF",IF(P228="低",7,IF(P228="中",10,15)),IF(J228="EIF",IF(P228="低",5,IF(P228="中",7,10)),"不计算")))))*R228,"不计算")</f>
        <v/>
      </c>
      <c r="R228" s="172" t="n">
        <v>0.333333333333333</v>
      </c>
      <c r="S228" s="173">
        <f>调整因子!$F$13</f>
        <v/>
      </c>
      <c r="T228" s="93" t="n">
        <v>1</v>
      </c>
      <c r="U228" s="174">
        <f>IFERROR(Q228*S228,0)</f>
        <v/>
      </c>
      <c r="V228" s="174">
        <f>U228*T228</f>
        <v/>
      </c>
      <c r="W228" s="90" t="inlineStr">
        <is>
          <t>插件审核表、数据库变更日志表、数据库变更日志锁表、插件漏洞表</t>
        </is>
      </c>
      <c r="X228" s="91" t="n"/>
      <c r="Y228" s="90" t="inlineStr">
        <is>
          <t>插件漏洞表{漏洞ID、插件ID、漏洞名称、描述、发现时间}、插件审核表{审核ID、插件ID、审核内容、审核时间}、数据库变更日志锁表{锁ID、锁定状态、锁定时间、数据库变更日志表{日志ID、变更内容、变更时间}</t>
        </is>
      </c>
      <c r="Z228" s="90" t="n"/>
      <c r="AA228" s="90" t="n"/>
      <c r="AB228" s="103" t="inlineStr">
        <is>
          <t>推送规则表、提醒规则表、脱敏规则表、加密规则表</t>
        </is>
      </c>
      <c r="AC228" s="66" t="n"/>
    </row>
    <row r="229" customFormat="1" s="66">
      <c r="A229" s="72">
        <f>ROW()-1</f>
        <v/>
      </c>
      <c r="B229" s="175" t="n"/>
      <c r="C229" s="80" t="n">
        <v>2025</v>
      </c>
      <c r="D229" s="80" t="inlineStr">
        <is>
          <t>张明峰</t>
        </is>
      </c>
      <c r="E229" s="81">
        <f>VLOOKUP(I229,'25年交付功能（不含废弃）'!A:A,1,FALSE)</f>
        <v/>
      </c>
      <c r="F229" s="175" t="n"/>
      <c r="G229" s="175" t="n"/>
      <c r="H229" s="175" t="n"/>
      <c r="I229" s="98" t="inlineStr">
        <is>
          <t>插件删除本地产品漏洞</t>
        </is>
      </c>
      <c r="J229" s="93" t="inlineStr">
        <is>
          <t>EI</t>
        </is>
      </c>
      <c r="K229" s="84" t="n"/>
      <c r="L229" s="84" t="n"/>
      <c r="M229" s="85">
        <f>IF(OR(Y229="估算法",Y229="算法类",Y229="无法识别"),"",IF(W229="",IF(OR(J229="EI",J229="EO",J229="EQ"),0,""),LEN(W229)-LEN(SUBSTITUTE(W229,"、",""))+1))</f>
        <v/>
      </c>
      <c r="N229" s="85">
        <f>IF(OR(Y229="估算法",Y229="算法类",Y229="无法识别"),"",IF(X229="",IF(OR(J229="ILF",J229="EIF"),0,""),LEN(X229)-LEN(SUBSTITUTE(X229,"、",""))+1))</f>
        <v/>
      </c>
      <c r="O229" s="85">
        <f>IF(OR(Y229="估算法",Y229="算法类",Y229="无法识别"),"",IF(Y229="",IF(OR(J229="ILF",J229="EIF",J229="EI",J229="EO",J229="EQ"),0,""),LEN(Y229)-LEN(SUBSTITUTE(SUBSTITUTE(SUBSTITUTE(SUBSTITUTE(SUBSTITUTE(Y229,"|}","--"),"{|","--"),CHAR(10),""),"、",""),"|",""))+IF(AND(OR(J229="EI",J229="EO",J229="EQ"),$AE$1="NESMA"),2,1)))</f>
        <v/>
      </c>
      <c r="P229" s="86">
        <f>IF(J229="EI",IF(OR(Y229="估算法",Y229="算法类"),"中",IF(Y229="无法识别","低",IF(M229&lt;2,IF(O229&lt;16,"低","中"),IF(M229&lt;3,IF(O229&lt;5,"低",IF(O229&lt;16,"中","高")),IF(O229&lt;5,"中","高"))))),IF(OR(J229="EO",J229="EQ"),IF(OR(Y229="估算法",Y229="算法类"),"中",IF(Y229="无法识别","低",IF(M229&lt;2,IF(O229&lt;20,"低","中"),IF(M229&lt;4,IF(O229&lt;6,"低",IF(O229&lt;20,"中","高")),IF(O229&lt;6,"中","高"))))),IF(OR(J229="ILF",J229="EIF"),IF(OR(Y229="估算法",Y229="算法类",Y229="无法识别"),"低",IF(N229&lt;2,IF(O229&lt;51,"低","中"),IF(N229&lt;6,IF(O229&lt;20,"低",IF(O229&lt;51,"中","高")),IF(O229&lt;20,"中","高")))),"不计算")))</f>
        <v/>
      </c>
      <c r="Q229" s="172">
        <f>IFERROR(IF(J229="EI",IF(P229="低",3,IF(P229="中",4,6)),IF(J229="EO",IF(P229="低",4,IF(P229="中",5,7)),IF(J229="EQ",IF(P229="低",3,IF(P229="中",4,6)),IF(J229="ILF",IF(P229="低",7,IF(P229="中",10,15)),IF(J229="EIF",IF(P229="低",5,IF(P229="中",7,10)),"不计算")))))*R229,"不计算")</f>
        <v/>
      </c>
      <c r="R229" s="172" t="n">
        <v>0.333333333333333</v>
      </c>
      <c r="S229" s="173">
        <f>调整因子!$F$13</f>
        <v/>
      </c>
      <c r="T229" s="92" t="n">
        <v>1</v>
      </c>
      <c r="U229" s="174">
        <f>IFERROR(Q229*S229,0)</f>
        <v/>
      </c>
      <c r="V229" s="174">
        <f>U229*T229</f>
        <v/>
      </c>
      <c r="W229" s="90" t="inlineStr">
        <is>
          <t>插件漏洞表、插件审核表、数据库变更日志表</t>
        </is>
      </c>
      <c r="X229" s="91" t="n"/>
      <c r="Y229" s="90" t="inlineStr">
        <is>
          <t>插件漏洞表{漏洞ID、插件ID、漏洞名称、描述、发现时间}、插件审核表{审核ID、插件ID、审核内容、审核时间}、数据库变更日志表{日志ID、变更内容、变更时间}</t>
        </is>
      </c>
      <c r="Z229" s="90" t="n"/>
      <c r="AA229" s="90" t="n"/>
      <c r="AB229" s="103" t="inlineStr">
        <is>
          <t>资产查询接口配置表、数据清洗任务表、日志采集配置表</t>
        </is>
      </c>
      <c r="AC229" s="66" t="n"/>
    </row>
    <row r="230" customFormat="1" s="66">
      <c r="A230" s="72">
        <f>ROW()-1</f>
        <v/>
      </c>
      <c r="B230" s="175" t="n"/>
      <c r="C230" s="80" t="n">
        <v>2025</v>
      </c>
      <c r="D230" s="80" t="inlineStr">
        <is>
          <t>张明峰</t>
        </is>
      </c>
      <c r="E230" s="81">
        <f>VLOOKUP(I230,'25年交付功能（不含废弃）'!A:A,1,FALSE)</f>
        <v/>
      </c>
      <c r="F230" s="175" t="n"/>
      <c r="G230" s="175" t="n"/>
      <c r="H230" s="175" t="n"/>
      <c r="I230" s="98" t="inlineStr">
        <is>
          <t>插件部侧审核接口请求文件</t>
        </is>
      </c>
      <c r="J230" s="93" t="inlineStr">
        <is>
          <t>EIF</t>
        </is>
      </c>
      <c r="K230" s="84" t="n"/>
      <c r="L230" s="84" t="n"/>
      <c r="M230" s="85">
        <f>IF(OR(Y230="估算法",Y230="算法类",Y230="无法识别"),"",IF(W230="",IF(OR(J230="EI",J230="EO",J230="EQ"),0,""),LEN(W230)-LEN(SUBSTITUTE(W230,"、",""))+1))</f>
        <v/>
      </c>
      <c r="N230" s="85">
        <f>IF(OR(Y230="估算法",Y230="算法类",Y230="无法识别"),"",IF(X230="",IF(OR(J230="ILF",J230="EIF"),0,""),LEN(X230)-LEN(SUBSTITUTE(X230,"、",""))+1))</f>
        <v/>
      </c>
      <c r="O230" s="85">
        <f>IF(OR(Y230="估算法",Y230="算法类",Y230="无法识别"),"",IF(Y230="",IF(OR(J230="ILF",J230="EIF",J230="EI",J230="EO",J230="EQ"),0,""),LEN(Y230)-LEN(SUBSTITUTE(SUBSTITUTE(SUBSTITUTE(SUBSTITUTE(SUBSTITUTE(Y230,"|}","--"),"{|","--"),CHAR(10),""),"、",""),"|",""))+IF(AND(OR(J230="EI",J230="EO",J230="EQ"),$AE$1="NESMA"),2,1)))</f>
        <v/>
      </c>
      <c r="P230" s="86">
        <f>IF(J230="EI",IF(OR(Y230="估算法",Y230="算法类"),"中",IF(Y230="无法识别","低",IF(M230&lt;2,IF(O230&lt;16,"低","中"),IF(M230&lt;3,IF(O230&lt;5,"低",IF(O230&lt;16,"中","高")),IF(O230&lt;5,"中","高"))))),IF(OR(J230="EO",J230="EQ"),IF(OR(Y230="估算法",Y230="算法类"),"中",IF(Y230="无法识别","低",IF(M230&lt;2,IF(O230&lt;20,"低","中"),IF(M230&lt;4,IF(O230&lt;6,"低",IF(O230&lt;20,"中","高")),IF(O230&lt;6,"中","高"))))),IF(OR(J230="ILF",J230="EIF"),IF(OR(Y230="估算法",Y230="算法类",Y230="无法识别"),"低",IF(N230&lt;2,IF(O230&lt;51,"低","中"),IF(N230&lt;6,IF(O230&lt;20,"低",IF(O230&lt;51,"中","高")),IF(O230&lt;20,"中","高")))),"不计算")))</f>
        <v/>
      </c>
      <c r="Q230" s="172">
        <f>IFERROR(IF(J230="EI",IF(P230="低",3,IF(P230="中",4,6)),IF(J230="EO",IF(P230="低",4,IF(P230="中",5,7)),IF(J230="EQ",IF(P230="低",3,IF(P230="中",4,6)),IF(J230="ILF",IF(P230="低",7,IF(P230="中",10,15)),IF(J230="EIF",IF(P230="低",5,IF(P230="中",7,10)),"不计算")))))*R230,"不计算")</f>
        <v/>
      </c>
      <c r="R230" s="172" t="n">
        <v>0.333333333333333</v>
      </c>
      <c r="S230" s="173">
        <f>调整因子!$F$13</f>
        <v/>
      </c>
      <c r="T230" s="92" t="n">
        <v>1</v>
      </c>
      <c r="U230" s="174">
        <f>IFERROR(Q230*S230,0)</f>
        <v/>
      </c>
      <c r="V230" s="174">
        <f>U230*T230</f>
        <v/>
      </c>
      <c r="W230" s="91" t="n"/>
      <c r="X230" s="93" t="inlineStr">
        <is>
          <t>插件部侧审核接口请求文件</t>
        </is>
      </c>
      <c r="Y230" s="90" t="inlineStr">
        <is>
          <t>插件部侧审核接口请求文件{请求ID、插件ID、文件路径、上传时间}</t>
        </is>
      </c>
      <c r="Z230" s="90">
        <f>IF(COUNTIFS(W:W,"*"&amp;I230&amp;"*")&gt;0,"存在","不存在")</f>
        <v/>
      </c>
      <c r="AA230" s="90">
        <f>IF(COUNTIFS(AB:AB,"*"&amp;I230&amp;"*")&gt;0,"存在","不存在")</f>
        <v/>
      </c>
      <c r="AB230" s="103" t="inlineStr">
        <is>
          <t>资产扫描覆盖表、处置流程定义表、处置单关联表、报告模板表、漏洞处置推送接口配置表</t>
        </is>
      </c>
      <c r="AC230" s="66" t="n"/>
    </row>
    <row r="231" customFormat="1" s="66">
      <c r="A231" s="72">
        <f>ROW()-1</f>
        <v/>
      </c>
      <c r="B231" s="175" t="n"/>
      <c r="C231" s="80" t="n">
        <v>2025</v>
      </c>
      <c r="D231" s="80" t="inlineStr">
        <is>
          <t>张明峰</t>
        </is>
      </c>
      <c r="E231" s="81">
        <f>VLOOKUP(I231,'25年交付功能（不含废弃）'!A:A,1,FALSE)</f>
        <v/>
      </c>
      <c r="F231" s="175" t="n"/>
      <c r="G231" s="175" t="n"/>
      <c r="H231" s="175" t="n"/>
      <c r="I231" s="98" t="inlineStr">
        <is>
          <t>插件部侧审核接口回参文件</t>
        </is>
      </c>
      <c r="J231" s="93" t="inlineStr">
        <is>
          <t>EIF</t>
        </is>
      </c>
      <c r="K231" s="84" t="n"/>
      <c r="L231" s="84" t="n"/>
      <c r="M231" s="85">
        <f>IF(OR(Y231="估算法",Y231="算法类",Y231="无法识别"),"",IF(W231="",IF(OR(J231="EI",J231="EO",J231="EQ"),0,""),LEN(W231)-LEN(SUBSTITUTE(W231,"、",""))+1))</f>
        <v/>
      </c>
      <c r="N231" s="85">
        <f>IF(OR(Y231="估算法",Y231="算法类",Y231="无法识别"),"",IF(X231="",IF(OR(J231="ILF",J231="EIF"),0,""),LEN(X231)-LEN(SUBSTITUTE(X231,"、",""))+1))</f>
        <v/>
      </c>
      <c r="O231" s="85">
        <f>IF(OR(Y231="估算法",Y231="算法类",Y231="无法识别"),"",IF(Y231="",IF(OR(J231="ILF",J231="EIF",J231="EI",J231="EO",J231="EQ"),0,""),LEN(Y231)-LEN(SUBSTITUTE(SUBSTITUTE(SUBSTITUTE(SUBSTITUTE(SUBSTITUTE(Y231,"|}","--"),"{|","--"),CHAR(10),""),"、",""),"|",""))+IF(AND(OR(J231="EI",J231="EO",J231="EQ"),$AE$1="NESMA"),2,1)))</f>
        <v/>
      </c>
      <c r="P231" s="86">
        <f>IF(J231="EI",IF(OR(Y231="估算法",Y231="算法类"),"中",IF(Y231="无法识别","低",IF(M231&lt;2,IF(O231&lt;16,"低","中"),IF(M231&lt;3,IF(O231&lt;5,"低",IF(O231&lt;16,"中","高")),IF(O231&lt;5,"中","高"))))),IF(OR(J231="EO",J231="EQ"),IF(OR(Y231="估算法",Y231="算法类"),"中",IF(Y231="无法识别","低",IF(M231&lt;2,IF(O231&lt;20,"低","中"),IF(M231&lt;4,IF(O231&lt;6,"低",IF(O231&lt;20,"中","高")),IF(O231&lt;6,"中","高"))))),IF(OR(J231="ILF",J231="EIF"),IF(OR(Y231="估算法",Y231="算法类",Y231="无法识别"),"低",IF(N231&lt;2,IF(O231&lt;51,"低","中"),IF(N231&lt;6,IF(O231&lt;20,"低",IF(O231&lt;51,"中","高")),IF(O231&lt;20,"中","高")))),"不计算")))</f>
        <v/>
      </c>
      <c r="Q231" s="172">
        <f>IFERROR(IF(J231="EI",IF(P231="低",3,IF(P231="中",4,6)),IF(J231="EO",IF(P231="低",4,IF(P231="中",5,7)),IF(J231="EQ",IF(P231="低",3,IF(P231="中",4,6)),IF(J231="ILF",IF(P231="低",7,IF(P231="中",10,15)),IF(J231="EIF",IF(P231="低",5,IF(P231="中",7,10)),"不计算")))))*R231,"不计算")</f>
        <v/>
      </c>
      <c r="R231" s="172" t="n">
        <v>0.333333333333333</v>
      </c>
      <c r="S231" s="173">
        <f>调整因子!$F$13</f>
        <v/>
      </c>
      <c r="T231" s="93" t="n">
        <v>1</v>
      </c>
      <c r="U231" s="174">
        <f>IFERROR(Q231*S231,0)</f>
        <v/>
      </c>
      <c r="V231" s="174">
        <f>U231*T231</f>
        <v/>
      </c>
      <c r="W231" s="91" t="n"/>
      <c r="X231" s="93" t="inlineStr">
        <is>
          <t>插件部侧审核接口回参文件</t>
        </is>
      </c>
      <c r="Y231" s="90" t="inlineStr">
        <is>
          <t>插件部侧审核接口回参文件{回参ID、请求ID、回参内容、响应时间}</t>
        </is>
      </c>
      <c r="Z231" s="90">
        <f>IF(COUNTIFS(W:W,"*"&amp;I231&amp;"*")&gt;0,"存在","不存在")</f>
        <v/>
      </c>
      <c r="AA231" s="90">
        <f>IF(COUNTIFS(AB:AB,"*"&amp;I231&amp;"*")&gt;0,"存在","不存在")</f>
        <v/>
      </c>
      <c r="AB231" s="103" t="inlineStr">
        <is>
          <t>资产同步任务表、资产扫描覆盖表、资产查询接口配置表、任务趋势分析表</t>
        </is>
      </c>
      <c r="AC231" s="66" t="n"/>
    </row>
    <row r="232" customFormat="1" s="66">
      <c r="A232" s="72">
        <f>ROW()-1</f>
        <v/>
      </c>
      <c r="B232" s="175" t="n"/>
      <c r="C232" s="80" t="n">
        <v>2025</v>
      </c>
      <c r="D232" s="80" t="inlineStr">
        <is>
          <t>张明峰</t>
        </is>
      </c>
      <c r="E232" s="81">
        <f>VLOOKUP(I232,'25年交付功能（不含废弃）'!A:A,1,FALSE)</f>
        <v/>
      </c>
      <c r="F232" s="175" t="n"/>
      <c r="G232" s="175" t="n"/>
      <c r="H232" s="175" t="n"/>
      <c r="I232" s="98" t="inlineStr">
        <is>
          <t>指纹参数文件</t>
        </is>
      </c>
      <c r="J232" s="93" t="inlineStr">
        <is>
          <t>EIF</t>
        </is>
      </c>
      <c r="K232" s="84" t="n"/>
      <c r="L232" s="84" t="n"/>
      <c r="M232" s="85">
        <f>IF(OR(Y232="估算法",Y232="算法类",Y232="无法识别"),"",IF(W232="",IF(OR(J232="EI",J232="EO",J232="EQ"),0,""),LEN(W232)-LEN(SUBSTITUTE(W232,"、",""))+1))</f>
        <v/>
      </c>
      <c r="N232" s="85">
        <f>IF(OR(Y232="估算法",Y232="算法类",Y232="无法识别"),"",IF(X232="",IF(OR(J232="ILF",J232="EIF"),0,""),LEN(X232)-LEN(SUBSTITUTE(X232,"、",""))+1))</f>
        <v/>
      </c>
      <c r="O232" s="85">
        <f>IF(OR(Y232="估算法",Y232="算法类",Y232="无法识别"),"",IF(Y232="",IF(OR(J232="ILF",J232="EIF",J232="EI",J232="EO",J232="EQ"),0,""),LEN(Y232)-LEN(SUBSTITUTE(SUBSTITUTE(SUBSTITUTE(SUBSTITUTE(SUBSTITUTE(Y232,"|}","--"),"{|","--"),CHAR(10),""),"、",""),"|",""))+IF(AND(OR(J232="EI",J232="EO",J232="EQ"),$AE$1="NESMA"),2,1)))</f>
        <v/>
      </c>
      <c r="P232" s="86">
        <f>IF(J232="EI",IF(OR(Y232="估算法",Y232="算法类"),"中",IF(Y232="无法识别","低",IF(M232&lt;2,IF(O232&lt;16,"低","中"),IF(M232&lt;3,IF(O232&lt;5,"低",IF(O232&lt;16,"中","高")),IF(O232&lt;5,"中","高"))))),IF(OR(J232="EO",J232="EQ"),IF(OR(Y232="估算法",Y232="算法类"),"中",IF(Y232="无法识别","低",IF(M232&lt;2,IF(O232&lt;20,"低","中"),IF(M232&lt;4,IF(O232&lt;6,"低",IF(O232&lt;20,"中","高")),IF(O232&lt;6,"中","高"))))),IF(OR(J232="ILF",J232="EIF"),IF(OR(Y232="估算法",Y232="算法类",Y232="无法识别"),"低",IF(N232&lt;2,IF(O232&lt;51,"低","中"),IF(N232&lt;6,IF(O232&lt;20,"低",IF(O232&lt;51,"中","高")),IF(O232&lt;20,"中","高")))),"不计算")))</f>
        <v/>
      </c>
      <c r="Q232" s="172">
        <f>IFERROR(IF(J232="EI",IF(P232="低",3,IF(P232="中",4,6)),IF(J232="EO",IF(P232="低",4,IF(P232="中",5,7)),IF(J232="EQ",IF(P232="低",3,IF(P232="中",4,6)),IF(J232="ILF",IF(P232="低",7,IF(P232="中",10,15)),IF(J232="EIF",IF(P232="低",5,IF(P232="中",7,10)),"不计算")))))*R232,"不计算")</f>
        <v/>
      </c>
      <c r="R232" s="172" t="n">
        <v>0.333333333333333</v>
      </c>
      <c r="S232" s="173">
        <f>调整因子!$F$13</f>
        <v/>
      </c>
      <c r="T232" s="92" t="n">
        <v>1</v>
      </c>
      <c r="U232" s="174">
        <f>IFERROR(Q232*S232,0)</f>
        <v/>
      </c>
      <c r="V232" s="174">
        <f>U232*T232</f>
        <v/>
      </c>
      <c r="W232" s="91" t="n"/>
      <c r="X232" s="90" t="inlineStr">
        <is>
          <t>指纹参数文件</t>
        </is>
      </c>
      <c r="Y232" s="90" t="inlineStr">
        <is>
          <t>指纹参数文件{参数ID、参数名称、值、描述}</t>
        </is>
      </c>
      <c r="Z232" s="90">
        <f>IF(COUNTIFS(W:W,"*"&amp;I232&amp;"*")&gt;0,"存在","不存在")</f>
        <v/>
      </c>
      <c r="AA232" s="90">
        <f>IF(COUNTIFS(AB:AB,"*"&amp;I232&amp;"*")&gt;0,"存在","不存在")</f>
        <v/>
      </c>
      <c r="AB232" s="103" t="inlineStr">
        <is>
          <t>数据清洗任务表、资产同步任务表、同步任务调度表、任务统计数据表</t>
        </is>
      </c>
      <c r="AC232" s="66" t="n"/>
    </row>
    <row r="233" customFormat="1" s="66">
      <c r="A233" s="72">
        <f>ROW()-1</f>
        <v/>
      </c>
      <c r="B233" s="175" t="n"/>
      <c r="C233" s="80" t="n">
        <v>2025</v>
      </c>
      <c r="D233" s="80" t="inlineStr">
        <is>
          <t>张明峰</t>
        </is>
      </c>
      <c r="E233" s="81">
        <f>VLOOKUP(I233,'25年交付功能（不含废弃）'!A:A,1,FALSE)</f>
        <v/>
      </c>
      <c r="F233" s="175" t="n"/>
      <c r="G233" s="175" t="n"/>
      <c r="H233" s="175" t="n"/>
      <c r="I233" s="98" t="inlineStr">
        <is>
          <t>插件审核表</t>
        </is>
      </c>
      <c r="J233" s="93" t="inlineStr">
        <is>
          <t>ILF</t>
        </is>
      </c>
      <c r="K233" s="84" t="n"/>
      <c r="L233" s="84" t="n"/>
      <c r="M233" s="85">
        <f>IF(OR(Y233="估算法",Y233="算法类",Y233="无法识别"),"",IF(W233="",IF(OR(J233="EI",J233="EO",J233="EQ"),0,""),LEN(W233)-LEN(SUBSTITUTE(W233,"、",""))+1))</f>
        <v/>
      </c>
      <c r="N233" s="85">
        <f>IF(OR(Y233="估算法",Y233="算法类",Y233="无法识别"),"",IF(X233="",IF(OR(J233="ILF",J233="EIF"),0,""),LEN(X233)-LEN(SUBSTITUTE(X233,"、",""))+1))</f>
        <v/>
      </c>
      <c r="O233" s="85">
        <f>IF(OR(Y233="估算法",Y233="算法类",Y233="无法识别"),"",IF(Y233="",IF(OR(J233="ILF",J233="EIF",J233="EI",J233="EO",J233="EQ"),0,""),LEN(Y233)-LEN(SUBSTITUTE(SUBSTITUTE(SUBSTITUTE(SUBSTITUTE(SUBSTITUTE(Y233,"|}","--"),"{|","--"),CHAR(10),""),"、",""),"|",""))+IF(AND(OR(J233="EI",J233="EO",J233="EQ"),$AE$1="NESMA"),2,1)))</f>
        <v/>
      </c>
      <c r="P233" s="86">
        <f>IF(J233="EI",IF(OR(Y233="估算法",Y233="算法类"),"中",IF(Y233="无法识别","低",IF(M233&lt;2,IF(O233&lt;16,"低","中"),IF(M233&lt;3,IF(O233&lt;5,"低",IF(O233&lt;16,"中","高")),IF(O233&lt;5,"中","高"))))),IF(OR(J233="EO",J233="EQ"),IF(OR(Y233="估算法",Y233="算法类"),"中",IF(Y233="无法识别","低",IF(M233&lt;2,IF(O233&lt;20,"低","中"),IF(M233&lt;4,IF(O233&lt;6,"低",IF(O233&lt;20,"中","高")),IF(O233&lt;6,"中","高"))))),IF(OR(J233="ILF",J233="EIF"),IF(OR(Y233="估算法",Y233="算法类",Y233="无法识别"),"低",IF(N233&lt;2,IF(O233&lt;51,"低","中"),IF(N233&lt;6,IF(O233&lt;20,"低",IF(O233&lt;51,"中","高")),IF(O233&lt;20,"中","高")))),"不计算")))</f>
        <v/>
      </c>
      <c r="Q233" s="172">
        <f>IFERROR(IF(J233="EI",IF(P233="低",3,IF(P233="中",4,6)),IF(J233="EO",IF(P233="低",4,IF(P233="中",5,7)),IF(J233="EQ",IF(P233="低",3,IF(P233="中",4,6)),IF(J233="ILF",IF(P233="低",7,IF(P233="中",10,15)),IF(J233="EIF",IF(P233="低",5,IF(P233="中",7,10)),"不计算")))))*R233,"不计算")</f>
        <v/>
      </c>
      <c r="R233" s="172" t="n">
        <v>0.333333333333333</v>
      </c>
      <c r="S233" s="173">
        <f>调整因子!$F$13</f>
        <v/>
      </c>
      <c r="T233" s="92" t="n">
        <v>1</v>
      </c>
      <c r="U233" s="174">
        <f>IFERROR(Q233*S233,0)</f>
        <v/>
      </c>
      <c r="V233" s="174">
        <f>U233*T233</f>
        <v/>
      </c>
      <c r="W233" s="91" t="n"/>
      <c r="X233" s="90" t="inlineStr">
        <is>
          <t>插件审核表</t>
        </is>
      </c>
      <c r="Y233" s="90" t="inlineStr">
        <is>
          <t>插件审核表{审核ID、插件ID、审核内容、审核时间}</t>
        </is>
      </c>
      <c r="Z233" s="90">
        <f>IF(COUNTIFS(W:W,"*"&amp;I233&amp;"*")&gt;0,"存在","不存在")</f>
        <v/>
      </c>
      <c r="AA233" s="90">
        <f>IF(COUNTIFS(AB:AB,"*"&amp;I233&amp;"*")&gt;0,"存在","不存在")</f>
        <v/>
      </c>
      <c r="AB233" s="103" t="inlineStr">
        <is>
          <t>数据清洗任务表、资产同步任务表、同步任务调度表、任务统计数据表</t>
        </is>
      </c>
      <c r="AC233" s="66" t="n"/>
    </row>
    <row r="234" customFormat="1" s="66">
      <c r="A234" s="72">
        <f>ROW()-1</f>
        <v/>
      </c>
      <c r="B234" s="175" t="n"/>
      <c r="C234" s="80" t="n">
        <v>2025</v>
      </c>
      <c r="D234" s="80" t="inlineStr">
        <is>
          <t>张明峰</t>
        </is>
      </c>
      <c r="E234" s="81">
        <f>VLOOKUP(I234,'25年交付功能（不含废弃）'!A:A,1,FALSE)</f>
        <v/>
      </c>
      <c r="F234" s="175" t="n"/>
      <c r="G234" s="175" t="n"/>
      <c r="H234" s="175" t="n"/>
      <c r="I234" s="98" t="inlineStr">
        <is>
          <t>插件漏洞表</t>
        </is>
      </c>
      <c r="J234" s="93" t="inlineStr">
        <is>
          <t>ILF</t>
        </is>
      </c>
      <c r="K234" s="84" t="n"/>
      <c r="L234" s="84" t="n"/>
      <c r="M234" s="85">
        <f>IF(OR(Y234="估算法",Y234="算法类",Y234="无法识别"),"",IF(W234="",IF(OR(J234="EI",J234="EO",J234="EQ"),0,""),LEN(W234)-LEN(SUBSTITUTE(W234,"、",""))+1))</f>
        <v/>
      </c>
      <c r="N234" s="85">
        <f>IF(OR(Y234="估算法",Y234="算法类",Y234="无法识别"),"",IF(X234="",IF(OR(J234="ILF",J234="EIF"),0,""),LEN(X234)-LEN(SUBSTITUTE(X234,"、",""))+1))</f>
        <v/>
      </c>
      <c r="O234" s="85">
        <f>IF(OR(Y234="估算法",Y234="算法类",Y234="无法识别"),"",IF(Y234="",IF(OR(J234="ILF",J234="EIF",J234="EI",J234="EO",J234="EQ"),0,""),LEN(Y234)-LEN(SUBSTITUTE(SUBSTITUTE(SUBSTITUTE(SUBSTITUTE(SUBSTITUTE(Y234,"|}","--"),"{|","--"),CHAR(10),""),"、",""),"|",""))+IF(AND(OR(J234="EI",J234="EO",J234="EQ"),$AE$1="NESMA"),2,1)))</f>
        <v/>
      </c>
      <c r="P234" s="86">
        <f>IF(J234="EI",IF(OR(Y234="估算法",Y234="算法类"),"中",IF(Y234="无法识别","低",IF(M234&lt;2,IF(O234&lt;16,"低","中"),IF(M234&lt;3,IF(O234&lt;5,"低",IF(O234&lt;16,"中","高")),IF(O234&lt;5,"中","高"))))),IF(OR(J234="EO",J234="EQ"),IF(OR(Y234="估算法",Y234="算法类"),"中",IF(Y234="无法识别","低",IF(M234&lt;2,IF(O234&lt;20,"低","中"),IF(M234&lt;4,IF(O234&lt;6,"低",IF(O234&lt;20,"中","高")),IF(O234&lt;6,"中","高"))))),IF(OR(J234="ILF",J234="EIF"),IF(OR(Y234="估算法",Y234="算法类",Y234="无法识别"),"低",IF(N234&lt;2,IF(O234&lt;51,"低","中"),IF(N234&lt;6,IF(O234&lt;20,"低",IF(O234&lt;51,"中","高")),IF(O234&lt;20,"中","高")))),"不计算")))</f>
        <v/>
      </c>
      <c r="Q234" s="172">
        <f>IFERROR(IF(J234="EI",IF(P234="低",3,IF(P234="中",4,6)),IF(J234="EO",IF(P234="低",4,IF(P234="中",5,7)),IF(J234="EQ",IF(P234="低",3,IF(P234="中",4,6)),IF(J234="ILF",IF(P234="低",7,IF(P234="中",10,15)),IF(J234="EIF",IF(P234="低",5,IF(P234="中",7,10)),"不计算")))))*R234,"不计算")</f>
        <v/>
      </c>
      <c r="R234" s="172" t="n">
        <v>0.333333333333333</v>
      </c>
      <c r="S234" s="173">
        <f>调整因子!$F$13</f>
        <v/>
      </c>
      <c r="T234" s="93" t="n">
        <v>1</v>
      </c>
      <c r="U234" s="174">
        <f>IFERROR(Q234*S234,0)</f>
        <v/>
      </c>
      <c r="V234" s="174">
        <f>U234*T234</f>
        <v/>
      </c>
      <c r="W234" s="91" t="n"/>
      <c r="X234" s="90" t="inlineStr">
        <is>
          <t>插件漏洞表</t>
        </is>
      </c>
      <c r="Y234" s="90" t="inlineStr">
        <is>
          <t>插件漏洞表{漏洞ID、插件ID、漏洞名称、描述、发现时间}</t>
        </is>
      </c>
      <c r="Z234" s="90">
        <f>IF(COUNTIFS(W:W,"*"&amp;I234&amp;"*")&gt;0,"存在","不存在")</f>
        <v/>
      </c>
      <c r="AA234" s="90">
        <f>IF(COUNTIFS(AB:AB,"*"&amp;I234&amp;"*")&gt;0,"存在","不存在")</f>
        <v/>
      </c>
      <c r="AB234" s="103" t="inlineStr">
        <is>
          <t>数据清洗任务表、资产同步任务表、同步任务调度表、任务统计数据表</t>
        </is>
      </c>
      <c r="AC234" s="66" t="n"/>
    </row>
    <row r="235" customFormat="1" s="66">
      <c r="A235" s="72">
        <f>ROW()-1</f>
        <v/>
      </c>
      <c r="B235" s="175" t="n"/>
      <c r="C235" s="80" t="n">
        <v>2025</v>
      </c>
      <c r="D235" s="80" t="inlineStr">
        <is>
          <t>张明峰</t>
        </is>
      </c>
      <c r="E235" s="81">
        <f>VLOOKUP(I235,'25年交付功能（不含废弃）'!A:A,1,FALSE)</f>
        <v/>
      </c>
      <c r="F235" s="175" t="n"/>
      <c r="G235" s="175" t="n"/>
      <c r="H235" s="175" t="n"/>
      <c r="I235" s="98" t="inlineStr">
        <is>
          <t>事件日志表</t>
        </is>
      </c>
      <c r="J235" s="98" t="n"/>
      <c r="K235" s="84" t="inlineStr">
        <is>
          <t>删除</t>
        </is>
      </c>
      <c r="L235" s="102" t="inlineStr">
        <is>
          <t>非ILF,日志表</t>
        </is>
      </c>
      <c r="M235" s="85">
        <f>IF(OR(Y235="估算法",Y235="算法类",Y235="无法识别"),"",IF(W235="",IF(OR(J235="EI",J235="EO",J235="EQ"),0,""),LEN(W235)-LEN(SUBSTITUTE(W235,"、",""))+1))</f>
        <v/>
      </c>
      <c r="N235" s="85">
        <f>IF(OR(Y235="估算法",Y235="算法类",Y235="无法识别"),"",IF(X235="",IF(OR(J235="ILF",J235="EIF"),0,""),LEN(X235)-LEN(SUBSTITUTE(X235,"、",""))+1))</f>
        <v/>
      </c>
      <c r="O235" s="85">
        <f>IF(OR(Y235="估算法",Y235="算法类",Y235="无法识别"),"",IF(Y235="",IF(OR(J235="ILF",J235="EIF",J235="EI",J235="EO",J235="EQ"),0,""),LEN(Y235)-LEN(SUBSTITUTE(SUBSTITUTE(SUBSTITUTE(SUBSTITUTE(SUBSTITUTE(Y235,"|}","--"),"{|","--"),CHAR(10),""),"、",""),"|",""))+IF(AND(OR(J235="EI",J235="EO",J235="EQ"),$AE$1="NESMA"),2,1)))</f>
        <v/>
      </c>
      <c r="P235" s="86">
        <f>IF(J235="EI",IF(OR(Y235="估算法",Y235="算法类"),"中",IF(Y235="无法识别","低",IF(M235&lt;2,IF(O235&lt;16,"低","中"),IF(M235&lt;3,IF(O235&lt;5,"低",IF(O235&lt;16,"中","高")),IF(O235&lt;5,"中","高"))))),IF(OR(J235="EO",J235="EQ"),IF(OR(Y235="估算法",Y235="算法类"),"中",IF(Y235="无法识别","低",IF(M235&lt;2,IF(O235&lt;20,"低","中"),IF(M235&lt;4,IF(O235&lt;6,"低",IF(O235&lt;20,"中","高")),IF(O235&lt;6,"中","高"))))),IF(OR(J235="ILF",J235="EIF"),IF(OR(Y235="估算法",Y235="算法类",Y235="无法识别"),"低",IF(N235&lt;2,IF(O235&lt;51,"低","中"),IF(N235&lt;6,IF(O235&lt;20,"低",IF(O235&lt;51,"中","高")),IF(O235&lt;20,"中","高")))),"不计算")))</f>
        <v/>
      </c>
      <c r="Q235" s="172">
        <f>IFERROR(IF(J235="EI",IF(P235="低",3,IF(P235="中",4,6)),IF(J235="EO",IF(P235="低",4,IF(P235="中",5,7)),IF(J235="EQ",IF(P235="低",3,IF(P235="中",4,6)),IF(J235="ILF",IF(P235="低",7,IF(P235="中",10,15)),IF(J235="EIF",IF(P235="低",5,IF(P235="中",7,10)),"不计算")))))*R235,"不计算")</f>
        <v/>
      </c>
      <c r="R235" s="172" t="n">
        <v>1</v>
      </c>
      <c r="S235" s="173">
        <f>调整因子!$F$13</f>
        <v/>
      </c>
      <c r="T235" s="92" t="n">
        <v>1</v>
      </c>
      <c r="U235" s="174">
        <f>IFERROR(Q235*S235,0)</f>
        <v/>
      </c>
      <c r="V235" s="174">
        <f>U235*T235</f>
        <v/>
      </c>
      <c r="W235" s="91" t="n"/>
      <c r="X235" s="90" t="inlineStr">
        <is>
          <t>事件日志表</t>
        </is>
      </c>
      <c r="Y235" s="90" t="inlineStr">
        <is>
          <t>事件日志表{日志ID、事件名称、描述、发生时间}</t>
        </is>
      </c>
      <c r="Z235" s="90">
        <f>IF(COUNTIFS(W:W,"*"&amp;I235&amp;"*")&gt;0,"存在","不存在")</f>
        <v/>
      </c>
      <c r="AA235" s="90">
        <f>IF(COUNTIFS(AB:AB,"*"&amp;I235&amp;"*")&gt;0,"存在","不存在")</f>
        <v/>
      </c>
      <c r="AB235" s="103" t="inlineStr">
        <is>
          <t>提醒策略配置表、扫描任务接口配置表、加密算法表、推送失败重试表、态势数据采集表</t>
        </is>
      </c>
      <c r="AC235" s="66" t="n"/>
    </row>
    <row r="236" customFormat="1" s="66">
      <c r="A236" s="72">
        <f>ROW()-1</f>
        <v/>
      </c>
      <c r="B236" s="175" t="n"/>
      <c r="C236" s="80" t="n">
        <v>2025</v>
      </c>
      <c r="D236" s="80" t="inlineStr">
        <is>
          <t>张明峰</t>
        </is>
      </c>
      <c r="E236" s="81">
        <f>VLOOKUP(I236,'25年交付功能（不含废弃）'!A:A,1,FALSE)</f>
        <v/>
      </c>
      <c r="F236" s="175" t="n"/>
      <c r="G236" s="175" t="n"/>
      <c r="H236" s="175" t="n"/>
      <c r="I236" s="98" t="inlineStr">
        <is>
          <t>通用字节数组表</t>
        </is>
      </c>
      <c r="J236" s="93" t="inlineStr">
        <is>
          <t>ILF</t>
        </is>
      </c>
      <c r="K236" s="84" t="n"/>
      <c r="L236" s="84" t="n"/>
      <c r="M236" s="85">
        <f>IF(OR(Y236="估算法",Y236="算法类",Y236="无法识别"),"",IF(W236="",IF(OR(J236="EI",J236="EO",J236="EQ"),0,""),LEN(W236)-LEN(SUBSTITUTE(W236,"、",""))+1))</f>
        <v/>
      </c>
      <c r="N236" s="85">
        <f>IF(OR(Y236="估算法",Y236="算法类",Y236="无法识别"),"",IF(X236="",IF(OR(J236="ILF",J236="EIF"),0,""),LEN(X236)-LEN(SUBSTITUTE(X236,"、",""))+1))</f>
        <v/>
      </c>
      <c r="O236" s="85">
        <f>IF(OR(Y236="估算法",Y236="算法类",Y236="无法识别"),"",IF(Y236="",IF(OR(J236="ILF",J236="EIF",J236="EI",J236="EO",J236="EQ"),0,""),LEN(Y236)-LEN(SUBSTITUTE(SUBSTITUTE(SUBSTITUTE(SUBSTITUTE(SUBSTITUTE(Y236,"|}","--"),"{|","--"),CHAR(10),""),"、",""),"|",""))+IF(AND(OR(J236="EI",J236="EO",J236="EQ"),$AE$1="NESMA"),2,1)))</f>
        <v/>
      </c>
      <c r="P236" s="86">
        <f>IF(J236="EI",IF(OR(Y236="估算法",Y236="算法类"),"中",IF(Y236="无法识别","低",IF(M236&lt;2,IF(O236&lt;16,"低","中"),IF(M236&lt;3,IF(O236&lt;5,"低",IF(O236&lt;16,"中","高")),IF(O236&lt;5,"中","高"))))),IF(OR(J236="EO",J236="EQ"),IF(OR(Y236="估算法",Y236="算法类"),"中",IF(Y236="无法识别","低",IF(M236&lt;2,IF(O236&lt;20,"低","中"),IF(M236&lt;4,IF(O236&lt;6,"低",IF(O236&lt;20,"中","高")),IF(O236&lt;6,"中","高"))))),IF(OR(J236="ILF",J236="EIF"),IF(OR(Y236="估算法",Y236="算法类",Y236="无法识别"),"低",IF(N236&lt;2,IF(O236&lt;51,"低","中"),IF(N236&lt;6,IF(O236&lt;20,"低",IF(O236&lt;51,"中","高")),IF(O236&lt;20,"中","高")))),"不计算")))</f>
        <v/>
      </c>
      <c r="Q236" s="172">
        <f>IFERROR(IF(J236="EI",IF(P236="低",3,IF(P236="中",4,6)),IF(J236="EO",IF(P236="低",4,IF(P236="中",5,7)),IF(J236="EQ",IF(P236="低",3,IF(P236="中",4,6)),IF(J236="ILF",IF(P236="低",7,IF(P236="中",10,15)),IF(J236="EIF",IF(P236="低",5,IF(P236="中",7,10)),"不计算")))))*R236,"不计算")</f>
        <v/>
      </c>
      <c r="R236" s="172" t="n">
        <v>0.333333333333333</v>
      </c>
      <c r="S236" s="173">
        <f>调整因子!$F$13</f>
        <v/>
      </c>
      <c r="T236" s="92" t="n">
        <v>1</v>
      </c>
      <c r="U236" s="174">
        <f>IFERROR(Q236*S236,0)</f>
        <v/>
      </c>
      <c r="V236" s="174">
        <f>U236*T236</f>
        <v/>
      </c>
      <c r="W236" s="91" t="n"/>
      <c r="X236" s="90" t="inlineStr">
        <is>
          <t>通用字节数组表</t>
        </is>
      </c>
      <c r="Y236" s="90" t="inlineStr">
        <is>
          <t>通用字节数组表{数组ID、字节内容、描述、创建时间}</t>
        </is>
      </c>
      <c r="Z236" s="90">
        <f>IF(COUNTIFS(W:W,"*"&amp;I236&amp;"*")&gt;0,"存在","不存在")</f>
        <v/>
      </c>
      <c r="AA236" s="90">
        <f>IF(COUNTIFS(AB:AB,"*"&amp;I236&amp;"*")&gt;0,"存在","不存在")</f>
        <v/>
      </c>
      <c r="AB236" s="103" t="inlineStr">
        <is>
          <t>推送规则表、提醒规则表、脱敏规则表、加密规则表、推送失败重试表</t>
        </is>
      </c>
      <c r="AC236" s="66" t="n"/>
    </row>
    <row r="237" customFormat="1" s="66">
      <c r="A237" s="72">
        <f>ROW()-1</f>
        <v/>
      </c>
      <c r="B237" s="175" t="n"/>
      <c r="C237" s="80" t="n">
        <v>2025</v>
      </c>
      <c r="D237" s="80" t="inlineStr">
        <is>
          <t>张明峰</t>
        </is>
      </c>
      <c r="E237" s="81">
        <f>VLOOKUP(I237,'25年交付功能（不含废弃）'!A:A,1,FALSE)</f>
        <v/>
      </c>
      <c r="F237" s="175" t="n"/>
      <c r="G237" s="175" t="n"/>
      <c r="H237" s="175" t="n"/>
      <c r="I237" s="98" t="inlineStr">
        <is>
          <t>属性配置表</t>
        </is>
      </c>
      <c r="J237" s="93" t="inlineStr">
        <is>
          <t>ILF</t>
        </is>
      </c>
      <c r="K237" s="84" t="n"/>
      <c r="L237" s="84" t="inlineStr">
        <is>
          <t>数据库表未被本系统所维护</t>
        </is>
      </c>
      <c r="M237" s="85">
        <f>IF(OR(Y237="估算法",Y237="算法类",Y237="无法识别"),"",IF(W237="",IF(OR(J237="EI",J237="EO",J237="EQ"),0,""),LEN(W237)-LEN(SUBSTITUTE(W237,"、",""))+1))</f>
        <v/>
      </c>
      <c r="N237" s="85">
        <f>IF(OR(Y237="估算法",Y237="算法类",Y237="无法识别"),"",IF(X237="",IF(OR(J237="ILF",J237="EIF"),0,""),LEN(X237)-LEN(SUBSTITUTE(X237,"、",""))+1))</f>
        <v/>
      </c>
      <c r="O237" s="85">
        <f>IF(OR(Y237="估算法",Y237="算法类",Y237="无法识别"),"",IF(Y237="",IF(OR(J237="ILF",J237="EIF",J237="EI",J237="EO",J237="EQ"),0,""),LEN(Y237)-LEN(SUBSTITUTE(SUBSTITUTE(SUBSTITUTE(SUBSTITUTE(SUBSTITUTE(Y237,"|}","--"),"{|","--"),CHAR(10),""),"、",""),"|",""))+IF(AND(OR(J237="EI",J237="EO",J237="EQ"),$AE$1="NESMA"),2,1)))</f>
        <v/>
      </c>
      <c r="P237" s="86">
        <f>IF(J237="EI",IF(OR(Y237="估算法",Y237="算法类"),"中",IF(Y237="无法识别","低",IF(M237&lt;2,IF(O237&lt;16,"低","中"),IF(M237&lt;3,IF(O237&lt;5,"低",IF(O237&lt;16,"中","高")),IF(O237&lt;5,"中","高"))))),IF(OR(J237="EO",J237="EQ"),IF(OR(Y237="估算法",Y237="算法类"),"中",IF(Y237="无法识别","低",IF(M237&lt;2,IF(O237&lt;20,"低","中"),IF(M237&lt;4,IF(O237&lt;6,"低",IF(O237&lt;20,"中","高")),IF(O237&lt;6,"中","高"))))),IF(OR(J237="ILF",J237="EIF"),IF(OR(Y237="估算法",Y237="算法类",Y237="无法识别"),"低",IF(N237&lt;2,IF(O237&lt;51,"低","中"),IF(N237&lt;6,IF(O237&lt;20,"低",IF(O237&lt;51,"中","高")),IF(O237&lt;20,"中","高")))),"不计算")))</f>
        <v/>
      </c>
      <c r="Q237" s="172">
        <f>IFERROR(IF(J237="EI",IF(P237="低",3,IF(P237="中",4,6)),IF(J237="EO",IF(P237="低",4,IF(P237="中",5,7)),IF(J237="EQ",IF(P237="低",3,IF(P237="中",4,6)),IF(J237="ILF",IF(P237="低",7,IF(P237="中",10,15)),IF(J237="EIF",IF(P237="低",5,IF(P237="中",7,10)),"不计算")))))*R237,"不计算")</f>
        <v/>
      </c>
      <c r="R237" s="172" t="n">
        <v>0</v>
      </c>
      <c r="S237" s="173">
        <f>调整因子!$F$13</f>
        <v/>
      </c>
      <c r="T237" s="93" t="n">
        <v>1</v>
      </c>
      <c r="U237" s="174">
        <f>IFERROR(Q237*S237,0)</f>
        <v/>
      </c>
      <c r="V237" s="174">
        <f>U237*T237</f>
        <v/>
      </c>
      <c r="W237" s="91" t="n"/>
      <c r="X237" s="90" t="inlineStr">
        <is>
          <t>属性配置表</t>
        </is>
      </c>
      <c r="Y237" s="90" t="inlineStr">
        <is>
          <t>属性配置表{配置ID、属性名称、值、描述}</t>
        </is>
      </c>
      <c r="Z237" s="90">
        <f>IF(COUNTIFS(W:W,"*"&amp;I237&amp;"*")&gt;0,"存在","不存在")</f>
        <v/>
      </c>
      <c r="AA237" s="90">
        <f>IF(COUNTIFS(AB:AB,"*"&amp;I237&amp;"*")&gt;0,"存在","不存在")</f>
        <v/>
      </c>
      <c r="AB237" s="103" t="inlineStr">
        <is>
          <t>推送规则表、提醒规则表、脱敏规则表、加密规则表</t>
        </is>
      </c>
      <c r="AC237" s="66" t="n"/>
    </row>
    <row r="238" customFormat="1" s="66">
      <c r="A238" s="72">
        <f>ROW()-1</f>
        <v/>
      </c>
      <c r="B238" s="175" t="n"/>
      <c r="C238" s="80" t="n">
        <v>2025</v>
      </c>
      <c r="D238" s="80" t="inlineStr">
        <is>
          <t>张明峰</t>
        </is>
      </c>
      <c r="E238" s="81">
        <f>VLOOKUP(I238,'25年交付功能（不含废弃）'!A:A,1,FALSE)</f>
        <v/>
      </c>
      <c r="F238" s="175" t="n"/>
      <c r="G238" s="175" t="n"/>
      <c r="H238" s="175" t="n"/>
      <c r="I238" s="98" t="inlineStr">
        <is>
          <t>历史活动实例表</t>
        </is>
      </c>
      <c r="J238" s="93" t="n"/>
      <c r="K238" s="84" t="inlineStr">
        <is>
          <t>删除</t>
        </is>
      </c>
      <c r="L238" s="84" t="inlineStr">
        <is>
          <t>数据库表未被本系统所使用</t>
        </is>
      </c>
      <c r="M238" s="85">
        <f>IF(OR(Y238="估算法",Y238="算法类",Y238="无法识别"),"",IF(W238="",IF(OR(J238="EI",J238="EO",J238="EQ"),0,""),LEN(W238)-LEN(SUBSTITUTE(W238,"、",""))+1))</f>
        <v/>
      </c>
      <c r="N238" s="85">
        <f>IF(OR(Y238="估算法",Y238="算法类",Y238="无法识别"),"",IF(X238="",IF(OR(J238="ILF",J238="EIF"),0,""),LEN(X238)-LEN(SUBSTITUTE(X238,"、",""))+1))</f>
        <v/>
      </c>
      <c r="O238" s="85">
        <f>IF(OR(Y238="估算法",Y238="算法类",Y238="无法识别"),"",IF(Y238="",IF(OR(J238="ILF",J238="EIF",J238="EI",J238="EO",J238="EQ"),0,""),LEN(Y238)-LEN(SUBSTITUTE(SUBSTITUTE(SUBSTITUTE(SUBSTITUTE(SUBSTITUTE(Y238,"|}","--"),"{|","--"),CHAR(10),""),"、",""),"|",""))+IF(AND(OR(J238="EI",J238="EO",J238="EQ"),$AE$1="NESMA"),2,1)))</f>
        <v/>
      </c>
      <c r="P238" s="86">
        <f>IF(J238="EI",IF(OR(Y238="估算法",Y238="算法类"),"中",IF(Y238="无法识别","低",IF(M238&lt;2,IF(O238&lt;16,"低","中"),IF(M238&lt;3,IF(O238&lt;5,"低",IF(O238&lt;16,"中","高")),IF(O238&lt;5,"中","高"))))),IF(OR(J238="EO",J238="EQ"),IF(OR(Y238="估算法",Y238="算法类"),"中",IF(Y238="无法识别","低",IF(M238&lt;2,IF(O238&lt;20,"低","中"),IF(M238&lt;4,IF(O238&lt;6,"低",IF(O238&lt;20,"中","高")),IF(O238&lt;6,"中","高"))))),IF(OR(J238="ILF",J238="EIF"),IF(OR(Y238="估算法",Y238="算法类",Y238="无法识别"),"低",IF(N238&lt;2,IF(O238&lt;51,"低","中"),IF(N238&lt;6,IF(O238&lt;20,"低",IF(O238&lt;51,"中","高")),IF(O238&lt;20,"中","高")))),"不计算")))</f>
        <v/>
      </c>
      <c r="Q238" s="172">
        <f>IFERROR(IF(J238="EI",IF(P238="低",3,IF(P238="中",4,6)),IF(J238="EO",IF(P238="低",4,IF(P238="中",5,7)),IF(J238="EQ",IF(P238="低",3,IF(P238="中",4,6)),IF(J238="ILF",IF(P238="低",7,IF(P238="中",10,15)),IF(J238="EIF",IF(P238="低",5,IF(P238="中",7,10)),"不计算")))))*R238,"不计算")</f>
        <v/>
      </c>
      <c r="R238" s="172" t="n">
        <v>1</v>
      </c>
      <c r="S238" s="173">
        <f>调整因子!$F$13</f>
        <v/>
      </c>
      <c r="T238" s="92" t="n">
        <v>1</v>
      </c>
      <c r="U238" s="174">
        <f>IFERROR(Q238*S238,0)</f>
        <v/>
      </c>
      <c r="V238" s="174">
        <f>U238*T238</f>
        <v/>
      </c>
      <c r="W238" s="91" t="n"/>
      <c r="X238" s="90" t="inlineStr">
        <is>
          <t>历史活动实例表</t>
        </is>
      </c>
      <c r="Y238" s="90" t="inlineStr">
        <is>
          <t>历史活动实例表{实例ID、流程实例ID、活动名称、开始时间、结束时间}</t>
        </is>
      </c>
      <c r="Z238" s="90">
        <f>IF(COUNTIFS(W:W,"*"&amp;I238&amp;"*")&gt;0,"存在","不存在")</f>
        <v/>
      </c>
      <c r="AA238" s="90">
        <f>IF(COUNTIFS(AB:AB,"*"&amp;I238&amp;"*")&gt;0,"存在","不存在")</f>
        <v/>
      </c>
      <c r="AB238" s="103" t="inlineStr">
        <is>
          <t>资产扫描覆盖表、扫描盲区记录表、扫描能力缺口表、离线扫描报告表</t>
        </is>
      </c>
      <c r="AC238" s="66" t="n"/>
    </row>
    <row r="239" customFormat="1" s="66">
      <c r="A239" s="72">
        <f>ROW()-1</f>
        <v/>
      </c>
      <c r="B239" s="175" t="n"/>
      <c r="C239" s="80" t="n">
        <v>2025</v>
      </c>
      <c r="D239" s="80" t="inlineStr">
        <is>
          <t>张明峰</t>
        </is>
      </c>
      <c r="E239" s="81">
        <f>VLOOKUP(I239,'25年交付功能（不含废弃）'!A:A,1,FALSE)</f>
        <v/>
      </c>
      <c r="F239" s="175" t="n"/>
      <c r="G239" s="175" t="n"/>
      <c r="H239" s="175" t="n"/>
      <c r="I239" s="98" t="inlineStr">
        <is>
          <t>历史附件表</t>
        </is>
      </c>
      <c r="J239" s="93" t="inlineStr">
        <is>
          <t>ILF</t>
        </is>
      </c>
      <c r="K239" s="110" t="inlineStr">
        <is>
          <t>删除</t>
        </is>
      </c>
      <c r="L239" s="84" t="inlineStr">
        <is>
          <t>数据库表未被本系统所维护</t>
        </is>
      </c>
      <c r="M239" s="85">
        <f>IF(OR(Y239="估算法",Y239="算法类",Y239="无法识别"),"",IF(W239="",IF(OR(J239="EI",J239="EO",J239="EQ"),0,""),LEN(W239)-LEN(SUBSTITUTE(W239,"、",""))+1))</f>
        <v/>
      </c>
      <c r="N239" s="85">
        <f>IF(OR(Y239="估算法",Y239="算法类",Y239="无法识别"),"",IF(X239="",IF(OR(J239="ILF",J239="EIF"),0,""),LEN(X239)-LEN(SUBSTITUTE(X239,"、",""))+1))</f>
        <v/>
      </c>
      <c r="O239" s="85">
        <f>IF(OR(Y239="估算法",Y239="算法类",Y239="无法识别"),"",IF(Y239="",IF(OR(J239="ILF",J239="EIF",J239="EI",J239="EO",J239="EQ"),0,""),LEN(Y239)-LEN(SUBSTITUTE(SUBSTITUTE(SUBSTITUTE(SUBSTITUTE(SUBSTITUTE(Y239,"|}","--"),"{|","--"),CHAR(10),""),"、",""),"|",""))+IF(AND(OR(J239="EI",J239="EO",J239="EQ"),$AE$1="NESMA"),2,1)))</f>
        <v/>
      </c>
      <c r="P239" s="86">
        <f>IF(J239="EI",IF(OR(Y239="估算法",Y239="算法类"),"中",IF(Y239="无法识别","低",IF(M239&lt;2,IF(O239&lt;16,"低","中"),IF(M239&lt;3,IF(O239&lt;5,"低",IF(O239&lt;16,"中","高")),IF(O239&lt;5,"中","高"))))),IF(OR(J239="EO",J239="EQ"),IF(OR(Y239="估算法",Y239="算法类"),"中",IF(Y239="无法识别","低",IF(M239&lt;2,IF(O239&lt;20,"低","中"),IF(M239&lt;4,IF(O239&lt;6,"低",IF(O239&lt;20,"中","高")),IF(O239&lt;6,"中","高"))))),IF(OR(J239="ILF",J239="EIF"),IF(OR(Y239="估算法",Y239="算法类",Y239="无法识别"),"低",IF(N239&lt;2,IF(O239&lt;51,"低","中"),IF(N239&lt;6,IF(O239&lt;20,"低",IF(O239&lt;51,"中","高")),IF(O239&lt;20,"中","高")))),"不计算")))</f>
        <v/>
      </c>
      <c r="Q239" s="172">
        <f>IFERROR(IF(J239="EI",IF(P239="低",3,IF(P239="中",4,6)),IF(J239="EO",IF(P239="低",4,IF(P239="中",5,7)),IF(J239="EQ",IF(P239="低",3,IF(P239="中",4,6)),IF(J239="ILF",IF(P239="低",7,IF(P239="中",10,15)),IF(J239="EIF",IF(P239="低",5,IF(P239="中",7,10)),"不计算")))))*R239,"不计算")</f>
        <v/>
      </c>
      <c r="R239" s="172" t="n">
        <v>0</v>
      </c>
      <c r="S239" s="173">
        <f>调整因子!$F$13</f>
        <v/>
      </c>
      <c r="T239" s="92" t="n">
        <v>1</v>
      </c>
      <c r="U239" s="174">
        <f>IFERROR(Q239*S239,0)</f>
        <v/>
      </c>
      <c r="V239" s="174">
        <f>U239*T239</f>
        <v/>
      </c>
      <c r="W239" s="91" t="n"/>
      <c r="X239" s="90" t="inlineStr">
        <is>
          <t>历史附件表</t>
        </is>
      </c>
      <c r="Y239" s="90" t="inlineStr">
        <is>
          <t>历史附件表{附件ID、流程实例ID、附件名称、附件路径、上传时间}</t>
        </is>
      </c>
      <c r="Z239" s="90">
        <f>IF(COUNTIFS(W:W,"*"&amp;I239&amp;"*")&gt;0,"存在","不存在")</f>
        <v/>
      </c>
      <c r="AA239" s="90">
        <f>IF(COUNTIFS(AB:AB,"*"&amp;I239&amp;"*")&gt;0,"存在","不存在")</f>
        <v/>
      </c>
      <c r="AB239" s="103" t="inlineStr">
        <is>
          <t>资产扫描覆盖表、扫描盲区记录表、扫描能力缺口表</t>
        </is>
      </c>
      <c r="AC239" s="66" t="n"/>
    </row>
    <row r="240" customFormat="1" s="66">
      <c r="A240" s="72">
        <f>ROW()-1</f>
        <v/>
      </c>
      <c r="B240" s="175" t="n"/>
      <c r="C240" s="80" t="n">
        <v>2025</v>
      </c>
      <c r="D240" s="80" t="inlineStr">
        <is>
          <t>张明峰</t>
        </is>
      </c>
      <c r="E240" s="81">
        <f>VLOOKUP(I240,'25年交付功能（不含废弃）'!A:A,1,FALSE)</f>
        <v/>
      </c>
      <c r="F240" s="175" t="n"/>
      <c r="G240" s="175" t="n"/>
      <c r="H240" s="175" t="n"/>
      <c r="I240" s="98" t="inlineStr">
        <is>
          <t>历史评论表</t>
        </is>
      </c>
      <c r="J240" s="93" t="inlineStr">
        <is>
          <t>ILF</t>
        </is>
      </c>
      <c r="K240" s="110" t="inlineStr">
        <is>
          <t>删除</t>
        </is>
      </c>
      <c r="L240" s="84" t="inlineStr">
        <is>
          <t>数据库表未被本系统所维护</t>
        </is>
      </c>
      <c r="M240" s="85">
        <f>IF(OR(Y240="估算法",Y240="算法类",Y240="无法识别"),"",IF(W240="",IF(OR(J240="EI",J240="EO",J240="EQ"),0,""),LEN(W240)-LEN(SUBSTITUTE(W240,"、",""))+1))</f>
        <v/>
      </c>
      <c r="N240" s="85">
        <f>IF(OR(Y240="估算法",Y240="算法类",Y240="无法识别"),"",IF(X240="",IF(OR(J240="ILF",J240="EIF"),0,""),LEN(X240)-LEN(SUBSTITUTE(X240,"、",""))+1))</f>
        <v/>
      </c>
      <c r="O240" s="85">
        <f>IF(OR(Y240="估算法",Y240="算法类",Y240="无法识别"),"",IF(Y240="",IF(OR(J240="ILF",J240="EIF",J240="EI",J240="EO",J240="EQ"),0,""),LEN(Y240)-LEN(SUBSTITUTE(SUBSTITUTE(SUBSTITUTE(SUBSTITUTE(SUBSTITUTE(Y240,"|}","--"),"{|","--"),CHAR(10),""),"、",""),"|",""))+IF(AND(OR(J240="EI",J240="EO",J240="EQ"),$AE$1="NESMA"),2,1)))</f>
        <v/>
      </c>
      <c r="P240" s="86">
        <f>IF(J240="EI",IF(OR(Y240="估算法",Y240="算法类"),"中",IF(Y240="无法识别","低",IF(M240&lt;2,IF(O240&lt;16,"低","中"),IF(M240&lt;3,IF(O240&lt;5,"低",IF(O240&lt;16,"中","高")),IF(O240&lt;5,"中","高"))))),IF(OR(J240="EO",J240="EQ"),IF(OR(Y240="估算法",Y240="算法类"),"中",IF(Y240="无法识别","低",IF(M240&lt;2,IF(O240&lt;20,"低","中"),IF(M240&lt;4,IF(O240&lt;6,"低",IF(O240&lt;20,"中","高")),IF(O240&lt;6,"中","高"))))),IF(OR(J240="ILF",J240="EIF"),IF(OR(Y240="估算法",Y240="算法类",Y240="无法识别"),"低",IF(N240&lt;2,IF(O240&lt;51,"低","中"),IF(N240&lt;6,IF(O240&lt;20,"低",IF(O240&lt;51,"中","高")),IF(O240&lt;20,"中","高")))),"不计算")))</f>
        <v/>
      </c>
      <c r="Q240" s="172">
        <f>IFERROR(IF(J240="EI",IF(P240="低",3,IF(P240="中",4,6)),IF(J240="EO",IF(P240="低",4,IF(P240="中",5,7)),IF(J240="EQ",IF(P240="低",3,IF(P240="中",4,6)),IF(J240="ILF",IF(P240="低",7,IF(P240="中",10,15)),IF(J240="EIF",IF(P240="低",5,IF(P240="中",7,10)),"不计算")))))*R240,"不计算")</f>
        <v/>
      </c>
      <c r="R240" s="172" t="n">
        <v>0</v>
      </c>
      <c r="S240" s="173">
        <f>调整因子!$F$13</f>
        <v/>
      </c>
      <c r="T240" s="93" t="n">
        <v>1</v>
      </c>
      <c r="U240" s="174">
        <f>IFERROR(Q240*S240,0)</f>
        <v/>
      </c>
      <c r="V240" s="174">
        <f>U240*T240</f>
        <v/>
      </c>
      <c r="W240" s="91" t="n"/>
      <c r="X240" s="90" t="inlineStr">
        <is>
          <t>历史评论表</t>
        </is>
      </c>
      <c r="Y240" s="90" t="inlineStr">
        <is>
          <t>历史评论表{评论ID、流程实例ID、评论内容、评论人、评论时间}</t>
        </is>
      </c>
      <c r="Z240" s="90">
        <f>IF(COUNTIFS(W:W,"*"&amp;I240&amp;"*")&gt;0,"存在","不存在")</f>
        <v/>
      </c>
      <c r="AA240" s="90">
        <f>IF(COUNTIFS(AB:AB,"*"&amp;I240&amp;"*")&gt;0,"存在","不存在")</f>
        <v/>
      </c>
      <c r="AB240" s="103" t="inlineStr">
        <is>
          <t>资产扫描覆盖表、扫描盲区记录表、扫描能力缺口表</t>
        </is>
      </c>
      <c r="AC240" s="66" t="n"/>
    </row>
    <row r="241" customFormat="1" s="66">
      <c r="A241" s="72">
        <f>ROW()-1</f>
        <v/>
      </c>
      <c r="B241" s="175" t="n"/>
      <c r="C241" s="80" t="n">
        <v>2025</v>
      </c>
      <c r="D241" s="80" t="inlineStr">
        <is>
          <t>张明峰</t>
        </is>
      </c>
      <c r="E241" s="81">
        <f>VLOOKUP(I241,'25年交付功能（不含废弃）'!A:A,1,FALSE)</f>
        <v/>
      </c>
      <c r="F241" s="175" t="n"/>
      <c r="G241" s="175" t="n"/>
      <c r="H241" s="175" t="n"/>
      <c r="I241" s="98" t="inlineStr">
        <is>
          <t>历史详情表</t>
        </is>
      </c>
      <c r="J241" s="93" t="inlineStr">
        <is>
          <t>ILF</t>
        </is>
      </c>
      <c r="K241" s="110" t="inlineStr">
        <is>
          <t>删除</t>
        </is>
      </c>
      <c r="L241" s="84" t="inlineStr">
        <is>
          <t>数据库表未被本系统所维护</t>
        </is>
      </c>
      <c r="M241" s="85">
        <f>IF(OR(Y241="估算法",Y241="算法类",Y241="无法识别"),"",IF(W241="",IF(OR(J241="EI",J241="EO",J241="EQ"),0,""),LEN(W241)-LEN(SUBSTITUTE(W241,"、",""))+1))</f>
        <v/>
      </c>
      <c r="N241" s="85">
        <f>IF(OR(Y241="估算法",Y241="算法类",Y241="无法识别"),"",IF(X241="",IF(OR(J241="ILF",J241="EIF"),0,""),LEN(X241)-LEN(SUBSTITUTE(X241,"、",""))+1))</f>
        <v/>
      </c>
      <c r="O241" s="85">
        <f>IF(OR(Y241="估算法",Y241="算法类",Y241="无法识别"),"",IF(Y241="",IF(OR(J241="ILF",J241="EIF",J241="EI",J241="EO",J241="EQ"),0,""),LEN(Y241)-LEN(SUBSTITUTE(SUBSTITUTE(SUBSTITUTE(SUBSTITUTE(SUBSTITUTE(Y241,"|}","--"),"{|","--"),CHAR(10),""),"、",""),"|",""))+IF(AND(OR(J241="EI",J241="EO",J241="EQ"),$AE$1="NESMA"),2,1)))</f>
        <v/>
      </c>
      <c r="P241" s="86">
        <f>IF(J241="EI",IF(OR(Y241="估算法",Y241="算法类"),"中",IF(Y241="无法识别","低",IF(M241&lt;2,IF(O241&lt;16,"低","中"),IF(M241&lt;3,IF(O241&lt;5,"低",IF(O241&lt;16,"中","高")),IF(O241&lt;5,"中","高"))))),IF(OR(J241="EO",J241="EQ"),IF(OR(Y241="估算法",Y241="算法类"),"中",IF(Y241="无法识别","低",IF(M241&lt;2,IF(O241&lt;20,"低","中"),IF(M241&lt;4,IF(O241&lt;6,"低",IF(O241&lt;20,"中","高")),IF(O241&lt;6,"中","高"))))),IF(OR(J241="ILF",J241="EIF"),IF(OR(Y241="估算法",Y241="算法类",Y241="无法识别"),"低",IF(N241&lt;2,IF(O241&lt;51,"低","中"),IF(N241&lt;6,IF(O241&lt;20,"低",IF(O241&lt;51,"中","高")),IF(O241&lt;20,"中","高")))),"不计算")))</f>
        <v/>
      </c>
      <c r="Q241" s="172">
        <f>IFERROR(IF(J241="EI",IF(P241="低",3,IF(P241="中",4,6)),IF(J241="EO",IF(P241="低",4,IF(P241="中",5,7)),IF(J241="EQ",IF(P241="低",3,IF(P241="中",4,6)),IF(J241="ILF",IF(P241="低",7,IF(P241="中",10,15)),IF(J241="EIF",IF(P241="低",5,IF(P241="中",7,10)),"不计算")))))*R241,"不计算")</f>
        <v/>
      </c>
      <c r="R241" s="172" t="n">
        <v>0</v>
      </c>
      <c r="S241" s="173">
        <f>调整因子!$F$13</f>
        <v/>
      </c>
      <c r="T241" s="92" t="n">
        <v>1</v>
      </c>
      <c r="U241" s="174">
        <f>IFERROR(Q241*S241,0)</f>
        <v/>
      </c>
      <c r="V241" s="174">
        <f>U241*T241</f>
        <v/>
      </c>
      <c r="W241" s="91" t="n"/>
      <c r="X241" s="90" t="inlineStr">
        <is>
          <t>历史详情表</t>
        </is>
      </c>
      <c r="Y241" s="90" t="inlineStr">
        <is>
          <t>历史详情表{详情ID、流程实例ID、详情内容、更新时间}</t>
        </is>
      </c>
      <c r="Z241" s="90">
        <f>IF(COUNTIFS(W:W,"*"&amp;I241&amp;"*")&gt;0,"存在","不存在")</f>
        <v/>
      </c>
      <c r="AA241" s="90">
        <f>IF(COUNTIFS(AB:AB,"*"&amp;I241&amp;"*")&gt;0,"存在","不存在")</f>
        <v/>
      </c>
      <c r="AB241" s="103" t="inlineStr">
        <is>
          <t>扫描策略模板表、提醒策略配置表、加密策略表、通报配置表、处置单配置表</t>
        </is>
      </c>
      <c r="AC241" s="66" t="n"/>
    </row>
    <row r="242" customFormat="1" s="66">
      <c r="A242" s="72">
        <f>ROW()-1</f>
        <v/>
      </c>
      <c r="B242" s="175" t="n"/>
      <c r="C242" s="80" t="n">
        <v>2025</v>
      </c>
      <c r="D242" s="80" t="inlineStr">
        <is>
          <t>张明峰</t>
        </is>
      </c>
      <c r="E242" s="81">
        <f>VLOOKUP(I242,'25年交付功能（不含废弃）'!A:A,1,FALSE)</f>
        <v/>
      </c>
      <c r="F242" s="175" t="n"/>
      <c r="G242" s="175" t="n"/>
      <c r="H242" s="175" t="n"/>
      <c r="I242" s="98" t="inlineStr">
        <is>
          <t>历史实体链接表</t>
        </is>
      </c>
      <c r="J242" s="93" t="inlineStr">
        <is>
          <t>ILF</t>
        </is>
      </c>
      <c r="K242" s="110" t="inlineStr">
        <is>
          <t>删除</t>
        </is>
      </c>
      <c r="L242" s="84" t="inlineStr">
        <is>
          <t>数据库表未被本系统所维护</t>
        </is>
      </c>
      <c r="M242" s="85">
        <f>IF(OR(Y242="估算法",Y242="算法类",Y242="无法识别"),"",IF(W242="",IF(OR(J242="EI",J242="EO",J242="EQ"),0,""),LEN(W242)-LEN(SUBSTITUTE(W242,"、",""))+1))</f>
        <v/>
      </c>
      <c r="N242" s="85">
        <f>IF(OR(Y242="估算法",Y242="算法类",Y242="无法识别"),"",IF(X242="",IF(OR(J242="ILF",J242="EIF"),0,""),LEN(X242)-LEN(SUBSTITUTE(X242,"、",""))+1))</f>
        <v/>
      </c>
      <c r="O242" s="85">
        <f>IF(OR(Y242="估算法",Y242="算法类",Y242="无法识别"),"",IF(Y242="",IF(OR(J242="ILF",J242="EIF",J242="EI",J242="EO",J242="EQ"),0,""),LEN(Y242)-LEN(SUBSTITUTE(SUBSTITUTE(SUBSTITUTE(SUBSTITUTE(SUBSTITUTE(Y242,"|}","--"),"{|","--"),CHAR(10),""),"、",""),"|",""))+IF(AND(OR(J242="EI",J242="EO",J242="EQ"),$AE$1="NESMA"),2,1)))</f>
        <v/>
      </c>
      <c r="P242" s="86">
        <f>IF(J242="EI",IF(OR(Y242="估算法",Y242="算法类"),"中",IF(Y242="无法识别","低",IF(M242&lt;2,IF(O242&lt;16,"低","中"),IF(M242&lt;3,IF(O242&lt;5,"低",IF(O242&lt;16,"中","高")),IF(O242&lt;5,"中","高"))))),IF(OR(J242="EO",J242="EQ"),IF(OR(Y242="估算法",Y242="算法类"),"中",IF(Y242="无法识别","低",IF(M242&lt;2,IF(O242&lt;20,"低","中"),IF(M242&lt;4,IF(O242&lt;6,"低",IF(O242&lt;20,"中","高")),IF(O242&lt;6,"中","高"))))),IF(OR(J242="ILF",J242="EIF"),IF(OR(Y242="估算法",Y242="算法类",Y242="无法识别"),"低",IF(N242&lt;2,IF(O242&lt;51,"低","中"),IF(N242&lt;6,IF(O242&lt;20,"低",IF(O242&lt;51,"中","高")),IF(O242&lt;20,"中","高")))),"不计算")))</f>
        <v/>
      </c>
      <c r="Q242" s="172">
        <f>IFERROR(IF(J242="EI",IF(P242="低",3,IF(P242="中",4,6)),IF(J242="EO",IF(P242="低",4,IF(P242="中",5,7)),IF(J242="EQ",IF(P242="低",3,IF(P242="中",4,6)),IF(J242="ILF",IF(P242="低",7,IF(P242="中",10,15)),IF(J242="EIF",IF(P242="低",5,IF(P242="中",7,10)),"不计算")))))*R242,"不计算")</f>
        <v/>
      </c>
      <c r="R242" s="172" t="n">
        <v>0</v>
      </c>
      <c r="S242" s="173">
        <f>调整因子!$F$13</f>
        <v/>
      </c>
      <c r="T242" s="92" t="n">
        <v>1</v>
      </c>
      <c r="U242" s="174">
        <f>IFERROR(Q242*S242,0)</f>
        <v/>
      </c>
      <c r="V242" s="174">
        <f>U242*T242</f>
        <v/>
      </c>
      <c r="W242" s="91" t="n"/>
      <c r="X242" s="90" t="inlineStr">
        <is>
          <t>历史实体链接表</t>
        </is>
      </c>
      <c r="Y242" s="90" t="inlineStr">
        <is>
          <t>历史实体链接表{链接ID、流程实例ID、实体类型、实体ID、链接时间}</t>
        </is>
      </c>
      <c r="Z242" s="90">
        <f>IF(COUNTIFS(W:W,"*"&amp;I242&amp;"*")&gt;0,"存在","不存在")</f>
        <v/>
      </c>
      <c r="AA242" s="90">
        <f>IF(COUNTIFS(AB:AB,"*"&amp;I242&amp;"*")&gt;0,"存在","不存在")</f>
        <v/>
      </c>
      <c r="AB242" s="103" t="inlineStr">
        <is>
          <t>扫描策略模板表、提醒策略配置表、加密策略表</t>
        </is>
      </c>
      <c r="AC242" s="66" t="n"/>
    </row>
    <row r="243" customFormat="1" s="66">
      <c r="A243" s="72">
        <f>ROW()-1</f>
        <v/>
      </c>
      <c r="B243" s="175" t="n"/>
      <c r="C243" s="80" t="n">
        <v>2025</v>
      </c>
      <c r="D243" s="80" t="inlineStr">
        <is>
          <t>张明峰</t>
        </is>
      </c>
      <c r="E243" s="81">
        <f>VLOOKUP(I243,'25年交付功能（不含废弃）'!A:A,1,FALSE)</f>
        <v/>
      </c>
      <c r="F243" s="175" t="n"/>
      <c r="G243" s="175" t="n"/>
      <c r="H243" s="175" t="n"/>
      <c r="I243" s="98" t="inlineStr">
        <is>
          <t>历史身份链接表</t>
        </is>
      </c>
      <c r="J243" s="93" t="inlineStr">
        <is>
          <t>ILF</t>
        </is>
      </c>
      <c r="K243" s="110" t="inlineStr">
        <is>
          <t>删除</t>
        </is>
      </c>
      <c r="L243" s="84" t="inlineStr">
        <is>
          <t>数据库表未被本系统所维护</t>
        </is>
      </c>
      <c r="M243" s="85">
        <f>IF(OR(Y243="估算法",Y243="算法类",Y243="无法识别"),"",IF(W243="",IF(OR(J243="EI",J243="EO",J243="EQ"),0,""),LEN(W243)-LEN(SUBSTITUTE(W243,"、",""))+1))</f>
        <v/>
      </c>
      <c r="N243" s="85">
        <f>IF(OR(Y243="估算法",Y243="算法类",Y243="无法识别"),"",IF(X243="",IF(OR(J243="ILF",J243="EIF"),0,""),LEN(X243)-LEN(SUBSTITUTE(X243,"、",""))+1))</f>
        <v/>
      </c>
      <c r="O243" s="85">
        <f>IF(OR(Y243="估算法",Y243="算法类",Y243="无法识别"),"",IF(Y243="",IF(OR(J243="ILF",J243="EIF",J243="EI",J243="EO",J243="EQ"),0,""),LEN(Y243)-LEN(SUBSTITUTE(SUBSTITUTE(SUBSTITUTE(SUBSTITUTE(SUBSTITUTE(Y243,"|}","--"),"{|","--"),CHAR(10),""),"、",""),"|",""))+IF(AND(OR(J243="EI",J243="EO",J243="EQ"),$AE$1="NESMA"),2,1)))</f>
        <v/>
      </c>
      <c r="P243" s="86">
        <f>IF(J243="EI",IF(OR(Y243="估算法",Y243="算法类"),"中",IF(Y243="无法识别","低",IF(M243&lt;2,IF(O243&lt;16,"低","中"),IF(M243&lt;3,IF(O243&lt;5,"低",IF(O243&lt;16,"中","高")),IF(O243&lt;5,"中","高"))))),IF(OR(J243="EO",J243="EQ"),IF(OR(Y243="估算法",Y243="算法类"),"中",IF(Y243="无法识别","低",IF(M243&lt;2,IF(O243&lt;20,"低","中"),IF(M243&lt;4,IF(O243&lt;6,"低",IF(O243&lt;20,"中","高")),IF(O243&lt;6,"中","高"))))),IF(OR(J243="ILF",J243="EIF"),IF(OR(Y243="估算法",Y243="算法类",Y243="无法识别"),"低",IF(N243&lt;2,IF(O243&lt;51,"低","中"),IF(N243&lt;6,IF(O243&lt;20,"低",IF(O243&lt;51,"中","高")),IF(O243&lt;20,"中","高")))),"不计算")))</f>
        <v/>
      </c>
      <c r="Q243" s="172">
        <f>IFERROR(IF(J243="EI",IF(P243="低",3,IF(P243="中",4,6)),IF(J243="EO",IF(P243="低",4,IF(P243="中",5,7)),IF(J243="EQ",IF(P243="低",3,IF(P243="中",4,6)),IF(J243="ILF",IF(P243="低",7,IF(P243="中",10,15)),IF(J243="EIF",IF(P243="低",5,IF(P243="中",7,10)),"不计算")))))*R243,"不计算")</f>
        <v/>
      </c>
      <c r="R243" s="172" t="n">
        <v>0</v>
      </c>
      <c r="S243" s="173">
        <f>调整因子!$F$13</f>
        <v/>
      </c>
      <c r="T243" s="93" t="n">
        <v>1</v>
      </c>
      <c r="U243" s="174">
        <f>IFERROR(Q243*S243,0)</f>
        <v/>
      </c>
      <c r="V243" s="174">
        <f>U243*T243</f>
        <v/>
      </c>
      <c r="W243" s="91" t="n"/>
      <c r="X243" s="90" t="inlineStr">
        <is>
          <t>历史身份链接表</t>
        </is>
      </c>
      <c r="Y243" s="90" t="inlineStr">
        <is>
          <t>历史身份链接表{链接ID、流程实例ID、用户ID、角色、链接时间}</t>
        </is>
      </c>
      <c r="Z243" s="90">
        <f>IF(COUNTIFS(W:W,"*"&amp;I243&amp;"*")&gt;0,"存在","不存在")</f>
        <v/>
      </c>
      <c r="AA243" s="90">
        <f>IF(COUNTIFS(AB:AB,"*"&amp;I243&amp;"*")&gt;0,"存在","不存在")</f>
        <v/>
      </c>
      <c r="AB243" s="103" t="inlineStr">
        <is>
          <t>修复步骤表、模板配置表、脱敏规则表、报告解析结果表、漏洞统计数据表</t>
        </is>
      </c>
      <c r="AC243" s="66" t="n"/>
    </row>
    <row r="244" customFormat="1" s="66">
      <c r="A244" s="72">
        <f>ROW()-1</f>
        <v/>
      </c>
      <c r="B244" s="175" t="n"/>
      <c r="C244" s="80" t="n">
        <v>2025</v>
      </c>
      <c r="D244" s="80" t="inlineStr">
        <is>
          <t>张明峰</t>
        </is>
      </c>
      <c r="E244" s="81">
        <f>VLOOKUP(I244,'25年交付功能（不含废弃）'!A:A,1,FALSE)</f>
        <v/>
      </c>
      <c r="F244" s="175" t="n"/>
      <c r="G244" s="175" t="n"/>
      <c r="H244" s="175" t="n"/>
      <c r="I244" s="98" t="inlineStr">
        <is>
          <t>历史流程实例表</t>
        </is>
      </c>
      <c r="J244" s="93" t="inlineStr">
        <is>
          <t>ILF</t>
        </is>
      </c>
      <c r="K244" s="110" t="inlineStr">
        <is>
          <t>删除</t>
        </is>
      </c>
      <c r="L244" s="84" t="inlineStr">
        <is>
          <t>数据库表未被本系统所维护</t>
        </is>
      </c>
      <c r="M244" s="85">
        <f>IF(OR(Y244="估算法",Y244="算法类",Y244="无法识别"),"",IF(W244="",IF(OR(J244="EI",J244="EO",J244="EQ"),0,""),LEN(W244)-LEN(SUBSTITUTE(W244,"、",""))+1))</f>
        <v/>
      </c>
      <c r="N244" s="85">
        <f>IF(OR(Y244="估算法",Y244="算法类",Y244="无法识别"),"",IF(X244="",IF(OR(J244="ILF",J244="EIF"),0,""),LEN(X244)-LEN(SUBSTITUTE(X244,"、",""))+1))</f>
        <v/>
      </c>
      <c r="O244" s="85">
        <f>IF(OR(Y244="估算法",Y244="算法类",Y244="无法识别"),"",IF(Y244="",IF(OR(J244="ILF",J244="EIF",J244="EI",J244="EO",J244="EQ"),0,""),LEN(Y244)-LEN(SUBSTITUTE(SUBSTITUTE(SUBSTITUTE(SUBSTITUTE(SUBSTITUTE(Y244,"|}","--"),"{|","--"),CHAR(10),""),"、",""),"|",""))+IF(AND(OR(J244="EI",J244="EO",J244="EQ"),$AE$1="NESMA"),2,1)))</f>
        <v/>
      </c>
      <c r="P244" s="86">
        <f>IF(J244="EI",IF(OR(Y244="估算法",Y244="算法类"),"中",IF(Y244="无法识别","低",IF(M244&lt;2,IF(O244&lt;16,"低","中"),IF(M244&lt;3,IF(O244&lt;5,"低",IF(O244&lt;16,"中","高")),IF(O244&lt;5,"中","高"))))),IF(OR(J244="EO",J244="EQ"),IF(OR(Y244="估算法",Y244="算法类"),"中",IF(Y244="无法识别","低",IF(M244&lt;2,IF(O244&lt;20,"低","中"),IF(M244&lt;4,IF(O244&lt;6,"低",IF(O244&lt;20,"中","高")),IF(O244&lt;6,"中","高"))))),IF(OR(J244="ILF",J244="EIF"),IF(OR(Y244="估算法",Y244="算法类",Y244="无法识别"),"低",IF(N244&lt;2,IF(O244&lt;51,"低","中"),IF(N244&lt;6,IF(O244&lt;20,"低",IF(O244&lt;51,"中","高")),IF(O244&lt;20,"中","高")))),"不计算")))</f>
        <v/>
      </c>
      <c r="Q244" s="172">
        <f>IFERROR(IF(J244="EI",IF(P244="低",3,IF(P244="中",4,6)),IF(J244="EO",IF(P244="低",4,IF(P244="中",5,7)),IF(J244="EQ",IF(P244="低",3,IF(P244="中",4,6)),IF(J244="ILF",IF(P244="低",7,IF(P244="中",10,15)),IF(J244="EIF",IF(P244="低",5,IF(P244="中",7,10)),"不计算")))))*R244,"不计算")</f>
        <v/>
      </c>
      <c r="R244" s="172" t="n">
        <v>0</v>
      </c>
      <c r="S244" s="173">
        <f>调整因子!$F$13</f>
        <v/>
      </c>
      <c r="T244" s="92" t="n">
        <v>1</v>
      </c>
      <c r="U244" s="174">
        <f>IFERROR(Q244*S244,0)</f>
        <v/>
      </c>
      <c r="V244" s="174">
        <f>U244*T244</f>
        <v/>
      </c>
      <c r="W244" s="91" t="n"/>
      <c r="X244" s="90" t="inlineStr">
        <is>
          <t>历史流程实例表</t>
        </is>
      </c>
      <c r="Y244" s="90" t="inlineStr">
        <is>
          <t>历史流程实例表{实例ID、流程定义ID、开始时间、结束时间、状态}</t>
        </is>
      </c>
      <c r="Z244" s="90">
        <f>IF(COUNTIFS(W:W,"*"&amp;I244&amp;"*")&gt;0,"存在","不存在")</f>
        <v/>
      </c>
      <c r="AA244" s="90">
        <f>IF(COUNTIFS(AB:AB,"*"&amp;I244&amp;"*")&gt;0,"存在","不存在")</f>
        <v/>
      </c>
      <c r="AB244" s="103" t="inlineStr">
        <is>
          <t>推送规则表、提醒规则表、脱敏规则表、加密规则表、推送结果表</t>
        </is>
      </c>
      <c r="AC244" s="66" t="n"/>
    </row>
    <row r="245" customFormat="1" s="66">
      <c r="A245" s="72">
        <f>ROW()-1</f>
        <v/>
      </c>
      <c r="B245" s="175" t="n"/>
      <c r="C245" s="80" t="n">
        <v>2025</v>
      </c>
      <c r="D245" s="80" t="inlineStr">
        <is>
          <t>张明峰</t>
        </is>
      </c>
      <c r="E245" s="81">
        <f>VLOOKUP(I245,'25年交付功能（不含废弃）'!A:A,1,FALSE)</f>
        <v/>
      </c>
      <c r="F245" s="175" t="n"/>
      <c r="G245" s="175" t="n"/>
      <c r="H245" s="175" t="n"/>
      <c r="I245" s="98" t="inlineStr">
        <is>
          <t>历史任务实例表</t>
        </is>
      </c>
      <c r="J245" s="93" t="inlineStr">
        <is>
          <t>ILF</t>
        </is>
      </c>
      <c r="K245" s="110" t="inlineStr">
        <is>
          <t>删除</t>
        </is>
      </c>
      <c r="L245" s="84" t="inlineStr">
        <is>
          <t>数据库表未被本系统所维护</t>
        </is>
      </c>
      <c r="M245" s="85">
        <f>IF(OR(Y245="估算法",Y245="算法类",Y245="无法识别"),"",IF(W245="",IF(OR(J245="EI",J245="EO",J245="EQ"),0,""),LEN(W245)-LEN(SUBSTITUTE(W245,"、",""))+1))</f>
        <v/>
      </c>
      <c r="N245" s="85">
        <f>IF(OR(Y245="估算法",Y245="算法类",Y245="无法识别"),"",IF(X245="",IF(OR(J245="ILF",J245="EIF"),0,""),LEN(X245)-LEN(SUBSTITUTE(X245,"、",""))+1))</f>
        <v/>
      </c>
      <c r="O245" s="85">
        <f>IF(OR(Y245="估算法",Y245="算法类",Y245="无法识别"),"",IF(Y245="",IF(OR(J245="ILF",J245="EIF",J245="EI",J245="EO",J245="EQ"),0,""),LEN(Y245)-LEN(SUBSTITUTE(SUBSTITUTE(SUBSTITUTE(SUBSTITUTE(SUBSTITUTE(Y245,"|}","--"),"{|","--"),CHAR(10),""),"、",""),"|",""))+IF(AND(OR(J245="EI",J245="EO",J245="EQ"),$AE$1="NESMA"),2,1)))</f>
        <v/>
      </c>
      <c r="P245" s="86">
        <f>IF(J245="EI",IF(OR(Y245="估算法",Y245="算法类"),"中",IF(Y245="无法识别","低",IF(M245&lt;2,IF(O245&lt;16,"低","中"),IF(M245&lt;3,IF(O245&lt;5,"低",IF(O245&lt;16,"中","高")),IF(O245&lt;5,"中","高"))))),IF(OR(J245="EO",J245="EQ"),IF(OR(Y245="估算法",Y245="算法类"),"中",IF(Y245="无法识别","低",IF(M245&lt;2,IF(O245&lt;20,"低","中"),IF(M245&lt;4,IF(O245&lt;6,"低",IF(O245&lt;20,"中","高")),IF(O245&lt;6,"中","高"))))),IF(OR(J245="ILF",J245="EIF"),IF(OR(Y245="估算法",Y245="算法类",Y245="无法识别"),"低",IF(N245&lt;2,IF(O245&lt;51,"低","中"),IF(N245&lt;6,IF(O245&lt;20,"低",IF(O245&lt;51,"中","高")),IF(O245&lt;20,"中","高")))),"不计算")))</f>
        <v/>
      </c>
      <c r="Q245" s="172">
        <f>IFERROR(IF(J245="EI",IF(P245="低",3,IF(P245="中",4,6)),IF(J245="EO",IF(P245="低",4,IF(P245="中",5,7)),IF(J245="EQ",IF(P245="低",3,IF(P245="中",4,6)),IF(J245="ILF",IF(P245="低",7,IF(P245="中",10,15)),IF(J245="EIF",IF(P245="低",5,IF(P245="中",7,10)),"不计算")))))*R245,"不计算")</f>
        <v/>
      </c>
      <c r="R245" s="172" t="n">
        <v>0</v>
      </c>
      <c r="S245" s="173">
        <f>调整因子!$F$13</f>
        <v/>
      </c>
      <c r="T245" s="92" t="n">
        <v>1</v>
      </c>
      <c r="U245" s="174">
        <f>IFERROR(Q245*S245,0)</f>
        <v/>
      </c>
      <c r="V245" s="174">
        <f>U245*T245</f>
        <v/>
      </c>
      <c r="W245" s="91" t="n"/>
      <c r="X245" s="90" t="inlineStr">
        <is>
          <t>历史任务实例表</t>
        </is>
      </c>
      <c r="Y245" s="90" t="inlineStr">
        <is>
          <t>历史任务实例表{实例ID、任务定义ID、开始时间、结束时间、状态}</t>
        </is>
      </c>
      <c r="Z245" s="90">
        <f>IF(COUNTIFS(W:W,"*"&amp;I245&amp;"*")&gt;0,"存在","不存在")</f>
        <v/>
      </c>
      <c r="AA245" s="90">
        <f>IF(COUNTIFS(AB:AB,"*"&amp;I245&amp;"*")&gt;0,"存在","不存在")</f>
        <v/>
      </c>
      <c r="AB245" s="103" t="inlineStr">
        <is>
          <t>推送规则表、提醒规则表、脱敏规则表</t>
        </is>
      </c>
      <c r="AC245" s="66" t="n"/>
    </row>
    <row r="246" customFormat="1" s="66">
      <c r="A246" s="72">
        <f>ROW()-1</f>
        <v/>
      </c>
      <c r="B246" s="175" t="n"/>
      <c r="C246" s="80" t="n">
        <v>2025</v>
      </c>
      <c r="D246" s="80" t="inlineStr">
        <is>
          <t>张明峰</t>
        </is>
      </c>
      <c r="E246" s="81">
        <f>VLOOKUP(I246,'25年交付功能（不含废弃）'!A:A,1,FALSE)</f>
        <v/>
      </c>
      <c r="F246" s="175" t="n"/>
      <c r="G246" s="175" t="n"/>
      <c r="H246" s="175" t="n"/>
      <c r="I246" s="98" t="inlineStr">
        <is>
          <t>历史任务日志表</t>
        </is>
      </c>
      <c r="J246" s="93" t="inlineStr">
        <is>
          <t>ILF</t>
        </is>
      </c>
      <c r="K246" s="110" t="inlineStr">
        <is>
          <t>删除</t>
        </is>
      </c>
      <c r="L246" s="84" t="inlineStr">
        <is>
          <t>数据库表未被本系统所维护</t>
        </is>
      </c>
      <c r="M246" s="85">
        <f>IF(OR(Y246="估算法",Y246="算法类",Y246="无法识别"),"",IF(W246="",IF(OR(J246="EI",J246="EO",J246="EQ"),0,""),LEN(W246)-LEN(SUBSTITUTE(W246,"、",""))+1))</f>
        <v/>
      </c>
      <c r="N246" s="85">
        <f>IF(OR(Y246="估算法",Y246="算法类",Y246="无法识别"),"",IF(X246="",IF(OR(J246="ILF",J246="EIF"),0,""),LEN(X246)-LEN(SUBSTITUTE(X246,"、",""))+1))</f>
        <v/>
      </c>
      <c r="O246" s="85">
        <f>IF(OR(Y246="估算法",Y246="算法类",Y246="无法识别"),"",IF(Y246="",IF(OR(J246="ILF",J246="EIF",J246="EI",J246="EO",J246="EQ"),0,""),LEN(Y246)-LEN(SUBSTITUTE(SUBSTITUTE(SUBSTITUTE(SUBSTITUTE(SUBSTITUTE(Y246,"|}","--"),"{|","--"),CHAR(10),""),"、",""),"|",""))+IF(AND(OR(J246="EI",J246="EO",J246="EQ"),$AE$1="NESMA"),2,1)))</f>
        <v/>
      </c>
      <c r="P246" s="86">
        <f>IF(J246="EI",IF(OR(Y246="估算法",Y246="算法类"),"中",IF(Y246="无法识别","低",IF(M246&lt;2,IF(O246&lt;16,"低","中"),IF(M246&lt;3,IF(O246&lt;5,"低",IF(O246&lt;16,"中","高")),IF(O246&lt;5,"中","高"))))),IF(OR(J246="EO",J246="EQ"),IF(OR(Y246="估算法",Y246="算法类"),"中",IF(Y246="无法识别","低",IF(M246&lt;2,IF(O246&lt;20,"低","中"),IF(M246&lt;4,IF(O246&lt;6,"低",IF(O246&lt;20,"中","高")),IF(O246&lt;6,"中","高"))))),IF(OR(J246="ILF",J246="EIF"),IF(OR(Y246="估算法",Y246="算法类",Y246="无法识别"),"低",IF(N246&lt;2,IF(O246&lt;51,"低","中"),IF(N246&lt;6,IF(O246&lt;20,"低",IF(O246&lt;51,"中","高")),IF(O246&lt;20,"中","高")))),"不计算")))</f>
        <v/>
      </c>
      <c r="Q246" s="172">
        <f>IFERROR(IF(J246="EI",IF(P246="低",3,IF(P246="中",4,6)),IF(J246="EO",IF(P246="低",4,IF(P246="中",5,7)),IF(J246="EQ",IF(P246="低",3,IF(P246="中",4,6)),IF(J246="ILF",IF(P246="低",7,IF(P246="中",10,15)),IF(J246="EIF",IF(P246="低",5,IF(P246="中",7,10)),"不计算")))))*R246,"不计算")</f>
        <v/>
      </c>
      <c r="R246" s="172" t="n">
        <v>0</v>
      </c>
      <c r="S246" s="173">
        <f>调整因子!$F$13</f>
        <v/>
      </c>
      <c r="T246" s="93" t="n">
        <v>1</v>
      </c>
      <c r="U246" s="174">
        <f>IFERROR(Q246*S246,0)</f>
        <v/>
      </c>
      <c r="V246" s="174">
        <f>U246*T246</f>
        <v/>
      </c>
      <c r="W246" s="91" t="n"/>
      <c r="X246" s="90" t="inlineStr">
        <is>
          <t>历史任务日志表</t>
        </is>
      </c>
      <c r="Y246" s="90" t="inlineStr">
        <is>
          <t>历史任务日志表{日志ID、任务实例ID、日志内容、记录时间}</t>
        </is>
      </c>
      <c r="Z246" s="90">
        <f>IF(COUNTIFS(W:W,"*"&amp;I246&amp;"*")&gt;0,"存在","不存在")</f>
        <v/>
      </c>
      <c r="AA246" s="90">
        <f>IF(COUNTIFS(AB:AB,"*"&amp;I246&amp;"*")&gt;0,"存在","不存在")</f>
        <v/>
      </c>
      <c r="AB246" s="103" t="inlineStr">
        <is>
          <t>模板分类表、漏洞查询接口配置表、调用统计表、接口参数配置表</t>
        </is>
      </c>
      <c r="AC246" s="66" t="n"/>
    </row>
    <row r="247" customFormat="1" s="66">
      <c r="A247" s="72">
        <f>ROW()-1</f>
        <v/>
      </c>
      <c r="B247" s="175" t="n"/>
      <c r="C247" s="80" t="n">
        <v>2025</v>
      </c>
      <c r="D247" s="80" t="inlineStr">
        <is>
          <t>张明峰</t>
        </is>
      </c>
      <c r="E247" s="81">
        <f>VLOOKUP(I247,'25年交付功能（不含废弃）'!A:A,1,FALSE)</f>
        <v/>
      </c>
      <c r="F247" s="175" t="n"/>
      <c r="G247" s="175" t="n"/>
      <c r="H247" s="175" t="n"/>
      <c r="I247" s="98" t="inlineStr">
        <is>
          <t>历史变量实例表</t>
        </is>
      </c>
      <c r="J247" s="93" t="inlineStr">
        <is>
          <t>ILF</t>
        </is>
      </c>
      <c r="K247" s="110" t="inlineStr">
        <is>
          <t>删除</t>
        </is>
      </c>
      <c r="L247" s="84" t="inlineStr">
        <is>
          <t>数据库表未被本系统所维护</t>
        </is>
      </c>
      <c r="M247" s="85">
        <f>IF(OR(Y247="估算法",Y247="算法类",Y247="无法识别"),"",IF(W247="",IF(OR(J247="EI",J247="EO",J247="EQ"),0,""),LEN(W247)-LEN(SUBSTITUTE(W247,"、",""))+1))</f>
        <v/>
      </c>
      <c r="N247" s="85">
        <f>IF(OR(Y247="估算法",Y247="算法类",Y247="无法识别"),"",IF(X247="",IF(OR(J247="ILF",J247="EIF"),0,""),LEN(X247)-LEN(SUBSTITUTE(X247,"、",""))+1))</f>
        <v/>
      </c>
      <c r="O247" s="85">
        <f>IF(OR(Y247="估算法",Y247="算法类",Y247="无法识别"),"",IF(Y247="",IF(OR(J247="ILF",J247="EIF",J247="EI",J247="EO",J247="EQ"),0,""),LEN(Y247)-LEN(SUBSTITUTE(SUBSTITUTE(SUBSTITUTE(SUBSTITUTE(SUBSTITUTE(Y247,"|}","--"),"{|","--"),CHAR(10),""),"、",""),"|",""))+IF(AND(OR(J247="EI",J247="EO",J247="EQ"),$AE$1="NESMA"),2,1)))</f>
        <v/>
      </c>
      <c r="P247" s="86">
        <f>IF(J247="EI",IF(OR(Y247="估算法",Y247="算法类"),"中",IF(Y247="无法识别","低",IF(M247&lt;2,IF(O247&lt;16,"低","中"),IF(M247&lt;3,IF(O247&lt;5,"低",IF(O247&lt;16,"中","高")),IF(O247&lt;5,"中","高"))))),IF(OR(J247="EO",J247="EQ"),IF(OR(Y247="估算法",Y247="算法类"),"中",IF(Y247="无法识别","低",IF(M247&lt;2,IF(O247&lt;20,"低","中"),IF(M247&lt;4,IF(O247&lt;6,"低",IF(O247&lt;20,"中","高")),IF(O247&lt;6,"中","高"))))),IF(OR(J247="ILF",J247="EIF"),IF(OR(Y247="估算法",Y247="算法类",Y247="无法识别"),"低",IF(N247&lt;2,IF(O247&lt;51,"低","中"),IF(N247&lt;6,IF(O247&lt;20,"低",IF(O247&lt;51,"中","高")),IF(O247&lt;20,"中","高")))),"不计算")))</f>
        <v/>
      </c>
      <c r="Q247" s="172">
        <f>IFERROR(IF(J247="EI",IF(P247="低",3,IF(P247="中",4,6)),IF(J247="EO",IF(P247="低",4,IF(P247="中",5,7)),IF(J247="EQ",IF(P247="低",3,IF(P247="中",4,6)),IF(J247="ILF",IF(P247="低",7,IF(P247="中",10,15)),IF(J247="EIF",IF(P247="低",5,IF(P247="中",7,10)),"不计算")))))*R247,"不计算")</f>
        <v/>
      </c>
      <c r="R247" s="172" t="n">
        <v>0</v>
      </c>
      <c r="S247" s="173">
        <f>调整因子!$F$13</f>
        <v/>
      </c>
      <c r="T247" s="92" t="n">
        <v>1</v>
      </c>
      <c r="U247" s="174">
        <f>IFERROR(Q247*S247,0)</f>
        <v/>
      </c>
      <c r="V247" s="174">
        <f>U247*T247</f>
        <v/>
      </c>
      <c r="W247" s="91" t="n"/>
      <c r="X247" s="90" t="inlineStr">
        <is>
          <t>历史变量实例表</t>
        </is>
      </c>
      <c r="Y247" s="90" t="inlineStr">
        <is>
          <t>历史变量实例表{变量ID、实例ID、变量名称、值、更新时间}</t>
        </is>
      </c>
      <c r="Z247" s="90">
        <f>IF(COUNTIFS(W:W,"*"&amp;I247&amp;"*")&gt;0,"存在","不存在")</f>
        <v/>
      </c>
      <c r="AA247" s="90">
        <f>IF(COUNTIFS(AB:AB,"*"&amp;I247&amp;"*")&gt;0,"存在","不存在")</f>
        <v/>
      </c>
      <c r="AB247" s="103" t="inlineStr">
        <is>
          <t>资产扫描覆盖表、扫描盲区记录表、扫描能力缺口表、离线扫描报告表、扫描策略模板表</t>
        </is>
      </c>
      <c r="AC247" s="66" t="n"/>
    </row>
    <row r="248" customFormat="1" s="66">
      <c r="A248" s="72">
        <f>ROW()-1</f>
        <v/>
      </c>
      <c r="B248" s="175" t="n"/>
      <c r="C248" s="80" t="n">
        <v>2025</v>
      </c>
      <c r="D248" s="80" t="inlineStr">
        <is>
          <t>张明峰</t>
        </is>
      </c>
      <c r="E248" s="81">
        <f>VLOOKUP(I248,'25年交付功能（不含废弃）'!A:A,1,FALSE)</f>
        <v/>
      </c>
      <c r="F248" s="175" t="n"/>
      <c r="G248" s="175" t="n"/>
      <c r="H248" s="175" t="n"/>
      <c r="I248" s="98" t="inlineStr">
        <is>
          <t>历史作业表</t>
        </is>
      </c>
      <c r="J248" s="93" t="inlineStr">
        <is>
          <t>ILF</t>
        </is>
      </c>
      <c r="K248" s="110" t="inlineStr">
        <is>
          <t>删除</t>
        </is>
      </c>
      <c r="L248" s="84" t="inlineStr">
        <is>
          <t>数据库表未被本系统所维护</t>
        </is>
      </c>
      <c r="M248" s="85">
        <f>IF(OR(Y248="估算法",Y248="算法类",Y248="无法识别"),"",IF(W248="",IF(OR(J248="EI",J248="EO",J248="EQ"),0,""),LEN(W248)-LEN(SUBSTITUTE(W248,"、",""))+1))</f>
        <v/>
      </c>
      <c r="N248" s="85">
        <f>IF(OR(Y248="估算法",Y248="算法类",Y248="无法识别"),"",IF(X248="",IF(OR(J248="ILF",J248="EIF"),0,""),LEN(X248)-LEN(SUBSTITUTE(X248,"、",""))+1))</f>
        <v/>
      </c>
      <c r="O248" s="85">
        <f>IF(OR(Y248="估算法",Y248="算法类",Y248="无法识别"),"",IF(Y248="",IF(OR(J248="ILF",J248="EIF",J248="EI",J248="EO",J248="EQ"),0,""),LEN(Y248)-LEN(SUBSTITUTE(SUBSTITUTE(SUBSTITUTE(SUBSTITUTE(SUBSTITUTE(Y248,"|}","--"),"{|","--"),CHAR(10),""),"、",""),"|",""))+IF(AND(OR(J248="EI",J248="EO",J248="EQ"),$AE$1="NESMA"),2,1)))</f>
        <v/>
      </c>
      <c r="P248" s="86">
        <f>IF(J248="EI",IF(OR(Y248="估算法",Y248="算法类"),"中",IF(Y248="无法识别","低",IF(M248&lt;2,IF(O248&lt;16,"低","中"),IF(M248&lt;3,IF(O248&lt;5,"低",IF(O248&lt;16,"中","高")),IF(O248&lt;5,"中","高"))))),IF(OR(J248="EO",J248="EQ"),IF(OR(Y248="估算法",Y248="算法类"),"中",IF(Y248="无法识别","低",IF(M248&lt;2,IF(O248&lt;20,"低","中"),IF(M248&lt;4,IF(O248&lt;6,"低",IF(O248&lt;20,"中","高")),IF(O248&lt;6,"中","高"))))),IF(OR(J248="ILF",J248="EIF"),IF(OR(Y248="估算法",Y248="算法类",Y248="无法识别"),"低",IF(N248&lt;2,IF(O248&lt;51,"低","中"),IF(N248&lt;6,IF(O248&lt;20,"低",IF(O248&lt;51,"中","高")),IF(O248&lt;20,"中","高")))),"不计算")))</f>
        <v/>
      </c>
      <c r="Q248" s="172">
        <f>IFERROR(IF(J248="EI",IF(P248="低",3,IF(P248="中",4,6)),IF(J248="EO",IF(P248="低",4,IF(P248="中",5,7)),IF(J248="EQ",IF(P248="低",3,IF(P248="中",4,6)),IF(J248="ILF",IF(P248="低",7,IF(P248="中",10,15)),IF(J248="EIF",IF(P248="低",5,IF(P248="中",7,10)),"不计算")))))*R248,"不计算")</f>
        <v/>
      </c>
      <c r="R248" s="172" t="n">
        <v>0</v>
      </c>
      <c r="S248" s="173">
        <f>调整因子!$F$13</f>
        <v/>
      </c>
      <c r="T248" s="92" t="n">
        <v>1</v>
      </c>
      <c r="U248" s="174">
        <f>IFERROR(Q248*S248,0)</f>
        <v/>
      </c>
      <c r="V248" s="174">
        <f>U248*T248</f>
        <v/>
      </c>
      <c r="W248" s="91" t="n"/>
      <c r="X248" s="90" t="inlineStr">
        <is>
          <t>历史作业表</t>
        </is>
      </c>
      <c r="Y248" s="90" t="inlineStr">
        <is>
          <t>历史作业表{作业ID、流程实例ID、作业名称、创建时间}</t>
        </is>
      </c>
      <c r="Z248" s="90">
        <f>IF(COUNTIFS(W:W,"*"&amp;I248&amp;"*")&gt;0,"存在","不存在")</f>
        <v/>
      </c>
      <c r="AA248" s="90">
        <f>IF(COUNTIFS(AB:AB,"*"&amp;I248&amp;"*")&gt;0,"存在","不存在")</f>
        <v/>
      </c>
      <c r="AB248" s="103" t="inlineStr">
        <is>
          <t>资产扫描覆盖表、扫描盲区记录表、扫描能力缺口表、离线扫描报告表</t>
        </is>
      </c>
      <c r="AC248" s="66" t="n"/>
    </row>
    <row r="249" customFormat="1" s="66">
      <c r="A249" s="72">
        <f>ROW()-1</f>
        <v/>
      </c>
      <c r="B249" s="175" t="n"/>
      <c r="C249" s="80" t="n">
        <v>2025</v>
      </c>
      <c r="D249" s="80" t="inlineStr">
        <is>
          <t>张明峰</t>
        </is>
      </c>
      <c r="E249" s="81">
        <f>VLOOKUP(I249,'25年交付功能（不含废弃）'!A:A,1,FALSE)</f>
        <v/>
      </c>
      <c r="F249" s="175" t="n"/>
      <c r="G249" s="175" t="n"/>
      <c r="H249" s="175" t="n"/>
      <c r="I249" s="98" t="inlineStr">
        <is>
          <t>流程定义信息表</t>
        </is>
      </c>
      <c r="J249" s="93" t="inlineStr">
        <is>
          <t>ILF</t>
        </is>
      </c>
      <c r="K249" s="84" t="n"/>
      <c r="L249" s="84" t="n"/>
      <c r="M249" s="85">
        <f>IF(OR(Y249="估算法",Y249="算法类",Y249="无法识别"),"",IF(W249="",IF(OR(J249="EI",J249="EO",J249="EQ"),0,""),LEN(W249)-LEN(SUBSTITUTE(W249,"、",""))+1))</f>
        <v/>
      </c>
      <c r="N249" s="85">
        <f>IF(OR(Y249="估算法",Y249="算法类",Y249="无法识别"),"",IF(X249="",IF(OR(J249="ILF",J249="EIF"),0,""),LEN(X249)-LEN(SUBSTITUTE(X249,"、",""))+1))</f>
        <v/>
      </c>
      <c r="O249" s="85">
        <f>IF(OR(Y249="估算法",Y249="算法类",Y249="无法识别"),"",IF(Y249="",IF(OR(J249="ILF",J249="EIF",J249="EI",J249="EO",J249="EQ"),0,""),LEN(Y249)-LEN(SUBSTITUTE(SUBSTITUTE(SUBSTITUTE(SUBSTITUTE(SUBSTITUTE(Y249,"|}","--"),"{|","--"),CHAR(10),""),"、",""),"|",""))+IF(AND(OR(J249="EI",J249="EO",J249="EQ"),$AE$1="NESMA"),2,1)))</f>
        <v/>
      </c>
      <c r="P249" s="86">
        <f>IF(J249="EI",IF(OR(Y249="估算法",Y249="算法类"),"中",IF(Y249="无法识别","低",IF(M249&lt;2,IF(O249&lt;16,"低","中"),IF(M249&lt;3,IF(O249&lt;5,"低",IF(O249&lt;16,"中","高")),IF(O249&lt;5,"中","高"))))),IF(OR(J249="EO",J249="EQ"),IF(OR(Y249="估算法",Y249="算法类"),"中",IF(Y249="无法识别","低",IF(M249&lt;2,IF(O249&lt;20,"低","中"),IF(M249&lt;4,IF(O249&lt;6,"低",IF(O249&lt;20,"中","高")),IF(O249&lt;6,"中","高"))))),IF(OR(J249="ILF",J249="EIF"),IF(OR(Y249="估算法",Y249="算法类",Y249="无法识别"),"低",IF(N249&lt;2,IF(O249&lt;51,"低","中"),IF(N249&lt;6,IF(O249&lt;20,"低",IF(O249&lt;51,"中","高")),IF(O249&lt;20,"中","高")))),"不计算")))</f>
        <v/>
      </c>
      <c r="Q249" s="172">
        <f>IFERROR(IF(J249="EI",IF(P249="低",3,IF(P249="中",4,6)),IF(J249="EO",IF(P249="低",4,IF(P249="中",5,7)),IF(J249="EQ",IF(P249="低",3,IF(P249="中",4,6)),IF(J249="ILF",IF(P249="低",7,IF(P249="中",10,15)),IF(J249="EIF",IF(P249="低",5,IF(P249="中",7,10)),"不计算")))))*R249,"不计算")</f>
        <v/>
      </c>
      <c r="R249" s="172" t="n">
        <v>0.333333333333333</v>
      </c>
      <c r="S249" s="173">
        <f>调整因子!$F$13</f>
        <v/>
      </c>
      <c r="T249" s="93" t="n">
        <v>1</v>
      </c>
      <c r="U249" s="174">
        <f>IFERROR(Q249*S249,0)</f>
        <v/>
      </c>
      <c r="V249" s="174">
        <f>U249*T249</f>
        <v/>
      </c>
      <c r="W249" s="91" t="n"/>
      <c r="X249" s="90" t="inlineStr">
        <is>
          <t>流程定义信息表</t>
        </is>
      </c>
      <c r="Y249" s="90" t="inlineStr">
        <is>
          <t>流程定义信息表{定义ID、流程名称、定义内容、创建时间}</t>
        </is>
      </c>
      <c r="Z249" s="90">
        <f>IF(COUNTIFS(W:W,"*"&amp;I249&amp;"*")&gt;0,"存在","不存在")</f>
        <v/>
      </c>
      <c r="AA249" s="90">
        <f>IF(COUNTIFS(AB:AB,"*"&amp;I249&amp;"*")&gt;0,"存在","不存在")</f>
        <v/>
      </c>
      <c r="AB249" s="103" t="inlineStr">
        <is>
          <t>资产扫描覆盖表、扫描盲区记录表、扫描能力缺口表、离线扫描报告表</t>
        </is>
      </c>
      <c r="AC249" s="66" t="n"/>
    </row>
    <row r="250" customFormat="1" s="66">
      <c r="A250" s="72">
        <f>ROW()-1</f>
        <v/>
      </c>
      <c r="B250" s="175" t="n"/>
      <c r="C250" s="80" t="n">
        <v>2025</v>
      </c>
      <c r="D250" s="80" t="inlineStr">
        <is>
          <t>张明峰</t>
        </is>
      </c>
      <c r="E250" s="81">
        <f>VLOOKUP(I250,'25年交付功能（不含废弃）'!A:A,1,FALSE)</f>
        <v/>
      </c>
      <c r="F250" s="175" t="n"/>
      <c r="G250" s="175" t="n"/>
      <c r="H250" s="175" t="n"/>
      <c r="I250" s="98" t="inlineStr">
        <is>
          <t>部署信息表</t>
        </is>
      </c>
      <c r="J250" s="93" t="inlineStr">
        <is>
          <t>ILF</t>
        </is>
      </c>
      <c r="K250" s="84" t="n"/>
      <c r="L250" s="84" t="n"/>
      <c r="M250" s="85">
        <f>IF(OR(Y250="估算法",Y250="算法类",Y250="无法识别"),"",IF(W250="",IF(OR(J250="EI",J250="EO",J250="EQ"),0,""),LEN(W250)-LEN(SUBSTITUTE(W250,"、",""))+1))</f>
        <v/>
      </c>
      <c r="N250" s="85">
        <f>IF(OR(Y250="估算法",Y250="算法类",Y250="无法识别"),"",IF(X250="",IF(OR(J250="ILF",J250="EIF"),0,""),LEN(X250)-LEN(SUBSTITUTE(X250,"、",""))+1))</f>
        <v/>
      </c>
      <c r="O250" s="85">
        <f>IF(OR(Y250="估算法",Y250="算法类",Y250="无法识别"),"",IF(Y250="",IF(OR(J250="ILF",J250="EIF",J250="EI",J250="EO",J250="EQ"),0,""),LEN(Y250)-LEN(SUBSTITUTE(SUBSTITUTE(SUBSTITUTE(SUBSTITUTE(SUBSTITUTE(Y250,"|}","--"),"{|","--"),CHAR(10),""),"、",""),"|",""))+IF(AND(OR(J250="EI",J250="EO",J250="EQ"),$AE$1="NESMA"),2,1)))</f>
        <v/>
      </c>
      <c r="P250" s="86">
        <f>IF(J250="EI",IF(OR(Y250="估算法",Y250="算法类"),"中",IF(Y250="无法识别","低",IF(M250&lt;2,IF(O250&lt;16,"低","中"),IF(M250&lt;3,IF(O250&lt;5,"低",IF(O250&lt;16,"中","高")),IF(O250&lt;5,"中","高"))))),IF(OR(J250="EO",J250="EQ"),IF(OR(Y250="估算法",Y250="算法类"),"中",IF(Y250="无法识别","低",IF(M250&lt;2,IF(O250&lt;20,"低","中"),IF(M250&lt;4,IF(O250&lt;6,"低",IF(O250&lt;20,"中","高")),IF(O250&lt;6,"中","高"))))),IF(OR(J250="ILF",J250="EIF"),IF(OR(Y250="估算法",Y250="算法类",Y250="无法识别"),"低",IF(N250&lt;2,IF(O250&lt;51,"低","中"),IF(N250&lt;6,IF(O250&lt;20,"低",IF(O250&lt;51,"中","高")),IF(O250&lt;20,"中","高")))),"不计算")))</f>
        <v/>
      </c>
      <c r="Q250" s="172">
        <f>IFERROR(IF(J250="EI",IF(P250="低",3,IF(P250="中",4,6)),IF(J250="EO",IF(P250="低",4,IF(P250="中",5,7)),IF(J250="EQ",IF(P250="低",3,IF(P250="中",4,6)),IF(J250="ILF",IF(P250="低",7,IF(P250="中",10,15)),IF(J250="EIF",IF(P250="低",5,IF(P250="中",7,10)),"不计算")))))*R250,"不计算")</f>
        <v/>
      </c>
      <c r="R250" s="172" t="n">
        <v>0.333333333333333</v>
      </c>
      <c r="S250" s="173">
        <f>调整因子!$F$13</f>
        <v/>
      </c>
      <c r="T250" s="92" t="n">
        <v>1</v>
      </c>
      <c r="U250" s="174">
        <f>IFERROR(Q250*S250,0)</f>
        <v/>
      </c>
      <c r="V250" s="174">
        <f>U250*T250</f>
        <v/>
      </c>
      <c r="W250" s="91" t="n"/>
      <c r="X250" s="90" t="inlineStr">
        <is>
          <t>部署信息表</t>
        </is>
      </c>
      <c r="Y250" s="90" t="inlineStr">
        <is>
          <t>部署信息表{部署ID、流程定义ID、部署时间、部署者}</t>
        </is>
      </c>
      <c r="Z250" s="90">
        <f>IF(COUNTIFS(W:W,"*"&amp;I250&amp;"*")&gt;0,"存在","不存在")</f>
        <v/>
      </c>
      <c r="AA250" s="90">
        <f>IF(COUNTIFS(AB:AB,"*"&amp;I250&amp;"*")&gt;0,"存在","不存在")</f>
        <v/>
      </c>
      <c r="AB250" s="103" t="inlineStr">
        <is>
          <t>故障诊断结果表、态势数据采集表、复测任务表、模板配置表、数据清洗任务表</t>
        </is>
      </c>
      <c r="AC250" s="66" t="n"/>
    </row>
    <row r="251" customFormat="1" s="66">
      <c r="A251" s="72">
        <f>ROW()-1</f>
        <v/>
      </c>
      <c r="B251" s="175" t="n"/>
      <c r="C251" s="80" t="n">
        <v>2025</v>
      </c>
      <c r="D251" s="80" t="inlineStr">
        <is>
          <t>张明峰</t>
        </is>
      </c>
      <c r="E251" s="81">
        <f>VLOOKUP(I251,'25年交付功能（不含废弃）'!A:A,1,FALSE)</f>
        <v/>
      </c>
      <c r="F251" s="175" t="n"/>
      <c r="G251" s="175" t="n"/>
      <c r="H251" s="175" t="n"/>
      <c r="I251" s="98" t="inlineStr">
        <is>
          <t>模型信息表</t>
        </is>
      </c>
      <c r="J251" s="93" t="inlineStr">
        <is>
          <t>ILF</t>
        </is>
      </c>
      <c r="K251" s="84" t="n"/>
      <c r="L251" s="84" t="n"/>
      <c r="M251" s="85">
        <f>IF(OR(Y251="估算法",Y251="算法类",Y251="无法识别"),"",IF(W251="",IF(OR(J251="EI",J251="EO",J251="EQ"),0,""),LEN(W251)-LEN(SUBSTITUTE(W251,"、",""))+1))</f>
        <v/>
      </c>
      <c r="N251" s="85">
        <f>IF(OR(Y251="估算法",Y251="算法类",Y251="无法识别"),"",IF(X251="",IF(OR(J251="ILF",J251="EIF"),0,""),LEN(X251)-LEN(SUBSTITUTE(X251,"、",""))+1))</f>
        <v/>
      </c>
      <c r="O251" s="85">
        <f>IF(OR(Y251="估算法",Y251="算法类",Y251="无法识别"),"",IF(Y251="",IF(OR(J251="ILF",J251="EIF",J251="EI",J251="EO",J251="EQ"),0,""),LEN(Y251)-LEN(SUBSTITUTE(SUBSTITUTE(SUBSTITUTE(SUBSTITUTE(SUBSTITUTE(Y251,"|}","--"),"{|","--"),CHAR(10),""),"、",""),"|",""))+IF(AND(OR(J251="EI",J251="EO",J251="EQ"),$AE$1="NESMA"),2,1)))</f>
        <v/>
      </c>
      <c r="P251" s="86">
        <f>IF(J251="EI",IF(OR(Y251="估算法",Y251="算法类"),"中",IF(Y251="无法识别","低",IF(M251&lt;2,IF(O251&lt;16,"低","中"),IF(M251&lt;3,IF(O251&lt;5,"低",IF(O251&lt;16,"中","高")),IF(O251&lt;5,"中","高"))))),IF(OR(J251="EO",J251="EQ"),IF(OR(Y251="估算法",Y251="算法类"),"中",IF(Y251="无法识别","低",IF(M251&lt;2,IF(O251&lt;20,"低","中"),IF(M251&lt;4,IF(O251&lt;6,"低",IF(O251&lt;20,"中","高")),IF(O251&lt;6,"中","高"))))),IF(OR(J251="ILF",J251="EIF"),IF(OR(Y251="估算法",Y251="算法类",Y251="无法识别"),"低",IF(N251&lt;2,IF(O251&lt;51,"低","中"),IF(N251&lt;6,IF(O251&lt;20,"低",IF(O251&lt;51,"中","高")),IF(O251&lt;20,"中","高")))),"不计算")))</f>
        <v/>
      </c>
      <c r="Q251" s="172">
        <f>IFERROR(IF(J251="EI",IF(P251="低",3,IF(P251="中",4,6)),IF(J251="EO",IF(P251="低",4,IF(P251="中",5,7)),IF(J251="EQ",IF(P251="低",3,IF(P251="中",4,6)),IF(J251="ILF",IF(P251="低",7,IF(P251="中",10,15)),IF(J251="EIF",IF(P251="低",5,IF(P251="中",7,10)),"不计算")))))*R251,"不计算")</f>
        <v/>
      </c>
      <c r="R251" s="172" t="n">
        <v>0.333333333333333</v>
      </c>
      <c r="S251" s="173">
        <f>调整因子!$F$13</f>
        <v/>
      </c>
      <c r="T251" s="92" t="n">
        <v>1</v>
      </c>
      <c r="U251" s="174">
        <f>IFERROR(Q251*S251,0)</f>
        <v/>
      </c>
      <c r="V251" s="174">
        <f>U251*T251</f>
        <v/>
      </c>
      <c r="W251" s="91" t="n"/>
      <c r="X251" s="90" t="inlineStr">
        <is>
          <t>模型信息表</t>
        </is>
      </c>
      <c r="Y251" s="90" t="inlineStr">
        <is>
          <t>模型信息表{模型ID、模型名称、内容、创建时间}</t>
        </is>
      </c>
      <c r="Z251" s="90">
        <f>IF(COUNTIFS(W:W,"*"&amp;I251&amp;"*")&gt;0,"存在","不存在")</f>
        <v/>
      </c>
      <c r="AA251" s="90">
        <f>IF(COUNTIFS(AB:AB,"*"&amp;I251&amp;"*")&gt;0,"存在","不存在")</f>
        <v/>
      </c>
      <c r="AB251" s="103" t="inlineStr">
        <is>
          <t>分布分析表、日志查询记录表、模板配置表、处置单关联表</t>
        </is>
      </c>
      <c r="AC251" s="66" t="n"/>
    </row>
    <row r="252" customFormat="1" s="66">
      <c r="A252" s="72">
        <f>ROW()-1</f>
        <v/>
      </c>
      <c r="B252" s="175" t="n"/>
      <c r="C252" s="80" t="n">
        <v>2025</v>
      </c>
      <c r="D252" s="80" t="inlineStr">
        <is>
          <t>张明峰</t>
        </is>
      </c>
      <c r="E252" s="81">
        <f>VLOOKUP(I252,'25年交付功能（不含废弃）'!A:A,1,FALSE)</f>
        <v/>
      </c>
      <c r="F252" s="175" t="n"/>
      <c r="G252" s="175" t="n"/>
      <c r="H252" s="175" t="n"/>
      <c r="I252" s="98" t="inlineStr">
        <is>
          <t>流程定义表</t>
        </is>
      </c>
      <c r="J252" s="93" t="inlineStr">
        <is>
          <t>ILF</t>
        </is>
      </c>
      <c r="K252" s="84" t="n"/>
      <c r="L252" s="84" t="n"/>
      <c r="M252" s="85">
        <f>IF(OR(Y252="估算法",Y252="算法类",Y252="无法识别"),"",IF(W252="",IF(OR(J252="EI",J252="EO",J252="EQ"),0,""),LEN(W252)-LEN(SUBSTITUTE(W252,"、",""))+1))</f>
        <v/>
      </c>
      <c r="N252" s="85">
        <f>IF(OR(Y252="估算法",Y252="算法类",Y252="无法识别"),"",IF(X252="",IF(OR(J252="ILF",J252="EIF"),0,""),LEN(X252)-LEN(SUBSTITUTE(X252,"、",""))+1))</f>
        <v/>
      </c>
      <c r="O252" s="85">
        <f>IF(OR(Y252="估算法",Y252="算法类",Y252="无法识别"),"",IF(Y252="",IF(OR(J252="ILF",J252="EIF",J252="EI",J252="EO",J252="EQ"),0,""),LEN(Y252)-LEN(SUBSTITUTE(SUBSTITUTE(SUBSTITUTE(SUBSTITUTE(SUBSTITUTE(Y252,"|}","--"),"{|","--"),CHAR(10),""),"、",""),"|",""))+IF(AND(OR(J252="EI",J252="EO",J252="EQ"),$AE$1="NESMA"),2,1)))</f>
        <v/>
      </c>
      <c r="P252" s="86">
        <f>IF(J252="EI",IF(OR(Y252="估算法",Y252="算法类"),"中",IF(Y252="无法识别","低",IF(M252&lt;2,IF(O252&lt;16,"低","中"),IF(M252&lt;3,IF(O252&lt;5,"低",IF(O252&lt;16,"中","高")),IF(O252&lt;5,"中","高"))))),IF(OR(J252="EO",J252="EQ"),IF(OR(Y252="估算法",Y252="算法类"),"中",IF(Y252="无法识别","低",IF(M252&lt;2,IF(O252&lt;20,"低","中"),IF(M252&lt;4,IF(O252&lt;6,"低",IF(O252&lt;20,"中","高")),IF(O252&lt;6,"中","高"))))),IF(OR(J252="ILF",J252="EIF"),IF(OR(Y252="估算法",Y252="算法类",Y252="无法识别"),"低",IF(N252&lt;2,IF(O252&lt;51,"低","中"),IF(N252&lt;6,IF(O252&lt;20,"低",IF(O252&lt;51,"中","高")),IF(O252&lt;20,"中","高")))),"不计算")))</f>
        <v/>
      </c>
      <c r="Q252" s="172">
        <f>IFERROR(IF(J252="EI",IF(P252="低",3,IF(P252="中",4,6)),IF(J252="EO",IF(P252="低",4,IF(P252="中",5,7)),IF(J252="EQ",IF(P252="低",3,IF(P252="中",4,6)),IF(J252="ILF",IF(P252="低",7,IF(P252="中",10,15)),IF(J252="EIF",IF(P252="低",5,IF(P252="中",7,10)),"不计算")))))*R252,"不计算")</f>
        <v/>
      </c>
      <c r="R252" s="172" t="n">
        <v>0.333333333333333</v>
      </c>
      <c r="S252" s="173">
        <f>调整因子!$F$13</f>
        <v/>
      </c>
      <c r="T252" s="93" t="n">
        <v>1</v>
      </c>
      <c r="U252" s="174">
        <f>IFERROR(Q252*S252,0)</f>
        <v/>
      </c>
      <c r="V252" s="174">
        <f>U252*T252</f>
        <v/>
      </c>
      <c r="W252" s="91" t="n"/>
      <c r="X252" s="90" t="inlineStr">
        <is>
          <t>流程定义表</t>
        </is>
      </c>
      <c r="Y252" s="90" t="inlineStr">
        <is>
          <t>流程定义表{定义ID、流程名称、定义内容、创建时间}</t>
        </is>
      </c>
      <c r="Z252" s="90">
        <f>IF(COUNTIFS(W:W,"*"&amp;I252&amp;"*")&gt;0,"存在","不存在")</f>
        <v/>
      </c>
      <c r="AA252" s="90">
        <f>IF(COUNTIFS(AB:AB,"*"&amp;I252&amp;"*")&gt;0,"存在","不存在")</f>
        <v/>
      </c>
      <c r="AB252" s="103" t="inlineStr">
        <is>
          <t>修复步骤表、接口监控配置表、任务趋势分析表、修复步骤表</t>
        </is>
      </c>
      <c r="AC252" s="66" t="n"/>
    </row>
    <row r="253" customFormat="1" s="66">
      <c r="A253" s="72">
        <f>ROW()-1</f>
        <v/>
      </c>
      <c r="B253" s="175" t="n"/>
      <c r="C253" s="80" t="n">
        <v>2025</v>
      </c>
      <c r="D253" s="80" t="inlineStr">
        <is>
          <t>张明峰</t>
        </is>
      </c>
      <c r="E253" s="81">
        <f>VLOOKUP(I253,'25年交付功能（不含废弃）'!A:A,1,FALSE)</f>
        <v/>
      </c>
      <c r="F253" s="175" t="n"/>
      <c r="G253" s="175" t="n"/>
      <c r="H253" s="175" t="n"/>
      <c r="I253" s="98" t="inlineStr">
        <is>
          <t>运行时活动实例表</t>
        </is>
      </c>
      <c r="J253" s="93" t="n"/>
      <c r="K253" s="84" t="inlineStr">
        <is>
          <t>删除</t>
        </is>
      </c>
      <c r="L253" s="84" t="inlineStr">
        <is>
          <t>非ILF - 运行时状态</t>
        </is>
      </c>
      <c r="M253" s="85">
        <f>IF(OR(Y253="估算法",Y253="算法类",Y253="无法识别"),"",IF(W253="",IF(OR(J253="EI",J253="EO",J253="EQ"),0,""),LEN(W253)-LEN(SUBSTITUTE(W253,"、",""))+1))</f>
        <v/>
      </c>
      <c r="N253" s="85">
        <f>IF(OR(Y253="估算法",Y253="算法类",Y253="无法识别"),"",IF(X253="",IF(OR(J253="ILF",J253="EIF"),0,""),LEN(X253)-LEN(SUBSTITUTE(X253,"、",""))+1))</f>
        <v/>
      </c>
      <c r="O253" s="85">
        <f>IF(OR(Y253="估算法",Y253="算法类",Y253="无法识别"),"",IF(Y253="",IF(OR(J253="ILF",J253="EIF",J253="EI",J253="EO",J253="EQ"),0,""),LEN(Y253)-LEN(SUBSTITUTE(SUBSTITUTE(SUBSTITUTE(SUBSTITUTE(SUBSTITUTE(Y253,"|}","--"),"{|","--"),CHAR(10),""),"、",""),"|",""))+IF(AND(OR(J253="EI",J253="EO",J253="EQ"),$AE$1="NESMA"),2,1)))</f>
        <v/>
      </c>
      <c r="P253" s="86">
        <f>IF(J253="EI",IF(OR(Y253="估算法",Y253="算法类"),"中",IF(Y253="无法识别","低",IF(M253&lt;2,IF(O253&lt;16,"低","中"),IF(M253&lt;3,IF(O253&lt;5,"低",IF(O253&lt;16,"中","高")),IF(O253&lt;5,"中","高"))))),IF(OR(J253="EO",J253="EQ"),IF(OR(Y253="估算法",Y253="算法类"),"中",IF(Y253="无法识别","低",IF(M253&lt;2,IF(O253&lt;20,"低","中"),IF(M253&lt;4,IF(O253&lt;6,"低",IF(O253&lt;20,"中","高")),IF(O253&lt;6,"中","高"))))),IF(OR(J253="ILF",J253="EIF"),IF(OR(Y253="估算法",Y253="算法类",Y253="无法识别"),"低",IF(N253&lt;2,IF(O253&lt;51,"低","中"),IF(N253&lt;6,IF(O253&lt;20,"低",IF(O253&lt;51,"中","高")),IF(O253&lt;20,"中","高")))),"不计算")))</f>
        <v/>
      </c>
      <c r="Q253" s="172">
        <f>IFERROR(IF(J253="EI",IF(P253="低",3,IF(P253="中",4,6)),IF(J253="EO",IF(P253="低",4,IF(P253="中",5,7)),IF(J253="EQ",IF(P253="低",3,IF(P253="中",4,6)),IF(J253="ILF",IF(P253="低",7,IF(P253="中",10,15)),IF(J253="EIF",IF(P253="低",5,IF(P253="中",7,10)),"不计算")))))*R253,"不计算")</f>
        <v/>
      </c>
      <c r="R253" s="172" t="n">
        <v>1</v>
      </c>
      <c r="S253" s="173">
        <f>调整因子!$F$13</f>
        <v/>
      </c>
      <c r="T253" s="92" t="n">
        <v>1</v>
      </c>
      <c r="U253" s="174">
        <f>IFERROR(Q253*S253,0)</f>
        <v/>
      </c>
      <c r="V253" s="174">
        <f>U253*T253</f>
        <v/>
      </c>
      <c r="W253" s="91" t="n"/>
      <c r="X253" s="90" t="inlineStr">
        <is>
          <t>运行时活动实例表</t>
        </is>
      </c>
      <c r="Y253" s="90" t="inlineStr">
        <is>
          <t>运行时活动实例表{实例ID、流程实例ID、活动名称、开始时间、结束时间}</t>
        </is>
      </c>
      <c r="Z253" s="90">
        <f>IF(COUNTIFS(W:W,"*"&amp;I253&amp;"*")&gt;0,"存在","不存在")</f>
        <v/>
      </c>
      <c r="AA253" s="90">
        <f>IF(COUNTIFS(AB:AB,"*"&amp;I253&amp;"*")&gt;0,"存在","不存在")</f>
        <v/>
      </c>
      <c r="AB253" s="103" t="inlineStr">
        <is>
          <t>脱敏规则表、处置单配置表、推送日志表、漏洞处置推送接口配置表、加密规则表</t>
        </is>
      </c>
      <c r="AC253" s="66" t="n"/>
    </row>
    <row r="254" customFormat="1" s="66">
      <c r="A254" s="72">
        <f>ROW()-1</f>
        <v/>
      </c>
      <c r="B254" s="175" t="n"/>
      <c r="C254" s="80" t="n">
        <v>2025</v>
      </c>
      <c r="D254" s="80" t="inlineStr">
        <is>
          <t>张明峰</t>
        </is>
      </c>
      <c r="E254" s="81">
        <f>VLOOKUP(I254,'25年交付功能（不含废弃）'!A:A,1,FALSE)</f>
        <v/>
      </c>
      <c r="F254" s="175" t="n"/>
      <c r="G254" s="175" t="n"/>
      <c r="H254" s="175" t="n"/>
      <c r="I254" s="98" t="inlineStr">
        <is>
          <t>死信作业表</t>
        </is>
      </c>
      <c r="J254" s="93" t="n"/>
      <c r="K254" s="84" t="inlineStr">
        <is>
          <t>删除</t>
        </is>
      </c>
      <c r="L254" s="84" t="inlineStr">
        <is>
          <t xml:space="preserve">非ILF </t>
        </is>
      </c>
      <c r="M254" s="85">
        <f>IF(OR(Y254="估算法",Y254="算法类",Y254="无法识别"),"",IF(W254="",IF(OR(J254="EI",J254="EO",J254="EQ"),0,""),LEN(W254)-LEN(SUBSTITUTE(W254,"、",""))+1))</f>
        <v/>
      </c>
      <c r="N254" s="85">
        <f>IF(OR(Y254="估算法",Y254="算法类",Y254="无法识别"),"",IF(X254="",IF(OR(J254="ILF",J254="EIF"),0,""),LEN(X254)-LEN(SUBSTITUTE(X254,"、",""))+1))</f>
        <v/>
      </c>
      <c r="O254" s="85">
        <f>IF(OR(Y254="估算法",Y254="算法类",Y254="无法识别"),"",IF(Y254="",IF(OR(J254="ILF",J254="EIF",J254="EI",J254="EO",J254="EQ"),0,""),LEN(Y254)-LEN(SUBSTITUTE(SUBSTITUTE(SUBSTITUTE(SUBSTITUTE(SUBSTITUTE(Y254,"|}","--"),"{|","--"),CHAR(10),""),"、",""),"|",""))+IF(AND(OR(J254="EI",J254="EO",J254="EQ"),$AE$1="NESMA"),2,1)))</f>
        <v/>
      </c>
      <c r="P254" s="86">
        <f>IF(J254="EI",IF(OR(Y254="估算法",Y254="算法类"),"中",IF(Y254="无法识别","低",IF(M254&lt;2,IF(O254&lt;16,"低","中"),IF(M254&lt;3,IF(O254&lt;5,"低",IF(O254&lt;16,"中","高")),IF(O254&lt;5,"中","高"))))),IF(OR(J254="EO",J254="EQ"),IF(OR(Y254="估算法",Y254="算法类"),"中",IF(Y254="无法识别","低",IF(M254&lt;2,IF(O254&lt;20,"低","中"),IF(M254&lt;4,IF(O254&lt;6,"低",IF(O254&lt;20,"中","高")),IF(O254&lt;6,"中","高"))))),IF(OR(J254="ILF",J254="EIF"),IF(OR(Y254="估算法",Y254="算法类",Y254="无法识别"),"低",IF(N254&lt;2,IF(O254&lt;51,"低","中"),IF(N254&lt;6,IF(O254&lt;20,"低",IF(O254&lt;51,"中","高")),IF(O254&lt;20,"中","高")))),"不计算")))</f>
        <v/>
      </c>
      <c r="Q254" s="172">
        <f>IFERROR(IF(J254="EI",IF(P254="低",3,IF(P254="中",4,6)),IF(J254="EO",IF(P254="低",4,IF(P254="中",5,7)),IF(J254="EQ",IF(P254="低",3,IF(P254="中",4,6)),IF(J254="ILF",IF(P254="低",7,IF(P254="中",10,15)),IF(J254="EIF",IF(P254="低",5,IF(P254="中",7,10)),"不计算")))))*R254,"不计算")</f>
        <v/>
      </c>
      <c r="R254" s="172" t="n">
        <v>1</v>
      </c>
      <c r="S254" s="173">
        <f>调整因子!$F$13</f>
        <v/>
      </c>
      <c r="T254" s="92" t="n">
        <v>1</v>
      </c>
      <c r="U254" s="174">
        <f>IFERROR(Q254*S254,0)</f>
        <v/>
      </c>
      <c r="V254" s="174">
        <f>U254*T254</f>
        <v/>
      </c>
      <c r="W254" s="91" t="n"/>
      <c r="X254" s="90" t="inlineStr">
        <is>
          <t>死信作业表</t>
        </is>
      </c>
      <c r="Y254" s="90" t="inlineStr">
        <is>
          <t>死信作业表{作业ID、流程实例ID、作业名称、创建时间}</t>
        </is>
      </c>
      <c r="Z254" s="90">
        <f>IF(COUNTIFS(W:W,"*"&amp;I254&amp;"*")&gt;0,"存在","不存在")</f>
        <v/>
      </c>
      <c r="AA254" s="90">
        <f>IF(COUNTIFS(AB:AB,"*"&amp;I254&amp;"*")&gt;0,"存在","不存在")</f>
        <v/>
      </c>
      <c r="AB254" s="103" t="inlineStr">
        <is>
          <t>任务优先级配置表、模板参数配置表、处置单配置表、验证配置表</t>
        </is>
      </c>
      <c r="AC254" s="66" t="n"/>
    </row>
    <row r="255" customFormat="1" s="66">
      <c r="A255" s="72">
        <f>ROW()-1</f>
        <v/>
      </c>
      <c r="B255" s="175" t="n"/>
      <c r="C255" s="80" t="n">
        <v>2025</v>
      </c>
      <c r="D255" s="80" t="inlineStr">
        <is>
          <t>张明峰</t>
        </is>
      </c>
      <c r="E255" s="81">
        <f>VLOOKUP(I255,'25年交付功能（不含废弃）'!A:A,1,FALSE)</f>
        <v/>
      </c>
      <c r="F255" s="175" t="n"/>
      <c r="G255" s="175" t="n"/>
      <c r="H255" s="175" t="n"/>
      <c r="I255" s="98" t="inlineStr">
        <is>
          <t>运行时实体链接表</t>
        </is>
      </c>
      <c r="J255" s="93" t="n"/>
      <c r="K255" s="84" t="inlineStr">
        <is>
          <t>删除</t>
        </is>
      </c>
      <c r="L255" s="84" t="inlineStr">
        <is>
          <t>非ILF - 关联</t>
        </is>
      </c>
      <c r="M255" s="85">
        <f>IF(OR(Y255="估算法",Y255="算法类",Y255="无法识别"),"",IF(W255="",IF(OR(J255="EI",J255="EO",J255="EQ"),0,""),LEN(W255)-LEN(SUBSTITUTE(W255,"、",""))+1))</f>
        <v/>
      </c>
      <c r="N255" s="85">
        <f>IF(OR(Y255="估算法",Y255="算法类",Y255="无法识别"),"",IF(X255="",IF(OR(J255="ILF",J255="EIF"),0,""),LEN(X255)-LEN(SUBSTITUTE(X255,"、",""))+1))</f>
        <v/>
      </c>
      <c r="O255" s="85">
        <f>IF(OR(Y255="估算法",Y255="算法类",Y255="无法识别"),"",IF(Y255="",IF(OR(J255="ILF",J255="EIF",J255="EI",J255="EO",J255="EQ"),0,""),LEN(Y255)-LEN(SUBSTITUTE(SUBSTITUTE(SUBSTITUTE(SUBSTITUTE(SUBSTITUTE(Y255,"|}","--"),"{|","--"),CHAR(10),""),"、",""),"|",""))+IF(AND(OR(J255="EI",J255="EO",J255="EQ"),$AE$1="NESMA"),2,1)))</f>
        <v/>
      </c>
      <c r="P255" s="86">
        <f>IF(J255="EI",IF(OR(Y255="估算法",Y255="算法类"),"中",IF(Y255="无法识别","低",IF(M255&lt;2,IF(O255&lt;16,"低","中"),IF(M255&lt;3,IF(O255&lt;5,"低",IF(O255&lt;16,"中","高")),IF(O255&lt;5,"中","高"))))),IF(OR(J255="EO",J255="EQ"),IF(OR(Y255="估算法",Y255="算法类"),"中",IF(Y255="无法识别","低",IF(M255&lt;2,IF(O255&lt;20,"低","中"),IF(M255&lt;4,IF(O255&lt;6,"低",IF(O255&lt;20,"中","高")),IF(O255&lt;6,"中","高"))))),IF(OR(J255="ILF",J255="EIF"),IF(OR(Y255="估算法",Y255="算法类",Y255="无法识别"),"低",IF(N255&lt;2,IF(O255&lt;51,"低","中"),IF(N255&lt;6,IF(O255&lt;20,"低",IF(O255&lt;51,"中","高")),IF(O255&lt;20,"中","高")))),"不计算")))</f>
        <v/>
      </c>
      <c r="Q255" s="172">
        <f>IFERROR(IF(J255="EI",IF(P255="低",3,IF(P255="中",4,6)),IF(J255="EO",IF(P255="低",4,IF(P255="中",5,7)),IF(J255="EQ",IF(P255="低",3,IF(P255="中",4,6)),IF(J255="ILF",IF(P255="低",7,IF(P255="中",10,15)),IF(J255="EIF",IF(P255="低",5,IF(P255="中",7,10)),"不计算")))))*R255,"不计算")</f>
        <v/>
      </c>
      <c r="R255" s="172" t="n">
        <v>1</v>
      </c>
      <c r="S255" s="173">
        <f>调整因子!$F$13</f>
        <v/>
      </c>
      <c r="T255" s="93" t="n">
        <v>1</v>
      </c>
      <c r="U255" s="174">
        <f>IFERROR(Q255*S255,0)</f>
        <v/>
      </c>
      <c r="V255" s="174">
        <f>U255*T255</f>
        <v/>
      </c>
      <c r="W255" s="91" t="n"/>
      <c r="X255" s="90" t="inlineStr">
        <is>
          <t>运行时实体链接表</t>
        </is>
      </c>
      <c r="Y255" s="90" t="inlineStr">
        <is>
          <t>运行时实体链接表{链接ID、实例ID、实体类型、实体ID、链接时间}</t>
        </is>
      </c>
      <c r="Z255" s="90">
        <f>IF(COUNTIFS(W:W,"*"&amp;I255&amp;"*")&gt;0,"存在","不存在")</f>
        <v/>
      </c>
      <c r="AA255" s="90">
        <f>IF(COUNTIFS(AB:AB,"*"&amp;I255&amp;"*")&gt;0,"存在","不存在")</f>
        <v/>
      </c>
      <c r="AB255" s="103" t="inlineStr">
        <is>
          <t>资产扫描覆盖表、扫描盲区记录表、扫描能力缺口表</t>
        </is>
      </c>
      <c r="AC255" s="66" t="n"/>
    </row>
    <row r="256" customFormat="1" s="66">
      <c r="A256" s="72">
        <f>ROW()-1</f>
        <v/>
      </c>
      <c r="B256" s="175" t="n"/>
      <c r="C256" s="80" t="n">
        <v>2025</v>
      </c>
      <c r="D256" s="80" t="inlineStr">
        <is>
          <t>张明峰</t>
        </is>
      </c>
      <c r="E256" s="81">
        <f>VLOOKUP(I256,'25年交付功能（不含废弃）'!A:A,1,FALSE)</f>
        <v/>
      </c>
      <c r="F256" s="175" t="n"/>
      <c r="G256" s="175" t="n"/>
      <c r="H256" s="175" t="n"/>
      <c r="I256" s="98" t="inlineStr">
        <is>
          <t>运行时事件订阅表</t>
        </is>
      </c>
      <c r="J256" s="93" t="n"/>
      <c r="K256" s="84" t="inlineStr">
        <is>
          <t>删除</t>
        </is>
      </c>
      <c r="L256" s="84" t="inlineStr">
        <is>
          <t>非ILF - 关联</t>
        </is>
      </c>
      <c r="M256" s="85">
        <f>IF(OR(Y256="估算法",Y256="算法类",Y256="无法识别"),"",IF(W256="",IF(OR(J256="EI",J256="EO",J256="EQ"),0,""),LEN(W256)-LEN(SUBSTITUTE(W256,"、",""))+1))</f>
        <v/>
      </c>
      <c r="N256" s="85">
        <f>IF(OR(Y256="估算法",Y256="算法类",Y256="无法识别"),"",IF(X256="",IF(OR(J256="ILF",J256="EIF"),0,""),LEN(X256)-LEN(SUBSTITUTE(X256,"、",""))+1))</f>
        <v/>
      </c>
      <c r="O256" s="85">
        <f>IF(OR(Y256="估算法",Y256="算法类",Y256="无法识别"),"",IF(Y256="",IF(OR(J256="ILF",J256="EIF",J256="EI",J256="EO",J256="EQ"),0,""),LEN(Y256)-LEN(SUBSTITUTE(SUBSTITUTE(SUBSTITUTE(SUBSTITUTE(SUBSTITUTE(Y256,"|}","--"),"{|","--"),CHAR(10),""),"、",""),"|",""))+IF(AND(OR(J256="EI",J256="EO",J256="EQ"),$AE$1="NESMA"),2,1)))</f>
        <v/>
      </c>
      <c r="P256" s="86">
        <f>IF(J256="EI",IF(OR(Y256="估算法",Y256="算法类"),"中",IF(Y256="无法识别","低",IF(M256&lt;2,IF(O256&lt;16,"低","中"),IF(M256&lt;3,IF(O256&lt;5,"低",IF(O256&lt;16,"中","高")),IF(O256&lt;5,"中","高"))))),IF(OR(J256="EO",J256="EQ"),IF(OR(Y256="估算法",Y256="算法类"),"中",IF(Y256="无法识别","低",IF(M256&lt;2,IF(O256&lt;20,"低","中"),IF(M256&lt;4,IF(O256&lt;6,"低",IF(O256&lt;20,"中","高")),IF(O256&lt;6,"中","高"))))),IF(OR(J256="ILF",J256="EIF"),IF(OR(Y256="估算法",Y256="算法类",Y256="无法识别"),"低",IF(N256&lt;2,IF(O256&lt;51,"低","中"),IF(N256&lt;6,IF(O256&lt;20,"低",IF(O256&lt;51,"中","高")),IF(O256&lt;20,"中","高")))),"不计算")))</f>
        <v/>
      </c>
      <c r="Q256" s="172">
        <f>IFERROR(IF(J256="EI",IF(P256="低",3,IF(P256="中",4,6)),IF(J256="EO",IF(P256="低",4,IF(P256="中",5,7)),IF(J256="EQ",IF(P256="低",3,IF(P256="中",4,6)),IF(J256="ILF",IF(P256="低",7,IF(P256="中",10,15)),IF(J256="EIF",IF(P256="低",5,IF(P256="中",7,10)),"不计算")))))*R256,"不计算")</f>
        <v/>
      </c>
      <c r="R256" s="172" t="n">
        <v>1</v>
      </c>
      <c r="S256" s="173">
        <f>调整因子!$F$13</f>
        <v/>
      </c>
      <c r="T256" s="92" t="n">
        <v>1</v>
      </c>
      <c r="U256" s="174">
        <f>IFERROR(Q256*S256,0)</f>
        <v/>
      </c>
      <c r="V256" s="174">
        <f>U256*T256</f>
        <v/>
      </c>
      <c r="W256" s="91" t="n"/>
      <c r="X256" s="90" t="inlineStr">
        <is>
          <t>运行时事件订阅表</t>
        </is>
      </c>
      <c r="Y256" s="90" t="inlineStr">
        <is>
          <t>运行时事件订阅表{订阅ID、事件名称、处理程序、创建时间}</t>
        </is>
      </c>
      <c r="Z256" s="90">
        <f>IF(COUNTIFS(W:W,"*"&amp;I256&amp;"*")&gt;0,"存在","不存在")</f>
        <v/>
      </c>
      <c r="AA256" s="90">
        <f>IF(COUNTIFS(AB:AB,"*"&amp;I256&amp;"*")&gt;0,"存在","不存在")</f>
        <v/>
      </c>
      <c r="AB256" s="103" t="inlineStr">
        <is>
          <t>资产扫描覆盖表、扫描盲区记录表、扫描能力缺口表、离线扫描报告表、任务优先级配置表</t>
        </is>
      </c>
      <c r="AC256" s="66" t="n"/>
    </row>
    <row r="257" customFormat="1" s="66">
      <c r="A257" s="72">
        <f>ROW()-1</f>
        <v/>
      </c>
      <c r="B257" s="175" t="n"/>
      <c r="C257" s="80" t="n">
        <v>2025</v>
      </c>
      <c r="D257" s="80" t="inlineStr">
        <is>
          <t>张明峰</t>
        </is>
      </c>
      <c r="E257" s="81">
        <f>VLOOKUP(I257,'25年交付功能（不含废弃）'!A:A,1,FALSE)</f>
        <v/>
      </c>
      <c r="F257" s="175" t="n"/>
      <c r="G257" s="175" t="n"/>
      <c r="H257" s="175" t="n"/>
      <c r="I257" s="98" t="inlineStr">
        <is>
          <t>运行时执行实例表</t>
        </is>
      </c>
      <c r="J257" s="93" t="n"/>
      <c r="K257" s="84" t="inlineStr">
        <is>
          <t>删除</t>
        </is>
      </c>
      <c r="L257" s="84" t="inlineStr">
        <is>
          <t>非ILF - 运行时状态</t>
        </is>
      </c>
      <c r="M257" s="85">
        <f>IF(OR(Y257="估算法",Y257="算法类",Y257="无法识别"),"",IF(W257="",IF(OR(J257="EI",J257="EO",J257="EQ"),0,""),LEN(W257)-LEN(SUBSTITUTE(W257,"、",""))+1))</f>
        <v/>
      </c>
      <c r="N257" s="85">
        <f>IF(OR(Y257="估算法",Y257="算法类",Y257="无法识别"),"",IF(X257="",IF(OR(J257="ILF",J257="EIF"),0,""),LEN(X257)-LEN(SUBSTITUTE(X257,"、",""))+1))</f>
        <v/>
      </c>
      <c r="O257" s="85">
        <f>IF(OR(Y257="估算法",Y257="算法类",Y257="无法识别"),"",IF(Y257="",IF(OR(J257="ILF",J257="EIF",J257="EI",J257="EO",J257="EQ"),0,""),LEN(Y257)-LEN(SUBSTITUTE(SUBSTITUTE(SUBSTITUTE(SUBSTITUTE(SUBSTITUTE(Y257,"|}","--"),"{|","--"),CHAR(10),""),"、",""),"|",""))+IF(AND(OR(J257="EI",J257="EO",J257="EQ"),$AE$1="NESMA"),2,1)))</f>
        <v/>
      </c>
      <c r="P257" s="86">
        <f>IF(J257="EI",IF(OR(Y257="估算法",Y257="算法类"),"中",IF(Y257="无法识别","低",IF(M257&lt;2,IF(O257&lt;16,"低","中"),IF(M257&lt;3,IF(O257&lt;5,"低",IF(O257&lt;16,"中","高")),IF(O257&lt;5,"中","高"))))),IF(OR(J257="EO",J257="EQ"),IF(OR(Y257="估算法",Y257="算法类"),"中",IF(Y257="无法识别","低",IF(M257&lt;2,IF(O257&lt;20,"低","中"),IF(M257&lt;4,IF(O257&lt;6,"低",IF(O257&lt;20,"中","高")),IF(O257&lt;6,"中","高"))))),IF(OR(J257="ILF",J257="EIF"),IF(OR(Y257="估算法",Y257="算法类",Y257="无法识别"),"低",IF(N257&lt;2,IF(O257&lt;51,"低","中"),IF(N257&lt;6,IF(O257&lt;20,"低",IF(O257&lt;51,"中","高")),IF(O257&lt;20,"中","高")))),"不计算")))</f>
        <v/>
      </c>
      <c r="Q257" s="172">
        <f>IFERROR(IF(J257="EI",IF(P257="低",3,IF(P257="中",4,6)),IF(J257="EO",IF(P257="低",4,IF(P257="中",5,7)),IF(J257="EQ",IF(P257="低",3,IF(P257="中",4,6)),IF(J257="ILF",IF(P257="低",7,IF(P257="中",10,15)),IF(J257="EIF",IF(P257="低",5,IF(P257="中",7,10)),"不计算")))))*R257,"不计算")</f>
        <v/>
      </c>
      <c r="R257" s="172" t="n">
        <v>1</v>
      </c>
      <c r="S257" s="173">
        <f>调整因子!$F$13</f>
        <v/>
      </c>
      <c r="T257" s="92" t="n">
        <v>1</v>
      </c>
      <c r="U257" s="174">
        <f>IFERROR(Q257*S257,0)</f>
        <v/>
      </c>
      <c r="V257" s="174">
        <f>U257*T257</f>
        <v/>
      </c>
      <c r="W257" s="91" t="n"/>
      <c r="X257" s="90" t="inlineStr">
        <is>
          <t>运行时执行实例表</t>
        </is>
      </c>
      <c r="Y257" s="90" t="inlineStr">
        <is>
          <t>运行时执行实例表{实例ID、流程定义ID、开始时间、结束时间、状态}</t>
        </is>
      </c>
      <c r="Z257" s="90">
        <f>IF(COUNTIFS(W:W,"*"&amp;I257&amp;"*")&gt;0,"存在","不存在")</f>
        <v/>
      </c>
      <c r="AA257" s="90">
        <f>IF(COUNTIFS(AB:AB,"*"&amp;I257&amp;"*")&gt;0,"存在","不存在")</f>
        <v/>
      </c>
      <c r="AB257" s="103" t="inlineStr">
        <is>
          <t>资产扫描覆盖表、扫描盲区记录表、扫描能力缺口表、离线扫描报告表</t>
        </is>
      </c>
      <c r="AC257" s="66" t="n"/>
    </row>
    <row r="258" customFormat="1" s="66">
      <c r="A258" s="72">
        <f>ROW()-1</f>
        <v/>
      </c>
      <c r="B258" s="175" t="n"/>
      <c r="C258" s="80" t="n">
        <v>2025</v>
      </c>
      <c r="D258" s="80" t="inlineStr">
        <is>
          <t>张明峰</t>
        </is>
      </c>
      <c r="E258" s="81">
        <f>VLOOKUP(I258,'25年交付功能（不含废弃）'!A:A,1,FALSE)</f>
        <v/>
      </c>
      <c r="F258" s="175" t="n"/>
      <c r="G258" s="175" t="n"/>
      <c r="H258" s="175" t="n"/>
      <c r="I258" s="98" t="inlineStr">
        <is>
          <t>运行时身份链接表</t>
        </is>
      </c>
      <c r="J258" s="93" t="n"/>
      <c r="K258" s="84" t="inlineStr">
        <is>
          <t>删除</t>
        </is>
      </c>
      <c r="L258" s="84" t="inlineStr">
        <is>
          <t>非ILF - 关联</t>
        </is>
      </c>
      <c r="M258" s="85">
        <f>IF(OR(Y258="估算法",Y258="算法类",Y258="无法识别"),"",IF(W258="",IF(OR(J258="EI",J258="EO",J258="EQ"),0,""),LEN(W258)-LEN(SUBSTITUTE(W258,"、",""))+1))</f>
        <v/>
      </c>
      <c r="N258" s="85">
        <f>IF(OR(Y258="估算法",Y258="算法类",Y258="无法识别"),"",IF(X258="",IF(OR(J258="ILF",J258="EIF"),0,""),LEN(X258)-LEN(SUBSTITUTE(X258,"、",""))+1))</f>
        <v/>
      </c>
      <c r="O258" s="85">
        <f>IF(OR(Y258="估算法",Y258="算法类",Y258="无法识别"),"",IF(Y258="",IF(OR(J258="ILF",J258="EIF",J258="EI",J258="EO",J258="EQ"),0,""),LEN(Y258)-LEN(SUBSTITUTE(SUBSTITUTE(SUBSTITUTE(SUBSTITUTE(SUBSTITUTE(Y258,"|}","--"),"{|","--"),CHAR(10),""),"、",""),"|",""))+IF(AND(OR(J258="EI",J258="EO",J258="EQ"),$AE$1="NESMA"),2,1)))</f>
        <v/>
      </c>
      <c r="P258" s="86">
        <f>IF(J258="EI",IF(OR(Y258="估算法",Y258="算法类"),"中",IF(Y258="无法识别","低",IF(M258&lt;2,IF(O258&lt;16,"低","中"),IF(M258&lt;3,IF(O258&lt;5,"低",IF(O258&lt;16,"中","高")),IF(O258&lt;5,"中","高"))))),IF(OR(J258="EO",J258="EQ"),IF(OR(Y258="估算法",Y258="算法类"),"中",IF(Y258="无法识别","低",IF(M258&lt;2,IF(O258&lt;20,"低","中"),IF(M258&lt;4,IF(O258&lt;6,"低",IF(O258&lt;20,"中","高")),IF(O258&lt;6,"中","高"))))),IF(OR(J258="ILF",J258="EIF"),IF(OR(Y258="估算法",Y258="算法类",Y258="无法识别"),"低",IF(N258&lt;2,IF(O258&lt;51,"低","中"),IF(N258&lt;6,IF(O258&lt;20,"低",IF(O258&lt;51,"中","高")),IF(O258&lt;20,"中","高")))),"不计算")))</f>
        <v/>
      </c>
      <c r="Q258" s="172">
        <f>IFERROR(IF(J258="EI",IF(P258="低",3,IF(P258="中",4,6)),IF(J258="EO",IF(P258="低",4,IF(P258="中",5,7)),IF(J258="EQ",IF(P258="低",3,IF(P258="中",4,6)),IF(J258="ILF",IF(P258="低",7,IF(P258="中",10,15)),IF(J258="EIF",IF(P258="低",5,IF(P258="中",7,10)),"不计算")))))*R258,"不计算")</f>
        <v/>
      </c>
      <c r="R258" s="172" t="n">
        <v>1</v>
      </c>
      <c r="S258" s="173">
        <f>调整因子!$F$13</f>
        <v/>
      </c>
      <c r="T258" s="93" t="n">
        <v>1</v>
      </c>
      <c r="U258" s="174">
        <f>IFERROR(Q258*S258,0)</f>
        <v/>
      </c>
      <c r="V258" s="174">
        <f>U258*T258</f>
        <v/>
      </c>
      <c r="W258" s="91" t="n"/>
      <c r="X258" s="90" t="inlineStr">
        <is>
          <t>运行时身份链接表</t>
        </is>
      </c>
      <c r="Y258" s="90" t="inlineStr">
        <is>
          <t>运行时身份链接表{链接ID、实例ID、用户ID、角色、链接时间}</t>
        </is>
      </c>
      <c r="Z258" s="90">
        <f>IF(COUNTIFS(W:W,"*"&amp;I258&amp;"*")&gt;0,"存在","不存在")</f>
        <v/>
      </c>
      <c r="AA258" s="90">
        <f>IF(COUNTIFS(AB:AB,"*"&amp;I258&amp;"*")&gt;0,"存在","不存在")</f>
        <v/>
      </c>
      <c r="AB258" s="103" t="inlineStr">
        <is>
          <t>态势数据采集表、标签定义表、同步失败重试记录表</t>
        </is>
      </c>
      <c r="AC258" s="66" t="n"/>
    </row>
    <row r="259" customFormat="1" s="66">
      <c r="A259" s="72">
        <f>ROW()-1</f>
        <v/>
      </c>
      <c r="B259" s="175" t="n"/>
      <c r="C259" s="80" t="n">
        <v>2025</v>
      </c>
      <c r="D259" s="80" t="inlineStr">
        <is>
          <t>张明峰</t>
        </is>
      </c>
      <c r="E259" s="81">
        <f>VLOOKUP(I259,'25年交付功能（不含废弃）'!A:A,1,FALSE)</f>
        <v/>
      </c>
      <c r="F259" s="175" t="n"/>
      <c r="G259" s="175" t="n"/>
      <c r="H259" s="175" t="n"/>
      <c r="I259" s="98" t="inlineStr">
        <is>
          <t>运行时作业表</t>
        </is>
      </c>
      <c r="J259" s="93" t="n"/>
      <c r="K259" s="84" t="inlineStr">
        <is>
          <t>删除</t>
        </is>
      </c>
      <c r="L259" s="84" t="inlineStr">
        <is>
          <t>非ILF - 运行时状态</t>
        </is>
      </c>
      <c r="M259" s="85">
        <f>IF(OR(Y259="估算法",Y259="算法类",Y259="无法识别"),"",IF(W259="",IF(OR(J259="EI",J259="EO",J259="EQ"),0,""),LEN(W259)-LEN(SUBSTITUTE(W259,"、",""))+1))</f>
        <v/>
      </c>
      <c r="N259" s="85">
        <f>IF(OR(Y259="估算法",Y259="算法类",Y259="无法识别"),"",IF(X259="",IF(OR(J259="ILF",J259="EIF"),0,""),LEN(X259)-LEN(SUBSTITUTE(X259,"、",""))+1))</f>
        <v/>
      </c>
      <c r="O259" s="85">
        <f>IF(OR(Y259="估算法",Y259="算法类",Y259="无法识别"),"",IF(Y259="",IF(OR(J259="ILF",J259="EIF",J259="EI",J259="EO",J259="EQ"),0,""),LEN(Y259)-LEN(SUBSTITUTE(SUBSTITUTE(SUBSTITUTE(SUBSTITUTE(SUBSTITUTE(Y259,"|}","--"),"{|","--"),CHAR(10),""),"、",""),"|",""))+IF(AND(OR(J259="EI",J259="EO",J259="EQ"),$AE$1="NESMA"),2,1)))</f>
        <v/>
      </c>
      <c r="P259" s="86">
        <f>IF(J259="EI",IF(OR(Y259="估算法",Y259="算法类"),"中",IF(Y259="无法识别","低",IF(M259&lt;2,IF(O259&lt;16,"低","中"),IF(M259&lt;3,IF(O259&lt;5,"低",IF(O259&lt;16,"中","高")),IF(O259&lt;5,"中","高"))))),IF(OR(J259="EO",J259="EQ"),IF(OR(Y259="估算法",Y259="算法类"),"中",IF(Y259="无法识别","低",IF(M259&lt;2,IF(O259&lt;20,"低","中"),IF(M259&lt;4,IF(O259&lt;6,"低",IF(O259&lt;20,"中","高")),IF(O259&lt;6,"中","高"))))),IF(OR(J259="ILF",J259="EIF"),IF(OR(Y259="估算法",Y259="算法类",Y259="无法识别"),"低",IF(N259&lt;2,IF(O259&lt;51,"低","中"),IF(N259&lt;6,IF(O259&lt;20,"低",IF(O259&lt;51,"中","高")),IF(O259&lt;20,"中","高")))),"不计算")))</f>
        <v/>
      </c>
      <c r="Q259" s="172">
        <f>IFERROR(IF(J259="EI",IF(P259="低",3,IF(P259="中",4,6)),IF(J259="EO",IF(P259="低",4,IF(P259="中",5,7)),IF(J259="EQ",IF(P259="低",3,IF(P259="中",4,6)),IF(J259="ILF",IF(P259="低",7,IF(P259="中",10,15)),IF(J259="EIF",IF(P259="低",5,IF(P259="中",7,10)),"不计算")))))*R259,"不计算")</f>
        <v/>
      </c>
      <c r="R259" s="172" t="n">
        <v>1</v>
      </c>
      <c r="S259" s="173">
        <f>调整因子!$F$13</f>
        <v/>
      </c>
      <c r="T259" s="92" t="n">
        <v>1</v>
      </c>
      <c r="U259" s="174">
        <f>IFERROR(Q259*S259,0)</f>
        <v/>
      </c>
      <c r="V259" s="174">
        <f>U259*T259</f>
        <v/>
      </c>
      <c r="W259" s="91" t="n"/>
      <c r="X259" s="90" t="inlineStr">
        <is>
          <t>运行时作业表</t>
        </is>
      </c>
      <c r="Y259" s="90" t="inlineStr">
        <is>
          <t>运行时作业表{作业ID、流程实例ID、作业名称、创建时间}</t>
        </is>
      </c>
      <c r="Z259" s="90">
        <f>IF(COUNTIFS(W:W,"*"&amp;I259&amp;"*")&gt;0,"存在","不存在")</f>
        <v/>
      </c>
      <c r="AA259" s="90">
        <f>IF(COUNTIFS(AB:AB,"*"&amp;I259&amp;"*")&gt;0,"存在","不存在")</f>
        <v/>
      </c>
      <c r="AB259" s="103" t="inlineStr">
        <is>
          <t>指标阈值表、任务优先级配置表、验证记录表、分类层级关系表、提醒规则表</t>
        </is>
      </c>
      <c r="AC259" s="66" t="n"/>
    </row>
    <row r="260" customFormat="1" s="66">
      <c r="A260" s="72">
        <f>ROW()-1</f>
        <v/>
      </c>
      <c r="B260" s="175" t="n"/>
      <c r="C260" s="80" t="n">
        <v>2025</v>
      </c>
      <c r="D260" s="80" t="inlineStr">
        <is>
          <t>张明峰</t>
        </is>
      </c>
      <c r="E260" s="81">
        <f>VLOOKUP(I260,'25年交付功能（不含废弃）'!A:A,1,FALSE)</f>
        <v/>
      </c>
      <c r="F260" s="175" t="n"/>
      <c r="G260" s="175" t="n"/>
      <c r="H260" s="175" t="n"/>
      <c r="I260" s="98" t="inlineStr">
        <is>
          <t>暂停作业表</t>
        </is>
      </c>
      <c r="J260" s="93" t="n"/>
      <c r="K260" s="84" t="inlineStr">
        <is>
          <t>删除</t>
        </is>
      </c>
      <c r="L260" s="84" t="inlineStr">
        <is>
          <t>非ILF - 运行时状态</t>
        </is>
      </c>
      <c r="M260" s="85">
        <f>IF(OR(Y260="估算法",Y260="算法类",Y260="无法识别"),"",IF(W260="",IF(OR(J260="EI",J260="EO",J260="EQ"),0,""),LEN(W260)-LEN(SUBSTITUTE(W260,"、",""))+1))</f>
        <v/>
      </c>
      <c r="N260" s="85">
        <f>IF(OR(Y260="估算法",Y260="算法类",Y260="无法识别"),"",IF(X260="",IF(OR(J260="ILF",J260="EIF"),0,""),LEN(X260)-LEN(SUBSTITUTE(X260,"、",""))+1))</f>
        <v/>
      </c>
      <c r="O260" s="85">
        <f>IF(OR(Y260="估算法",Y260="算法类",Y260="无法识别"),"",IF(Y260="",IF(OR(J260="ILF",J260="EIF",J260="EI",J260="EO",J260="EQ"),0,""),LEN(Y260)-LEN(SUBSTITUTE(SUBSTITUTE(SUBSTITUTE(SUBSTITUTE(SUBSTITUTE(Y260,"|}","--"),"{|","--"),CHAR(10),""),"、",""),"|",""))+IF(AND(OR(J260="EI",J260="EO",J260="EQ"),$AE$1="NESMA"),2,1)))</f>
        <v/>
      </c>
      <c r="P260" s="86">
        <f>IF(J260="EI",IF(OR(Y260="估算法",Y260="算法类"),"中",IF(Y260="无法识别","低",IF(M260&lt;2,IF(O260&lt;16,"低","中"),IF(M260&lt;3,IF(O260&lt;5,"低",IF(O260&lt;16,"中","高")),IF(O260&lt;5,"中","高"))))),IF(OR(J260="EO",J260="EQ"),IF(OR(Y260="估算法",Y260="算法类"),"中",IF(Y260="无法识别","低",IF(M260&lt;2,IF(O260&lt;20,"低","中"),IF(M260&lt;4,IF(O260&lt;6,"低",IF(O260&lt;20,"中","高")),IF(O260&lt;6,"中","高"))))),IF(OR(J260="ILF",J260="EIF"),IF(OR(Y260="估算法",Y260="算法类",Y260="无法识别"),"低",IF(N260&lt;2,IF(O260&lt;51,"低","中"),IF(N260&lt;6,IF(O260&lt;20,"低",IF(O260&lt;51,"中","高")),IF(O260&lt;20,"中","高")))),"不计算")))</f>
        <v/>
      </c>
      <c r="Q260" s="172">
        <f>IFERROR(IF(J260="EI",IF(P260="低",3,IF(P260="中",4,6)),IF(J260="EO",IF(P260="低",4,IF(P260="中",5,7)),IF(J260="EQ",IF(P260="低",3,IF(P260="中",4,6)),IF(J260="ILF",IF(P260="低",7,IF(P260="中",10,15)),IF(J260="EIF",IF(P260="低",5,IF(P260="中",7,10)),"不计算")))))*R260,"不计算")</f>
        <v/>
      </c>
      <c r="R260" s="172" t="n">
        <v>1</v>
      </c>
      <c r="S260" s="173">
        <f>调整因子!$F$13</f>
        <v/>
      </c>
      <c r="T260" s="92" t="n">
        <v>1</v>
      </c>
      <c r="U260" s="174">
        <f>IFERROR(Q260*S260,0)</f>
        <v/>
      </c>
      <c r="V260" s="174">
        <f>U260*T260</f>
        <v/>
      </c>
      <c r="W260" s="91" t="n"/>
      <c r="X260" s="90" t="inlineStr">
        <is>
          <t>暂停作业表</t>
        </is>
      </c>
      <c r="Y260" s="90" t="inlineStr">
        <is>
          <t>暂停作业表{作业ID、流程实例ID、作业名称、暂停时间}</t>
        </is>
      </c>
      <c r="Z260" s="90">
        <f>IF(COUNTIFS(W:W,"*"&amp;I260&amp;"*")&gt;0,"存在","不存在")</f>
        <v/>
      </c>
      <c r="AA260" s="90">
        <f>IF(COUNTIFS(AB:AB,"*"&amp;I260&amp;"*")&gt;0,"存在","不存在")</f>
        <v/>
      </c>
      <c r="AB260" s="103" t="inlineStr">
        <is>
          <t>验证任务表、报告导入记录表、推送配置表</t>
        </is>
      </c>
      <c r="AC260" s="66" t="n"/>
    </row>
    <row r="261" customFormat="1" s="66">
      <c r="A261" s="72">
        <f>ROW()-1</f>
        <v/>
      </c>
      <c r="B261" s="175" t="n"/>
      <c r="C261" s="80" t="n">
        <v>2025</v>
      </c>
      <c r="D261" s="80" t="inlineStr">
        <is>
          <t>张明峰</t>
        </is>
      </c>
      <c r="E261" s="81">
        <f>VLOOKUP(I261,'25年交付功能（不含废弃）'!A:A,1,FALSE)</f>
        <v/>
      </c>
      <c r="F261" s="175" t="n"/>
      <c r="G261" s="175" t="n"/>
      <c r="H261" s="175" t="n"/>
      <c r="I261" s="98" t="inlineStr">
        <is>
          <t>运行时任务表</t>
        </is>
      </c>
      <c r="J261" s="93" t="n"/>
      <c r="K261" s="84" t="inlineStr">
        <is>
          <t>删除</t>
        </is>
      </c>
      <c r="L261" s="84" t="inlineStr">
        <is>
          <t>非ILF - 运行时状态</t>
        </is>
      </c>
      <c r="M261" s="85">
        <f>IF(OR(Y261="估算法",Y261="算法类",Y261="无法识别"),"",IF(W261="",IF(OR(J261="EI",J261="EO",J261="EQ"),0,""),LEN(W261)-LEN(SUBSTITUTE(W261,"、",""))+1))</f>
        <v/>
      </c>
      <c r="N261" s="85">
        <f>IF(OR(Y261="估算法",Y261="算法类",Y261="无法识别"),"",IF(X261="",IF(OR(J261="ILF",J261="EIF"),0,""),LEN(X261)-LEN(SUBSTITUTE(X261,"、",""))+1))</f>
        <v/>
      </c>
      <c r="O261" s="85">
        <f>IF(OR(Y261="估算法",Y261="算法类",Y261="无法识别"),"",IF(Y261="",IF(OR(J261="ILF",J261="EIF",J261="EI",J261="EO",J261="EQ"),0,""),LEN(Y261)-LEN(SUBSTITUTE(SUBSTITUTE(SUBSTITUTE(SUBSTITUTE(SUBSTITUTE(Y261,"|}","--"),"{|","--"),CHAR(10),""),"、",""),"|",""))+IF(AND(OR(J261="EI",J261="EO",J261="EQ"),$AE$1="NESMA"),2,1)))</f>
        <v/>
      </c>
      <c r="P261" s="86">
        <f>IF(J261="EI",IF(OR(Y261="估算法",Y261="算法类"),"中",IF(Y261="无法识别","低",IF(M261&lt;2,IF(O261&lt;16,"低","中"),IF(M261&lt;3,IF(O261&lt;5,"低",IF(O261&lt;16,"中","高")),IF(O261&lt;5,"中","高"))))),IF(OR(J261="EO",J261="EQ"),IF(OR(Y261="估算法",Y261="算法类"),"中",IF(Y261="无法识别","低",IF(M261&lt;2,IF(O261&lt;20,"低","中"),IF(M261&lt;4,IF(O261&lt;6,"低",IF(O261&lt;20,"中","高")),IF(O261&lt;6,"中","高"))))),IF(OR(J261="ILF",J261="EIF"),IF(OR(Y261="估算法",Y261="算法类",Y261="无法识别"),"低",IF(N261&lt;2,IF(O261&lt;51,"低","中"),IF(N261&lt;6,IF(O261&lt;20,"低",IF(O261&lt;51,"中","高")),IF(O261&lt;20,"中","高")))),"不计算")))</f>
        <v/>
      </c>
      <c r="Q261" s="172">
        <f>IFERROR(IF(J261="EI",IF(P261="低",3,IF(P261="中",4,6)),IF(J261="EO",IF(P261="低",4,IF(P261="中",5,7)),IF(J261="EQ",IF(P261="低",3,IF(P261="中",4,6)),IF(J261="ILF",IF(P261="低",7,IF(P261="中",10,15)),IF(J261="EIF",IF(P261="低",5,IF(P261="中",7,10)),"不计算")))))*R261,"不计算")</f>
        <v/>
      </c>
      <c r="R261" s="172" t="n">
        <v>1</v>
      </c>
      <c r="S261" s="173">
        <f>调整因子!$F$13</f>
        <v/>
      </c>
      <c r="T261" s="93" t="n">
        <v>1</v>
      </c>
      <c r="U261" s="174">
        <f>IFERROR(Q261*S261,0)</f>
        <v/>
      </c>
      <c r="V261" s="174">
        <f>U261*T261</f>
        <v/>
      </c>
      <c r="W261" s="91" t="n"/>
      <c r="X261" s="90" t="inlineStr">
        <is>
          <t>运行时任务表</t>
        </is>
      </c>
      <c r="Y261" s="90" t="inlineStr">
        <is>
          <t>运行时任务表{任务ID、流程实例ID、任务名称、开始时间、结束时间}</t>
        </is>
      </c>
      <c r="Z261" s="90">
        <f>IF(COUNTIFS(W:W,"*"&amp;I261&amp;"*")&gt;0,"存在","不存在")</f>
        <v/>
      </c>
      <c r="AA261" s="90">
        <f>IF(COUNTIFS(AB:AB,"*"&amp;I261&amp;"*")&gt;0,"存在","不存在")</f>
        <v/>
      </c>
      <c r="AB261" s="103" t="inlineStr">
        <is>
          <t>处置单关联表、接口参数配置表、任务日志表、加密算法表</t>
        </is>
      </c>
      <c r="AC261" s="66" t="n"/>
    </row>
    <row r="262" customFormat="1" s="66">
      <c r="A262" s="72">
        <f>ROW()-1</f>
        <v/>
      </c>
      <c r="B262" s="175" t="n"/>
      <c r="C262" s="80" t="n">
        <v>2025</v>
      </c>
      <c r="D262" s="80" t="inlineStr">
        <is>
          <t>张明峰</t>
        </is>
      </c>
      <c r="E262" s="81">
        <f>VLOOKUP(I262,'25年交付功能（不含废弃）'!A:A,1,FALSE)</f>
        <v/>
      </c>
      <c r="F262" s="175" t="n"/>
      <c r="G262" s="175" t="n"/>
      <c r="H262" s="175" t="n"/>
      <c r="I262" s="98" t="inlineStr">
        <is>
          <t>定时作业表</t>
        </is>
      </c>
      <c r="J262" s="93" t="inlineStr">
        <is>
          <t>ILF</t>
        </is>
      </c>
      <c r="K262" s="84" t="n"/>
      <c r="L262" s="84" t="n"/>
      <c r="M262" s="85">
        <f>IF(OR(Y262="估算法",Y262="算法类",Y262="无法识别"),"",IF(W262="",IF(OR(J262="EI",J262="EO",J262="EQ"),0,""),LEN(W262)-LEN(SUBSTITUTE(W262,"、",""))+1))</f>
        <v/>
      </c>
      <c r="N262" s="85">
        <f>IF(OR(Y262="估算法",Y262="算法类",Y262="无法识别"),"",IF(X262="",IF(OR(J262="ILF",J262="EIF"),0,""),LEN(X262)-LEN(SUBSTITUTE(X262,"、",""))+1))</f>
        <v/>
      </c>
      <c r="O262" s="85">
        <f>IF(OR(Y262="估算法",Y262="算法类",Y262="无法识别"),"",IF(Y262="",IF(OR(J262="ILF",J262="EIF",J262="EI",J262="EO",J262="EQ"),0,""),LEN(Y262)-LEN(SUBSTITUTE(SUBSTITUTE(SUBSTITUTE(SUBSTITUTE(SUBSTITUTE(Y262,"|}","--"),"{|","--"),CHAR(10),""),"、",""),"|",""))+IF(AND(OR(J262="EI",J262="EO",J262="EQ"),$AE$1="NESMA"),2,1)))</f>
        <v/>
      </c>
      <c r="P262" s="86">
        <f>IF(J262="EI",IF(OR(Y262="估算法",Y262="算法类"),"中",IF(Y262="无法识别","低",IF(M262&lt;2,IF(O262&lt;16,"低","中"),IF(M262&lt;3,IF(O262&lt;5,"低",IF(O262&lt;16,"中","高")),IF(O262&lt;5,"中","高"))))),IF(OR(J262="EO",J262="EQ"),IF(OR(Y262="估算法",Y262="算法类"),"中",IF(Y262="无法识别","低",IF(M262&lt;2,IF(O262&lt;20,"低","中"),IF(M262&lt;4,IF(O262&lt;6,"低",IF(O262&lt;20,"中","高")),IF(O262&lt;6,"中","高"))))),IF(OR(J262="ILF",J262="EIF"),IF(OR(Y262="估算法",Y262="算法类",Y262="无法识别"),"低",IF(N262&lt;2,IF(O262&lt;51,"低","中"),IF(N262&lt;6,IF(O262&lt;20,"低",IF(O262&lt;51,"中","高")),IF(O262&lt;20,"中","高")))),"不计算")))</f>
        <v/>
      </c>
      <c r="Q262" s="172">
        <f>IFERROR(IF(J262="EI",IF(P262="低",3,IF(P262="中",4,6)),IF(J262="EO",IF(P262="低",4,IF(P262="中",5,7)),IF(J262="EQ",IF(P262="低",3,IF(P262="中",4,6)),IF(J262="ILF",IF(P262="低",7,IF(P262="中",10,15)),IF(J262="EIF",IF(P262="低",5,IF(P262="中",7,10)),"不计算")))))*R262,"不计算")</f>
        <v/>
      </c>
      <c r="R262" s="172" t="n">
        <v>0.333333333333333</v>
      </c>
      <c r="S262" s="173">
        <f>调整因子!$F$13</f>
        <v/>
      </c>
      <c r="T262" s="92" t="n">
        <v>1</v>
      </c>
      <c r="U262" s="174">
        <f>IFERROR(Q262*S262,0)</f>
        <v/>
      </c>
      <c r="V262" s="174">
        <f>U262*T262</f>
        <v/>
      </c>
      <c r="W262" s="91" t="n"/>
      <c r="X262" s="90" t="inlineStr">
        <is>
          <t>定时作业表</t>
        </is>
      </c>
      <c r="Y262" s="90" t="inlineStr">
        <is>
          <t>定时作业表{作业ID、流程实例ID、作业名称、触发时间}</t>
        </is>
      </c>
      <c r="Z262" s="90">
        <f>IF(COUNTIFS(W:W,"*"&amp;I262&amp;"*")&gt;0,"存在","不存在")</f>
        <v/>
      </c>
      <c r="AA262" s="90">
        <f>IF(COUNTIFS(AB:AB,"*"&amp;I262&amp;"*")&gt;0,"存在","不存在")</f>
        <v/>
      </c>
      <c r="AB262" s="103" t="inlineStr">
        <is>
          <t>日志加密配置表、采集记录表、提醒规则表</t>
        </is>
      </c>
      <c r="AC262" s="66" t="n"/>
    </row>
    <row r="263" customFormat="1" s="66">
      <c r="A263" s="72">
        <f>ROW()-1</f>
        <v/>
      </c>
      <c r="B263" s="175" t="n"/>
      <c r="C263" s="80" t="n">
        <v>2025</v>
      </c>
      <c r="D263" s="80" t="inlineStr">
        <is>
          <t>张明峰</t>
        </is>
      </c>
      <c r="E263" s="81">
        <f>VLOOKUP(I263,'25年交付功能（不含废弃）'!A:A,1,FALSE)</f>
        <v/>
      </c>
      <c r="F263" s="175" t="n"/>
      <c r="G263" s="175" t="n"/>
      <c r="H263" s="175" t="n"/>
      <c r="I263" s="98" t="inlineStr">
        <is>
          <t>运行时变量表</t>
        </is>
      </c>
      <c r="J263" s="93" t="n"/>
      <c r="K263" s="84" t="inlineStr">
        <is>
          <t>删除</t>
        </is>
      </c>
      <c r="L263" s="84" t="inlineStr">
        <is>
          <t>非ILF - 运行时状态</t>
        </is>
      </c>
      <c r="M263" s="85">
        <f>IF(OR(Y263="估算法",Y263="算法类",Y263="无法识别"),"",IF(W263="",IF(OR(J263="EI",J263="EO",J263="EQ"),0,""),LEN(W263)-LEN(SUBSTITUTE(W263,"、",""))+1))</f>
        <v/>
      </c>
      <c r="N263" s="85">
        <f>IF(OR(Y263="估算法",Y263="算法类",Y263="无法识别"),"",IF(X263="",IF(OR(J263="ILF",J263="EIF"),0,""),LEN(X263)-LEN(SUBSTITUTE(X263,"、",""))+1))</f>
        <v/>
      </c>
      <c r="O263" s="85">
        <f>IF(OR(Y263="估算法",Y263="算法类",Y263="无法识别"),"",IF(Y263="",IF(OR(J263="ILF",J263="EIF",J263="EI",J263="EO",J263="EQ"),0,""),LEN(Y263)-LEN(SUBSTITUTE(SUBSTITUTE(SUBSTITUTE(SUBSTITUTE(SUBSTITUTE(Y263,"|}","--"),"{|","--"),CHAR(10),""),"、",""),"|",""))+IF(AND(OR(J263="EI",J263="EO",J263="EQ"),$AE$1="NESMA"),2,1)))</f>
        <v/>
      </c>
      <c r="P263" s="86">
        <f>IF(J263="EI",IF(OR(Y263="估算法",Y263="算法类"),"中",IF(Y263="无法识别","低",IF(M263&lt;2,IF(O263&lt;16,"低","中"),IF(M263&lt;3,IF(O263&lt;5,"低",IF(O263&lt;16,"中","高")),IF(O263&lt;5,"中","高"))))),IF(OR(J263="EO",J263="EQ"),IF(OR(Y263="估算法",Y263="算法类"),"中",IF(Y263="无法识别","低",IF(M263&lt;2,IF(O263&lt;20,"低","中"),IF(M263&lt;4,IF(O263&lt;6,"低",IF(O263&lt;20,"中","高")),IF(O263&lt;6,"中","高"))))),IF(OR(J263="ILF",J263="EIF"),IF(OR(Y263="估算法",Y263="算法类",Y263="无法识别"),"低",IF(N263&lt;2,IF(O263&lt;51,"低","中"),IF(N263&lt;6,IF(O263&lt;20,"低",IF(O263&lt;51,"中","高")),IF(O263&lt;20,"中","高")))),"不计算")))</f>
        <v/>
      </c>
      <c r="Q263" s="172">
        <f>IFERROR(IF(J263="EI",IF(P263="低",3,IF(P263="中",4,6)),IF(J263="EO",IF(P263="低",4,IF(P263="中",5,7)),IF(J263="EQ",IF(P263="低",3,IF(P263="中",4,6)),IF(J263="ILF",IF(P263="低",7,IF(P263="中",10,15)),IF(J263="EIF",IF(P263="低",5,IF(P263="中",7,10)),"不计算")))))*R263,"不计算")</f>
        <v/>
      </c>
      <c r="R263" s="172" t="n">
        <v>1</v>
      </c>
      <c r="S263" s="173">
        <f>调整因子!$F$13</f>
        <v/>
      </c>
      <c r="T263" s="92" t="n">
        <v>1</v>
      </c>
      <c r="U263" s="174">
        <f>IFERROR(Q263*S263,0)</f>
        <v/>
      </c>
      <c r="V263" s="174">
        <f>U263*T263</f>
        <v/>
      </c>
      <c r="W263" s="91" t="n"/>
      <c r="X263" s="90" t="inlineStr">
        <is>
          <t>运行时变量表</t>
        </is>
      </c>
      <c r="Y263" s="90" t="inlineStr">
        <is>
          <t>运行时变量表{变量ID、实例ID、变量名称、值、更新时间}</t>
        </is>
      </c>
      <c r="Z263" s="90">
        <f>IF(COUNTIFS(W:W,"*"&amp;I263&amp;"*")&gt;0,"存在","不存在")</f>
        <v/>
      </c>
      <c r="AA263" s="90">
        <f>IF(COUNTIFS(AB:AB,"*"&amp;I263&amp;"*")&gt;0,"存在","不存在")</f>
        <v/>
      </c>
      <c r="AB263" s="103" t="inlineStr">
        <is>
          <t>模板配置表、日志采集配置表、接口参数配置表</t>
        </is>
      </c>
      <c r="AC263" s="66" t="n"/>
    </row>
    <row r="264" customFormat="1" s="66">
      <c r="A264" s="72">
        <f>ROW()-1</f>
        <v/>
      </c>
      <c r="B264" s="175" t="n"/>
      <c r="C264" s="80" t="n">
        <v>2025</v>
      </c>
      <c r="D264" s="80" t="inlineStr">
        <is>
          <t>张明峰</t>
        </is>
      </c>
      <c r="E264" s="81">
        <f>VLOOKUP(I264,'25年交付功能（不含废弃）'!A:A,1,FALSE)</f>
        <v/>
      </c>
      <c r="F264" s="175" t="n"/>
      <c r="G264" s="175" t="n"/>
      <c r="H264" s="175" t="n"/>
      <c r="I264" s="98" t="inlineStr">
        <is>
          <t>数据库变更日志表</t>
        </is>
      </c>
      <c r="J264" s="93" t="n"/>
      <c r="K264" s="84" t="inlineStr">
        <is>
          <t>删除</t>
        </is>
      </c>
      <c r="L264" s="102" t="inlineStr">
        <is>
          <t>非ILF,日志表</t>
        </is>
      </c>
      <c r="M264" s="85">
        <f>IF(OR(Y264="估算法",Y264="算法类",Y264="无法识别"),"",IF(W264="",IF(OR(J264="EI",J264="EO",J264="EQ"),0,""),LEN(W264)-LEN(SUBSTITUTE(W264,"、",""))+1))</f>
        <v/>
      </c>
      <c r="N264" s="85">
        <f>IF(OR(Y264="估算法",Y264="算法类",Y264="无法识别"),"",IF(X264="",IF(OR(J264="ILF",J264="EIF"),0,""),LEN(X264)-LEN(SUBSTITUTE(X264,"、",""))+1))</f>
        <v/>
      </c>
      <c r="O264" s="85">
        <f>IF(OR(Y264="估算法",Y264="算法类",Y264="无法识别"),"",IF(Y264="",IF(OR(J264="ILF",J264="EIF",J264="EI",J264="EO",J264="EQ"),0,""),LEN(Y264)-LEN(SUBSTITUTE(SUBSTITUTE(SUBSTITUTE(SUBSTITUTE(SUBSTITUTE(Y264,"|}","--"),"{|","--"),CHAR(10),""),"、",""),"|",""))+IF(AND(OR(J264="EI",J264="EO",J264="EQ"),$AE$1="NESMA"),2,1)))</f>
        <v/>
      </c>
      <c r="P264" s="86">
        <f>IF(J264="EI",IF(OR(Y264="估算法",Y264="算法类"),"中",IF(Y264="无法识别","低",IF(M264&lt;2,IF(O264&lt;16,"低","中"),IF(M264&lt;3,IF(O264&lt;5,"低",IF(O264&lt;16,"中","高")),IF(O264&lt;5,"中","高"))))),IF(OR(J264="EO",J264="EQ"),IF(OR(Y264="估算法",Y264="算法类"),"中",IF(Y264="无法识别","低",IF(M264&lt;2,IF(O264&lt;20,"低","中"),IF(M264&lt;4,IF(O264&lt;6,"低",IF(O264&lt;20,"中","高")),IF(O264&lt;6,"中","高"))))),IF(OR(J264="ILF",J264="EIF"),IF(OR(Y264="估算法",Y264="算法类",Y264="无法识别"),"低",IF(N264&lt;2,IF(O264&lt;51,"低","中"),IF(N264&lt;6,IF(O264&lt;20,"低",IF(O264&lt;51,"中","高")),IF(O264&lt;20,"中","高")))),"不计算")))</f>
        <v/>
      </c>
      <c r="Q264" s="172">
        <f>IFERROR(IF(J264="EI",IF(P264="低",3,IF(P264="中",4,6)),IF(J264="EO",IF(P264="低",4,IF(P264="中",5,7)),IF(J264="EQ",IF(P264="低",3,IF(P264="中",4,6)),IF(J264="ILF",IF(P264="低",7,IF(P264="中",10,15)),IF(J264="EIF",IF(P264="低",5,IF(P264="中",7,10)),"不计算")))))*R264,"不计算")</f>
        <v/>
      </c>
      <c r="R264" s="172" t="n">
        <v>1</v>
      </c>
      <c r="S264" s="173">
        <f>调整因子!$F$13</f>
        <v/>
      </c>
      <c r="T264" s="93" t="n">
        <v>1</v>
      </c>
      <c r="U264" s="174">
        <f>IFERROR(Q264*S264,0)</f>
        <v/>
      </c>
      <c r="V264" s="174">
        <f>U264*T264</f>
        <v/>
      </c>
      <c r="W264" s="91" t="n"/>
      <c r="X264" s="90" t="inlineStr">
        <is>
          <t>数据库变更日志表</t>
        </is>
      </c>
      <c r="Y264" s="90" t="inlineStr">
        <is>
          <t>数据库变更日志表{日志ID、变更内容、变更时间}</t>
        </is>
      </c>
      <c r="Z264" s="90">
        <f>IF(COUNTIFS(W:W,"*"&amp;I264&amp;"*")&gt;0,"存在","不存在")</f>
        <v/>
      </c>
      <c r="AA264" s="90">
        <f>IF(COUNTIFS(AB:AB,"*"&amp;I264&amp;"*")&gt;0,"存在","不存在")</f>
        <v/>
      </c>
      <c r="AB264" s="103" t="inlineStr">
        <is>
          <t>数据清洗任务表、资产同步任务表、同步任务调度表、任务统计数据表</t>
        </is>
      </c>
      <c r="AC264" s="66" t="n"/>
    </row>
    <row r="265" customFormat="1" s="66">
      <c r="A265" s="72">
        <f>ROW()-1</f>
        <v/>
      </c>
      <c r="B265" s="175" t="n"/>
      <c r="C265" s="80" t="n">
        <v>2025</v>
      </c>
      <c r="D265" s="80" t="inlineStr">
        <is>
          <t>张明峰</t>
        </is>
      </c>
      <c r="E265" s="81">
        <f>VLOOKUP(I265,'25年交付功能（不含废弃）'!A:A,1,FALSE)</f>
        <v/>
      </c>
      <c r="F265" s="175" t="n"/>
      <c r="G265" s="175" t="n"/>
      <c r="H265" s="175" t="n"/>
      <c r="I265" s="98" t="inlineStr">
        <is>
          <t>数据库变更日志锁表</t>
        </is>
      </c>
      <c r="J265" s="93" t="n"/>
      <c r="K265" s="84" t="inlineStr">
        <is>
          <t>删除</t>
        </is>
      </c>
      <c r="L265" s="84" t="inlineStr">
        <is>
          <t>非ILF - 技术锁</t>
        </is>
      </c>
      <c r="M265" s="85">
        <f>IF(OR(Y265="估算法",Y265="算法类",Y265="无法识别"),"",IF(W265="",IF(OR(J265="EI",J265="EO",J265="EQ"),0,""),LEN(W265)-LEN(SUBSTITUTE(W265,"、",""))+1))</f>
        <v/>
      </c>
      <c r="N265" s="85">
        <f>IF(OR(Y265="估算法",Y265="算法类",Y265="无法识别"),"",IF(X265="",IF(OR(J265="ILF",J265="EIF"),0,""),LEN(X265)-LEN(SUBSTITUTE(X265,"、",""))+1))</f>
        <v/>
      </c>
      <c r="O265" s="85">
        <f>IF(OR(Y265="估算法",Y265="算法类",Y265="无法识别"),"",IF(Y265="",IF(OR(J265="ILF",J265="EIF",J265="EI",J265="EO",J265="EQ"),0,""),LEN(Y265)-LEN(SUBSTITUTE(SUBSTITUTE(SUBSTITUTE(SUBSTITUTE(SUBSTITUTE(Y265,"|}","--"),"{|","--"),CHAR(10),""),"、",""),"|",""))+IF(AND(OR(J265="EI",J265="EO",J265="EQ"),$AE$1="NESMA"),2,1)))</f>
        <v/>
      </c>
      <c r="P265" s="86">
        <f>IF(J265="EI",IF(OR(Y265="估算法",Y265="算法类"),"中",IF(Y265="无法识别","低",IF(M265&lt;2,IF(O265&lt;16,"低","中"),IF(M265&lt;3,IF(O265&lt;5,"低",IF(O265&lt;16,"中","高")),IF(O265&lt;5,"中","高"))))),IF(OR(J265="EO",J265="EQ"),IF(OR(Y265="估算法",Y265="算法类"),"中",IF(Y265="无法识别","低",IF(M265&lt;2,IF(O265&lt;20,"低","中"),IF(M265&lt;4,IF(O265&lt;6,"低",IF(O265&lt;20,"中","高")),IF(O265&lt;6,"中","高"))))),IF(OR(J265="ILF",J265="EIF"),IF(OR(Y265="估算法",Y265="算法类",Y265="无法识别"),"低",IF(N265&lt;2,IF(O265&lt;51,"低","中"),IF(N265&lt;6,IF(O265&lt;20,"低",IF(O265&lt;51,"中","高")),IF(O265&lt;20,"中","高")))),"不计算")))</f>
        <v/>
      </c>
      <c r="Q265" s="172">
        <f>IFERROR(IF(J265="EI",IF(P265="低",3,IF(P265="中",4,6)),IF(J265="EO",IF(P265="低",4,IF(P265="中",5,7)),IF(J265="EQ",IF(P265="低",3,IF(P265="中",4,6)),IF(J265="ILF",IF(P265="低",7,IF(P265="中",10,15)),IF(J265="EIF",IF(P265="低",5,IF(P265="中",7,10)),"不计算")))))*R265,"不计算")</f>
        <v/>
      </c>
      <c r="R265" s="172" t="n">
        <v>1</v>
      </c>
      <c r="S265" s="173">
        <f>调整因子!$F$13</f>
        <v/>
      </c>
      <c r="T265" s="92" t="n">
        <v>1</v>
      </c>
      <c r="U265" s="174">
        <f>IFERROR(Q265*S265,0)</f>
        <v/>
      </c>
      <c r="V265" s="174">
        <f>U265*T265</f>
        <v/>
      </c>
      <c r="W265" s="91" t="n"/>
      <c r="X265" s="90" t="inlineStr">
        <is>
          <t>数据库变更日志锁表</t>
        </is>
      </c>
      <c r="Y265" s="90" t="inlineStr">
        <is>
          <t>数据库变更日志锁表{锁ID、锁定状态、锁定时间}</t>
        </is>
      </c>
      <c r="Z265" s="90">
        <f>IF(COUNTIFS(W:W,"*"&amp;I265&amp;"*")&gt;0,"存在","不存在")</f>
        <v/>
      </c>
      <c r="AA265" s="90">
        <f>IF(COUNTIFS(AB:AB,"*"&amp;I265&amp;"*")&gt;0,"存在","不存在")</f>
        <v/>
      </c>
      <c r="AB265" s="103" t="inlineStr">
        <is>
          <t>数据清洗任务表、资产同步任务表、同步任务调度表、任务统计数据表</t>
        </is>
      </c>
      <c r="AC265" s="66" t="n"/>
    </row>
    <row r="266" customFormat="1" s="66">
      <c r="A266" s="72">
        <f>ROW()-1</f>
        <v/>
      </c>
      <c r="B266" s="175" t="n"/>
      <c r="C266" s="80" t="n">
        <v>2025</v>
      </c>
      <c r="D266" s="80" t="inlineStr">
        <is>
          <t>张明峰</t>
        </is>
      </c>
      <c r="E266" s="81">
        <f>VLOOKUP(I266,'25年交付功能（不含废弃）'!A:A,1,FALSE)</f>
        <v/>
      </c>
      <c r="F266" s="175" t="n"/>
      <c r="G266" s="175" t="n"/>
      <c r="H266" s="175" t="n"/>
      <c r="I266" s="98" t="inlineStr">
        <is>
          <t>流程抄送表</t>
        </is>
      </c>
      <c r="J266" s="93" t="inlineStr">
        <is>
          <t>ILF</t>
        </is>
      </c>
      <c r="K266" s="110" t="inlineStr">
        <is>
          <t>删除</t>
        </is>
      </c>
      <c r="L266" s="84" t="inlineStr">
        <is>
          <t>数据库表未被本系统所维护</t>
        </is>
      </c>
      <c r="M266" s="85">
        <f>IF(OR(Y266="估算法",Y266="算法类",Y266="无法识别"),"",IF(W266="",IF(OR(J266="EI",J266="EO",J266="EQ"),0,""),LEN(W266)-LEN(SUBSTITUTE(W266,"、",""))+1))</f>
        <v/>
      </c>
      <c r="N266" s="85">
        <f>IF(OR(Y266="估算法",Y266="算法类",Y266="无法识别"),"",IF(X266="",IF(OR(J266="ILF",J266="EIF"),0,""),LEN(X266)-LEN(SUBSTITUTE(X266,"、",""))+1))</f>
        <v/>
      </c>
      <c r="O266" s="85">
        <f>IF(OR(Y266="估算法",Y266="算法类",Y266="无法识别"),"",IF(Y266="",IF(OR(J266="ILF",J266="EIF",J266="EI",J266="EO",J266="EQ"),0,""),LEN(Y266)-LEN(SUBSTITUTE(SUBSTITUTE(SUBSTITUTE(SUBSTITUTE(SUBSTITUTE(Y266,"|}","--"),"{|","--"),CHAR(10),""),"、",""),"|",""))+IF(AND(OR(J266="EI",J266="EO",J266="EQ"),$AE$1="NESMA"),2,1)))</f>
        <v/>
      </c>
      <c r="P266" s="86">
        <f>IF(J266="EI",IF(OR(Y266="估算法",Y266="算法类"),"中",IF(Y266="无法识别","低",IF(M266&lt;2,IF(O266&lt;16,"低","中"),IF(M266&lt;3,IF(O266&lt;5,"低",IF(O266&lt;16,"中","高")),IF(O266&lt;5,"中","高"))))),IF(OR(J266="EO",J266="EQ"),IF(OR(Y266="估算法",Y266="算法类"),"中",IF(Y266="无法识别","低",IF(M266&lt;2,IF(O266&lt;20,"低","中"),IF(M266&lt;4,IF(O266&lt;6,"低",IF(O266&lt;20,"中","高")),IF(O266&lt;6,"中","高"))))),IF(OR(J266="ILF",J266="EIF"),IF(OR(Y266="估算法",Y266="算法类",Y266="无法识别"),"低",IF(N266&lt;2,IF(O266&lt;51,"低","中"),IF(N266&lt;6,IF(O266&lt;20,"低",IF(O266&lt;51,"中","高")),IF(O266&lt;20,"中","高")))),"不计算")))</f>
        <v/>
      </c>
      <c r="Q266" s="172">
        <f>IFERROR(IF(J266="EI",IF(P266="低",3,IF(P266="中",4,6)),IF(J266="EO",IF(P266="低",4,IF(P266="中",5,7)),IF(J266="EQ",IF(P266="低",3,IF(P266="中",4,6)),IF(J266="ILF",IF(P266="低",7,IF(P266="中",10,15)),IF(J266="EIF",IF(P266="低",5,IF(P266="中",7,10)),"不计算")))))*R266,"不计算")</f>
        <v/>
      </c>
      <c r="R266" s="172" t="n">
        <v>0</v>
      </c>
      <c r="S266" s="173">
        <f>调整因子!$F$13</f>
        <v/>
      </c>
      <c r="T266" s="92" t="n">
        <v>1</v>
      </c>
      <c r="U266" s="174">
        <f>IFERROR(Q266*S266,0)</f>
        <v/>
      </c>
      <c r="V266" s="174">
        <f>U266*T266</f>
        <v/>
      </c>
      <c r="W266" s="91" t="n"/>
      <c r="X266" s="90" t="inlineStr">
        <is>
          <t>流程抄送表</t>
        </is>
      </c>
      <c r="Y266" s="90" t="inlineStr">
        <is>
          <t>流程抄送表{抄送ID、流程实例ID、抄送人、抄送时间}</t>
        </is>
      </c>
      <c r="Z266" s="90">
        <f>IF(COUNTIFS(W:W,"*"&amp;I266&amp;"*")&gt;0,"存在","不存在")</f>
        <v/>
      </c>
      <c r="AA266" s="90">
        <f>IF(COUNTIFS(AB:AB,"*"&amp;I266&amp;"*")&gt;0,"存在","不存在")</f>
        <v/>
      </c>
      <c r="AB266" s="103" t="inlineStr">
        <is>
          <t>推送规则表、提醒规则表、脱敏规则表、加密规则表、同步任务调度表</t>
        </is>
      </c>
      <c r="AC266" s="66" t="n"/>
    </row>
    <row r="267" customFormat="1" s="66">
      <c r="A267" s="72">
        <f>ROW()-1</f>
        <v/>
      </c>
      <c r="B267" s="175" t="n"/>
      <c r="C267" s="80" t="n">
        <v>2025</v>
      </c>
      <c r="D267" s="80" t="inlineStr">
        <is>
          <t>张明峰</t>
        </is>
      </c>
      <c r="E267" s="81">
        <f>VLOOKUP(I267,'25年交付功能（不含废弃）'!A:A,1,FALSE)</f>
        <v/>
      </c>
      <c r="F267" s="175" t="n"/>
      <c r="G267" s="175" t="n"/>
      <c r="H267" s="175" t="n"/>
      <c r="I267" s="98" t="inlineStr">
        <is>
          <t>流程定义表</t>
        </is>
      </c>
      <c r="J267" s="93" t="n"/>
      <c r="K267" s="110" t="inlineStr">
        <is>
          <t>删除</t>
        </is>
      </c>
      <c r="L267" s="84" t="inlineStr">
        <is>
          <t>重复数据库表</t>
        </is>
      </c>
      <c r="M267" s="85">
        <f>IF(OR(Y267="估算法",Y267="算法类",Y267="无法识别"),"",IF(W267="",IF(OR(J267="EI",J267="EO",J267="EQ"),0,""),LEN(W267)-LEN(SUBSTITUTE(W267,"、",""))+1))</f>
        <v/>
      </c>
      <c r="N267" s="85">
        <f>IF(OR(Y267="估算法",Y267="算法类",Y267="无法识别"),"",IF(X267="",IF(OR(J267="ILF",J267="EIF"),0,""),LEN(X267)-LEN(SUBSTITUTE(X267,"、",""))+1))</f>
        <v/>
      </c>
      <c r="O267" s="85">
        <f>IF(OR(Y267="估算法",Y267="算法类",Y267="无法识别"),"",IF(Y267="",IF(OR(J267="ILF",J267="EIF",J267="EI",J267="EO",J267="EQ"),0,""),LEN(Y267)-LEN(SUBSTITUTE(SUBSTITUTE(SUBSTITUTE(SUBSTITUTE(SUBSTITUTE(Y267,"|}","--"),"{|","--"),CHAR(10),""),"、",""),"|",""))+IF(AND(OR(J267="EI",J267="EO",J267="EQ"),$AE$1="NESMA"),2,1)))</f>
        <v/>
      </c>
      <c r="P267" s="86">
        <f>IF(J267="EI",IF(OR(Y267="估算法",Y267="算法类"),"中",IF(Y267="无法识别","低",IF(M267&lt;2,IF(O267&lt;16,"低","中"),IF(M267&lt;3,IF(O267&lt;5,"低",IF(O267&lt;16,"中","高")),IF(O267&lt;5,"中","高"))))),IF(OR(J267="EO",J267="EQ"),IF(OR(Y267="估算法",Y267="算法类"),"中",IF(Y267="无法识别","低",IF(M267&lt;2,IF(O267&lt;20,"低","中"),IF(M267&lt;4,IF(O267&lt;6,"低",IF(O267&lt;20,"中","高")),IF(O267&lt;6,"中","高"))))),IF(OR(J267="ILF",J267="EIF"),IF(OR(Y267="估算法",Y267="算法类",Y267="无法识别"),"低",IF(N267&lt;2,IF(O267&lt;51,"低","中"),IF(N267&lt;6,IF(O267&lt;20,"低",IF(O267&lt;51,"中","高")),IF(O267&lt;20,"中","高")))),"不计算")))</f>
        <v/>
      </c>
      <c r="Q267" s="172">
        <f>IFERROR(IF(J267="EI",IF(P267="低",3,IF(P267="中",4,6)),IF(J267="EO",IF(P267="低",4,IF(P267="中",5,7)),IF(J267="EQ",IF(P267="低",3,IF(P267="中",4,6)),IF(J267="ILF",IF(P267="低",7,IF(P267="中",10,15)),IF(J267="EIF",IF(P267="低",5,IF(P267="中",7,10)),"不计算")))))*R267,"不计算")</f>
        <v/>
      </c>
      <c r="R267" s="172" t="n">
        <v>1</v>
      </c>
      <c r="S267" s="173">
        <f>调整因子!$F$13</f>
        <v/>
      </c>
      <c r="T267" s="93" t="n">
        <v>1</v>
      </c>
      <c r="U267" s="174">
        <f>IFERROR(Q267*S267,0)</f>
        <v/>
      </c>
      <c r="V267" s="174">
        <f>U267*T267</f>
        <v/>
      </c>
      <c r="W267" s="91" t="n"/>
      <c r="X267" s="90" t="inlineStr">
        <is>
          <t>流程定义表</t>
        </is>
      </c>
      <c r="Y267" s="90" t="inlineStr">
        <is>
          <t>流程定义表{定义ID、流程名称、定义内容、创建时间}</t>
        </is>
      </c>
      <c r="Z267" s="90">
        <f>IF(COUNTIFS(W:W,"*"&amp;I267&amp;"*")&gt;0,"存在","不存在")</f>
        <v/>
      </c>
      <c r="AA267" s="90">
        <f>IF(COUNTIFS(AB:AB,"*"&amp;I267&amp;"*")&gt;0,"存在","不存在")</f>
        <v/>
      </c>
      <c r="AB267" s="103" t="inlineStr">
        <is>
          <t>扫描策略模板表、提醒策略配置表、加密策略表、提醒策略配置表、模板分类表</t>
        </is>
      </c>
      <c r="AC267" s="66" t="n"/>
    </row>
    <row r="268" customFormat="1" s="66">
      <c r="A268" s="72">
        <f>ROW()-1</f>
        <v/>
      </c>
      <c r="B268" s="175" t="n"/>
      <c r="C268" s="80" t="n">
        <v>2025</v>
      </c>
      <c r="D268" s="80" t="inlineStr">
        <is>
          <t>张明峰</t>
        </is>
      </c>
      <c r="E268" s="81">
        <f>VLOOKUP(I268,'25年交付功能（不含废弃）'!A:A,1,FALSE)</f>
        <v/>
      </c>
      <c r="F268" s="175" t="n"/>
      <c r="G268" s="175" t="n"/>
      <c r="H268" s="175" t="n"/>
      <c r="I268" s="98" t="inlineStr">
        <is>
          <t>流程定义属性表</t>
        </is>
      </c>
      <c r="J268" s="93" t="inlineStr">
        <is>
          <t>ILF</t>
        </is>
      </c>
      <c r="K268" s="110" t="inlineStr">
        <is>
          <t>删除</t>
        </is>
      </c>
      <c r="L268" s="84" t="inlineStr">
        <is>
          <t>数据库表未被本系统所维护</t>
        </is>
      </c>
      <c r="M268" s="85">
        <f>IF(OR(Y268="估算法",Y268="算法类",Y268="无法识别"),"",IF(W268="",IF(OR(J268="EI",J268="EO",J268="EQ"),0,""),LEN(W268)-LEN(SUBSTITUTE(W268,"、",""))+1))</f>
        <v/>
      </c>
      <c r="N268" s="85">
        <f>IF(OR(Y268="估算法",Y268="算法类",Y268="无法识别"),"",IF(X268="",IF(OR(J268="ILF",J268="EIF"),0,""),LEN(X268)-LEN(SUBSTITUTE(X268,"、",""))+1))</f>
        <v/>
      </c>
      <c r="O268" s="85">
        <f>IF(OR(Y268="估算法",Y268="算法类",Y268="无法识别"),"",IF(Y268="",IF(OR(J268="ILF",J268="EIF",J268="EI",J268="EO",J268="EQ"),0,""),LEN(Y268)-LEN(SUBSTITUTE(SUBSTITUTE(SUBSTITUTE(SUBSTITUTE(SUBSTITUTE(Y268,"|}","--"),"{|","--"),CHAR(10),""),"、",""),"|",""))+IF(AND(OR(J268="EI",J268="EO",J268="EQ"),$AE$1="NESMA"),2,1)))</f>
        <v/>
      </c>
      <c r="P268" s="86">
        <f>IF(J268="EI",IF(OR(Y268="估算法",Y268="算法类"),"中",IF(Y268="无法识别","低",IF(M268&lt;2,IF(O268&lt;16,"低","中"),IF(M268&lt;3,IF(O268&lt;5,"低",IF(O268&lt;16,"中","高")),IF(O268&lt;5,"中","高"))))),IF(OR(J268="EO",J268="EQ"),IF(OR(Y268="估算法",Y268="算法类"),"中",IF(Y268="无法识别","低",IF(M268&lt;2,IF(O268&lt;20,"低","中"),IF(M268&lt;4,IF(O268&lt;6,"低",IF(O268&lt;20,"中","高")),IF(O268&lt;6,"中","高"))))),IF(OR(J268="ILF",J268="EIF"),IF(OR(Y268="估算法",Y268="算法类",Y268="无法识别"),"低",IF(N268&lt;2,IF(O268&lt;51,"低","中"),IF(N268&lt;6,IF(O268&lt;20,"低",IF(O268&lt;51,"中","高")),IF(O268&lt;20,"中","高")))),"不计算")))</f>
        <v/>
      </c>
      <c r="Q268" s="172">
        <f>IFERROR(IF(J268="EI",IF(P268="低",3,IF(P268="中",4,6)),IF(J268="EO",IF(P268="低",4,IF(P268="中",5,7)),IF(J268="EQ",IF(P268="低",3,IF(P268="中",4,6)),IF(J268="ILF",IF(P268="低",7,IF(P268="中",10,15)),IF(J268="EIF",IF(P268="低",5,IF(P268="中",7,10)),"不计算")))))*R268,"不计算")</f>
        <v/>
      </c>
      <c r="R268" s="172" t="n">
        <v>0</v>
      </c>
      <c r="S268" s="173">
        <f>调整因子!$F$13</f>
        <v/>
      </c>
      <c r="T268" s="92" t="n">
        <v>1</v>
      </c>
      <c r="U268" s="174">
        <f>IFERROR(Q268*S268,0)</f>
        <v/>
      </c>
      <c r="V268" s="174">
        <f>U268*T268</f>
        <v/>
      </c>
      <c r="W268" s="91" t="n"/>
      <c r="X268" s="90" t="inlineStr">
        <is>
          <t>流程定义属性表</t>
        </is>
      </c>
      <c r="Y268" s="90" t="inlineStr">
        <is>
          <t>流程定义属性表{属性ID、流程定义ID、属性名称、值}</t>
        </is>
      </c>
      <c r="Z268" s="90">
        <f>IF(COUNTIFS(W:W,"*"&amp;I268&amp;"*")&gt;0,"存在","不存在")</f>
        <v/>
      </c>
      <c r="AA268" s="90">
        <f>IF(COUNTIFS(AB:AB,"*"&amp;I268&amp;"*")&gt;0,"存在","不存在")</f>
        <v/>
      </c>
      <c r="AB268" s="103" t="inlineStr">
        <is>
          <t>扫描策略模板表、提醒策略配置表</t>
        </is>
      </c>
      <c r="AC268" s="66" t="n"/>
    </row>
    <row r="269" customFormat="1" s="66">
      <c r="A269" s="72">
        <f>ROW()-1</f>
        <v/>
      </c>
      <c r="B269" s="175" t="n"/>
      <c r="C269" s="80" t="n">
        <v>2025</v>
      </c>
      <c r="D269" s="80" t="inlineStr">
        <is>
          <t>张明峰</t>
        </is>
      </c>
      <c r="E269" s="81">
        <f>VLOOKUP(I269,'25年交付功能（不含废弃）'!A:A,1,FALSE)</f>
        <v/>
      </c>
      <c r="F269" s="175" t="n"/>
      <c r="G269" s="175" t="n"/>
      <c r="H269" s="175" t="n"/>
      <c r="I269" s="98" t="inlineStr">
        <is>
          <t>流程定义权限表</t>
        </is>
      </c>
      <c r="J269" s="93" t="inlineStr">
        <is>
          <t>ILF</t>
        </is>
      </c>
      <c r="K269" s="110" t="inlineStr">
        <is>
          <t>删除</t>
        </is>
      </c>
      <c r="L269" s="84" t="inlineStr">
        <is>
          <t>数据库表未被本系统所维护</t>
        </is>
      </c>
      <c r="M269" s="85">
        <f>IF(OR(Y269="估算法",Y269="算法类",Y269="无法识别"),"",IF(W269="",IF(OR(J269="EI",J269="EO",J269="EQ"),0,""),LEN(W269)-LEN(SUBSTITUTE(W269,"、",""))+1))</f>
        <v/>
      </c>
      <c r="N269" s="85">
        <f>IF(OR(Y269="估算法",Y269="算法类",Y269="无法识别"),"",IF(X269="",IF(OR(J269="ILF",J269="EIF"),0,""),LEN(X269)-LEN(SUBSTITUTE(X269,"、",""))+1))</f>
        <v/>
      </c>
      <c r="O269" s="85">
        <f>IF(OR(Y269="估算法",Y269="算法类",Y269="无法识别"),"",IF(Y269="",IF(OR(J269="ILF",J269="EIF",J269="EI",J269="EO",J269="EQ"),0,""),LEN(Y269)-LEN(SUBSTITUTE(SUBSTITUTE(SUBSTITUTE(SUBSTITUTE(SUBSTITUTE(Y269,"|}","--"),"{|","--"),CHAR(10),""),"、",""),"|",""))+IF(AND(OR(J269="EI",J269="EO",J269="EQ"),$AE$1="NESMA"),2,1)))</f>
        <v/>
      </c>
      <c r="P269" s="86">
        <f>IF(J269="EI",IF(OR(Y269="估算法",Y269="算法类"),"中",IF(Y269="无法识别","低",IF(M269&lt;2,IF(O269&lt;16,"低","中"),IF(M269&lt;3,IF(O269&lt;5,"低",IF(O269&lt;16,"中","高")),IF(O269&lt;5,"中","高"))))),IF(OR(J269="EO",J269="EQ"),IF(OR(Y269="估算法",Y269="算法类"),"中",IF(Y269="无法识别","低",IF(M269&lt;2,IF(O269&lt;20,"低","中"),IF(M269&lt;4,IF(O269&lt;6,"低",IF(O269&lt;20,"中","高")),IF(O269&lt;6,"中","高"))))),IF(OR(J269="ILF",J269="EIF"),IF(OR(Y269="估算法",Y269="算法类",Y269="无法识别"),"低",IF(N269&lt;2,IF(O269&lt;51,"低","中"),IF(N269&lt;6,IF(O269&lt;20,"低",IF(O269&lt;51,"中","高")),IF(O269&lt;20,"中","高")))),"不计算")))</f>
        <v/>
      </c>
      <c r="Q269" s="172">
        <f>IFERROR(IF(J269="EI",IF(P269="低",3,IF(P269="中",4,6)),IF(J269="EO",IF(P269="低",4,IF(P269="中",5,7)),IF(J269="EQ",IF(P269="低",3,IF(P269="中",4,6)),IF(J269="ILF",IF(P269="低",7,IF(P269="中",10,15)),IF(J269="EIF",IF(P269="低",5,IF(P269="中",7,10)),"不计算")))))*R269,"不计算")</f>
        <v/>
      </c>
      <c r="R269" s="172" t="n">
        <v>0</v>
      </c>
      <c r="S269" s="173">
        <f>调整因子!$F$13</f>
        <v/>
      </c>
      <c r="T269" s="92" t="n">
        <v>1</v>
      </c>
      <c r="U269" s="174">
        <f>IFERROR(Q269*S269,0)</f>
        <v/>
      </c>
      <c r="V269" s="174">
        <f>U269*T269</f>
        <v/>
      </c>
      <c r="W269" s="91" t="n"/>
      <c r="X269" s="90" t="inlineStr">
        <is>
          <t>流程定义权限表</t>
        </is>
      </c>
      <c r="Y269" s="90" t="inlineStr">
        <is>
          <t>流程定义权限表{权限ID、流程定义ID、角色、权限类型}</t>
        </is>
      </c>
      <c r="Z269" s="90">
        <f>IF(COUNTIFS(W:W,"*"&amp;I269&amp;"*")&gt;0,"存在","不存在")</f>
        <v/>
      </c>
      <c r="AA269" s="90">
        <f>IF(COUNTIFS(AB:AB,"*"&amp;I269&amp;"*")&gt;0,"存在","不存在")</f>
        <v/>
      </c>
      <c r="AB269" s="103" t="inlineStr">
        <is>
          <t>扫描策略模板表</t>
        </is>
      </c>
      <c r="AC269" s="66" t="n"/>
    </row>
    <row r="270" customFormat="1" s="66">
      <c r="A270" s="72">
        <f>ROW()-1</f>
        <v/>
      </c>
      <c r="B270" s="175" t="n"/>
      <c r="C270" s="80" t="n">
        <v>2025</v>
      </c>
      <c r="D270" s="80" t="inlineStr">
        <is>
          <t>张明峰</t>
        </is>
      </c>
      <c r="E270" s="81">
        <f>VLOOKUP(I270,'25年交付功能（不含废弃）'!A:A,1,FALSE)</f>
        <v/>
      </c>
      <c r="F270" s="175" t="n"/>
      <c r="G270" s="175" t="n"/>
      <c r="H270" s="175" t="n"/>
      <c r="I270" s="98" t="inlineStr">
        <is>
          <t>流程定义BPMN表</t>
        </is>
      </c>
      <c r="J270" s="93" t="inlineStr">
        <is>
          <t>ILF</t>
        </is>
      </c>
      <c r="K270" s="110" t="inlineStr">
        <is>
          <t>删除</t>
        </is>
      </c>
      <c r="L270" s="84" t="inlineStr">
        <is>
          <t>数据库表未被本系统所维护</t>
        </is>
      </c>
      <c r="M270" s="85">
        <f>IF(OR(Y270="估算法",Y270="算法类",Y270="无法识别"),"",IF(W270="",IF(OR(J270="EI",J270="EO",J270="EQ"),0,""),LEN(W270)-LEN(SUBSTITUTE(W270,"、",""))+1))</f>
        <v/>
      </c>
      <c r="N270" s="85">
        <f>IF(OR(Y270="估算法",Y270="算法类",Y270="无法识别"),"",IF(X270="",IF(OR(J270="ILF",J270="EIF"),0,""),LEN(X270)-LEN(SUBSTITUTE(X270,"、",""))+1))</f>
        <v/>
      </c>
      <c r="O270" s="85">
        <f>IF(OR(Y270="估算法",Y270="算法类",Y270="无法识别"),"",IF(Y270="",IF(OR(J270="ILF",J270="EIF",J270="EI",J270="EO",J270="EQ"),0,""),LEN(Y270)-LEN(SUBSTITUTE(SUBSTITUTE(SUBSTITUTE(SUBSTITUTE(SUBSTITUTE(Y270,"|}","--"),"{|","--"),CHAR(10),""),"、",""),"|",""))+IF(AND(OR(J270="EI",J270="EO",J270="EQ"),$AE$1="NESMA"),2,1)))</f>
        <v/>
      </c>
      <c r="P270" s="86">
        <f>IF(J270="EI",IF(OR(Y270="估算法",Y270="算法类"),"中",IF(Y270="无法识别","低",IF(M270&lt;2,IF(O270&lt;16,"低","中"),IF(M270&lt;3,IF(O270&lt;5,"低",IF(O270&lt;16,"中","高")),IF(O270&lt;5,"中","高"))))),IF(OR(J270="EO",J270="EQ"),IF(OR(Y270="估算法",Y270="算法类"),"中",IF(Y270="无法识别","低",IF(M270&lt;2,IF(O270&lt;20,"低","中"),IF(M270&lt;4,IF(O270&lt;6,"低",IF(O270&lt;20,"中","高")),IF(O270&lt;6,"中","高"))))),IF(OR(J270="ILF",J270="EIF"),IF(OR(Y270="估算法",Y270="算法类",Y270="无法识别"),"低",IF(N270&lt;2,IF(O270&lt;51,"低","中"),IF(N270&lt;6,IF(O270&lt;20,"低",IF(O270&lt;51,"中","高")),IF(O270&lt;20,"中","高")))),"不计算")))</f>
        <v/>
      </c>
      <c r="Q270" s="172">
        <f>IFERROR(IF(J270="EI",IF(P270="低",3,IF(P270="中",4,6)),IF(J270="EO",IF(P270="低",4,IF(P270="中",5,7)),IF(J270="EQ",IF(P270="低",3,IF(P270="中",4,6)),IF(J270="ILF",IF(P270="低",7,IF(P270="中",10,15)),IF(J270="EIF",IF(P270="低",5,IF(P270="中",7,10)),"不计算")))))*R270,"不计算")</f>
        <v/>
      </c>
      <c r="R270" s="172" t="n">
        <v>0</v>
      </c>
      <c r="S270" s="173">
        <f>调整因子!$F$13</f>
        <v/>
      </c>
      <c r="T270" s="93" t="n">
        <v>1</v>
      </c>
      <c r="U270" s="174">
        <f>IFERROR(Q270*S270,0)</f>
        <v/>
      </c>
      <c r="V270" s="174">
        <f>U270*T270</f>
        <v/>
      </c>
      <c r="W270" s="91" t="n"/>
      <c r="X270" s="90" t="inlineStr">
        <is>
          <t>流程定义BPMN表</t>
        </is>
      </c>
      <c r="Y270" s="90" t="inlineStr">
        <is>
          <t>流程定义BPMN表{BPMNID、流程定义ID、BPMN内容}</t>
        </is>
      </c>
      <c r="Z270" s="90">
        <f>IF(COUNTIFS(W:W,"*"&amp;I270&amp;"*")&gt;0,"存在","不存在")</f>
        <v/>
      </c>
      <c r="AA270" s="90">
        <f>IF(COUNTIFS(AB:AB,"*"&amp;I270&amp;"*")&gt;0,"存在","不存在")</f>
        <v/>
      </c>
      <c r="AB270" s="103" t="inlineStr">
        <is>
          <t>扫描策略模板表、提醒策略配置表</t>
        </is>
      </c>
      <c r="AC270" s="66" t="n"/>
    </row>
    <row r="271" customFormat="1" s="66">
      <c r="A271" s="72">
        <f>ROW()-1</f>
        <v/>
      </c>
      <c r="B271" s="175" t="n"/>
      <c r="C271" s="80" t="n">
        <v>2025</v>
      </c>
      <c r="D271" s="80" t="inlineStr">
        <is>
          <t>张明峰</t>
        </is>
      </c>
      <c r="E271" s="81">
        <f>VLOOKUP(I271,'25年交付功能（不含废弃）'!A:A,1,FALSE)</f>
        <v/>
      </c>
      <c r="F271" s="175" t="n"/>
      <c r="G271" s="175" t="n"/>
      <c r="H271" s="175" t="n"/>
      <c r="I271" s="98" t="inlineStr">
        <is>
          <t>流程定义按钮表</t>
        </is>
      </c>
      <c r="J271" s="93" t="inlineStr">
        <is>
          <t>ILF</t>
        </is>
      </c>
      <c r="K271" s="110" t="inlineStr">
        <is>
          <t>删除</t>
        </is>
      </c>
      <c r="L271" s="84" t="inlineStr">
        <is>
          <t>数据库表未被本系统所维护</t>
        </is>
      </c>
      <c r="M271" s="85">
        <f>IF(OR(Y271="估算法",Y271="算法类",Y271="无法识别"),"",IF(W271="",IF(OR(J271="EI",J271="EO",J271="EQ"),0,""),LEN(W271)-LEN(SUBSTITUTE(W271,"、",""))+1))</f>
        <v/>
      </c>
      <c r="N271" s="85">
        <f>IF(OR(Y271="估算法",Y271="算法类",Y271="无法识别"),"",IF(X271="",IF(OR(J271="ILF",J271="EIF"),0,""),LEN(X271)-LEN(SUBSTITUTE(X271,"、",""))+1))</f>
        <v/>
      </c>
      <c r="O271" s="85">
        <f>IF(OR(Y271="估算法",Y271="算法类",Y271="无法识别"),"",IF(Y271="",IF(OR(J271="ILF",J271="EIF",J271="EI",J271="EO",J271="EQ"),0,""),LEN(Y271)-LEN(SUBSTITUTE(SUBSTITUTE(SUBSTITUTE(SUBSTITUTE(SUBSTITUTE(Y271,"|}","--"),"{|","--"),CHAR(10),""),"、",""),"|",""))+IF(AND(OR(J271="EI",J271="EO",J271="EQ"),$AE$1="NESMA"),2,1)))</f>
        <v/>
      </c>
      <c r="P271" s="86">
        <f>IF(J271="EI",IF(OR(Y271="估算法",Y271="算法类"),"中",IF(Y271="无法识别","低",IF(M271&lt;2,IF(O271&lt;16,"低","中"),IF(M271&lt;3,IF(O271&lt;5,"低",IF(O271&lt;16,"中","高")),IF(O271&lt;5,"中","高"))))),IF(OR(J271="EO",J271="EQ"),IF(OR(Y271="估算法",Y271="算法类"),"中",IF(Y271="无法识别","低",IF(M271&lt;2,IF(O271&lt;20,"低","中"),IF(M271&lt;4,IF(O271&lt;6,"低",IF(O271&lt;20,"中","高")),IF(O271&lt;6,"中","高"))))),IF(OR(J271="ILF",J271="EIF"),IF(OR(Y271="估算法",Y271="算法类",Y271="无法识别"),"低",IF(N271&lt;2,IF(O271&lt;51,"低","中"),IF(N271&lt;6,IF(O271&lt;20,"低",IF(O271&lt;51,"中","高")),IF(O271&lt;20,"中","高")))),"不计算")))</f>
        <v/>
      </c>
      <c r="Q271" s="172">
        <f>IFERROR(IF(J271="EI",IF(P271="低",3,IF(P271="中",4,6)),IF(J271="EO",IF(P271="低",4,IF(P271="中",5,7)),IF(J271="EQ",IF(P271="低",3,IF(P271="中",4,6)),IF(J271="ILF",IF(P271="低",7,IF(P271="中",10,15)),IF(J271="EIF",IF(P271="低",5,IF(P271="中",7,10)),"不计算")))))*R271,"不计算")</f>
        <v/>
      </c>
      <c r="R271" s="172" t="n">
        <v>0</v>
      </c>
      <c r="S271" s="173">
        <f>调整因子!$F$13</f>
        <v/>
      </c>
      <c r="T271" s="92" t="n">
        <v>1</v>
      </c>
      <c r="U271" s="174">
        <f>IFERROR(Q271*S271,0)</f>
        <v/>
      </c>
      <c r="V271" s="174">
        <f>U271*T271</f>
        <v/>
      </c>
      <c r="W271" s="91" t="n"/>
      <c r="X271" s="90" t="inlineStr">
        <is>
          <t>流程定义按钮表</t>
        </is>
      </c>
      <c r="Y271" s="90" t="inlineStr">
        <is>
          <t>流程定义按钮表{按钮ID、流程定义ID、按钮名称、按钮动作}</t>
        </is>
      </c>
      <c r="Z271" s="90">
        <f>IF(COUNTIFS(W:W,"*"&amp;I271&amp;"*")&gt;0,"存在","不存在")</f>
        <v/>
      </c>
      <c r="AA271" s="90">
        <f>IF(COUNTIFS(AB:AB,"*"&amp;I271&amp;"*")&gt;0,"存在","不存在")</f>
        <v/>
      </c>
      <c r="AB271" s="103" t="inlineStr">
        <is>
          <t>扫描策略模板表</t>
        </is>
      </c>
      <c r="AC271" s="66" t="n"/>
    </row>
    <row r="272" customFormat="1" s="66">
      <c r="A272" s="72">
        <f>ROW()-1</f>
        <v/>
      </c>
      <c r="B272" s="175" t="n"/>
      <c r="C272" s="80" t="n">
        <v>2025</v>
      </c>
      <c r="D272" s="80" t="inlineStr">
        <is>
          <t>张明峰</t>
        </is>
      </c>
      <c r="E272" s="81">
        <f>VLOOKUP(I272,'25年交付功能（不含废弃）'!A:A,1,FALSE)</f>
        <v/>
      </c>
      <c r="F272" s="175" t="n"/>
      <c r="G272" s="175" t="n"/>
      <c r="H272" s="175" t="n"/>
      <c r="I272" s="98" t="inlineStr">
        <is>
          <t>流程定义事件表</t>
        </is>
      </c>
      <c r="J272" s="93" t="inlineStr">
        <is>
          <t>ILF</t>
        </is>
      </c>
      <c r="K272" s="110" t="inlineStr">
        <is>
          <t>删除</t>
        </is>
      </c>
      <c r="L272" s="84" t="inlineStr">
        <is>
          <t>数据库表未被本系统所维护</t>
        </is>
      </c>
      <c r="M272" s="85">
        <f>IF(OR(Y272="估算法",Y272="算法类",Y272="无法识别"),"",IF(W272="",IF(OR(J272="EI",J272="EO",J272="EQ"),0,""),LEN(W272)-LEN(SUBSTITUTE(W272,"、",""))+1))</f>
        <v/>
      </c>
      <c r="N272" s="85">
        <f>IF(OR(Y272="估算法",Y272="算法类",Y272="无法识别"),"",IF(X272="",IF(OR(J272="ILF",J272="EIF"),0,""),LEN(X272)-LEN(SUBSTITUTE(X272,"、",""))+1))</f>
        <v/>
      </c>
      <c r="O272" s="85">
        <f>IF(OR(Y272="估算法",Y272="算法类",Y272="无法识别"),"",IF(Y272="",IF(OR(J272="ILF",J272="EIF",J272="EI",J272="EO",J272="EQ"),0,""),LEN(Y272)-LEN(SUBSTITUTE(SUBSTITUTE(SUBSTITUTE(SUBSTITUTE(SUBSTITUTE(Y272,"|}","--"),"{|","--"),CHAR(10),""),"、",""),"|",""))+IF(AND(OR(J272="EI",J272="EO",J272="EQ"),$AE$1="NESMA"),2,1)))</f>
        <v/>
      </c>
      <c r="P272" s="86">
        <f>IF(J272="EI",IF(OR(Y272="估算法",Y272="算法类"),"中",IF(Y272="无法识别","低",IF(M272&lt;2,IF(O272&lt;16,"低","中"),IF(M272&lt;3,IF(O272&lt;5,"低",IF(O272&lt;16,"中","高")),IF(O272&lt;5,"中","高"))))),IF(OR(J272="EO",J272="EQ"),IF(OR(Y272="估算法",Y272="算法类"),"中",IF(Y272="无法识别","低",IF(M272&lt;2,IF(O272&lt;20,"低","中"),IF(M272&lt;4,IF(O272&lt;6,"低",IF(O272&lt;20,"中","高")),IF(O272&lt;6,"中","高"))))),IF(OR(J272="ILF",J272="EIF"),IF(OR(Y272="估算法",Y272="算法类",Y272="无法识别"),"低",IF(N272&lt;2,IF(O272&lt;51,"低","中"),IF(N272&lt;6,IF(O272&lt;20,"低",IF(O272&lt;51,"中","高")),IF(O272&lt;20,"中","高")))),"不计算")))</f>
        <v/>
      </c>
      <c r="Q272" s="172">
        <f>IFERROR(IF(J272="EI",IF(P272="低",3,IF(P272="中",4,6)),IF(J272="EO",IF(P272="低",4,IF(P272="中",5,7)),IF(J272="EQ",IF(P272="低",3,IF(P272="中",4,6)),IF(J272="ILF",IF(P272="低",7,IF(P272="中",10,15)),IF(J272="EIF",IF(P272="低",5,IF(P272="中",7,10)),"不计算")))))*R272,"不计算")</f>
        <v/>
      </c>
      <c r="R272" s="172" t="n">
        <v>0</v>
      </c>
      <c r="S272" s="173">
        <f>调整因子!$F$13</f>
        <v/>
      </c>
      <c r="T272" s="92" t="n">
        <v>1</v>
      </c>
      <c r="U272" s="174">
        <f>IFERROR(Q272*S272,0)</f>
        <v/>
      </c>
      <c r="V272" s="174">
        <f>U272*T272</f>
        <v/>
      </c>
      <c r="W272" s="91" t="n"/>
      <c r="X272" s="90" t="inlineStr">
        <is>
          <t>流程定义事件表</t>
        </is>
      </c>
      <c r="Y272" s="90" t="inlineStr">
        <is>
          <t>流程定义事件表{事件ID、流程定义ID、事件名称、事件处理程序}</t>
        </is>
      </c>
      <c r="Z272" s="90">
        <f>IF(COUNTIFS(W:W,"*"&amp;I272&amp;"*")&gt;0,"存在","不存在")</f>
        <v/>
      </c>
      <c r="AA272" s="90">
        <f>IF(COUNTIFS(AB:AB,"*"&amp;I272&amp;"*")&gt;0,"存在","不存在")</f>
        <v/>
      </c>
      <c r="AB272" s="103" t="inlineStr">
        <is>
          <t>验证任务表</t>
        </is>
      </c>
      <c r="AC272" s="66" t="n"/>
    </row>
    <row r="273" customFormat="1" s="66">
      <c r="A273" s="72">
        <f>ROW()-1</f>
        <v/>
      </c>
      <c r="B273" s="175" t="n"/>
      <c r="C273" s="80" t="n">
        <v>2025</v>
      </c>
      <c r="D273" s="80" t="inlineStr">
        <is>
          <t>张明峰</t>
        </is>
      </c>
      <c r="E273" s="81">
        <f>VLOOKUP(I273,'25年交付功能（不含废弃）'!A:A,1,FALSE)</f>
        <v/>
      </c>
      <c r="F273" s="175" t="n"/>
      <c r="G273" s="175" t="n"/>
      <c r="H273" s="175" t="n"/>
      <c r="I273" s="98" t="inlineStr">
        <is>
          <t>流程定义表单初始化表</t>
        </is>
      </c>
      <c r="J273" s="93" t="inlineStr">
        <is>
          <t>ILF</t>
        </is>
      </c>
      <c r="K273" s="110" t="inlineStr">
        <is>
          <t>删除</t>
        </is>
      </c>
      <c r="L273" s="84" t="inlineStr">
        <is>
          <t>数据库表未被本系统所维护</t>
        </is>
      </c>
      <c r="M273" s="85">
        <f>IF(OR(Y273="估算法",Y273="算法类",Y273="无法识别"),"",IF(W273="",IF(OR(J273="EI",J273="EO",J273="EQ"),0,""),LEN(W273)-LEN(SUBSTITUTE(W273,"、",""))+1))</f>
        <v/>
      </c>
      <c r="N273" s="85">
        <f>IF(OR(Y273="估算法",Y273="算法类",Y273="无法识别"),"",IF(X273="",IF(OR(J273="ILF",J273="EIF"),0,""),LEN(X273)-LEN(SUBSTITUTE(X273,"、",""))+1))</f>
        <v/>
      </c>
      <c r="O273" s="85">
        <f>IF(OR(Y273="估算法",Y273="算法类",Y273="无法识别"),"",IF(Y273="",IF(OR(J273="ILF",J273="EIF",J273="EI",J273="EO",J273="EQ"),0,""),LEN(Y273)-LEN(SUBSTITUTE(SUBSTITUTE(SUBSTITUTE(SUBSTITUTE(SUBSTITUTE(Y273,"|}","--"),"{|","--"),CHAR(10),""),"、",""),"|",""))+IF(AND(OR(J273="EI",J273="EO",J273="EQ"),$AE$1="NESMA"),2,1)))</f>
        <v/>
      </c>
      <c r="P273" s="86">
        <f>IF(J273="EI",IF(OR(Y273="估算法",Y273="算法类"),"中",IF(Y273="无法识别","低",IF(M273&lt;2,IF(O273&lt;16,"低","中"),IF(M273&lt;3,IF(O273&lt;5,"低",IF(O273&lt;16,"中","高")),IF(O273&lt;5,"中","高"))))),IF(OR(J273="EO",J273="EQ"),IF(OR(Y273="估算法",Y273="算法类"),"中",IF(Y273="无法识别","低",IF(M273&lt;2,IF(O273&lt;20,"低","中"),IF(M273&lt;4,IF(O273&lt;6,"低",IF(O273&lt;20,"中","高")),IF(O273&lt;6,"中","高"))))),IF(OR(J273="ILF",J273="EIF"),IF(OR(Y273="估算法",Y273="算法类",Y273="无法识别"),"低",IF(N273&lt;2,IF(O273&lt;51,"低","中"),IF(N273&lt;6,IF(O273&lt;20,"低",IF(O273&lt;51,"中","高")),IF(O273&lt;20,"中","高")))),"不计算")))</f>
        <v/>
      </c>
      <c r="Q273" s="172">
        <f>IFERROR(IF(J273="EI",IF(P273="低",3,IF(P273="中",4,6)),IF(J273="EO",IF(P273="低",4,IF(P273="中",5,7)),IF(J273="EQ",IF(P273="低",3,IF(P273="中",4,6)),IF(J273="ILF",IF(P273="低",7,IF(P273="中",10,15)),IF(J273="EIF",IF(P273="低",5,IF(P273="中",7,10)),"不计算")))))*R273,"不计算")</f>
        <v/>
      </c>
      <c r="R273" s="172" t="n">
        <v>0</v>
      </c>
      <c r="S273" s="173">
        <f>调整因子!$F$13</f>
        <v/>
      </c>
      <c r="T273" s="93" t="n">
        <v>1</v>
      </c>
      <c r="U273" s="174">
        <f>IFERROR(Q273*S273,0)</f>
        <v/>
      </c>
      <c r="V273" s="174">
        <f>U273*T273</f>
        <v/>
      </c>
      <c r="W273" s="91" t="n"/>
      <c r="X273" s="90" t="inlineStr">
        <is>
          <t>流程定义表单初始化表</t>
        </is>
      </c>
      <c r="Y273" s="90" t="inlineStr">
        <is>
          <t>流程定义表单初始化表{初始化ID、流程定义ID、表单内容、创建时间}</t>
        </is>
      </c>
      <c r="Z273" s="90">
        <f>IF(COUNTIFS(W:W,"*"&amp;I273&amp;"*")&gt;0,"存在","不存在")</f>
        <v/>
      </c>
      <c r="AA273" s="90">
        <f>IF(COUNTIFS(AB:AB,"*"&amp;I273&amp;"*")&gt;0,"存在","不存在")</f>
        <v/>
      </c>
      <c r="AB273" s="103" t="inlineStr">
        <is>
          <t>数据清洗任务表、资产同步任务表</t>
        </is>
      </c>
      <c r="AC273" s="66" t="n"/>
    </row>
    <row r="274" customFormat="1" s="66">
      <c r="A274" s="72">
        <f>ROW()-1</f>
        <v/>
      </c>
      <c r="B274" s="175" t="n"/>
      <c r="C274" s="80" t="n">
        <v>2025</v>
      </c>
      <c r="D274" s="80" t="inlineStr">
        <is>
          <t>张明峰</t>
        </is>
      </c>
      <c r="E274" s="81">
        <f>VLOOKUP(I274,'25年交付功能（不含废弃）'!A:A,1,FALSE)</f>
        <v/>
      </c>
      <c r="F274" s="175" t="n"/>
      <c r="G274" s="175" t="n"/>
      <c r="H274" s="175" t="n"/>
      <c r="I274" s="98" t="inlineStr">
        <is>
          <t>流程定义表单角色表</t>
        </is>
      </c>
      <c r="J274" s="93" t="inlineStr">
        <is>
          <t>ILF</t>
        </is>
      </c>
      <c r="K274" s="110" t="inlineStr">
        <is>
          <t>删除</t>
        </is>
      </c>
      <c r="L274" s="84" t="inlineStr">
        <is>
          <t>数据库表未被本系统所维护</t>
        </is>
      </c>
      <c r="M274" s="85">
        <f>IF(OR(Y274="估算法",Y274="算法类",Y274="无法识别"),"",IF(W274="",IF(OR(J274="EI",J274="EO",J274="EQ"),0,""),LEN(W274)-LEN(SUBSTITUTE(W274,"、",""))+1))</f>
        <v/>
      </c>
      <c r="N274" s="85">
        <f>IF(OR(Y274="估算法",Y274="算法类",Y274="无法识别"),"",IF(X274="",IF(OR(J274="ILF",J274="EIF"),0,""),LEN(X274)-LEN(SUBSTITUTE(X274,"、",""))+1))</f>
        <v/>
      </c>
      <c r="O274" s="85">
        <f>IF(OR(Y274="估算法",Y274="算法类",Y274="无法识别"),"",IF(Y274="",IF(OR(J274="ILF",J274="EIF",J274="EI",J274="EO",J274="EQ"),0,""),LEN(Y274)-LEN(SUBSTITUTE(SUBSTITUTE(SUBSTITUTE(SUBSTITUTE(SUBSTITUTE(Y274,"|}","--"),"{|","--"),CHAR(10),""),"、",""),"|",""))+IF(AND(OR(J274="EI",J274="EO",J274="EQ"),$AE$1="NESMA"),2,1)))</f>
        <v/>
      </c>
      <c r="P274" s="86">
        <f>IF(J274="EI",IF(OR(Y274="估算法",Y274="算法类"),"中",IF(Y274="无法识别","低",IF(M274&lt;2,IF(O274&lt;16,"低","中"),IF(M274&lt;3,IF(O274&lt;5,"低",IF(O274&lt;16,"中","高")),IF(O274&lt;5,"中","高"))))),IF(OR(J274="EO",J274="EQ"),IF(OR(Y274="估算法",Y274="算法类"),"中",IF(Y274="无法识别","低",IF(M274&lt;2,IF(O274&lt;20,"低","中"),IF(M274&lt;4,IF(O274&lt;6,"低",IF(O274&lt;20,"中","高")),IF(O274&lt;6,"中","高"))))),IF(OR(J274="ILF",J274="EIF"),IF(OR(Y274="估算法",Y274="算法类",Y274="无法识别"),"低",IF(N274&lt;2,IF(O274&lt;51,"低","中"),IF(N274&lt;6,IF(O274&lt;20,"低",IF(O274&lt;51,"中","高")),IF(O274&lt;20,"中","高")))),"不计算")))</f>
        <v/>
      </c>
      <c r="Q274" s="172">
        <f>IFERROR(IF(J274="EI",IF(P274="低",3,IF(P274="中",4,6)),IF(J274="EO",IF(P274="低",4,IF(P274="中",5,7)),IF(J274="EQ",IF(P274="低",3,IF(P274="中",4,6)),IF(J274="ILF",IF(P274="低",7,IF(P274="中",10,15)),IF(J274="EIF",IF(P274="低",5,IF(P274="中",7,10)),"不计算")))))*R274,"不计算")</f>
        <v/>
      </c>
      <c r="R274" s="172" t="n">
        <v>0</v>
      </c>
      <c r="S274" s="173">
        <f>调整因子!$F$13</f>
        <v/>
      </c>
      <c r="T274" s="92" t="n">
        <v>1</v>
      </c>
      <c r="U274" s="174">
        <f>IFERROR(Q274*S274,0)</f>
        <v/>
      </c>
      <c r="V274" s="174">
        <f>U274*T274</f>
        <v/>
      </c>
      <c r="W274" s="91" t="n"/>
      <c r="X274" s="90" t="inlineStr">
        <is>
          <t>流程定义表单角色表</t>
        </is>
      </c>
      <c r="Y274" s="90" t="inlineStr">
        <is>
          <t>流程定义表单角色表{角色ID、流程定义ID、角色名称、权限}</t>
        </is>
      </c>
      <c r="Z274" s="90">
        <f>IF(COUNTIFS(W:W,"*"&amp;I274&amp;"*")&gt;0,"存在","不存在")</f>
        <v/>
      </c>
      <c r="AA274" s="90">
        <f>IF(COUNTIFS(AB:AB,"*"&amp;I274&amp;"*")&gt;0,"存在","不存在")</f>
        <v/>
      </c>
      <c r="AB274" s="103" t="inlineStr">
        <is>
          <t>数据清洗任务表、资产同步任务表</t>
        </is>
      </c>
      <c r="AC274" s="66" t="n"/>
    </row>
    <row r="275" customFormat="1" s="66">
      <c r="A275" s="72">
        <f>ROW()-1</f>
        <v/>
      </c>
      <c r="B275" s="175" t="n"/>
      <c r="C275" s="80" t="n">
        <v>2025</v>
      </c>
      <c r="D275" s="80" t="inlineStr">
        <is>
          <t>张明峰</t>
        </is>
      </c>
      <c r="E275" s="81">
        <f>VLOOKUP(I275,'25年交付功能（不含废弃）'!A:A,1,FALSE)</f>
        <v/>
      </c>
      <c r="F275" s="175" t="n"/>
      <c r="G275" s="175" t="n"/>
      <c r="H275" s="175" t="n"/>
      <c r="I275" s="98" t="inlineStr">
        <is>
          <t>流程定义通知表</t>
        </is>
      </c>
      <c r="J275" s="93" t="inlineStr">
        <is>
          <t>ILF</t>
        </is>
      </c>
      <c r="K275" s="110" t="inlineStr">
        <is>
          <t>删除</t>
        </is>
      </c>
      <c r="L275" s="84" t="inlineStr">
        <is>
          <t>数据库表未被本系统所维护</t>
        </is>
      </c>
      <c r="M275" s="85">
        <f>IF(OR(Y275="估算法",Y275="算法类",Y275="无法识别"),"",IF(W275="",IF(OR(J275="EI",J275="EO",J275="EQ"),0,""),LEN(W275)-LEN(SUBSTITUTE(W275,"、",""))+1))</f>
        <v/>
      </c>
      <c r="N275" s="85">
        <f>IF(OR(Y275="估算法",Y275="算法类",Y275="无法识别"),"",IF(X275="",IF(OR(J275="ILF",J275="EIF"),0,""),LEN(X275)-LEN(SUBSTITUTE(X275,"、",""))+1))</f>
        <v/>
      </c>
      <c r="O275" s="85">
        <f>IF(OR(Y275="估算法",Y275="算法类",Y275="无法识别"),"",IF(Y275="",IF(OR(J275="ILF",J275="EIF",J275="EI",J275="EO",J275="EQ"),0,""),LEN(Y275)-LEN(SUBSTITUTE(SUBSTITUTE(SUBSTITUTE(SUBSTITUTE(SUBSTITUTE(Y275,"|}","--"),"{|","--"),CHAR(10),""),"、",""),"|",""))+IF(AND(OR(J275="EI",J275="EO",J275="EQ"),$AE$1="NESMA"),2,1)))</f>
        <v/>
      </c>
      <c r="P275" s="86">
        <f>IF(J275="EI",IF(OR(Y275="估算法",Y275="算法类"),"中",IF(Y275="无法识别","低",IF(M275&lt;2,IF(O275&lt;16,"低","中"),IF(M275&lt;3,IF(O275&lt;5,"低",IF(O275&lt;16,"中","高")),IF(O275&lt;5,"中","高"))))),IF(OR(J275="EO",J275="EQ"),IF(OR(Y275="估算法",Y275="算法类"),"中",IF(Y275="无法识别","低",IF(M275&lt;2,IF(O275&lt;20,"低","中"),IF(M275&lt;4,IF(O275&lt;6,"低",IF(O275&lt;20,"中","高")),IF(O275&lt;6,"中","高"))))),IF(OR(J275="ILF",J275="EIF"),IF(OR(Y275="估算法",Y275="算法类",Y275="无法识别"),"低",IF(N275&lt;2,IF(O275&lt;51,"低","中"),IF(N275&lt;6,IF(O275&lt;20,"低",IF(O275&lt;51,"中","高")),IF(O275&lt;20,"中","高")))),"不计算")))</f>
        <v/>
      </c>
      <c r="Q275" s="172">
        <f>IFERROR(IF(J275="EI",IF(P275="低",3,IF(P275="中",4,6)),IF(J275="EO",IF(P275="低",4,IF(P275="中",5,7)),IF(J275="EQ",IF(P275="低",3,IF(P275="中",4,6)),IF(J275="ILF",IF(P275="低",7,IF(P275="中",10,15)),IF(J275="EIF",IF(P275="低",5,IF(P275="中",7,10)),"不计算")))))*R275,"不计算")</f>
        <v/>
      </c>
      <c r="R275" s="172" t="n">
        <v>0</v>
      </c>
      <c r="S275" s="173">
        <f>调整因子!$F$13</f>
        <v/>
      </c>
      <c r="T275" s="92" t="n">
        <v>1</v>
      </c>
      <c r="U275" s="174">
        <f>IFERROR(Q275*S275,0)</f>
        <v/>
      </c>
      <c r="V275" s="174">
        <f>U275*T275</f>
        <v/>
      </c>
      <c r="W275" s="91" t="n"/>
      <c r="X275" s="90" t="inlineStr">
        <is>
          <t>流程定义通知表</t>
        </is>
      </c>
      <c r="Y275" s="90" t="inlineStr">
        <is>
          <t>流程定义通知表{通知ID、流程定义ID、通知内容、发送时间}</t>
        </is>
      </c>
      <c r="Z275" s="90">
        <f>IF(COUNTIFS(W:W,"*"&amp;I275&amp;"*")&gt;0,"存在","不存在")</f>
        <v/>
      </c>
      <c r="AA275" s="90">
        <f>IF(COUNTIFS(AB:AB,"*"&amp;I275&amp;"*")&gt;0,"存在","不存在")</f>
        <v/>
      </c>
      <c r="AB275" s="103" t="inlineStr">
        <is>
          <t>数据清洗任务表</t>
        </is>
      </c>
      <c r="AC275" s="66" t="n"/>
    </row>
    <row r="276" customFormat="1" s="66">
      <c r="A276" s="72">
        <f>ROW()-1</f>
        <v/>
      </c>
      <c r="B276" s="175" t="n"/>
      <c r="C276" s="80" t="n">
        <v>2025</v>
      </c>
      <c r="D276" s="80" t="inlineStr">
        <is>
          <t>张明峰</t>
        </is>
      </c>
      <c r="E276" s="81">
        <f>VLOOKUP(I276,'25年交付功能（不含废弃）'!A:A,1,FALSE)</f>
        <v/>
      </c>
      <c r="F276" s="175" t="n"/>
      <c r="G276" s="175" t="n"/>
      <c r="H276" s="175" t="n"/>
      <c r="I276" s="98" t="inlineStr">
        <is>
          <t>流程定义提醒表</t>
        </is>
      </c>
      <c r="J276" s="93" t="inlineStr">
        <is>
          <t>ILF</t>
        </is>
      </c>
      <c r="K276" s="110" t="inlineStr">
        <is>
          <t>删除</t>
        </is>
      </c>
      <c r="L276" s="84" t="inlineStr">
        <is>
          <t>数据库表未被本系统所维护</t>
        </is>
      </c>
      <c r="M276" s="85">
        <f>IF(OR(Y276="估算法",Y276="算法类",Y276="无法识别"),"",IF(W276="",IF(OR(J276="EI",J276="EO",J276="EQ"),0,""),LEN(W276)-LEN(SUBSTITUTE(W276,"、",""))+1))</f>
        <v/>
      </c>
      <c r="N276" s="85">
        <f>IF(OR(Y276="估算法",Y276="算法类",Y276="无法识别"),"",IF(X276="",IF(OR(J276="ILF",J276="EIF"),0,""),LEN(X276)-LEN(SUBSTITUTE(X276,"、",""))+1))</f>
        <v/>
      </c>
      <c r="O276" s="85">
        <f>IF(OR(Y276="估算法",Y276="算法类",Y276="无法识别"),"",IF(Y276="",IF(OR(J276="ILF",J276="EIF",J276="EI",J276="EO",J276="EQ"),0,""),LEN(Y276)-LEN(SUBSTITUTE(SUBSTITUTE(SUBSTITUTE(SUBSTITUTE(SUBSTITUTE(Y276,"|}","--"),"{|","--"),CHAR(10),""),"、",""),"|",""))+IF(AND(OR(J276="EI",J276="EO",J276="EQ"),$AE$1="NESMA"),2,1)))</f>
        <v/>
      </c>
      <c r="P276" s="86">
        <f>IF(J276="EI",IF(OR(Y276="估算法",Y276="算法类"),"中",IF(Y276="无法识别","低",IF(M276&lt;2,IF(O276&lt;16,"低","中"),IF(M276&lt;3,IF(O276&lt;5,"低",IF(O276&lt;16,"中","高")),IF(O276&lt;5,"中","高"))))),IF(OR(J276="EO",J276="EQ"),IF(OR(Y276="估算法",Y276="算法类"),"中",IF(Y276="无法识别","低",IF(M276&lt;2,IF(O276&lt;20,"低","中"),IF(M276&lt;4,IF(O276&lt;6,"低",IF(O276&lt;20,"中","高")),IF(O276&lt;6,"中","高"))))),IF(OR(J276="ILF",J276="EIF"),IF(OR(Y276="估算法",Y276="算法类",Y276="无法识别"),"低",IF(N276&lt;2,IF(O276&lt;51,"低","中"),IF(N276&lt;6,IF(O276&lt;20,"低",IF(O276&lt;51,"中","高")),IF(O276&lt;20,"中","高")))),"不计算")))</f>
        <v/>
      </c>
      <c r="Q276" s="172">
        <f>IFERROR(IF(J276="EI",IF(P276="低",3,IF(P276="中",4,6)),IF(J276="EO",IF(P276="低",4,IF(P276="中",5,7)),IF(J276="EQ",IF(P276="低",3,IF(P276="中",4,6)),IF(J276="ILF",IF(P276="低",7,IF(P276="中",10,15)),IF(J276="EIF",IF(P276="低",5,IF(P276="中",7,10)),"不计算")))))*R276,"不计算")</f>
        <v/>
      </c>
      <c r="R276" s="172" t="n">
        <v>0</v>
      </c>
      <c r="S276" s="173">
        <f>调整因子!$F$13</f>
        <v/>
      </c>
      <c r="T276" s="93" t="n">
        <v>1</v>
      </c>
      <c r="U276" s="174">
        <f>IFERROR(Q276*S276,0)</f>
        <v/>
      </c>
      <c r="V276" s="174">
        <f>U276*T276</f>
        <v/>
      </c>
      <c r="W276" s="91" t="n"/>
      <c r="X276" s="90" t="inlineStr">
        <is>
          <t>流程定义提醒表</t>
        </is>
      </c>
      <c r="Y276" s="90" t="inlineStr">
        <is>
          <t>流程定义提醒表{提醒ID、流程定义ID、提醒内容、提醒时间}</t>
        </is>
      </c>
      <c r="Z276" s="90">
        <f>IF(COUNTIFS(W:W,"*"&amp;I276&amp;"*")&gt;0,"存在","不存在")</f>
        <v/>
      </c>
      <c r="AA276" s="90">
        <f>IF(COUNTIFS(AB:AB,"*"&amp;I276&amp;"*")&gt;0,"存在","不存在")</f>
        <v/>
      </c>
      <c r="AB276" s="103" t="inlineStr">
        <is>
          <t>扫描策略模板表、提醒策略配置表</t>
        </is>
      </c>
      <c r="AC276" s="66" t="n"/>
    </row>
    <row r="277" customFormat="1" s="66">
      <c r="A277" s="72">
        <f>ROW()-1</f>
        <v/>
      </c>
      <c r="B277" s="175" t="n"/>
      <c r="C277" s="80" t="n">
        <v>2025</v>
      </c>
      <c r="D277" s="80" t="inlineStr">
        <is>
          <t>张明峰</t>
        </is>
      </c>
      <c r="E277" s="81">
        <f>VLOOKUP(I277,'25年交付功能（不含废弃）'!A:A,1,FALSE)</f>
        <v/>
      </c>
      <c r="F277" s="175" t="n"/>
      <c r="G277" s="175" t="n"/>
      <c r="H277" s="175" t="n"/>
      <c r="I277" s="98" t="inlineStr">
        <is>
          <t>流程定义变量表</t>
        </is>
      </c>
      <c r="J277" s="93" t="inlineStr">
        <is>
          <t>ILF</t>
        </is>
      </c>
      <c r="K277" s="110" t="inlineStr">
        <is>
          <t>删除</t>
        </is>
      </c>
      <c r="L277" s="84" t="inlineStr">
        <is>
          <t>数据库表未被本系统所维护</t>
        </is>
      </c>
      <c r="M277" s="85">
        <f>IF(OR(Y277="估算法",Y277="算法类",Y277="无法识别"),"",IF(W277="",IF(OR(J277="EI",J277="EO",J277="EQ"),0,""),LEN(W277)-LEN(SUBSTITUTE(W277,"、",""))+1))</f>
        <v/>
      </c>
      <c r="N277" s="85">
        <f>IF(OR(Y277="估算法",Y277="算法类",Y277="无法识别"),"",IF(X277="",IF(OR(J277="ILF",J277="EIF"),0,""),LEN(X277)-LEN(SUBSTITUTE(X277,"、",""))+1))</f>
        <v/>
      </c>
      <c r="O277" s="85">
        <f>IF(OR(Y277="估算法",Y277="算法类",Y277="无法识别"),"",IF(Y277="",IF(OR(J277="ILF",J277="EIF",J277="EI",J277="EO",J277="EQ"),0,""),LEN(Y277)-LEN(SUBSTITUTE(SUBSTITUTE(SUBSTITUTE(SUBSTITUTE(SUBSTITUTE(Y277,"|}","--"),"{|","--"),CHAR(10),""),"、",""),"|",""))+IF(AND(OR(J277="EI",J277="EO",J277="EQ"),$AE$1="NESMA"),2,1)))</f>
        <v/>
      </c>
      <c r="P277" s="86">
        <f>IF(J277="EI",IF(OR(Y277="估算法",Y277="算法类"),"中",IF(Y277="无法识别","低",IF(M277&lt;2,IF(O277&lt;16,"低","中"),IF(M277&lt;3,IF(O277&lt;5,"低",IF(O277&lt;16,"中","高")),IF(O277&lt;5,"中","高"))))),IF(OR(J277="EO",J277="EQ"),IF(OR(Y277="估算法",Y277="算法类"),"中",IF(Y277="无法识别","低",IF(M277&lt;2,IF(O277&lt;20,"低","中"),IF(M277&lt;4,IF(O277&lt;6,"低",IF(O277&lt;20,"中","高")),IF(O277&lt;6,"中","高"))))),IF(OR(J277="ILF",J277="EIF"),IF(OR(Y277="估算法",Y277="算法类",Y277="无法识别"),"低",IF(N277&lt;2,IF(O277&lt;51,"低","中"),IF(N277&lt;6,IF(O277&lt;20,"低",IF(O277&lt;51,"中","高")),IF(O277&lt;20,"中","高")))),"不计算")))</f>
        <v/>
      </c>
      <c r="Q277" s="172">
        <f>IFERROR(IF(J277="EI",IF(P277="低",3,IF(P277="中",4,6)),IF(J277="EO",IF(P277="低",4,IF(P277="中",5,7)),IF(J277="EQ",IF(P277="低",3,IF(P277="中",4,6)),IF(J277="ILF",IF(P277="低",7,IF(P277="中",10,15)),IF(J277="EIF",IF(P277="低",5,IF(P277="中",7,10)),"不计算")))))*R277,"不计算")</f>
        <v/>
      </c>
      <c r="R277" s="172" t="n">
        <v>0</v>
      </c>
      <c r="S277" s="173">
        <f>调整因子!$F$13</f>
        <v/>
      </c>
      <c r="T277" s="92" t="n">
        <v>1</v>
      </c>
      <c r="U277" s="174">
        <f>IFERROR(Q277*S277,0)</f>
        <v/>
      </c>
      <c r="V277" s="174">
        <f>U277*T277</f>
        <v/>
      </c>
      <c r="W277" s="91" t="n"/>
      <c r="X277" s="90" t="inlineStr">
        <is>
          <t>流程定义变量表</t>
        </is>
      </c>
      <c r="Y277" s="90" t="inlineStr">
        <is>
          <t>流程定义变量表{变量ID、流程定义ID、变量名称、值}</t>
        </is>
      </c>
      <c r="Z277" s="90">
        <f>IF(COUNTIFS(W:W,"*"&amp;I277&amp;"*")&gt;0,"存在","不存在")</f>
        <v/>
      </c>
      <c r="AA277" s="90">
        <f>IF(COUNTIFS(AB:AB,"*"&amp;I277&amp;"*")&gt;0,"存在","不存在")</f>
        <v/>
      </c>
      <c r="AB277" s="103" t="inlineStr">
        <is>
          <t>扫描策略模板表</t>
        </is>
      </c>
      <c r="AC277" s="66" t="n"/>
    </row>
    <row r="278" customFormat="1" s="66">
      <c r="A278" s="72">
        <f>ROW()-1</f>
        <v/>
      </c>
      <c r="B278" s="175" t="n"/>
      <c r="C278" s="80" t="n">
        <v>2025</v>
      </c>
      <c r="D278" s="80" t="inlineStr">
        <is>
          <t>张明峰</t>
        </is>
      </c>
      <c r="E278" s="81">
        <f>VLOOKUP(I278,'25年交付功能（不含废弃）'!A:A,1,FALSE)</f>
        <v/>
      </c>
      <c r="F278" s="175" t="n"/>
      <c r="G278" s="175" t="n"/>
      <c r="H278" s="175" t="n"/>
      <c r="I278" s="98" t="inlineStr">
        <is>
          <t>流程草稿表</t>
        </is>
      </c>
      <c r="J278" s="93" t="inlineStr">
        <is>
          <t>ILF</t>
        </is>
      </c>
      <c r="K278" s="110" t="inlineStr">
        <is>
          <t>删除</t>
        </is>
      </c>
      <c r="L278" s="84" t="inlineStr">
        <is>
          <t>数据库表未被本系统所维护</t>
        </is>
      </c>
      <c r="M278" s="85">
        <f>IF(OR(Y278="估算法",Y278="算法类",Y278="无法识别"),"",IF(W278="",IF(OR(J278="EI",J278="EO",J278="EQ"),0,""),LEN(W278)-LEN(SUBSTITUTE(W278,"、",""))+1))</f>
        <v/>
      </c>
      <c r="N278" s="85">
        <f>IF(OR(Y278="估算法",Y278="算法类",Y278="无法识别"),"",IF(X278="",IF(OR(J278="ILF",J278="EIF"),0,""),LEN(X278)-LEN(SUBSTITUTE(X278,"、",""))+1))</f>
        <v/>
      </c>
      <c r="O278" s="85">
        <f>IF(OR(Y278="估算法",Y278="算法类",Y278="无法识别"),"",IF(Y278="",IF(OR(J278="ILF",J278="EIF",J278="EI",J278="EO",J278="EQ"),0,""),LEN(Y278)-LEN(SUBSTITUTE(SUBSTITUTE(SUBSTITUTE(SUBSTITUTE(SUBSTITUTE(Y278,"|}","--"),"{|","--"),CHAR(10),""),"、",""),"|",""))+IF(AND(OR(J278="EI",J278="EO",J278="EQ"),$AE$1="NESMA"),2,1)))</f>
        <v/>
      </c>
      <c r="P278" s="86">
        <f>IF(J278="EI",IF(OR(Y278="估算法",Y278="算法类"),"中",IF(Y278="无法识别","低",IF(M278&lt;2,IF(O278&lt;16,"低","中"),IF(M278&lt;3,IF(O278&lt;5,"低",IF(O278&lt;16,"中","高")),IF(O278&lt;5,"中","高"))))),IF(OR(J278="EO",J278="EQ"),IF(OR(Y278="估算法",Y278="算法类"),"中",IF(Y278="无法识别","低",IF(M278&lt;2,IF(O278&lt;20,"低","中"),IF(M278&lt;4,IF(O278&lt;6,"低",IF(O278&lt;20,"中","高")),IF(O278&lt;6,"中","高"))))),IF(OR(J278="ILF",J278="EIF"),IF(OR(Y278="估算法",Y278="算法类",Y278="无法识别"),"低",IF(N278&lt;2,IF(O278&lt;51,"低","中"),IF(N278&lt;6,IF(O278&lt;20,"低",IF(O278&lt;51,"中","高")),IF(O278&lt;20,"中","高")))),"不计算")))</f>
        <v/>
      </c>
      <c r="Q278" s="172">
        <f>IFERROR(IF(J278="EI",IF(P278="低",3,IF(P278="中",4,6)),IF(J278="EO",IF(P278="低",4,IF(P278="中",5,7)),IF(J278="EQ",IF(P278="低",3,IF(P278="中",4,6)),IF(J278="ILF",IF(P278="低",7,IF(P278="中",10,15)),IF(J278="EIF",IF(P278="低",5,IF(P278="中",7,10)),"不计算")))))*R278,"不计算")</f>
        <v/>
      </c>
      <c r="R278" s="172" t="n">
        <v>0</v>
      </c>
      <c r="S278" s="173">
        <f>调整因子!$F$13</f>
        <v/>
      </c>
      <c r="T278" s="92" t="n">
        <v>1</v>
      </c>
      <c r="U278" s="174">
        <f>IFERROR(Q278*S278,0)</f>
        <v/>
      </c>
      <c r="V278" s="174">
        <f>U278*T278</f>
        <v/>
      </c>
      <c r="W278" s="91" t="n"/>
      <c r="X278" s="90" t="inlineStr">
        <is>
          <t>流程草稿表</t>
        </is>
      </c>
      <c r="Y278" s="90" t="inlineStr">
        <is>
          <t>流程草稿表{草稿ID、流程定义ID、草稿内容、创建时间}</t>
        </is>
      </c>
      <c r="Z278" s="90">
        <f>IF(COUNTIFS(W:W,"*"&amp;I278&amp;"*")&gt;0,"存在","不存在")</f>
        <v/>
      </c>
      <c r="AA278" s="90">
        <f>IF(COUNTIFS(AB:AB,"*"&amp;I278&amp;"*")&gt;0,"存在","不存在")</f>
        <v/>
      </c>
      <c r="AB278" s="103" t="inlineStr">
        <is>
          <t>扫描策略模板表</t>
        </is>
      </c>
      <c r="AC278" s="66" t="n"/>
    </row>
    <row r="279" s="112">
      <c r="A279" s="72">
        <f>ROW()-1</f>
        <v/>
      </c>
      <c r="B279" s="175" t="n"/>
      <c r="C279" s="80" t="n">
        <v>2025</v>
      </c>
      <c r="D279" s="80" t="inlineStr">
        <is>
          <t>张明峰</t>
        </is>
      </c>
      <c r="E279" s="81">
        <f>VLOOKUP(I279,'25年交付功能（不含废弃）'!A:A,1,FALSE)</f>
        <v/>
      </c>
      <c r="F279" s="175" t="n"/>
      <c r="G279" s="175" t="n"/>
      <c r="H279" s="175" t="n"/>
      <c r="I279" s="98" t="inlineStr">
        <is>
          <t>流程脚本表</t>
        </is>
      </c>
      <c r="J279" s="93" t="inlineStr">
        <is>
          <t>ILF</t>
        </is>
      </c>
      <c r="K279" s="110" t="inlineStr">
        <is>
          <t>删除</t>
        </is>
      </c>
      <c r="L279" s="84" t="inlineStr">
        <is>
          <t>数据库表未被本系统所维护</t>
        </is>
      </c>
      <c r="M279" s="85">
        <f>IF(OR(Y279="估算法",Y279="算法类",Y279="无法识别"),"",IF(W279="",IF(OR(J279="EI",J279="EO",J279="EQ"),0,""),LEN(W279)-LEN(SUBSTITUTE(W279,"、",""))+1))</f>
        <v/>
      </c>
      <c r="N279" s="85">
        <f>IF(OR(Y279="估算法",Y279="算法类",Y279="无法识别"),"",IF(X279="",IF(OR(J279="ILF",J279="EIF"),0,""),LEN(X279)-LEN(SUBSTITUTE(X279,"、",""))+1))</f>
        <v/>
      </c>
      <c r="O279" s="85">
        <f>IF(OR(Y279="估算法",Y279="算法类",Y279="无法识别"),"",IF(Y279="",IF(OR(J279="ILF",J279="EIF",J279="EI",J279="EO",J279="EQ"),0,""),LEN(Y279)-LEN(SUBSTITUTE(SUBSTITUTE(SUBSTITUTE(SUBSTITUTE(SUBSTITUTE(Y279,"|}","--"),"{|","--"),CHAR(10),""),"、",""),"|",""))+IF(AND(OR(J279="EI",J279="EO",J279="EQ"),$AE$1="NESMA"),2,1)))</f>
        <v/>
      </c>
      <c r="P279" s="86">
        <f>IF(J279="EI",IF(OR(Y279="估算法",Y279="算法类"),"中",IF(Y279="无法识别","低",IF(M279&lt;2,IF(O279&lt;16,"低","中"),IF(M279&lt;3,IF(O279&lt;5,"低",IF(O279&lt;16,"中","高")),IF(O279&lt;5,"中","高"))))),IF(OR(J279="EO",J279="EQ"),IF(OR(Y279="估算法",Y279="算法类"),"中",IF(Y279="无法识别","低",IF(M279&lt;2,IF(O279&lt;20,"低","中"),IF(M279&lt;4,IF(O279&lt;6,"低",IF(O279&lt;20,"中","高")),IF(O279&lt;6,"中","高"))))),IF(OR(J279="ILF",J279="EIF"),IF(OR(Y279="估算法",Y279="算法类",Y279="无法识别"),"低",IF(N279&lt;2,IF(O279&lt;51,"低","中"),IF(N279&lt;6,IF(O279&lt;20,"低",IF(O279&lt;51,"中","高")),IF(O279&lt;20,"中","高")))),"不计算")))</f>
        <v/>
      </c>
      <c r="Q279" s="172">
        <f>IFERROR(IF(J279="EI",IF(P279="低",3,IF(P279="中",4,6)),IF(J279="EO",IF(P279="低",4,IF(P279="中",5,7)),IF(J279="EQ",IF(P279="低",3,IF(P279="中",4,6)),IF(J279="ILF",IF(P279="低",7,IF(P279="中",10,15)),IF(J279="EIF",IF(P279="低",5,IF(P279="中",7,10)),"不计算")))))*R279,"不计算")</f>
        <v/>
      </c>
      <c r="R279" s="172" t="n">
        <v>0</v>
      </c>
      <c r="S279" s="173">
        <f>调整因子!$F$13</f>
        <v/>
      </c>
      <c r="T279" s="93" t="n">
        <v>1</v>
      </c>
      <c r="U279" s="174">
        <f>IFERROR(Q279*S279,0)</f>
        <v/>
      </c>
      <c r="V279" s="174">
        <f>U279*T279</f>
        <v/>
      </c>
      <c r="W279" s="91" t="n"/>
      <c r="X279" s="90" t="inlineStr">
        <is>
          <t>流程脚本表</t>
        </is>
      </c>
      <c r="Y279" s="90" t="inlineStr">
        <is>
          <t>流程脚本表{脚本ID、流程定义ID、脚本内容、创建时间}</t>
        </is>
      </c>
      <c r="Z279" s="90">
        <f>IF(COUNTIFS(W:W,"*"&amp;I279&amp;"*")&gt;0,"存在","不存在")</f>
        <v/>
      </c>
      <c r="AA279" s="90">
        <f>IF(COUNTIFS(AB:AB,"*"&amp;I279&amp;"*")&gt;0,"存在","不存在")</f>
        <v/>
      </c>
      <c r="AB279" s="103" t="inlineStr">
        <is>
          <t>任务日志表</t>
        </is>
      </c>
    </row>
    <row r="280" s="112">
      <c r="A280" s="72">
        <f>ROW()-1</f>
        <v/>
      </c>
      <c r="B280" s="175" t="n"/>
      <c r="C280" s="80" t="n">
        <v>2025</v>
      </c>
      <c r="D280" s="80" t="inlineStr">
        <is>
          <t>张明峰</t>
        </is>
      </c>
      <c r="E280" s="81">
        <f>VLOOKUP(I280,'25年交付功能（不含废弃）'!A:A,1,FALSE)</f>
        <v/>
      </c>
      <c r="F280" s="175" t="n"/>
      <c r="G280" s="175" t="n"/>
      <c r="H280" s="175" t="n"/>
      <c r="I280" s="98" t="inlineStr">
        <is>
          <t>流程超时记录表</t>
        </is>
      </c>
      <c r="J280" s="93" t="inlineStr">
        <is>
          <t>ILF</t>
        </is>
      </c>
      <c r="K280" s="110" t="inlineStr">
        <is>
          <t>删除</t>
        </is>
      </c>
      <c r="L280" s="84" t="inlineStr">
        <is>
          <t>数据库表未被本系统所维护</t>
        </is>
      </c>
      <c r="M280" s="85">
        <f>IF(OR(Y280="估算法",Y280="算法类",Y280="无法识别"),"",IF(W280="",IF(OR(J280="EI",J280="EO",J280="EQ"),0,""),LEN(W280)-LEN(SUBSTITUTE(W280,"、",""))+1))</f>
        <v/>
      </c>
      <c r="N280" s="85">
        <f>IF(OR(Y280="估算法",Y280="算法类",Y280="无法识别"),"",IF(X280="",IF(OR(J280="ILF",J280="EIF"),0,""),LEN(X280)-LEN(SUBSTITUTE(X280,"、",""))+1))</f>
        <v/>
      </c>
      <c r="O280" s="85">
        <f>IF(OR(Y280="估算法",Y280="算法类",Y280="无法识别"),"",IF(Y280="",IF(OR(J280="ILF",J280="EIF",J280="EI",J280="EO",J280="EQ"),0,""),LEN(Y280)-LEN(SUBSTITUTE(SUBSTITUTE(SUBSTITUTE(SUBSTITUTE(SUBSTITUTE(Y280,"|}","--"),"{|","--"),CHAR(10),""),"、",""),"|",""))+IF(AND(OR(J280="EI",J280="EO",J280="EQ"),$AE$1="NESMA"),2,1)))</f>
        <v/>
      </c>
      <c r="P280" s="86">
        <f>IF(J280="EI",IF(OR(Y280="估算法",Y280="算法类"),"中",IF(Y280="无法识别","低",IF(M280&lt;2,IF(O280&lt;16,"低","中"),IF(M280&lt;3,IF(O280&lt;5,"低",IF(O280&lt;16,"中","高")),IF(O280&lt;5,"中","高"))))),IF(OR(J280="EO",J280="EQ"),IF(OR(Y280="估算法",Y280="算法类"),"中",IF(Y280="无法识别","低",IF(M280&lt;2,IF(O280&lt;20,"低","中"),IF(M280&lt;4,IF(O280&lt;6,"低",IF(O280&lt;20,"中","高")),IF(O280&lt;6,"中","高"))))),IF(OR(J280="ILF",J280="EIF"),IF(OR(Y280="估算法",Y280="算法类",Y280="无法识别"),"低",IF(N280&lt;2,IF(O280&lt;51,"低","中"),IF(N280&lt;6,IF(O280&lt;20,"低",IF(O280&lt;51,"中","高")),IF(O280&lt;20,"中","高")))),"不计算")))</f>
        <v/>
      </c>
      <c r="Q280" s="172">
        <f>IFERROR(IF(J280="EI",IF(P280="低",3,IF(P280="中",4,6)),IF(J280="EO",IF(P280="低",4,IF(P280="中",5,7)),IF(J280="EQ",IF(P280="低",3,IF(P280="中",4,6)),IF(J280="ILF",IF(P280="低",7,IF(P280="中",10,15)),IF(J280="EIF",IF(P280="低",5,IF(P280="中",7,10)),"不计算")))))*R280,"不计算")</f>
        <v/>
      </c>
      <c r="R280" s="172" t="n">
        <v>0</v>
      </c>
      <c r="S280" s="173">
        <f>调整因子!$F$13</f>
        <v/>
      </c>
      <c r="T280" s="92" t="n">
        <v>1</v>
      </c>
      <c r="U280" s="174">
        <f>IFERROR(Q280*S280,0)</f>
        <v/>
      </c>
      <c r="V280" s="174">
        <f>U280*T280</f>
        <v/>
      </c>
      <c r="W280" s="91" t="n"/>
      <c r="X280" s="90" t="inlineStr">
        <is>
          <t>流程超时记录表</t>
        </is>
      </c>
      <c r="Y280" s="90" t="inlineStr">
        <is>
          <t>流程超时记录表{记录ID、流程实例ID、超时时间、处理结果}</t>
        </is>
      </c>
      <c r="Z280" s="90">
        <f>IF(COUNTIFS(W:W,"*"&amp;I280&amp;"*")&gt;0,"存在","不存在")</f>
        <v/>
      </c>
      <c r="AA280" s="90">
        <f>IF(COUNTIFS(AB:AB,"*"&amp;I280&amp;"*")&gt;0,"存在","不存在")</f>
        <v/>
      </c>
      <c r="AB280" s="103" t="inlineStr">
        <is>
          <t>验证记录表</t>
        </is>
      </c>
      <c r="AC280" s="66" t="n"/>
    </row>
    <row r="281" s="112">
      <c r="A281" s="72">
        <f>ROW()-1</f>
        <v/>
      </c>
      <c r="B281" s="175" t="n"/>
      <c r="C281" s="80" t="n">
        <v>2025</v>
      </c>
      <c r="D281" s="80" t="inlineStr">
        <is>
          <t>张明峰</t>
        </is>
      </c>
      <c r="E281" s="81">
        <f>VLOOKUP(I281,'25年交付功能（不含废弃）'!A:A,1,FALSE)</f>
        <v/>
      </c>
      <c r="F281" s="175" t="n"/>
      <c r="G281" s="175" t="n"/>
      <c r="H281" s="175" t="n"/>
      <c r="I281" s="98" t="inlineStr">
        <is>
          <t>流程类型表</t>
        </is>
      </c>
      <c r="J281" s="93" t="inlineStr">
        <is>
          <t>ILF</t>
        </is>
      </c>
      <c r="K281" s="110" t="inlineStr">
        <is>
          <t>删除</t>
        </is>
      </c>
      <c r="L281" s="84" t="inlineStr">
        <is>
          <t>数据库表未被本系统所维护</t>
        </is>
      </c>
      <c r="M281" s="85">
        <f>IF(OR(Y281="估算法",Y281="算法类",Y281="无法识别"),"",IF(W281="",IF(OR(J281="EI",J281="EO",J281="EQ"),0,""),LEN(W281)-LEN(SUBSTITUTE(W281,"、",""))+1))</f>
        <v/>
      </c>
      <c r="N281" s="85">
        <f>IF(OR(Y281="估算法",Y281="算法类",Y281="无法识别"),"",IF(X281="",IF(OR(J281="ILF",J281="EIF"),0,""),LEN(X281)-LEN(SUBSTITUTE(X281,"、",""))+1))</f>
        <v/>
      </c>
      <c r="O281" s="85">
        <f>IF(OR(Y281="估算法",Y281="算法类",Y281="无法识别"),"",IF(Y281="",IF(OR(J281="ILF",J281="EIF",J281="EI",J281="EO",J281="EQ"),0,""),LEN(Y281)-LEN(SUBSTITUTE(SUBSTITUTE(SUBSTITUTE(SUBSTITUTE(SUBSTITUTE(Y281,"|}","--"),"{|","--"),CHAR(10),""),"、",""),"|",""))+IF(AND(OR(J281="EI",J281="EO",J281="EQ"),$AE$1="NESMA"),2,1)))</f>
        <v/>
      </c>
      <c r="P281" s="86">
        <f>IF(J281="EI",IF(OR(Y281="估算法",Y281="算法类"),"中",IF(Y281="无法识别","低",IF(M281&lt;2,IF(O281&lt;16,"低","中"),IF(M281&lt;3,IF(O281&lt;5,"低",IF(O281&lt;16,"中","高")),IF(O281&lt;5,"中","高"))))),IF(OR(J281="EO",J281="EQ"),IF(OR(Y281="估算法",Y281="算法类"),"中",IF(Y281="无法识别","低",IF(M281&lt;2,IF(O281&lt;20,"低","中"),IF(M281&lt;4,IF(O281&lt;6,"低",IF(O281&lt;20,"中","高")),IF(O281&lt;6,"中","高"))))),IF(OR(J281="ILF",J281="EIF"),IF(OR(Y281="估算法",Y281="算法类",Y281="无法识别"),"低",IF(N281&lt;2,IF(O281&lt;51,"低","中"),IF(N281&lt;6,IF(O281&lt;20,"低",IF(O281&lt;51,"中","高")),IF(O281&lt;20,"中","高")))),"不计算")))</f>
        <v/>
      </c>
      <c r="Q281" s="172">
        <f>IFERROR(IF(J281="EI",IF(P281="低",3,IF(P281="中",4,6)),IF(J281="EO",IF(P281="低",4,IF(P281="中",5,7)),IF(J281="EQ",IF(P281="低",3,IF(P281="中",4,6)),IF(J281="ILF",IF(P281="低",7,IF(P281="中",10,15)),IF(J281="EIF",IF(P281="低",5,IF(P281="中",7,10)),"不计算")))))*R281,"不计算")</f>
        <v/>
      </c>
      <c r="R281" s="172" t="n">
        <v>0</v>
      </c>
      <c r="S281" s="173">
        <f>调整因子!$F$13</f>
        <v/>
      </c>
      <c r="T281" s="92" t="n">
        <v>1</v>
      </c>
      <c r="U281" s="174">
        <f>IFERROR(Q281*S281,0)</f>
        <v/>
      </c>
      <c r="V281" s="174">
        <f>U281*T281</f>
        <v/>
      </c>
      <c r="W281" s="91" t="n"/>
      <c r="X281" s="90" t="inlineStr">
        <is>
          <t>流程类型表</t>
        </is>
      </c>
      <c r="Y281" s="90" t="inlineStr">
        <is>
          <t>流程类型表{类型ID、类型名称、描述}</t>
        </is>
      </c>
      <c r="Z281" s="90">
        <f>IF(COUNTIFS(W:W,"*"&amp;I281&amp;"*")&gt;0,"存在","不存在")</f>
        <v/>
      </c>
      <c r="AA281" s="90">
        <f>IF(COUNTIFS(AB:AB,"*"&amp;I281&amp;"*")&gt;0,"存在","不存在")</f>
        <v/>
      </c>
      <c r="AB281" s="103" t="inlineStr">
        <is>
          <t>数据清洗任务表、资产同步任务表</t>
        </is>
      </c>
      <c r="AC281" s="66" t="n"/>
    </row>
    <row r="282" s="112">
      <c r="A282" s="72">
        <f>ROW()-1</f>
        <v/>
      </c>
      <c r="B282" s="175" t="n"/>
      <c r="C282" s="80" t="n">
        <v>2025</v>
      </c>
      <c r="D282" s="80" t="inlineStr">
        <is>
          <t>张明峰</t>
        </is>
      </c>
      <c r="E282" s="81">
        <f>VLOOKUP(I282,'25年交付功能（不含废弃）'!A:A,1,FALSE)</f>
        <v/>
      </c>
      <c r="F282" s="175" t="n"/>
      <c r="G282" s="175" t="n"/>
      <c r="H282" s="175" t="n"/>
      <c r="I282" s="98" t="inlineStr">
        <is>
          <t>渠道定义表</t>
        </is>
      </c>
      <c r="J282" s="93" t="inlineStr">
        <is>
          <t>ILF</t>
        </is>
      </c>
      <c r="K282" s="110" t="inlineStr">
        <is>
          <t>删除</t>
        </is>
      </c>
      <c r="L282" s="84" t="inlineStr">
        <is>
          <t>数据库表未被本系统所维护</t>
        </is>
      </c>
      <c r="M282" s="85">
        <f>IF(OR(Y282="估算法",Y282="算法类",Y282="无法识别"),"",IF(W282="",IF(OR(J282="EI",J282="EO",J282="EQ"),0,""),LEN(W282)-LEN(SUBSTITUTE(W282,"、",""))+1))</f>
        <v/>
      </c>
      <c r="N282" s="85">
        <f>IF(OR(Y282="估算法",Y282="算法类",Y282="无法识别"),"",IF(X282="",IF(OR(J282="ILF",J282="EIF"),0,""),LEN(X282)-LEN(SUBSTITUTE(X282,"、",""))+1))</f>
        <v/>
      </c>
      <c r="O282" s="85">
        <f>IF(OR(Y282="估算法",Y282="算法类",Y282="无法识别"),"",IF(Y282="",IF(OR(J282="ILF",J282="EIF",J282="EI",J282="EO",J282="EQ"),0,""),LEN(Y282)-LEN(SUBSTITUTE(SUBSTITUTE(SUBSTITUTE(SUBSTITUTE(SUBSTITUTE(Y282,"|}","--"),"{|","--"),CHAR(10),""),"、",""),"|",""))+IF(AND(OR(J282="EI",J282="EO",J282="EQ"),$AE$1="NESMA"),2,1)))</f>
        <v/>
      </c>
      <c r="P282" s="86">
        <f>IF(J282="EI",IF(OR(Y282="估算法",Y282="算法类"),"中",IF(Y282="无法识别","低",IF(M282&lt;2,IF(O282&lt;16,"低","中"),IF(M282&lt;3,IF(O282&lt;5,"低",IF(O282&lt;16,"中","高")),IF(O282&lt;5,"中","高"))))),IF(OR(J282="EO",J282="EQ"),IF(OR(Y282="估算法",Y282="算法类"),"中",IF(Y282="无法识别","低",IF(M282&lt;2,IF(O282&lt;20,"低","中"),IF(M282&lt;4,IF(O282&lt;6,"低",IF(O282&lt;20,"中","高")),IF(O282&lt;6,"中","高"))))),IF(OR(J282="ILF",J282="EIF"),IF(OR(Y282="估算法",Y282="算法类",Y282="无法识别"),"低",IF(N282&lt;2,IF(O282&lt;51,"低","中"),IF(N282&lt;6,IF(O282&lt;20,"低",IF(O282&lt;51,"中","高")),IF(O282&lt;20,"中","高")))),"不计算")))</f>
        <v/>
      </c>
      <c r="Q282" s="172">
        <f>IFERROR(IF(J282="EI",IF(P282="低",3,IF(P282="中",4,6)),IF(J282="EO",IF(P282="低",4,IF(P282="中",5,7)),IF(J282="EQ",IF(P282="低",3,IF(P282="中",4,6)),IF(J282="ILF",IF(P282="低",7,IF(P282="中",10,15)),IF(J282="EIF",IF(P282="低",5,IF(P282="中",7,10)),"不计算")))))*R282,"不计算")</f>
        <v/>
      </c>
      <c r="R282" s="172" t="n">
        <v>0</v>
      </c>
      <c r="S282" s="173">
        <f>调整因子!$F$13</f>
        <v/>
      </c>
      <c r="T282" s="93" t="n">
        <v>1</v>
      </c>
      <c r="U282" s="174">
        <f>IFERROR(Q282*S282,0)</f>
        <v/>
      </c>
      <c r="V282" s="174">
        <f>U282*T282</f>
        <v/>
      </c>
      <c r="W282" s="91" t="n"/>
      <c r="X282" s="90" t="inlineStr">
        <is>
          <t>渠道定义表</t>
        </is>
      </c>
      <c r="Y282" s="90" t="inlineStr">
        <is>
          <t>渠道定义表{渠道ID、渠道名称、描述}</t>
        </is>
      </c>
      <c r="Z282" s="90">
        <f>IF(COUNTIFS(W:W,"*"&amp;I282&amp;"*")&gt;0,"存在","不存在")</f>
        <v/>
      </c>
      <c r="AA282" s="90">
        <f>IF(COUNTIFS(AB:AB,"*"&amp;I282&amp;"*")&gt;0,"存在","不存在")</f>
        <v/>
      </c>
      <c r="AB282" s="103" t="inlineStr">
        <is>
          <t>数据清洗任务表</t>
        </is>
      </c>
      <c r="AC282" s="66" t="n"/>
    </row>
    <row r="283" s="112">
      <c r="A283" s="72">
        <f>ROW()-1</f>
        <v/>
      </c>
      <c r="B283" s="175" t="n"/>
      <c r="C283" s="80" t="n">
        <v>2025</v>
      </c>
      <c r="D283" s="80" t="inlineStr">
        <is>
          <t>张明峰</t>
        </is>
      </c>
      <c r="E283" s="81">
        <f>VLOOKUP(I283,'25年交付功能（不含废弃）'!A:A,1,FALSE)</f>
        <v/>
      </c>
      <c r="F283" s="175" t="n"/>
      <c r="G283" s="175" t="n"/>
      <c r="H283" s="175" t="n"/>
      <c r="I283" s="98" t="inlineStr">
        <is>
          <t>事件数据库变更日志表</t>
        </is>
      </c>
      <c r="J283" s="93" t="inlineStr">
        <is>
          <t>ILF</t>
        </is>
      </c>
      <c r="K283" s="110" t="inlineStr">
        <is>
          <t>删除</t>
        </is>
      </c>
      <c r="L283" s="84" t="inlineStr">
        <is>
          <t>数据库表未被本系统所维护</t>
        </is>
      </c>
      <c r="M283" s="85">
        <f>IF(OR(Y283="估算法",Y283="算法类",Y283="无法识别"),"",IF(W283="",IF(OR(J283="EI",J283="EO",J283="EQ"),0,""),LEN(W283)-LEN(SUBSTITUTE(W283,"、",""))+1))</f>
        <v/>
      </c>
      <c r="N283" s="85">
        <f>IF(OR(Y283="估算法",Y283="算法类",Y283="无法识别"),"",IF(X283="",IF(OR(J283="ILF",J283="EIF"),0,""),LEN(X283)-LEN(SUBSTITUTE(X283,"、",""))+1))</f>
        <v/>
      </c>
      <c r="O283" s="85">
        <f>IF(OR(Y283="估算法",Y283="算法类",Y283="无法识别"),"",IF(Y283="",IF(OR(J283="ILF",J283="EIF",J283="EI",J283="EO",J283="EQ"),0,""),LEN(Y283)-LEN(SUBSTITUTE(SUBSTITUTE(SUBSTITUTE(SUBSTITUTE(SUBSTITUTE(Y283,"|}","--"),"{|","--"),CHAR(10),""),"、",""),"|",""))+IF(AND(OR(J283="EI",J283="EO",J283="EQ"),$AE$1="NESMA"),2,1)))</f>
        <v/>
      </c>
      <c r="P283" s="86">
        <f>IF(J283="EI",IF(OR(Y283="估算法",Y283="算法类"),"中",IF(Y283="无法识别","低",IF(M283&lt;2,IF(O283&lt;16,"低","中"),IF(M283&lt;3,IF(O283&lt;5,"低",IF(O283&lt;16,"中","高")),IF(O283&lt;5,"中","高"))))),IF(OR(J283="EO",J283="EQ"),IF(OR(Y283="估算法",Y283="算法类"),"中",IF(Y283="无法识别","低",IF(M283&lt;2,IF(O283&lt;20,"低","中"),IF(M283&lt;4,IF(O283&lt;6,"低",IF(O283&lt;20,"中","高")),IF(O283&lt;6,"中","高"))))),IF(OR(J283="ILF",J283="EIF"),IF(OR(Y283="估算法",Y283="算法类",Y283="无法识别"),"低",IF(N283&lt;2,IF(O283&lt;51,"低","中"),IF(N283&lt;6,IF(O283&lt;20,"低",IF(O283&lt;51,"中","高")),IF(O283&lt;20,"中","高")))),"不计算")))</f>
        <v/>
      </c>
      <c r="Q283" s="172">
        <f>IFERROR(IF(J283="EI",IF(P283="低",3,IF(P283="中",4,6)),IF(J283="EO",IF(P283="低",4,IF(P283="中",5,7)),IF(J283="EQ",IF(P283="低",3,IF(P283="中",4,6)),IF(J283="ILF",IF(P283="低",7,IF(P283="中",10,15)),IF(J283="EIF",IF(P283="低",5,IF(P283="中",7,10)),"不计算")))))*R283,"不计算")</f>
        <v/>
      </c>
      <c r="R283" s="172" t="n">
        <v>0</v>
      </c>
      <c r="S283" s="173">
        <f>调整因子!$F$13</f>
        <v/>
      </c>
      <c r="T283" s="92" t="n">
        <v>1</v>
      </c>
      <c r="U283" s="174">
        <f>IFERROR(Q283*S283,0)</f>
        <v/>
      </c>
      <c r="V283" s="174">
        <f>U283*T283</f>
        <v/>
      </c>
      <c r="W283" s="91" t="n"/>
      <c r="X283" s="90" t="inlineStr">
        <is>
          <t>事件数据库变更日志表</t>
        </is>
      </c>
      <c r="Y283" s="90" t="inlineStr">
        <is>
          <t>事件数据库变更日志表{日志ID、变更内容、变更时间}</t>
        </is>
      </c>
      <c r="Z283" s="90">
        <f>IF(COUNTIFS(W:W,"*"&amp;I283&amp;"*")&gt;0,"存在","不存在")</f>
        <v/>
      </c>
      <c r="AA283" s="90">
        <f>IF(COUNTIFS(AB:AB,"*"&amp;I283&amp;"*")&gt;0,"存在","不存在")</f>
        <v/>
      </c>
      <c r="AB283" s="103" t="inlineStr">
        <is>
          <t>数据清洗任务表、资产同步任务表</t>
        </is>
      </c>
      <c r="AC283" s="66" t="n"/>
    </row>
    <row r="284" s="112">
      <c r="A284" s="72">
        <f>ROW()-1</f>
        <v/>
      </c>
      <c r="B284" s="175" t="n"/>
      <c r="C284" s="80" t="n">
        <v>2025</v>
      </c>
      <c r="D284" s="80" t="inlineStr">
        <is>
          <t>张明峰</t>
        </is>
      </c>
      <c r="E284" s="81">
        <f>VLOOKUP(I284,'25年交付功能（不含废弃）'!A:A,1,FALSE)</f>
        <v/>
      </c>
      <c r="F284" s="175" t="n"/>
      <c r="G284" s="175" t="n"/>
      <c r="H284" s="175" t="n"/>
      <c r="I284" s="98" t="inlineStr">
        <is>
          <t>事件数据库变更日志锁表</t>
        </is>
      </c>
      <c r="J284" s="93" t="inlineStr">
        <is>
          <t>ILF</t>
        </is>
      </c>
      <c r="K284" s="110" t="inlineStr">
        <is>
          <t>删除</t>
        </is>
      </c>
      <c r="L284" s="84" t="inlineStr">
        <is>
          <t>数据库表未被本系统所维护</t>
        </is>
      </c>
      <c r="M284" s="85">
        <f>IF(OR(Y284="估算法",Y284="算法类",Y284="无法识别"),"",IF(W284="",IF(OR(J284="EI",J284="EO",J284="EQ"),0,""),LEN(W284)-LEN(SUBSTITUTE(W284,"、",""))+1))</f>
        <v/>
      </c>
      <c r="N284" s="85">
        <f>IF(OR(Y284="估算法",Y284="算法类",Y284="无法识别"),"",IF(X284="",IF(OR(J284="ILF",J284="EIF"),0,""),LEN(X284)-LEN(SUBSTITUTE(X284,"、",""))+1))</f>
        <v/>
      </c>
      <c r="O284" s="85">
        <f>IF(OR(Y284="估算法",Y284="算法类",Y284="无法识别"),"",IF(Y284="",IF(OR(J284="ILF",J284="EIF",J284="EI",J284="EO",J284="EQ"),0,""),LEN(Y284)-LEN(SUBSTITUTE(SUBSTITUTE(SUBSTITUTE(SUBSTITUTE(SUBSTITUTE(Y284,"|}","--"),"{|","--"),CHAR(10),""),"、",""),"|",""))+IF(AND(OR(J284="EI",J284="EO",J284="EQ"),$AE$1="NESMA"),2,1)))</f>
        <v/>
      </c>
      <c r="P284" s="86">
        <f>IF(J284="EI",IF(OR(Y284="估算法",Y284="算法类"),"中",IF(Y284="无法识别","低",IF(M284&lt;2,IF(O284&lt;16,"低","中"),IF(M284&lt;3,IF(O284&lt;5,"低",IF(O284&lt;16,"中","高")),IF(O284&lt;5,"中","高"))))),IF(OR(J284="EO",J284="EQ"),IF(OR(Y284="估算法",Y284="算法类"),"中",IF(Y284="无法识别","低",IF(M284&lt;2,IF(O284&lt;20,"低","中"),IF(M284&lt;4,IF(O284&lt;6,"低",IF(O284&lt;20,"中","高")),IF(O284&lt;6,"中","高"))))),IF(OR(J284="ILF",J284="EIF"),IF(OR(Y284="估算法",Y284="算法类",Y284="无法识别"),"低",IF(N284&lt;2,IF(O284&lt;51,"低","中"),IF(N284&lt;6,IF(O284&lt;20,"低",IF(O284&lt;51,"中","高")),IF(O284&lt;20,"中","高")))),"不计算")))</f>
        <v/>
      </c>
      <c r="Q284" s="172">
        <f>IFERROR(IF(J284="EI",IF(P284="低",3,IF(P284="中",4,6)),IF(J284="EO",IF(P284="低",4,IF(P284="中",5,7)),IF(J284="EQ",IF(P284="低",3,IF(P284="中",4,6)),IF(J284="ILF",IF(P284="低",7,IF(P284="中",10,15)),IF(J284="EIF",IF(P284="低",5,IF(P284="中",7,10)),"不计算")))))*R284,"不计算")</f>
        <v/>
      </c>
      <c r="R284" s="172" t="n">
        <v>0</v>
      </c>
      <c r="S284" s="173">
        <f>调整因子!$F$13</f>
        <v/>
      </c>
      <c r="T284" s="92" t="n">
        <v>1</v>
      </c>
      <c r="U284" s="174">
        <f>IFERROR(Q284*S284,0)</f>
        <v/>
      </c>
      <c r="V284" s="174">
        <f>U284*T284</f>
        <v/>
      </c>
      <c r="W284" s="91" t="n"/>
      <c r="X284" s="90" t="inlineStr">
        <is>
          <t>事件数据库变更日志锁表</t>
        </is>
      </c>
      <c r="Y284" s="90" t="inlineStr">
        <is>
          <t>事件数据库变更日志锁表{锁ID、锁定状态、锁定时间}</t>
        </is>
      </c>
      <c r="Z284" s="90">
        <f>IF(COUNTIFS(W:W,"*"&amp;I284&amp;"*")&gt;0,"存在","不存在")</f>
        <v/>
      </c>
      <c r="AA284" s="90">
        <f>IF(COUNTIFS(AB:AB,"*"&amp;I284&amp;"*")&gt;0,"存在","不存在")</f>
        <v/>
      </c>
      <c r="AB284" s="103" t="inlineStr">
        <is>
          <t>验证记录表、验证配置表</t>
        </is>
      </c>
      <c r="AC284" s="66" t="n"/>
    </row>
    <row r="285" s="112">
      <c r="A285" s="72">
        <f>ROW()-1</f>
        <v/>
      </c>
      <c r="B285" s="175" t="n"/>
      <c r="C285" s="80" t="n">
        <v>2025</v>
      </c>
      <c r="D285" s="80" t="inlineStr">
        <is>
          <t>张明峰</t>
        </is>
      </c>
      <c r="E285" s="81">
        <f>VLOOKUP(I285,'25年交付功能（不含废弃）'!A:A,1,FALSE)</f>
        <v/>
      </c>
      <c r="F285" s="175" t="n"/>
      <c r="G285" s="175" t="n"/>
      <c r="H285" s="175" t="n"/>
      <c r="I285" s="98" t="inlineStr">
        <is>
          <t>事件定义表</t>
        </is>
      </c>
      <c r="J285" s="93" t="inlineStr">
        <is>
          <t>ILF</t>
        </is>
      </c>
      <c r="K285" s="110" t="inlineStr">
        <is>
          <t>删除</t>
        </is>
      </c>
      <c r="L285" s="84" t="inlineStr">
        <is>
          <t>数据库表未被本系统所维护</t>
        </is>
      </c>
      <c r="M285" s="85">
        <f>IF(OR(Y285="估算法",Y285="算法类",Y285="无法识别"),"",IF(W285="",IF(OR(J285="EI",J285="EO",J285="EQ"),0,""),LEN(W285)-LEN(SUBSTITUTE(W285,"、",""))+1))</f>
        <v/>
      </c>
      <c r="N285" s="85">
        <f>IF(OR(Y285="估算法",Y285="算法类",Y285="无法识别"),"",IF(X285="",IF(OR(J285="ILF",J285="EIF"),0,""),LEN(X285)-LEN(SUBSTITUTE(X285,"、",""))+1))</f>
        <v/>
      </c>
      <c r="O285" s="85">
        <f>IF(OR(Y285="估算法",Y285="算法类",Y285="无法识别"),"",IF(Y285="",IF(OR(J285="ILF",J285="EIF",J285="EI",J285="EO",J285="EQ"),0,""),LEN(Y285)-LEN(SUBSTITUTE(SUBSTITUTE(SUBSTITUTE(SUBSTITUTE(SUBSTITUTE(Y285,"|}","--"),"{|","--"),CHAR(10),""),"、",""),"|",""))+IF(AND(OR(J285="EI",J285="EO",J285="EQ"),$AE$1="NESMA"),2,1)))</f>
        <v/>
      </c>
      <c r="P285" s="86">
        <f>IF(J285="EI",IF(OR(Y285="估算法",Y285="算法类"),"中",IF(Y285="无法识别","低",IF(M285&lt;2,IF(O285&lt;16,"低","中"),IF(M285&lt;3,IF(O285&lt;5,"低",IF(O285&lt;16,"中","高")),IF(O285&lt;5,"中","高"))))),IF(OR(J285="EO",J285="EQ"),IF(OR(Y285="估算法",Y285="算法类"),"中",IF(Y285="无法识别","低",IF(M285&lt;2,IF(O285&lt;20,"低","中"),IF(M285&lt;4,IF(O285&lt;6,"低",IF(O285&lt;20,"中","高")),IF(O285&lt;6,"中","高"))))),IF(OR(J285="ILF",J285="EIF"),IF(OR(Y285="估算法",Y285="算法类",Y285="无法识别"),"低",IF(N285&lt;2,IF(O285&lt;51,"低","中"),IF(N285&lt;6,IF(O285&lt;20,"低",IF(O285&lt;51,"中","高")),IF(O285&lt;20,"中","高")))),"不计算")))</f>
        <v/>
      </c>
      <c r="Q285" s="172">
        <f>IFERROR(IF(J285="EI",IF(P285="低",3,IF(P285="中",4,6)),IF(J285="EO",IF(P285="低",4,IF(P285="中",5,7)),IF(J285="EQ",IF(P285="低",3,IF(P285="中",4,6)),IF(J285="ILF",IF(P285="低",7,IF(P285="中",10,15)),IF(J285="EIF",IF(P285="低",5,IF(P285="中",7,10)),"不计算")))))*R285,"不计算")</f>
        <v/>
      </c>
      <c r="R285" s="172" t="n">
        <v>0</v>
      </c>
      <c r="S285" s="173">
        <f>调整因子!$F$13</f>
        <v/>
      </c>
      <c r="T285" s="93" t="n">
        <v>1</v>
      </c>
      <c r="U285" s="174">
        <f>IFERROR(Q285*S285,0)</f>
        <v/>
      </c>
      <c r="V285" s="174">
        <f>U285*T285</f>
        <v/>
      </c>
      <c r="W285" s="91" t="n"/>
      <c r="X285" s="90" t="inlineStr">
        <is>
          <t>事件定义表</t>
        </is>
      </c>
      <c r="Y285" s="90" t="inlineStr">
        <is>
          <t>事件定义表{定义ID、事件名称、描述、创建时间}</t>
        </is>
      </c>
      <c r="Z285" s="90">
        <f>IF(COUNTIFS(W:W,"*"&amp;I285&amp;"*")&gt;0,"存在","不存在")</f>
        <v/>
      </c>
      <c r="AA285" s="90">
        <f>IF(COUNTIFS(AB:AB,"*"&amp;I285&amp;"*")&gt;0,"存在","不存在")</f>
        <v/>
      </c>
      <c r="AB285" s="103" t="inlineStr">
        <is>
          <t>调用统计表</t>
        </is>
      </c>
      <c r="AC285" s="66" t="n"/>
    </row>
    <row r="286" s="112">
      <c r="A286" s="72">
        <f>ROW()-1</f>
        <v/>
      </c>
      <c r="B286" s="175" t="n"/>
      <c r="C286" s="80" t="n">
        <v>2025</v>
      </c>
      <c r="D286" s="80" t="inlineStr">
        <is>
          <t>张明峰</t>
        </is>
      </c>
      <c r="E286" s="81">
        <f>VLOOKUP(I286,'25年交付功能（不含废弃）'!A:A,1,FALSE)</f>
        <v/>
      </c>
      <c r="F286" s="175" t="n"/>
      <c r="G286" s="175" t="n"/>
      <c r="H286" s="175" t="n"/>
      <c r="I286" s="98" t="inlineStr">
        <is>
          <t>事件部署表</t>
        </is>
      </c>
      <c r="J286" s="93" t="inlineStr">
        <is>
          <t>ILF</t>
        </is>
      </c>
      <c r="K286" s="110" t="inlineStr">
        <is>
          <t>删除</t>
        </is>
      </c>
      <c r="L286" s="84" t="inlineStr">
        <is>
          <t>数据库表未被本系统所维护</t>
        </is>
      </c>
      <c r="M286" s="85">
        <f>IF(OR(Y286="估算法",Y286="算法类",Y286="无法识别"),"",IF(W286="",IF(OR(J286="EI",J286="EO",J286="EQ"),0,""),LEN(W286)-LEN(SUBSTITUTE(W286,"、",""))+1))</f>
        <v/>
      </c>
      <c r="N286" s="85">
        <f>IF(OR(Y286="估算法",Y286="算法类",Y286="无法识别"),"",IF(X286="",IF(OR(J286="ILF",J286="EIF"),0,""),LEN(X286)-LEN(SUBSTITUTE(X286,"、",""))+1))</f>
        <v/>
      </c>
      <c r="O286" s="85">
        <f>IF(OR(Y286="估算法",Y286="算法类",Y286="无法识别"),"",IF(Y286="",IF(OR(J286="ILF",J286="EIF",J286="EI",J286="EO",J286="EQ"),0,""),LEN(Y286)-LEN(SUBSTITUTE(SUBSTITUTE(SUBSTITUTE(SUBSTITUTE(SUBSTITUTE(Y286,"|}","--"),"{|","--"),CHAR(10),""),"、",""),"|",""))+IF(AND(OR(J286="EI",J286="EO",J286="EQ"),$AE$1="NESMA"),2,1)))</f>
        <v/>
      </c>
      <c r="P286" s="86">
        <f>IF(J286="EI",IF(OR(Y286="估算法",Y286="算法类"),"中",IF(Y286="无法识别","低",IF(M286&lt;2,IF(O286&lt;16,"低","中"),IF(M286&lt;3,IF(O286&lt;5,"低",IF(O286&lt;16,"中","高")),IF(O286&lt;5,"中","高"))))),IF(OR(J286="EO",J286="EQ"),IF(OR(Y286="估算法",Y286="算法类"),"中",IF(Y286="无法识别","低",IF(M286&lt;2,IF(O286&lt;20,"低","中"),IF(M286&lt;4,IF(O286&lt;6,"低",IF(O286&lt;20,"中","高")),IF(O286&lt;6,"中","高"))))),IF(OR(J286="ILF",J286="EIF"),IF(OR(Y286="估算法",Y286="算法类",Y286="无法识别"),"低",IF(N286&lt;2,IF(O286&lt;51,"低","中"),IF(N286&lt;6,IF(O286&lt;20,"低",IF(O286&lt;51,"中","高")),IF(O286&lt;20,"中","高")))),"不计算")))</f>
        <v/>
      </c>
      <c r="Q286" s="172">
        <f>IFERROR(IF(J286="EI",IF(P286="低",3,IF(P286="中",4,6)),IF(J286="EO",IF(P286="低",4,IF(P286="中",5,7)),IF(J286="EQ",IF(P286="低",3,IF(P286="中",4,6)),IF(J286="ILF",IF(P286="低",7,IF(P286="中",10,15)),IF(J286="EIF",IF(P286="低",5,IF(P286="中",7,10)),"不计算")))))*R286,"不计算")</f>
        <v/>
      </c>
      <c r="R286" s="172" t="n">
        <v>0</v>
      </c>
      <c r="S286" s="173">
        <f>调整因子!$F$13</f>
        <v/>
      </c>
      <c r="T286" s="92" t="n">
        <v>1</v>
      </c>
      <c r="U286" s="174">
        <f>IFERROR(Q286*S286,0)</f>
        <v/>
      </c>
      <c r="V286" s="174">
        <f>U286*T286</f>
        <v/>
      </c>
      <c r="W286" s="91" t="n"/>
      <c r="X286" s="90" t="inlineStr">
        <is>
          <t>事件部署表</t>
        </is>
      </c>
      <c r="Y286" s="90" t="inlineStr">
        <is>
          <t>事件部署表{部署ID、事件定义ID、部署时间、部署者}</t>
        </is>
      </c>
      <c r="Z286" s="90">
        <f>IF(COUNTIFS(W:W,"*"&amp;I286&amp;"*")&gt;0,"存在","不存在")</f>
        <v/>
      </c>
      <c r="AA286" s="90">
        <f>IF(COUNTIFS(AB:AB,"*"&amp;I286&amp;"*")&gt;0,"存在","不存在")</f>
        <v/>
      </c>
      <c r="AB286" s="103" t="inlineStr">
        <is>
          <t>日志采集配置表、处置单关联表</t>
        </is>
      </c>
      <c r="AC286" s="66" t="n"/>
    </row>
    <row r="287" s="112">
      <c r="A287" s="72">
        <f>ROW()-1</f>
        <v/>
      </c>
      <c r="B287" s="175" t="n"/>
      <c r="C287" s="80" t="n">
        <v>2025</v>
      </c>
      <c r="D287" s="80" t="inlineStr">
        <is>
          <t>张明峰</t>
        </is>
      </c>
      <c r="E287" s="81">
        <f>VLOOKUP(I287,'25年交付功能（不含废弃）'!A:A,1,FALSE)</f>
        <v/>
      </c>
      <c r="F287" s="175" t="n"/>
      <c r="G287" s="175" t="n"/>
      <c r="H287" s="175" t="n"/>
      <c r="I287" s="98" t="inlineStr">
        <is>
          <t>事件资源表</t>
        </is>
      </c>
      <c r="J287" s="93" t="inlineStr">
        <is>
          <t>ILF</t>
        </is>
      </c>
      <c r="K287" s="110" t="inlineStr">
        <is>
          <t>删除</t>
        </is>
      </c>
      <c r="L287" s="84" t="inlineStr">
        <is>
          <t>数据库表未被本系统所维护</t>
        </is>
      </c>
      <c r="M287" s="85">
        <f>IF(OR(Y287="估算法",Y287="算法类",Y287="无法识别"),"",IF(W287="",IF(OR(J287="EI",J287="EO",J287="EQ"),0,""),LEN(W287)-LEN(SUBSTITUTE(W287,"、",""))+1))</f>
        <v/>
      </c>
      <c r="N287" s="85">
        <f>IF(OR(Y287="估算法",Y287="算法类",Y287="无法识别"),"",IF(X287="",IF(OR(J287="ILF",J287="EIF"),0,""),LEN(X287)-LEN(SUBSTITUTE(X287,"、",""))+1))</f>
        <v/>
      </c>
      <c r="O287" s="85">
        <f>IF(OR(Y287="估算法",Y287="算法类",Y287="无法识别"),"",IF(Y287="",IF(OR(J287="ILF",J287="EIF",J287="EI",J287="EO",J287="EQ"),0,""),LEN(Y287)-LEN(SUBSTITUTE(SUBSTITUTE(SUBSTITUTE(SUBSTITUTE(SUBSTITUTE(Y287,"|}","--"),"{|","--"),CHAR(10),""),"、",""),"|",""))+IF(AND(OR(J287="EI",J287="EO",J287="EQ"),$AE$1="NESMA"),2,1)))</f>
        <v/>
      </c>
      <c r="P287" s="86">
        <f>IF(J287="EI",IF(OR(Y287="估算法",Y287="算法类"),"中",IF(Y287="无法识别","低",IF(M287&lt;2,IF(O287&lt;16,"低","中"),IF(M287&lt;3,IF(O287&lt;5,"低",IF(O287&lt;16,"中","高")),IF(O287&lt;5,"中","高"))))),IF(OR(J287="EO",J287="EQ"),IF(OR(Y287="估算法",Y287="算法类"),"中",IF(Y287="无法识别","低",IF(M287&lt;2,IF(O287&lt;20,"低","中"),IF(M287&lt;4,IF(O287&lt;6,"低",IF(O287&lt;20,"中","高")),IF(O287&lt;6,"中","高"))))),IF(OR(J287="ILF",J287="EIF"),IF(OR(Y287="估算法",Y287="算法类",Y287="无法识别"),"低",IF(N287&lt;2,IF(O287&lt;51,"低","中"),IF(N287&lt;6,IF(O287&lt;20,"低",IF(O287&lt;51,"中","高")),IF(O287&lt;20,"中","高")))),"不计算")))</f>
        <v/>
      </c>
      <c r="Q287" s="172">
        <f>IFERROR(IF(J287="EI",IF(P287="低",3,IF(P287="中",4,6)),IF(J287="EO",IF(P287="低",4,IF(P287="中",5,7)),IF(J287="EQ",IF(P287="低",3,IF(P287="中",4,6)),IF(J287="ILF",IF(P287="低",7,IF(P287="中",10,15)),IF(J287="EIF",IF(P287="低",5,IF(P287="中",7,10)),"不计算")))))*R287,"不计算")</f>
        <v/>
      </c>
      <c r="R287" s="172" t="n">
        <v>0</v>
      </c>
      <c r="S287" s="173">
        <f>调整因子!$F$13</f>
        <v/>
      </c>
      <c r="T287" s="92" t="n">
        <v>1</v>
      </c>
      <c r="U287" s="174">
        <f>IFERROR(Q287*S287,0)</f>
        <v/>
      </c>
      <c r="V287" s="174">
        <f>U287*T287</f>
        <v/>
      </c>
      <c r="W287" s="91" t="n"/>
      <c r="X287" s="90" t="inlineStr">
        <is>
          <t>事件资源表</t>
        </is>
      </c>
      <c r="Y287" s="90" t="inlineStr">
        <is>
          <t>事件资源表{资源ID、事件定义ID、资源路径、上传时间}</t>
        </is>
      </c>
      <c r="Z287" s="90">
        <f>IF(COUNTIFS(W:W,"*"&amp;I287&amp;"*")&gt;0,"存在","不存在")</f>
        <v/>
      </c>
      <c r="AA287" s="90">
        <f>IF(COUNTIFS(AB:AB,"*"&amp;I287&amp;"*")&gt;0,"存在","不存在")</f>
        <v/>
      </c>
      <c r="AB287" s="103" t="inlineStr">
        <is>
          <t>处置单关联表、日志采集配置表</t>
        </is>
      </c>
      <c r="AC287" s="66" t="n"/>
    </row>
    <row r="288" s="112">
      <c r="A288" s="72">
        <f>ROW()-1</f>
        <v/>
      </c>
      <c r="B288" s="175" t="n"/>
      <c r="C288" s="80" t="n">
        <v>2025</v>
      </c>
      <c r="D288" s="80" t="inlineStr">
        <is>
          <t>张明峰</t>
        </is>
      </c>
      <c r="E288" s="81">
        <f>VLOOKUP(I288,'25年交付功能（不含废弃）'!A:A,1,FALSE)</f>
        <v/>
      </c>
      <c r="F288" s="175" t="n"/>
      <c r="G288" s="175" t="n"/>
      <c r="H288" s="175" t="n"/>
      <c r="I288" s="98" t="inlineStr">
        <is>
          <t>运行时批量处理表</t>
        </is>
      </c>
      <c r="J288" s="93" t="n"/>
      <c r="K288" s="110" t="inlineStr">
        <is>
          <t>删除</t>
        </is>
      </c>
      <c r="L288" s="84" t="inlineStr">
        <is>
          <t>非ILF - 运行时状态</t>
        </is>
      </c>
      <c r="M288" s="85">
        <f>IF(OR(Y288="估算法",Y288="算法类",Y288="无法识别"),"",IF(W288="",IF(OR(J288="EI",J288="EO",J288="EQ"),0,""),LEN(W288)-LEN(SUBSTITUTE(W288,"、",""))+1))</f>
        <v/>
      </c>
      <c r="N288" s="85">
        <f>IF(OR(Y288="估算法",Y288="算法类",Y288="无法识别"),"",IF(X288="",IF(OR(J288="ILF",J288="EIF"),0,""),LEN(X288)-LEN(SUBSTITUTE(X288,"、",""))+1))</f>
        <v/>
      </c>
      <c r="O288" s="85">
        <f>IF(OR(Y288="估算法",Y288="算法类",Y288="无法识别"),"",IF(Y288="",IF(OR(J288="ILF",J288="EIF",J288="EI",J288="EO",J288="EQ"),0,""),LEN(Y288)-LEN(SUBSTITUTE(SUBSTITUTE(SUBSTITUTE(SUBSTITUTE(SUBSTITUTE(Y288,"|}","--"),"{|","--"),CHAR(10),""),"、",""),"|",""))+IF(AND(OR(J288="EI",J288="EO",J288="EQ"),$AE$1="NESMA"),2,1)))</f>
        <v/>
      </c>
      <c r="P288" s="86">
        <f>IF(J288="EI",IF(OR(Y288="估算法",Y288="算法类"),"中",IF(Y288="无法识别","低",IF(M288&lt;2,IF(O288&lt;16,"低","中"),IF(M288&lt;3,IF(O288&lt;5,"低",IF(O288&lt;16,"中","高")),IF(O288&lt;5,"中","高"))))),IF(OR(J288="EO",J288="EQ"),IF(OR(Y288="估算法",Y288="算法类"),"中",IF(Y288="无法识别","低",IF(M288&lt;2,IF(O288&lt;20,"低","中"),IF(M288&lt;4,IF(O288&lt;6,"低",IF(O288&lt;20,"中","高")),IF(O288&lt;6,"中","高"))))),IF(OR(J288="ILF",J288="EIF"),IF(OR(Y288="估算法",Y288="算法类",Y288="无法识别"),"低",IF(N288&lt;2,IF(O288&lt;51,"低","中"),IF(N288&lt;6,IF(O288&lt;20,"低",IF(O288&lt;51,"中","高")),IF(O288&lt;20,"中","高")))),"不计算")))</f>
        <v/>
      </c>
      <c r="Q288" s="172">
        <f>IFERROR(IF(J288="EI",IF(P288="低",3,IF(P288="中",4,6)),IF(J288="EO",IF(P288="低",4,IF(P288="中",5,7)),IF(J288="EQ",IF(P288="低",3,IF(P288="中",4,6)),IF(J288="ILF",IF(P288="低",7,IF(P288="中",10,15)),IF(J288="EIF",IF(P288="低",5,IF(P288="中",7,10)),"不计算")))))*R288,"不计算")</f>
        <v/>
      </c>
      <c r="R288" s="172" t="n">
        <v>1</v>
      </c>
      <c r="S288" s="173">
        <f>调整因子!$F$13</f>
        <v/>
      </c>
      <c r="T288" s="93" t="n">
        <v>1</v>
      </c>
      <c r="U288" s="174">
        <f>IFERROR(Q288*S288,0)</f>
        <v/>
      </c>
      <c r="V288" s="174">
        <f>U288*T288</f>
        <v/>
      </c>
      <c r="W288" s="91" t="n"/>
      <c r="X288" s="90" t="inlineStr">
        <is>
          <t>运行时批量处理表</t>
        </is>
      </c>
      <c r="Y288" s="90" t="inlineStr">
        <is>
          <t>运行时批量处理表{批量ID、批量内容、创建时间}</t>
        </is>
      </c>
      <c r="Z288" s="90">
        <f>IF(COUNTIFS(W:W,"*"&amp;I288&amp;"*")&gt;0,"存在","不存在")</f>
        <v/>
      </c>
      <c r="AA288" s="90">
        <f>IF(COUNTIFS(AB:AB,"*"&amp;I288&amp;"*")&gt;0,"存在","不存在")</f>
        <v/>
      </c>
      <c r="AB288" s="103" t="inlineStr">
        <is>
          <t>分类层级关系表、性能数据表</t>
        </is>
      </c>
      <c r="AC288" s="66" t="n"/>
    </row>
    <row r="289" s="112">
      <c r="A289" s="72">
        <f>ROW()-1</f>
        <v/>
      </c>
      <c r="B289" s="175" t="n"/>
      <c r="C289" s="80" t="n">
        <v>2025</v>
      </c>
      <c r="D289" s="80" t="inlineStr">
        <is>
          <t>张明峰</t>
        </is>
      </c>
      <c r="E289" s="81">
        <f>VLOOKUP(I289,'25年交付功能（不含废弃）'!A:A,1,FALSE)</f>
        <v/>
      </c>
      <c r="F289" s="175" t="n"/>
      <c r="G289" s="175" t="n"/>
      <c r="H289" s="175" t="n"/>
      <c r="I289" s="98" t="inlineStr">
        <is>
          <t>运行时批量处理部分表</t>
        </is>
      </c>
      <c r="J289" s="93" t="n"/>
      <c r="K289" s="110" t="inlineStr">
        <is>
          <t>删除</t>
        </is>
      </c>
      <c r="L289" s="84" t="inlineStr">
        <is>
          <t>非ILF - 运行时状态</t>
        </is>
      </c>
      <c r="M289" s="85">
        <f>IF(OR(Y289="估算法",Y289="算法类",Y289="无法识别"),"",IF(W289="",IF(OR(J289="EI",J289="EO",J289="EQ"),0,""),LEN(W289)-LEN(SUBSTITUTE(W289,"、",""))+1))</f>
        <v/>
      </c>
      <c r="N289" s="85">
        <f>IF(OR(Y289="估算法",Y289="算法类",Y289="无法识别"),"",IF(X289="",IF(OR(J289="ILF",J289="EIF"),0,""),LEN(X289)-LEN(SUBSTITUTE(X289,"、",""))+1))</f>
        <v/>
      </c>
      <c r="O289" s="85">
        <f>IF(OR(Y289="估算法",Y289="算法类",Y289="无法识别"),"",IF(Y289="",IF(OR(J289="ILF",J289="EIF",J289="EI",J289="EO",J289="EQ"),0,""),LEN(Y289)-LEN(SUBSTITUTE(SUBSTITUTE(SUBSTITUTE(SUBSTITUTE(SUBSTITUTE(Y289,"|}","--"),"{|","--"),CHAR(10),""),"、",""),"|",""))+IF(AND(OR(J289="EI",J289="EO",J289="EQ"),$AE$1="NESMA"),2,1)))</f>
        <v/>
      </c>
      <c r="P289" s="86">
        <f>IF(J289="EI",IF(OR(Y289="估算法",Y289="算法类"),"中",IF(Y289="无法识别","低",IF(M289&lt;2,IF(O289&lt;16,"低","中"),IF(M289&lt;3,IF(O289&lt;5,"低",IF(O289&lt;16,"中","高")),IF(O289&lt;5,"中","高"))))),IF(OR(J289="EO",J289="EQ"),IF(OR(Y289="估算法",Y289="算法类"),"中",IF(Y289="无法识别","低",IF(M289&lt;2,IF(O289&lt;20,"低","中"),IF(M289&lt;4,IF(O289&lt;6,"低",IF(O289&lt;20,"中","高")),IF(O289&lt;6,"中","高"))))),IF(OR(J289="ILF",J289="EIF"),IF(OR(Y289="估算法",Y289="算法类",Y289="无法识别"),"低",IF(N289&lt;2,IF(O289&lt;51,"低","中"),IF(N289&lt;6,IF(O289&lt;20,"低",IF(O289&lt;51,"中","高")),IF(O289&lt;20,"中","高")))),"不计算")))</f>
        <v/>
      </c>
      <c r="Q289" s="172">
        <f>IFERROR(IF(J289="EI",IF(P289="低",3,IF(P289="中",4,6)),IF(J289="EO",IF(P289="低",4,IF(P289="中",5,7)),IF(J289="EQ",IF(P289="低",3,IF(P289="中",4,6)),IF(J289="ILF",IF(P289="低",7,IF(P289="中",10,15)),IF(J289="EIF",IF(P289="低",5,IF(P289="中",7,10)),"不计算")))))*R289,"不计算")</f>
        <v/>
      </c>
      <c r="R289" s="172" t="n">
        <v>1</v>
      </c>
      <c r="S289" s="173">
        <f>调整因子!$F$13</f>
        <v/>
      </c>
      <c r="T289" s="92" t="n">
        <v>1</v>
      </c>
      <c r="U289" s="174">
        <f>IFERROR(Q289*S289,0)</f>
        <v/>
      </c>
      <c r="V289" s="174">
        <f>U289*T289</f>
        <v/>
      </c>
      <c r="W289" s="91" t="n"/>
      <c r="X289" s="90" t="inlineStr">
        <is>
          <t>运行时批量处理部分表</t>
        </is>
      </c>
      <c r="Y289" s="90" t="inlineStr">
        <is>
          <t>运行时批量处理部分表{部分ID、批量ID、部分内容、创建时间}</t>
        </is>
      </c>
      <c r="Z289" s="90">
        <f>IF(COUNTIFS(W:W,"*"&amp;I289&amp;"*")&gt;0,"存在","不存在")</f>
        <v/>
      </c>
      <c r="AA289" s="90">
        <f>IF(COUNTIFS(AB:AB,"*"&amp;I289&amp;"*")&gt;0,"存在","不存在")</f>
        <v/>
      </c>
      <c r="AB289" s="103" t="inlineStr">
        <is>
          <t>离线扫描报告表</t>
        </is>
      </c>
      <c r="AC289" s="66" t="n"/>
    </row>
    <row r="290" s="112">
      <c r="A290" s="72">
        <f>ROW()-1</f>
        <v/>
      </c>
      <c r="B290" s="175" t="n"/>
      <c r="C290" s="80" t="n">
        <v>2025</v>
      </c>
      <c r="D290" s="80" t="inlineStr">
        <is>
          <t>张明峰</t>
        </is>
      </c>
      <c r="E290" s="81">
        <f>VLOOKUP(I290,'25年交付功能（不含废弃）'!A:A,1,FALSE)</f>
        <v/>
      </c>
      <c r="F290" s="175" t="n"/>
      <c r="G290" s="175" t="n"/>
      <c r="H290" s="175" t="n"/>
      <c r="I290" s="98" t="inlineStr">
        <is>
          <t>表单定义内容表</t>
        </is>
      </c>
      <c r="J290" s="93" t="inlineStr">
        <is>
          <t>ILF</t>
        </is>
      </c>
      <c r="K290" s="110" t="inlineStr">
        <is>
          <t>删除</t>
        </is>
      </c>
      <c r="L290" s="84" t="inlineStr">
        <is>
          <t>数据库表未被本系统所维护</t>
        </is>
      </c>
      <c r="M290" s="85">
        <f>IF(OR(Y290="估算法",Y290="算法类",Y290="无法识别"),"",IF(W290="",IF(OR(J290="EI",J290="EO",J290="EQ"),0,""),LEN(W290)-LEN(SUBSTITUTE(W290,"、",""))+1))</f>
        <v/>
      </c>
      <c r="N290" s="85">
        <f>IF(OR(Y290="估算法",Y290="算法类",Y290="无法识别"),"",IF(X290="",IF(OR(J290="ILF",J290="EIF"),0,""),LEN(X290)-LEN(SUBSTITUTE(X290,"、",""))+1))</f>
        <v/>
      </c>
      <c r="O290" s="85">
        <f>IF(OR(Y290="估算法",Y290="算法类",Y290="无法识别"),"",IF(Y290="",IF(OR(J290="ILF",J290="EIF",J290="EI",J290="EO",J290="EQ"),0,""),LEN(Y290)-LEN(SUBSTITUTE(SUBSTITUTE(SUBSTITUTE(SUBSTITUTE(SUBSTITUTE(Y290,"|}","--"),"{|","--"),CHAR(10),""),"、",""),"|",""))+IF(AND(OR(J290="EI",J290="EO",J290="EQ"),$AE$1="NESMA"),2,1)))</f>
        <v/>
      </c>
      <c r="P290" s="86">
        <f>IF(J290="EI",IF(OR(Y290="估算法",Y290="算法类"),"中",IF(Y290="无法识别","低",IF(M290&lt;2,IF(O290&lt;16,"低","中"),IF(M290&lt;3,IF(O290&lt;5,"低",IF(O290&lt;16,"中","高")),IF(O290&lt;5,"中","高"))))),IF(OR(J290="EO",J290="EQ"),IF(OR(Y290="估算法",Y290="算法类"),"中",IF(Y290="无法识别","低",IF(M290&lt;2,IF(O290&lt;20,"低","中"),IF(M290&lt;4,IF(O290&lt;6,"低",IF(O290&lt;20,"中","高")),IF(O290&lt;6,"中","高"))))),IF(OR(J290="ILF",J290="EIF"),IF(OR(Y290="估算法",Y290="算法类",Y290="无法识别"),"低",IF(N290&lt;2,IF(O290&lt;51,"低","中"),IF(N290&lt;6,IF(O290&lt;20,"低",IF(O290&lt;51,"中","高")),IF(O290&lt;20,"中","高")))),"不计算")))</f>
        <v/>
      </c>
      <c r="Q290" s="172">
        <f>IFERROR(IF(J290="EI",IF(P290="低",3,IF(P290="中",4,6)),IF(J290="EO",IF(P290="低",4,IF(P290="中",5,7)),IF(J290="EQ",IF(P290="低",3,IF(P290="中",4,6)),IF(J290="ILF",IF(P290="低",7,IF(P290="中",10,15)),IF(J290="EIF",IF(P290="低",5,IF(P290="中",7,10)),"不计算")))))*R290,"不计算")</f>
        <v/>
      </c>
      <c r="R290" s="172" t="n">
        <v>0</v>
      </c>
      <c r="S290" s="173">
        <f>调整因子!$F$13</f>
        <v/>
      </c>
      <c r="T290" s="92" t="n">
        <v>1</v>
      </c>
      <c r="U290" s="174">
        <f>IFERROR(Q290*S290,0)</f>
        <v/>
      </c>
      <c r="V290" s="174">
        <f>U290*T290</f>
        <v/>
      </c>
      <c r="W290" s="91" t="n"/>
      <c r="X290" s="90" t="inlineStr">
        <is>
          <t>表单定义内容表</t>
        </is>
      </c>
      <c r="Y290" s="90" t="inlineStr">
        <is>
          <t>表单定义内容表{内容ID、表单定义ID、内容、创建时间}</t>
        </is>
      </c>
      <c r="Z290" s="90">
        <f>IF(COUNTIFS(W:W,"*"&amp;I290&amp;"*")&gt;0,"存在","不存在")</f>
        <v/>
      </c>
      <c r="AA290" s="90">
        <f>IF(COUNTIFS(AB:AB,"*"&amp;I290&amp;"*")&gt;0,"存在","不存在")</f>
        <v/>
      </c>
      <c r="AB290" s="103" t="inlineStr">
        <is>
          <t>修复步骤表</t>
        </is>
      </c>
      <c r="AC290" s="66" t="n"/>
    </row>
    <row r="291" s="112">
      <c r="A291" s="72">
        <f>ROW()-1</f>
        <v/>
      </c>
      <c r="B291" s="175" t="n"/>
      <c r="C291" s="80" t="n">
        <v>2025</v>
      </c>
      <c r="D291" s="80" t="inlineStr">
        <is>
          <t>张明峰</t>
        </is>
      </c>
      <c r="E291" s="81">
        <f>VLOOKUP(I291,'25年交付功能（不含废弃）'!A:A,1,FALSE)</f>
        <v/>
      </c>
      <c r="F291" s="175" t="n"/>
      <c r="G291" s="175" t="n"/>
      <c r="H291" s="175" t="n"/>
      <c r="I291" s="98" t="inlineStr">
        <is>
          <t>表单定义表</t>
        </is>
      </c>
      <c r="J291" s="93" t="inlineStr">
        <is>
          <t>ILF</t>
        </is>
      </c>
      <c r="K291" s="110" t="inlineStr">
        <is>
          <t>删除</t>
        </is>
      </c>
      <c r="L291" s="84" t="inlineStr">
        <is>
          <t>数据库表未被本系统所维护</t>
        </is>
      </c>
      <c r="M291" s="85">
        <f>IF(OR(Y291="估算法",Y291="算法类",Y291="无法识别"),"",IF(W291="",IF(OR(J291="EI",J291="EO",J291="EQ"),0,""),LEN(W291)-LEN(SUBSTITUTE(W291,"、",""))+1))</f>
        <v/>
      </c>
      <c r="N291" s="85">
        <f>IF(OR(Y291="估算法",Y291="算法类",Y291="无法识别"),"",IF(X291="",IF(OR(J291="ILF",J291="EIF"),0,""),LEN(X291)-LEN(SUBSTITUTE(X291,"、",""))+1))</f>
        <v/>
      </c>
      <c r="O291" s="85">
        <f>IF(OR(Y291="估算法",Y291="算法类",Y291="无法识别"),"",IF(Y291="",IF(OR(J291="ILF",J291="EIF",J291="EI",J291="EO",J291="EQ"),0,""),LEN(Y291)-LEN(SUBSTITUTE(SUBSTITUTE(SUBSTITUTE(SUBSTITUTE(SUBSTITUTE(Y291,"|}","--"),"{|","--"),CHAR(10),""),"、",""),"|",""))+IF(AND(OR(J291="EI",J291="EO",J291="EQ"),$AE$1="NESMA"),2,1)))</f>
        <v/>
      </c>
      <c r="P291" s="86">
        <f>IF(J291="EI",IF(OR(Y291="估算法",Y291="算法类"),"中",IF(Y291="无法识别","低",IF(M291&lt;2,IF(O291&lt;16,"低","中"),IF(M291&lt;3,IF(O291&lt;5,"低",IF(O291&lt;16,"中","高")),IF(O291&lt;5,"中","高"))))),IF(OR(J291="EO",J291="EQ"),IF(OR(Y291="估算法",Y291="算法类"),"中",IF(Y291="无法识别","低",IF(M291&lt;2,IF(O291&lt;20,"低","中"),IF(M291&lt;4,IF(O291&lt;6,"低",IF(O291&lt;20,"中","高")),IF(O291&lt;6,"中","高"))))),IF(OR(J291="ILF",J291="EIF"),IF(OR(Y291="估算法",Y291="算法类",Y291="无法识别"),"低",IF(N291&lt;2,IF(O291&lt;51,"低","中"),IF(N291&lt;6,IF(O291&lt;20,"低",IF(O291&lt;51,"中","高")),IF(O291&lt;20,"中","高")))),"不计算")))</f>
        <v/>
      </c>
      <c r="Q291" s="172">
        <f>IFERROR(IF(J291="EI",IF(P291="低",3,IF(P291="中",4,6)),IF(J291="EO",IF(P291="低",4,IF(P291="中",5,7)),IF(J291="EQ",IF(P291="低",3,IF(P291="中",4,6)),IF(J291="ILF",IF(P291="低",7,IF(P291="中",10,15)),IF(J291="EIF",IF(P291="低",5,IF(P291="中",7,10)),"不计算")))))*R291,"不计算")</f>
        <v/>
      </c>
      <c r="R291" s="172" t="n">
        <v>0</v>
      </c>
      <c r="S291" s="173">
        <f>调整因子!$F$13</f>
        <v/>
      </c>
      <c r="T291" s="93" t="n">
        <v>1</v>
      </c>
      <c r="U291" s="174">
        <f>IFERROR(Q291*S291,0)</f>
        <v/>
      </c>
      <c r="V291" s="174">
        <f>U291*T291</f>
        <v/>
      </c>
      <c r="W291" s="91" t="n"/>
      <c r="X291" s="90" t="inlineStr">
        <is>
          <t>表单定义内容表、表单定义表、表单定义历史表、表单定义单元表</t>
        </is>
      </c>
      <c r="Y291" s="90" t="inlineStr">
        <is>
          <t>内容ID、表单定义ID、内容、创建时间、表单ID、表单名称、描述、历史ID、历史内容、单元ID、单元名称</t>
        </is>
      </c>
      <c r="Z291" s="90">
        <f>IF(COUNTIFS(W:W,"*"&amp;I291&amp;"*")&gt;0,"存在","不存在")</f>
        <v/>
      </c>
      <c r="AA291" s="90">
        <f>IF(COUNTIFS(AB:AB,"*"&amp;I291&amp;"*")&gt;0,"存在","不存在")</f>
        <v/>
      </c>
      <c r="AB291" s="103" t="inlineStr">
        <is>
          <t>漏洞查询接口配置表、标签定义表</t>
        </is>
      </c>
      <c r="AC291" s="66" t="n"/>
    </row>
    <row r="292" s="112">
      <c r="A292" s="72">
        <f>ROW()-1</f>
        <v/>
      </c>
      <c r="B292" s="175" t="n"/>
      <c r="C292" s="80" t="n">
        <v>2025</v>
      </c>
      <c r="D292" s="80" t="inlineStr">
        <is>
          <t>张明峰</t>
        </is>
      </c>
      <c r="E292" s="81">
        <f>VLOOKUP(I292,'25年交付功能（不含废弃）'!A:A,1,FALSE)</f>
        <v/>
      </c>
      <c r="F292" s="175" t="n"/>
      <c r="G292" s="175" t="n"/>
      <c r="H292" s="175" t="n"/>
      <c r="I292" s="98" t="inlineStr">
        <is>
          <t>表单定义历史表</t>
        </is>
      </c>
      <c r="J292" s="93" t="inlineStr">
        <is>
          <t>ILF</t>
        </is>
      </c>
      <c r="K292" s="110" t="inlineStr">
        <is>
          <t>删除</t>
        </is>
      </c>
      <c r="L292" s="84" t="inlineStr">
        <is>
          <t>数据库表未被本系统所维护</t>
        </is>
      </c>
      <c r="M292" s="85">
        <f>IF(OR(Y292="估算法",Y292="算法类",Y292="无法识别"),"",IF(W292="",IF(OR(J292="EI",J292="EO",J292="EQ"),0,""),LEN(W292)-LEN(SUBSTITUTE(W292,"、",""))+1))</f>
        <v/>
      </c>
      <c r="N292" s="85">
        <f>IF(OR(Y292="估算法",Y292="算法类",Y292="无法识别"),"",IF(X292="",IF(OR(J292="ILF",J292="EIF"),0,""),LEN(X292)-LEN(SUBSTITUTE(X292,"、",""))+1))</f>
        <v/>
      </c>
      <c r="O292" s="85">
        <f>IF(OR(Y292="估算法",Y292="算法类",Y292="无法识别"),"",IF(Y292="",IF(OR(J292="ILF",J292="EIF",J292="EI",J292="EO",J292="EQ"),0,""),LEN(Y292)-LEN(SUBSTITUTE(SUBSTITUTE(SUBSTITUTE(SUBSTITUTE(SUBSTITUTE(Y292,"|}","--"),"{|","--"),CHAR(10),""),"、",""),"|",""))+IF(AND(OR(J292="EI",J292="EO",J292="EQ"),$AE$1="NESMA"),2,1)))</f>
        <v/>
      </c>
      <c r="P292" s="86">
        <f>IF(J292="EI",IF(OR(Y292="估算法",Y292="算法类"),"中",IF(Y292="无法识别","低",IF(M292&lt;2,IF(O292&lt;16,"低","中"),IF(M292&lt;3,IF(O292&lt;5,"低",IF(O292&lt;16,"中","高")),IF(O292&lt;5,"中","高"))))),IF(OR(J292="EO",J292="EQ"),IF(OR(Y292="估算法",Y292="算法类"),"中",IF(Y292="无法识别","低",IF(M292&lt;2,IF(O292&lt;20,"低","中"),IF(M292&lt;4,IF(O292&lt;6,"低",IF(O292&lt;20,"中","高")),IF(O292&lt;6,"中","高"))))),IF(OR(J292="ILF",J292="EIF"),IF(OR(Y292="估算法",Y292="算法类",Y292="无法识别"),"低",IF(N292&lt;2,IF(O292&lt;51,"低","中"),IF(N292&lt;6,IF(O292&lt;20,"低",IF(O292&lt;51,"中","高")),IF(O292&lt;20,"中","高")))),"不计算")))</f>
        <v/>
      </c>
      <c r="Q292" s="172">
        <f>IFERROR(IF(J292="EI",IF(P292="低",3,IF(P292="中",4,6)),IF(J292="EO",IF(P292="低",4,IF(P292="中",5,7)),IF(J292="EQ",IF(P292="低",3,IF(P292="中",4,6)),IF(J292="ILF",IF(P292="低",7,IF(P292="中",10,15)),IF(J292="EIF",IF(P292="低",5,IF(P292="中",7,10)),"不计算")))))*R292,"不计算")</f>
        <v/>
      </c>
      <c r="R292" s="172" t="n">
        <v>0</v>
      </c>
      <c r="S292" s="173">
        <f>调整因子!$F$13</f>
        <v/>
      </c>
      <c r="T292" s="92" t="n">
        <v>1</v>
      </c>
      <c r="U292" s="174">
        <f>IFERROR(Q292*S292,0)</f>
        <v/>
      </c>
      <c r="V292" s="174">
        <f>U292*T292</f>
        <v/>
      </c>
      <c r="W292" s="91" t="n"/>
      <c r="X292" s="90" t="inlineStr">
        <is>
          <t>表单定义历史表</t>
        </is>
      </c>
      <c r="Y292" s="90" t="inlineStr">
        <is>
          <t>表单定义历史表{历史ID、表单ID、历史内容、创建时间}</t>
        </is>
      </c>
      <c r="Z292" s="90">
        <f>IF(COUNTIFS(W:W,"*"&amp;I292&amp;"*")&gt;0,"存在","不存在")</f>
        <v/>
      </c>
      <c r="AA292" s="90">
        <f>IF(COUNTIFS(AB:AB,"*"&amp;I292&amp;"*")&gt;0,"存在","不存在")</f>
        <v/>
      </c>
      <c r="AB292" s="103" t="inlineStr">
        <is>
          <t>任务优先级配置表</t>
        </is>
      </c>
      <c r="AC292" s="66" t="n"/>
    </row>
    <row r="293" s="112">
      <c r="A293" s="72">
        <f>ROW()-1</f>
        <v/>
      </c>
      <c r="B293" s="175" t="n"/>
      <c r="C293" s="80" t="n">
        <v>2025</v>
      </c>
      <c r="D293" s="80" t="inlineStr">
        <is>
          <t>张明峰</t>
        </is>
      </c>
      <c r="E293" s="81">
        <f>VLOOKUP(I293,'25年交付功能（不含废弃）'!A:A,1,FALSE)</f>
        <v/>
      </c>
      <c r="F293" s="175" t="n"/>
      <c r="G293" s="175" t="n"/>
      <c r="H293" s="175" t="n"/>
      <c r="I293" s="98" t="inlineStr">
        <is>
          <t>表单定义单元表</t>
        </is>
      </c>
      <c r="J293" s="93" t="inlineStr">
        <is>
          <t>ILF</t>
        </is>
      </c>
      <c r="K293" s="110" t="inlineStr">
        <is>
          <t>删除</t>
        </is>
      </c>
      <c r="L293" s="84" t="inlineStr">
        <is>
          <t>数据库表未被本系统所维护</t>
        </is>
      </c>
      <c r="M293" s="85">
        <f>IF(OR(Y293="估算法",Y293="算法类",Y293="无法识别"),"",IF(W293="",IF(OR(J293="EI",J293="EO",J293="EQ"),0,""),LEN(W293)-LEN(SUBSTITUTE(W293,"、",""))+1))</f>
        <v/>
      </c>
      <c r="N293" s="85">
        <f>IF(OR(Y293="估算法",Y293="算法类",Y293="无法识别"),"",IF(X293="",IF(OR(J293="ILF",J293="EIF"),0,""),LEN(X293)-LEN(SUBSTITUTE(X293,"、",""))+1))</f>
        <v/>
      </c>
      <c r="O293" s="85">
        <f>IF(OR(Y293="估算法",Y293="算法类",Y293="无法识别"),"",IF(Y293="",IF(OR(J293="ILF",J293="EIF",J293="EI",J293="EO",J293="EQ"),0,""),LEN(Y293)-LEN(SUBSTITUTE(SUBSTITUTE(SUBSTITUTE(SUBSTITUTE(SUBSTITUTE(Y293,"|}","--"),"{|","--"),CHAR(10),""),"、",""),"|",""))+IF(AND(OR(J293="EI",J293="EO",J293="EQ"),$AE$1="NESMA"),2,1)))</f>
        <v/>
      </c>
      <c r="P293" s="86">
        <f>IF(J293="EI",IF(OR(Y293="估算法",Y293="算法类"),"中",IF(Y293="无法识别","低",IF(M293&lt;2,IF(O293&lt;16,"低","中"),IF(M293&lt;3,IF(O293&lt;5,"低",IF(O293&lt;16,"中","高")),IF(O293&lt;5,"中","高"))))),IF(OR(J293="EO",J293="EQ"),IF(OR(Y293="估算法",Y293="算法类"),"中",IF(Y293="无法识别","低",IF(M293&lt;2,IF(O293&lt;20,"低","中"),IF(M293&lt;4,IF(O293&lt;6,"低",IF(O293&lt;20,"中","高")),IF(O293&lt;6,"中","高"))))),IF(OR(J293="ILF",J293="EIF"),IF(OR(Y293="估算法",Y293="算法类",Y293="无法识别"),"低",IF(N293&lt;2,IF(O293&lt;51,"低","中"),IF(N293&lt;6,IF(O293&lt;20,"低",IF(O293&lt;51,"中","高")),IF(O293&lt;20,"中","高")))),"不计算")))</f>
        <v/>
      </c>
      <c r="Q293" s="172">
        <f>IFERROR(IF(J293="EI",IF(P293="低",3,IF(P293="中",4,6)),IF(J293="EO",IF(P293="低",4,IF(P293="中",5,7)),IF(J293="EQ",IF(P293="低",3,IF(P293="中",4,6)),IF(J293="ILF",IF(P293="低",7,IF(P293="中",10,15)),IF(J293="EIF",IF(P293="低",5,IF(P293="中",7,10)),"不计算")))))*R293,"不计算")</f>
        <v/>
      </c>
      <c r="R293" s="172" t="n">
        <v>0</v>
      </c>
      <c r="S293" s="173">
        <f>调整因子!$F$13</f>
        <v/>
      </c>
      <c r="T293" s="92" t="n">
        <v>1</v>
      </c>
      <c r="U293" s="174">
        <f>IFERROR(Q293*S293,0)</f>
        <v/>
      </c>
      <c r="V293" s="174">
        <f>U293*T293</f>
        <v/>
      </c>
      <c r="W293" s="91" t="n"/>
      <c r="X293" s="90" t="inlineStr">
        <is>
          <t>表单定义单元表</t>
        </is>
      </c>
      <c r="Y293" s="90" t="inlineStr">
        <is>
          <t>表单定义单元表{单元ID、表单ID、单元名称、描述}</t>
        </is>
      </c>
      <c r="Z293" s="90">
        <f>IF(COUNTIFS(W:W,"*"&amp;I293&amp;"*")&gt;0,"存在","不存在")</f>
        <v/>
      </c>
      <c r="AA293" s="90">
        <f>IF(COUNTIFS(AB:AB,"*"&amp;I293&amp;"*")&gt;0,"存在","不存在")</f>
        <v/>
      </c>
      <c r="AB293" s="103" t="inlineStr">
        <is>
          <t>任务日志表</t>
        </is>
      </c>
      <c r="AC293" s="66" t="n"/>
    </row>
    <row r="294" s="112">
      <c r="A294" s="72">
        <f>ROW()-1</f>
        <v/>
      </c>
      <c r="B294" s="175" t="n"/>
      <c r="C294" s="80" t="n">
        <v>2025</v>
      </c>
      <c r="D294" s="80" t="inlineStr">
        <is>
          <t>张明峰</t>
        </is>
      </c>
      <c r="E294" s="81">
        <f>VLOOKUP(I294,'25年交付功能（不含废弃）'!A:A,1,FALSE)</f>
        <v/>
      </c>
      <c r="F294" s="175" t="n"/>
      <c r="G294" s="175" t="n"/>
      <c r="H294" s="175" t="n"/>
      <c r="I294" s="98" t="inlineStr">
        <is>
          <t>表单类型表</t>
        </is>
      </c>
      <c r="J294" s="93" t="inlineStr">
        <is>
          <t>ILF</t>
        </is>
      </c>
      <c r="K294" s="110" t="inlineStr">
        <is>
          <t>删除</t>
        </is>
      </c>
      <c r="L294" s="84" t="inlineStr">
        <is>
          <t>数据库表未被本系统所维护</t>
        </is>
      </c>
      <c r="M294" s="85">
        <f>IF(OR(Y294="估算法",Y294="算法类",Y294="无法识别"),"",IF(W294="",IF(OR(J294="EI",J294="EO",J294="EQ"),0,""),LEN(W294)-LEN(SUBSTITUTE(W294,"、",""))+1))</f>
        <v/>
      </c>
      <c r="N294" s="85">
        <f>IF(OR(Y294="估算法",Y294="算法类",Y294="无法识别"),"",IF(X294="",IF(OR(J294="ILF",J294="EIF"),0,""),LEN(X294)-LEN(SUBSTITUTE(X294,"、",""))+1))</f>
        <v/>
      </c>
      <c r="O294" s="85">
        <f>IF(OR(Y294="估算法",Y294="算法类",Y294="无法识别"),"",IF(Y294="",IF(OR(J294="ILF",J294="EIF",J294="EI",J294="EO",J294="EQ"),0,""),LEN(Y294)-LEN(SUBSTITUTE(SUBSTITUTE(SUBSTITUTE(SUBSTITUTE(SUBSTITUTE(Y294,"|}","--"),"{|","--"),CHAR(10),""),"、",""),"|",""))+IF(AND(OR(J294="EI",J294="EO",J294="EQ"),$AE$1="NESMA"),2,1)))</f>
        <v/>
      </c>
      <c r="P294" s="86">
        <f>IF(J294="EI",IF(OR(Y294="估算法",Y294="算法类"),"中",IF(Y294="无法识别","低",IF(M294&lt;2,IF(O294&lt;16,"低","中"),IF(M294&lt;3,IF(O294&lt;5,"低",IF(O294&lt;16,"中","高")),IF(O294&lt;5,"中","高"))))),IF(OR(J294="EO",J294="EQ"),IF(OR(Y294="估算法",Y294="算法类"),"中",IF(Y294="无法识别","低",IF(M294&lt;2,IF(O294&lt;20,"低","中"),IF(M294&lt;4,IF(O294&lt;6,"低",IF(O294&lt;20,"中","高")),IF(O294&lt;6,"中","高"))))),IF(OR(J294="ILF",J294="EIF"),IF(OR(Y294="估算法",Y294="算法类",Y294="无法识别"),"低",IF(N294&lt;2,IF(O294&lt;51,"低","中"),IF(N294&lt;6,IF(O294&lt;20,"低",IF(O294&lt;51,"中","高")),IF(O294&lt;20,"中","高")))),"不计算")))</f>
        <v/>
      </c>
      <c r="Q294" s="172">
        <f>IFERROR(IF(J294="EI",IF(P294="低",3,IF(P294="中",4,6)),IF(J294="EO",IF(P294="低",4,IF(P294="中",5,7)),IF(J294="EQ",IF(P294="低",3,IF(P294="中",4,6)),IF(J294="ILF",IF(P294="低",7,IF(P294="中",10,15)),IF(J294="EIF",IF(P294="低",5,IF(P294="中",7,10)),"不计算")))))*R294,"不计算")</f>
        <v/>
      </c>
      <c r="R294" s="172" t="n">
        <v>0</v>
      </c>
      <c r="S294" s="173">
        <f>调整因子!$F$13</f>
        <v/>
      </c>
      <c r="T294" s="93" t="n">
        <v>1</v>
      </c>
      <c r="U294" s="174">
        <f>IFERROR(Q294*S294,0)</f>
        <v/>
      </c>
      <c r="V294" s="174">
        <f>U294*T294</f>
        <v/>
      </c>
      <c r="W294" s="91" t="n"/>
      <c r="X294" s="90" t="inlineStr">
        <is>
          <t>表单类型表</t>
        </is>
      </c>
      <c r="Y294" s="90" t="inlineStr">
        <is>
          <t>表单类型表{类型ID、类型名称、描述}</t>
        </is>
      </c>
      <c r="Z294" s="90">
        <f>IF(COUNTIFS(W:W,"*"&amp;I294&amp;"*")&gt;0,"存在","不存在")</f>
        <v/>
      </c>
      <c r="AA294" s="90">
        <f>IF(COUNTIFS(AB:AB,"*"&amp;I294&amp;"*")&gt;0,"存在","不存在")</f>
        <v/>
      </c>
      <c r="AB294" s="103" t="inlineStr">
        <is>
          <t>报告导入记录表、任务趋势分析表</t>
        </is>
      </c>
      <c r="AC294" s="66" t="n"/>
    </row>
    <row r="295" s="112">
      <c r="A295" s="72" t="n"/>
      <c r="B295" s="175" t="n"/>
      <c r="C295" s="80" t="n"/>
      <c r="D295" s="80" t="inlineStr">
        <is>
          <t>张明峰</t>
        </is>
      </c>
      <c r="E295" s="81" t="n"/>
      <c r="F295" s="175" t="n"/>
      <c r="G295" s="175" t="n"/>
      <c r="H295" s="175" t="n"/>
      <c r="I295" s="98" t="inlineStr">
        <is>
          <t>原理检测插件审核单表</t>
        </is>
      </c>
      <c r="J295" s="93" t="inlineStr">
        <is>
          <t>ILF</t>
        </is>
      </c>
      <c r="K295" s="99" t="inlineStr">
        <is>
          <t>新增</t>
        </is>
      </c>
      <c r="L295" s="84" t="n"/>
      <c r="M295" s="85" t="n"/>
      <c r="N295" s="85">
        <f>IF(OR(Y295="估算法",Y295="算法类",Y295="无法识别"),"",IF(X295="",IF(OR(J295="ILF",J295="EIF"),0,""),LEN(X295)-LEN(SUBSTITUTE(X295,"、",""))+1))</f>
        <v/>
      </c>
      <c r="O295" s="85">
        <f>IF(OR(Y295="估算法",Y295="算法类",Y295="无法识别"),"",IF(Y295="",IF(OR(J295="ILF",J295="EIF",J295="EI",J295="EO",J295="EQ"),0,""),LEN(Y295)-LEN(SUBSTITUTE(SUBSTITUTE(SUBSTITUTE(SUBSTITUTE(SUBSTITUTE(Y295,"|}","--"),"{|","--"),CHAR(10),""),"、",""),"|",""))+IF(AND(OR(J295="EI",J295="EO",J295="EQ"),$AE$1="NESMA"),2,1)))</f>
        <v/>
      </c>
      <c r="P295" s="86">
        <f>IF(J295="EI",IF(OR(Y295="估算法",Y295="算法类"),"中",IF(Y295="无法识别","低",IF(M295&lt;2,IF(O295&lt;16,"低","中"),IF(M295&lt;3,IF(O295&lt;5,"低",IF(O295&lt;16,"中","高")),IF(O295&lt;5,"中","高"))))),IF(OR(J295="EO",J295="EQ"),IF(OR(Y295="估算法",Y295="算法类"),"中",IF(Y295="无法识别","低",IF(M295&lt;2,IF(O295&lt;20,"低","中"),IF(M295&lt;4,IF(O295&lt;6,"低",IF(O295&lt;20,"中","高")),IF(O295&lt;6,"中","高"))))),IF(OR(J295="ILF",J295="EIF"),IF(OR(Y295="估算法",Y295="算法类",Y295="无法识别"),"低",IF(N295&lt;2,IF(O295&lt;51,"低","中"),IF(N295&lt;6,IF(O295&lt;20,"低",IF(O295&lt;51,"中","高")),IF(O295&lt;20,"中","高")))),"不计算")))</f>
        <v/>
      </c>
      <c r="Q295" s="172">
        <f>IFERROR(IF(J295="EI",IF(P295="低",3,IF(P295="中",4,6)),IF(J295="EO",IF(P295="低",4,IF(P295="中",5,7)),IF(J295="EQ",IF(P295="低",3,IF(P295="中",4,6)),IF(J295="ILF",IF(P295="低",7,IF(P295="中",10,15)),IF(J295="EIF",IF(P295="低",5,IF(P295="中",7,10)),"不计算")))))*R295,"不计算")</f>
        <v/>
      </c>
      <c r="R295" s="172" t="n">
        <v>1</v>
      </c>
      <c r="S295" s="173">
        <f>调整因子!$F$13</f>
        <v/>
      </c>
      <c r="T295" s="92" t="n">
        <v>1</v>
      </c>
      <c r="U295" s="174">
        <f>IFERROR(Q295*S295,0)</f>
        <v/>
      </c>
      <c r="V295" s="174">
        <f>U295*T295</f>
        <v/>
      </c>
      <c r="W295" s="90" t="n"/>
      <c r="X295" s="90" t="inlineStr">
        <is>
          <t>原理检测插件审核单表</t>
        </is>
      </c>
      <c r="Y295" s="90" t="inlineStr">
        <is>
          <t>原理检测插件审核单表{审核单编号、插件编号、插件版本号、审核类型、申请人编号、申请时间、审核单状态、关联任务编号、备注}</t>
        </is>
      </c>
      <c r="Z295" s="90" t="n"/>
      <c r="AA295" s="90" t="n"/>
      <c r="AB295" s="103" t="n"/>
      <c r="AC295" s="66" t="n"/>
    </row>
    <row r="296" s="112">
      <c r="A296" s="72" t="n"/>
      <c r="B296" s="175" t="n"/>
      <c r="C296" s="80" t="n"/>
      <c r="D296" s="80" t="inlineStr">
        <is>
          <t>张明峰</t>
        </is>
      </c>
      <c r="E296" s="81" t="n"/>
      <c r="F296" s="175" t="n"/>
      <c r="G296" s="175" t="n"/>
      <c r="H296" s="175" t="n"/>
      <c r="I296" s="98" t="inlineStr">
        <is>
          <t>插件审核内容安全检测表</t>
        </is>
      </c>
      <c r="J296" s="93" t="inlineStr">
        <is>
          <t>ILF</t>
        </is>
      </c>
      <c r="K296" s="99" t="inlineStr">
        <is>
          <t>新增</t>
        </is>
      </c>
      <c r="L296" s="84" t="n"/>
      <c r="M296" s="85" t="n"/>
      <c r="N296" s="85">
        <f>IF(OR(Y296="估算法",Y296="算法类",Y296="无法识别"),"",IF(X296="",IF(OR(J296="ILF",J296="EIF"),0,""),LEN(X296)-LEN(SUBSTITUTE(X296,"、",""))+1))</f>
        <v/>
      </c>
      <c r="O296" s="85">
        <f>IF(OR(Y296="估算法",Y296="算法类",Y296="无法识别"),"",IF(Y296="",IF(OR(J296="ILF",J296="EIF",J296="EI",J296="EO",J296="EQ"),0,""),LEN(Y296)-LEN(SUBSTITUTE(SUBSTITUTE(SUBSTITUTE(SUBSTITUTE(SUBSTITUTE(Y296,"|}","--"),"{|","--"),CHAR(10),""),"、",""),"|",""))+IF(AND(OR(J296="EI",J296="EO",J296="EQ"),$AE$1="NESMA"),2,1)))</f>
        <v/>
      </c>
      <c r="P296" s="86">
        <f>IF(J296="EI",IF(OR(Y296="估算法",Y296="算法类"),"中",IF(Y296="无法识别","低",IF(M296&lt;2,IF(O296&lt;16,"低","中"),IF(M296&lt;3,IF(O296&lt;5,"低",IF(O296&lt;16,"中","高")),IF(O296&lt;5,"中","高"))))),IF(OR(J296="EO",J296="EQ"),IF(OR(Y296="估算法",Y296="算法类"),"中",IF(Y296="无法识别","低",IF(M296&lt;2,IF(O296&lt;20,"低","中"),IF(M296&lt;4,IF(O296&lt;6,"低",IF(O296&lt;20,"中","高")),IF(O296&lt;6,"中","高"))))),IF(OR(J296="ILF",J296="EIF"),IF(OR(Y296="估算法",Y296="算法类",Y296="无法识别"),"低",IF(N296&lt;2,IF(O296&lt;51,"低","中"),IF(N296&lt;6,IF(O296&lt;20,"低",IF(O296&lt;51,"中","高")),IF(O296&lt;20,"中","高")))),"不计算")))</f>
        <v/>
      </c>
      <c r="Q296" s="172">
        <f>IFERROR(IF(J296="EI",IF(P296="低",3,IF(P296="中",4,6)),IF(J296="EO",IF(P296="低",4,IF(P296="中",5,7)),IF(J296="EQ",IF(P296="低",3,IF(P296="中",4,6)),IF(J296="ILF",IF(P296="低",7,IF(P296="中",10,15)),IF(J296="EIF",IF(P296="低",5,IF(P296="中",7,10)),"不计算")))))*R296,"不计算")</f>
        <v/>
      </c>
      <c r="R296" s="172" t="n">
        <v>1</v>
      </c>
      <c r="S296" s="173">
        <f>调整因子!$F$13</f>
        <v/>
      </c>
      <c r="T296" s="92" t="n">
        <v>1</v>
      </c>
      <c r="U296" s="174">
        <f>IFERROR(Q296*S296,0)</f>
        <v/>
      </c>
      <c r="V296" s="174">
        <f>U296*T296</f>
        <v/>
      </c>
      <c r="W296" s="90" t="n"/>
      <c r="X296" s="90" t="inlineStr">
        <is>
          <t>插件审核内容安全检测表</t>
        </is>
      </c>
      <c r="Y296" s="90" t="inlineStr">
        <is>
          <t>插件内容安全检测表{检测记录编号、审核单编号、插件编号、插件版本号、检测时间、检测结论、检测报告路径或摘要、检测人编号或检测引擎标识}</t>
        </is>
      </c>
      <c r="Z296" s="90" t="n"/>
      <c r="AA296" s="90" t="n"/>
      <c r="AB296" s="103" t="n"/>
      <c r="AC296" s="66" t="n"/>
    </row>
    <row r="297" s="112">
      <c r="A297" s="72" t="n"/>
      <c r="B297" s="175" t="n"/>
      <c r="C297" s="80" t="n"/>
      <c r="D297" s="80" t="inlineStr">
        <is>
          <t>张明峰</t>
        </is>
      </c>
      <c r="E297" s="81" t="n"/>
      <c r="F297" s="175" t="n"/>
      <c r="G297" s="175" t="n"/>
      <c r="H297" s="175" t="n"/>
      <c r="I297" s="98" t="inlineStr">
        <is>
          <t>插件编译表</t>
        </is>
      </c>
      <c r="J297" s="93" t="inlineStr">
        <is>
          <t>ILF</t>
        </is>
      </c>
      <c r="K297" s="99" t="inlineStr">
        <is>
          <t>新增</t>
        </is>
      </c>
      <c r="L297" s="84" t="n"/>
      <c r="M297" s="85" t="n"/>
      <c r="N297" s="85">
        <f>IF(OR(Y297="估算法",Y297="算法类",Y297="无法识别"),"",IF(X297="",IF(OR(J297="ILF",J297="EIF"),0,""),LEN(X297)-LEN(SUBSTITUTE(X297,"、",""))+1))</f>
        <v/>
      </c>
      <c r="O297" s="85">
        <f>IF(OR(Y297="估算法",Y297="算法类",Y297="无法识别"),"",IF(Y297="",IF(OR(J297="ILF",J297="EIF",J297="EI",J297="EO",J297="EQ"),0,""),LEN(Y297)-LEN(SUBSTITUTE(SUBSTITUTE(SUBSTITUTE(SUBSTITUTE(SUBSTITUTE(Y297,"|}","--"),"{|","--"),CHAR(10),""),"、",""),"|",""))+IF(AND(OR(J297="EI",J297="EO",J297="EQ"),$AE$1="NESMA"),2,1)))</f>
        <v/>
      </c>
      <c r="P297" s="86">
        <f>IF(J297="EI",IF(OR(Y297="估算法",Y297="算法类"),"中",IF(Y297="无法识别","低",IF(M297&lt;2,IF(O297&lt;16,"低","中"),IF(M297&lt;3,IF(O297&lt;5,"低",IF(O297&lt;16,"中","高")),IF(O297&lt;5,"中","高"))))),IF(OR(J297="EO",J297="EQ"),IF(OR(Y297="估算法",Y297="算法类"),"中",IF(Y297="无法识别","低",IF(M297&lt;2,IF(O297&lt;20,"低","中"),IF(M297&lt;4,IF(O297&lt;6,"低",IF(O297&lt;20,"中","高")),IF(O297&lt;6,"中","高"))))),IF(OR(J297="ILF",J297="EIF"),IF(OR(Y297="估算法",Y297="算法类",Y297="无法识别"),"低",IF(N297&lt;2,IF(O297&lt;51,"低","中"),IF(N297&lt;6,IF(O297&lt;20,"低",IF(O297&lt;51,"中","高")),IF(O297&lt;20,"中","高")))),"不计算")))</f>
        <v/>
      </c>
      <c r="Q297" s="172">
        <f>IFERROR(IF(J297="EI",IF(P297="低",3,IF(P297="中",4,6)),IF(J297="EO",IF(P297="低",4,IF(P297="中",5,7)),IF(J297="EQ",IF(P297="低",3,IF(P297="中",4,6)),IF(J297="ILF",IF(P297="低",7,IF(P297="中",10,15)),IF(J297="EIF",IF(P297="低",5,IF(P297="中",7,10)),"不计算")))))*R297,"不计算")</f>
        <v/>
      </c>
      <c r="R297" s="172" t="n">
        <v>1</v>
      </c>
      <c r="S297" s="173">
        <f>调整因子!$F$13</f>
        <v/>
      </c>
      <c r="T297" s="92" t="n">
        <v>1</v>
      </c>
      <c r="U297" s="174">
        <f>IFERROR(Q297*S297,0)</f>
        <v/>
      </c>
      <c r="V297" s="174">
        <f>U297*T297</f>
        <v/>
      </c>
      <c r="W297" s="90" t="n"/>
      <c r="X297" s="90" t="inlineStr">
        <is>
          <t>插件编译表</t>
        </is>
      </c>
      <c r="Y297" s="90" t="inlineStr">
        <is>
          <t>插件编译表{编译运行记录编号、审核单编号、插件编号、插件版本号、执行时间、编译结论、运行结论、日志路径或摘要、执行环境标识}</t>
        </is>
      </c>
      <c r="Z297" s="90" t="n"/>
      <c r="AA297" s="90" t="n"/>
      <c r="AB297" s="103" t="n"/>
      <c r="AC297" s="66" t="n"/>
    </row>
    <row r="298" s="112">
      <c r="A298" s="72" t="n"/>
      <c r="B298" s="175" t="n"/>
      <c r="C298" s="80" t="n"/>
      <c r="D298" s="80" t="inlineStr">
        <is>
          <t>张明峰</t>
        </is>
      </c>
      <c r="E298" s="81" t="n"/>
      <c r="F298" s="175" t="n"/>
      <c r="G298" s="175" t="n"/>
      <c r="H298" s="175" t="n"/>
      <c r="I298" s="98" t="inlineStr">
        <is>
          <t>插件综合判定表</t>
        </is>
      </c>
      <c r="J298" s="93" t="inlineStr">
        <is>
          <t>ILF</t>
        </is>
      </c>
      <c r="K298" s="99" t="inlineStr">
        <is>
          <t>新增</t>
        </is>
      </c>
      <c r="L298" s="84" t="n"/>
      <c r="M298" s="85" t="n"/>
      <c r="N298" s="85">
        <f>IF(OR(Y298="估算法",Y298="算法类",Y298="无法识别"),"",IF(X298="",IF(OR(J298="ILF",J298="EIF"),0,""),LEN(X298)-LEN(SUBSTITUTE(X298,"、",""))+1))</f>
        <v/>
      </c>
      <c r="O298" s="85">
        <f>IF(OR(Y298="估算法",Y298="算法类",Y298="无法识别"),"",IF(Y298="",IF(OR(J298="ILF",J298="EIF",J298="EI",J298="EO",J298="EQ"),0,""),LEN(Y298)-LEN(SUBSTITUTE(SUBSTITUTE(SUBSTITUTE(SUBSTITUTE(SUBSTITUTE(Y298,"|}","--"),"{|","--"),CHAR(10),""),"、",""),"|",""))+IF(AND(OR(J298="EI",J298="EO",J298="EQ"),$AE$1="NESMA"),2,1)))</f>
        <v/>
      </c>
      <c r="P298" s="86">
        <f>IF(J298="EI",IF(OR(Y298="估算法",Y298="算法类"),"中",IF(Y298="无法识别","低",IF(M298&lt;2,IF(O298&lt;16,"低","中"),IF(M298&lt;3,IF(O298&lt;5,"低",IF(O298&lt;16,"中","高")),IF(O298&lt;5,"中","高"))))),IF(OR(J298="EO",J298="EQ"),IF(OR(Y298="估算法",Y298="算法类"),"中",IF(Y298="无法识别","低",IF(M298&lt;2,IF(O298&lt;20,"低","中"),IF(M298&lt;4,IF(O298&lt;6,"低",IF(O298&lt;20,"中","高")),IF(O298&lt;6,"中","高"))))),IF(OR(J298="ILF",J298="EIF"),IF(OR(Y298="估算法",Y298="算法类",Y298="无法识别"),"低",IF(N298&lt;2,IF(O298&lt;51,"低","中"),IF(N298&lt;6,IF(O298&lt;20,"低",IF(O298&lt;51,"中","高")),IF(O298&lt;20,"中","高")))),"不计算")))</f>
        <v/>
      </c>
      <c r="Q298" s="172">
        <f>IFERROR(IF(J298="EI",IF(P298="低",3,IF(P298="中",4,6)),IF(J298="EO",IF(P298="低",4,IF(P298="中",5,7)),IF(J298="EQ",IF(P298="低",3,IF(P298="中",4,6)),IF(J298="ILF",IF(P298="低",7,IF(P298="中",10,15)),IF(J298="EIF",IF(P298="低",5,IF(P298="中",7,10)),"不计算")))))*R298,"不计算")</f>
        <v/>
      </c>
      <c r="R298" s="172" t="n">
        <v>1</v>
      </c>
      <c r="S298" s="173">
        <f>调整因子!$F$13</f>
        <v/>
      </c>
      <c r="T298" s="92" t="n">
        <v>1</v>
      </c>
      <c r="U298" s="174">
        <f>IFERROR(Q298*S298,0)</f>
        <v/>
      </c>
      <c r="V298" s="174">
        <f>U298*T298</f>
        <v/>
      </c>
      <c r="W298" s="90" t="n"/>
      <c r="X298" s="90" t="inlineStr">
        <is>
          <t>插件综合判定表</t>
        </is>
      </c>
      <c r="Y298" s="90" t="inlineStr">
        <is>
          <t>插件综合判定表{判定记录编号、审核单编号、插件编号、插件版本号、综合状态、判定时间、判定人编号、判定说明}</t>
        </is>
      </c>
      <c r="Z298" s="90" t="n"/>
      <c r="AA298" s="90" t="n"/>
      <c r="AB298" s="103" t="n"/>
      <c r="AC298" s="66" t="n"/>
    </row>
    <row r="299" s="112">
      <c r="A299" s="72" t="n"/>
      <c r="B299" s="175" t="n"/>
      <c r="C299" s="80" t="n"/>
      <c r="D299" s="80" t="inlineStr">
        <is>
          <t>张明峰</t>
        </is>
      </c>
      <c r="E299" s="81" t="n"/>
      <c r="F299" s="175" t="n"/>
      <c r="G299" s="175" t="n"/>
      <c r="H299" s="175" t="n"/>
      <c r="I299" s="98" t="inlineStr">
        <is>
          <t>插件审计表</t>
        </is>
      </c>
      <c r="J299" s="93" t="inlineStr">
        <is>
          <t>ILF</t>
        </is>
      </c>
      <c r="K299" s="99" t="inlineStr">
        <is>
          <t>新增</t>
        </is>
      </c>
      <c r="L299" s="84" t="n"/>
      <c r="M299" s="85" t="n"/>
      <c r="N299" s="85">
        <f>IF(OR(Y299="估算法",Y299="算法类",Y299="无法识别"),"",IF(X299="",IF(OR(J299="ILF",J299="EIF"),0,""),LEN(X299)-LEN(SUBSTITUTE(X299,"、",""))+1))</f>
        <v/>
      </c>
      <c r="O299" s="85">
        <f>IF(OR(Y299="估算法",Y299="算法类",Y299="无法识别"),"",IF(Y299="",IF(OR(J299="ILF",J299="EIF",J299="EI",J299="EO",J299="EQ"),0,""),LEN(Y299)-LEN(SUBSTITUTE(SUBSTITUTE(SUBSTITUTE(SUBSTITUTE(SUBSTITUTE(Y299,"|}","--"),"{|","--"),CHAR(10),""),"、",""),"|",""))+IF(AND(OR(J299="EI",J299="EO",J299="EQ"),$AE$1="NESMA"),2,1)))</f>
        <v/>
      </c>
      <c r="P299" s="86">
        <f>IF(J299="EI",IF(OR(Y299="估算法",Y299="算法类"),"中",IF(Y299="无法识别","低",IF(M299&lt;2,IF(O299&lt;16,"低","中"),IF(M299&lt;3,IF(O299&lt;5,"低",IF(O299&lt;16,"中","高")),IF(O299&lt;5,"中","高"))))),IF(OR(J299="EO",J299="EQ"),IF(OR(Y299="估算法",Y299="算法类"),"中",IF(Y299="无法识别","低",IF(M299&lt;2,IF(O299&lt;20,"低","中"),IF(M299&lt;4,IF(O299&lt;6,"低",IF(O299&lt;20,"中","高")),IF(O299&lt;6,"中","高"))))),IF(OR(J299="ILF",J299="EIF"),IF(OR(Y299="估算法",Y299="算法类",Y299="无法识别"),"低",IF(N299&lt;2,IF(O299&lt;51,"低","中"),IF(N299&lt;6,IF(O299&lt;20,"低",IF(O299&lt;51,"中","高")),IF(O299&lt;20,"中","高")))),"不计算")))</f>
        <v/>
      </c>
      <c r="Q299" s="172">
        <f>IFERROR(IF(J299="EI",IF(P299="低",3,IF(P299="中",4,6)),IF(J299="EO",IF(P299="低",4,IF(P299="中",5,7)),IF(J299="EQ",IF(P299="低",3,IF(P299="中",4,6)),IF(J299="ILF",IF(P299="低",7,IF(P299="中",10,15)),IF(J299="EIF",IF(P299="低",5,IF(P299="中",7,10)),"不计算")))))*R299,"不计算")</f>
        <v/>
      </c>
      <c r="R299" s="172" t="n">
        <v>1</v>
      </c>
      <c r="S299" s="173">
        <f>调整因子!$F$13</f>
        <v/>
      </c>
      <c r="T299" s="92" t="n">
        <v>1</v>
      </c>
      <c r="U299" s="174">
        <f>IFERROR(Q299*S299,0)</f>
        <v/>
      </c>
      <c r="V299" s="174">
        <f>U299*T299</f>
        <v/>
      </c>
      <c r="W299" s="90" t="n"/>
      <c r="X299" s="90" t="inlineStr">
        <is>
          <t>插件审计表</t>
        </is>
      </c>
      <c r="Y299" s="90" t="inlineStr">
        <is>
          <t>插件审计表{审计记录编号、业务对象类型、业务对象编号、操作类型、操作人编号、操作时间、操作前内容、操作后内容、来源标识}</t>
        </is>
      </c>
      <c r="Z299" s="90" t="n"/>
      <c r="AA299" s="90" t="n"/>
      <c r="AB299" s="103" t="n"/>
      <c r="AC299" s="66" t="n"/>
    </row>
    <row r="300" s="112">
      <c r="A300" s="72" t="n"/>
      <c r="B300" s="175" t="n"/>
      <c r="C300" s="80" t="n"/>
      <c r="D300" s="80" t="inlineStr">
        <is>
          <t>张明峰</t>
        </is>
      </c>
      <c r="E300" s="81" t="n"/>
      <c r="F300" s="175" t="n"/>
      <c r="G300" s="175" t="n"/>
      <c r="H300" s="175" t="n"/>
      <c r="I300" s="98" t="inlineStr">
        <is>
          <t>部侧原理插件审核单表</t>
        </is>
      </c>
      <c r="J300" s="93" t="inlineStr">
        <is>
          <t>ILF</t>
        </is>
      </c>
      <c r="K300" s="99" t="inlineStr">
        <is>
          <t>新增</t>
        </is>
      </c>
      <c r="L300" s="84" t="n"/>
      <c r="M300" s="85" t="n"/>
      <c r="N300" s="85">
        <f>IF(OR(Y300="估算法",Y300="算法类",Y300="无法识别"),"",IF(X300="",IF(OR(J300="ILF",J300="EIF"),0,""),LEN(X300)-LEN(SUBSTITUTE(X300,"、",""))+1))</f>
        <v/>
      </c>
      <c r="O300" s="85">
        <f>IF(OR(Y300="估算法",Y300="算法类",Y300="无法识别"),"",IF(Y300="",IF(OR(J300="ILF",J300="EIF",J300="EI",J300="EO",J300="EQ"),0,""),LEN(Y300)-LEN(SUBSTITUTE(SUBSTITUTE(SUBSTITUTE(SUBSTITUTE(SUBSTITUTE(Y300,"|}","--"),"{|","--"),CHAR(10),""),"、",""),"|",""))+IF(AND(OR(J300="EI",J300="EO",J300="EQ"),$AE$1="NESMA"),2,1)))</f>
        <v/>
      </c>
      <c r="P300" s="86">
        <f>IF(J300="EI",IF(OR(Y300="估算法",Y300="算法类"),"中",IF(Y300="无法识别","低",IF(M300&lt;2,IF(O300&lt;16,"低","中"),IF(M300&lt;3,IF(O300&lt;5,"低",IF(O300&lt;16,"中","高")),IF(O300&lt;5,"中","高"))))),IF(OR(J300="EO",J300="EQ"),IF(OR(Y300="估算法",Y300="算法类"),"中",IF(Y300="无法识别","低",IF(M300&lt;2,IF(O300&lt;20,"低","中"),IF(M300&lt;4,IF(O300&lt;6,"低",IF(O300&lt;20,"中","高")),IF(O300&lt;6,"中","高"))))),IF(OR(J300="ILF",J300="EIF"),IF(OR(Y300="估算法",Y300="算法类",Y300="无法识别"),"低",IF(N300&lt;2,IF(O300&lt;51,"低","中"),IF(N300&lt;6,IF(O300&lt;20,"低",IF(O300&lt;51,"中","高")),IF(O300&lt;20,"中","高")))),"不计算")))</f>
        <v/>
      </c>
      <c r="Q300" s="172">
        <f>IFERROR(IF(J300="EI",IF(P300="低",3,IF(P300="中",4,6)),IF(J300="EO",IF(P300="低",4,IF(P300="中",5,7)),IF(J300="EQ",IF(P300="低",3,IF(P300="中",4,6)),IF(J300="ILF",IF(P300="低",7,IF(P300="中",10,15)),IF(J300="EIF",IF(P300="低",5,IF(P300="中",7,10)),"不计算")))))*R300,"不计算")</f>
        <v/>
      </c>
      <c r="R300" s="172" t="n">
        <v>1</v>
      </c>
      <c r="S300" s="173">
        <f>调整因子!$F$13</f>
        <v/>
      </c>
      <c r="T300" s="92" t="n">
        <v>1</v>
      </c>
      <c r="U300" s="174">
        <f>IFERROR(Q300*S300,0)</f>
        <v/>
      </c>
      <c r="V300" s="174">
        <f>U300*T300</f>
        <v/>
      </c>
      <c r="W300" s="90" t="n"/>
      <c r="X300" s="90" t="inlineStr">
        <is>
          <t>部侧原理插件审核单表</t>
        </is>
      </c>
      <c r="Y300" s="90" t="inlineStr">
        <is>
          <t>部侧原理插件审核单表{部侧审核单编号、企业侧审核单编号、插件编号、插件版本号、部侧申请时间、部侧审核单状态、部侧备注}</t>
        </is>
      </c>
      <c r="Z300" s="90" t="n"/>
      <c r="AA300" s="90" t="n"/>
      <c r="AB300" s="103" t="n"/>
      <c r="AC300" s="66" t="n"/>
    </row>
    <row r="301" s="112">
      <c r="A301" s="72" t="n"/>
      <c r="B301" s="175" t="n"/>
      <c r="C301" s="80" t="n"/>
      <c r="D301" s="80" t="inlineStr">
        <is>
          <t>张明峰</t>
        </is>
      </c>
      <c r="E301" s="81" t="n"/>
      <c r="F301" s="175" t="n"/>
      <c r="G301" s="175" t="n"/>
      <c r="H301" s="175" t="n"/>
      <c r="I301" s="98" t="inlineStr">
        <is>
          <t>部侧同步表</t>
        </is>
      </c>
      <c r="J301" s="93" t="inlineStr">
        <is>
          <t>ILF</t>
        </is>
      </c>
      <c r="K301" s="99" t="inlineStr">
        <is>
          <t>新增</t>
        </is>
      </c>
      <c r="L301" s="84" t="n"/>
      <c r="M301" s="85" t="n"/>
      <c r="N301" s="85">
        <f>IF(OR(Y301="估算法",Y301="算法类",Y301="无法识别"),"",IF(X301="",IF(OR(J301="ILF",J301="EIF"),0,""),LEN(X301)-LEN(SUBSTITUTE(X301,"、",""))+1))</f>
        <v/>
      </c>
      <c r="O301" s="85">
        <f>IF(OR(Y301="估算法",Y301="算法类",Y301="无法识别"),"",IF(Y301="",IF(OR(J301="ILF",J301="EIF",J301="EI",J301="EO",J301="EQ"),0,""),LEN(Y301)-LEN(SUBSTITUTE(SUBSTITUTE(SUBSTITUTE(SUBSTITUTE(SUBSTITUTE(Y301,"|}","--"),"{|","--"),CHAR(10),""),"、",""),"|",""))+IF(AND(OR(J301="EI",J301="EO",J301="EQ"),$AE$1="NESMA"),2,1)))</f>
        <v/>
      </c>
      <c r="P301" s="86">
        <f>IF(J301="EI",IF(OR(Y301="估算法",Y301="算法类"),"中",IF(Y301="无法识别","低",IF(M301&lt;2,IF(O301&lt;16,"低","中"),IF(M301&lt;3,IF(O301&lt;5,"低",IF(O301&lt;16,"中","高")),IF(O301&lt;5,"中","高"))))),IF(OR(J301="EO",J301="EQ"),IF(OR(Y301="估算法",Y301="算法类"),"中",IF(Y301="无法识别","低",IF(M301&lt;2,IF(O301&lt;20,"低","中"),IF(M301&lt;4,IF(O301&lt;6,"低",IF(O301&lt;20,"中","高")),IF(O301&lt;6,"中","高"))))),IF(OR(J301="ILF",J301="EIF"),IF(OR(Y301="估算法",Y301="算法类",Y301="无法识别"),"低",IF(N301&lt;2,IF(O301&lt;51,"低","中"),IF(N301&lt;6,IF(O301&lt;20,"低",IF(O301&lt;51,"中","高")),IF(O301&lt;20,"中","高")))),"不计算")))</f>
        <v/>
      </c>
      <c r="Q301" s="172">
        <f>IFERROR(IF(J301="EI",IF(P301="低",3,IF(P301="中",4,6)),IF(J301="EO",IF(P301="低",4,IF(P301="中",5,7)),IF(J301="EQ",IF(P301="低",3,IF(P301="中",4,6)),IF(J301="ILF",IF(P301="低",7,IF(P301="中",10,15)),IF(J301="EIF",IF(P301="低",5,IF(P301="中",7,10)),"不计算")))))*R301,"不计算")</f>
        <v/>
      </c>
      <c r="R301" s="172" t="n">
        <v>1</v>
      </c>
      <c r="S301" s="173">
        <f>调整因子!$F$13</f>
        <v/>
      </c>
      <c r="T301" s="92" t="n">
        <v>1</v>
      </c>
      <c r="U301" s="174">
        <f>IFERROR(Q301*S301,0)</f>
        <v/>
      </c>
      <c r="V301" s="174">
        <f>U301*T301</f>
        <v/>
      </c>
      <c r="W301" s="90" t="n"/>
      <c r="X301" s="90" t="inlineStr">
        <is>
          <t>部侧同步表</t>
        </is>
      </c>
      <c r="Y301" s="90" t="inlineStr">
        <is>
          <t>部侧同步表{同步记录编号、部侧审核单编号、企业侧审核单编号、同步时间、同步请求标识、部侧审核结论代码、部侧审核意见摘要、同步状态、失败原因}</t>
        </is>
      </c>
      <c r="Z301" s="90" t="n"/>
      <c r="AA301" s="90" t="n"/>
      <c r="AB301" s="103" t="n"/>
      <c r="AC301" s="66" t="n"/>
    </row>
    <row r="302" s="112">
      <c r="A302" s="72" t="n"/>
      <c r="B302" s="175" t="n"/>
      <c r="C302" s="80" t="n"/>
      <c r="D302" s="80" t="inlineStr">
        <is>
          <t>张明峰</t>
        </is>
      </c>
      <c r="E302" s="81" t="n"/>
      <c r="F302" s="175" t="n"/>
      <c r="G302" s="175" t="n"/>
      <c r="H302" s="175" t="n"/>
      <c r="I302" s="98" t="inlineStr">
        <is>
          <t>插件分类表</t>
        </is>
      </c>
      <c r="J302" s="93" t="inlineStr">
        <is>
          <t>ILF</t>
        </is>
      </c>
      <c r="K302" s="99" t="inlineStr">
        <is>
          <t>新增</t>
        </is>
      </c>
      <c r="L302" s="84" t="n"/>
      <c r="M302" s="85" t="n"/>
      <c r="N302" s="85">
        <f>IF(OR(Y302="估算法",Y302="算法类",Y302="无法识别"),"",IF(X302="",IF(OR(J302="ILF",J302="EIF"),0,""),LEN(X302)-LEN(SUBSTITUTE(X302,"、",""))+1))</f>
        <v/>
      </c>
      <c r="O302" s="85">
        <f>IF(OR(Y302="估算法",Y302="算法类",Y302="无法识别"),"",IF(Y302="",IF(OR(J302="ILF",J302="EIF",J302="EI",J302="EO",J302="EQ"),0,""),LEN(Y302)-LEN(SUBSTITUTE(SUBSTITUTE(SUBSTITUTE(SUBSTITUTE(SUBSTITUTE(Y302,"|}","--"),"{|","--"),CHAR(10),""),"、",""),"|",""))+IF(AND(OR(J302="EI",J302="EO",J302="EQ"),$AE$1="NESMA"),2,1)))</f>
        <v/>
      </c>
      <c r="P302" s="86">
        <f>IF(J302="EI",IF(OR(Y302="估算法",Y302="算法类"),"中",IF(Y302="无法识别","低",IF(M302&lt;2,IF(O302&lt;16,"低","中"),IF(M302&lt;3,IF(O302&lt;5,"低",IF(O302&lt;16,"中","高")),IF(O302&lt;5,"中","高"))))),IF(OR(J302="EO",J302="EQ"),IF(OR(Y302="估算法",Y302="算法类"),"中",IF(Y302="无法识别","低",IF(M302&lt;2,IF(O302&lt;20,"低","中"),IF(M302&lt;4,IF(O302&lt;6,"低",IF(O302&lt;20,"中","高")),IF(O302&lt;6,"中","高"))))),IF(OR(J302="ILF",J302="EIF"),IF(OR(Y302="估算法",Y302="算法类",Y302="无法识别"),"低",IF(N302&lt;2,IF(O302&lt;51,"低","中"),IF(N302&lt;6,IF(O302&lt;20,"低",IF(O302&lt;51,"中","高")),IF(O302&lt;20,"中","高")))),"不计算")))</f>
        <v/>
      </c>
      <c r="Q302" s="172">
        <f>IFERROR(IF(J302="EI",IF(P302="低",3,IF(P302="中",4,6)),IF(J302="EO",IF(P302="低",4,IF(P302="中",5,7)),IF(J302="EQ",IF(P302="低",3,IF(P302="中",4,6)),IF(J302="ILF",IF(P302="低",7,IF(P302="中",10,15)),IF(J302="EIF",IF(P302="低",5,IF(P302="中",7,10)),"不计算")))))*R302,"不计算")</f>
        <v/>
      </c>
      <c r="R302" s="172" t="n">
        <v>1</v>
      </c>
      <c r="S302" s="173">
        <f>调整因子!$F$13</f>
        <v/>
      </c>
      <c r="T302" s="92" t="n">
        <v>1</v>
      </c>
      <c r="U302" s="174">
        <f>IFERROR(Q302*S302,0)</f>
        <v/>
      </c>
      <c r="V302" s="174">
        <f>U302*T302</f>
        <v/>
      </c>
      <c r="W302" s="90" t="n"/>
      <c r="X302" s="90" t="inlineStr">
        <is>
          <t>插件分类表</t>
        </is>
      </c>
      <c r="Y302" s="90" t="inlineStr">
        <is>
          <t>插件分类表{分类编号、分类名称、父分类编号、排序号、说明}</t>
        </is>
      </c>
      <c r="Z302" s="90" t="n"/>
      <c r="AA302" s="90" t="n"/>
      <c r="AB302" s="103" t="n"/>
      <c r="AC302" s="66" t="n"/>
    </row>
    <row r="303" s="112">
      <c r="A303" s="72" t="n"/>
      <c r="B303" s="175" t="n"/>
      <c r="C303" s="80" t="n"/>
      <c r="D303" s="80" t="inlineStr">
        <is>
          <t>张明峰</t>
        </is>
      </c>
      <c r="E303" s="81" t="n"/>
      <c r="F303" s="175" t="n"/>
      <c r="G303" s="175" t="n"/>
      <c r="H303" s="175" t="n"/>
      <c r="I303" s="98" t="inlineStr">
        <is>
          <t>插件任务基本信息表</t>
        </is>
      </c>
      <c r="J303" s="93" t="inlineStr">
        <is>
          <t>ILF</t>
        </is>
      </c>
      <c r="K303" s="99" t="inlineStr">
        <is>
          <t>新增</t>
        </is>
      </c>
      <c r="L303" s="84" t="n"/>
      <c r="M303" s="85" t="n"/>
      <c r="N303" s="85">
        <f>IF(OR(Y303="估算法",Y303="算法类",Y303="无法识别"),"",IF(X303="",IF(OR(J303="ILF",J303="EIF"),0,""),LEN(X303)-LEN(SUBSTITUTE(X303,"、",""))+1))</f>
        <v/>
      </c>
      <c r="O303" s="85">
        <f>IF(OR(Y303="估算法",Y303="算法类",Y303="无法识别"),"",IF(Y303="",IF(OR(J303="ILF",J303="EIF",J303="EI",J303="EO",J303="EQ"),0,""),LEN(Y303)-LEN(SUBSTITUTE(SUBSTITUTE(SUBSTITUTE(SUBSTITUTE(SUBSTITUTE(Y303,"|}","--"),"{|","--"),CHAR(10),""),"、",""),"|",""))+IF(AND(OR(J303="EI",J303="EO",J303="EQ"),$AE$1="NESMA"),2,1)))</f>
        <v/>
      </c>
      <c r="P303" s="86">
        <f>IF(J303="EI",IF(OR(Y303="估算法",Y303="算法类"),"中",IF(Y303="无法识别","低",IF(M303&lt;2,IF(O303&lt;16,"低","中"),IF(M303&lt;3,IF(O303&lt;5,"低",IF(O303&lt;16,"中","高")),IF(O303&lt;5,"中","高"))))),IF(OR(J303="EO",J303="EQ"),IF(OR(Y303="估算法",Y303="算法类"),"中",IF(Y303="无法识别","低",IF(M303&lt;2,IF(O303&lt;20,"低","中"),IF(M303&lt;4,IF(O303&lt;6,"低",IF(O303&lt;20,"中","高")),IF(O303&lt;6,"中","高"))))),IF(OR(J303="ILF",J303="EIF"),IF(OR(Y303="估算法",Y303="算法类",Y303="无法识别"),"低",IF(N303&lt;2,IF(O303&lt;51,"低","中"),IF(N303&lt;6,IF(O303&lt;20,"低",IF(O303&lt;51,"中","高")),IF(O303&lt;20,"中","高")))),"不计算")))</f>
        <v/>
      </c>
      <c r="Q303" s="172">
        <f>IFERROR(IF(J303="EI",IF(P303="低",3,IF(P303="中",4,6)),IF(J303="EO",IF(P303="低",4,IF(P303="中",5,7)),IF(J303="EQ",IF(P303="低",3,IF(P303="中",4,6)),IF(J303="ILF",IF(P303="低",7,IF(P303="中",10,15)),IF(J303="EIF",IF(P303="低",5,IF(P303="中",7,10)),"不计算")))))*R303,"不计算")</f>
        <v/>
      </c>
      <c r="R303" s="172" t="n">
        <v>1</v>
      </c>
      <c r="S303" s="173">
        <f>调整因子!$F$13</f>
        <v/>
      </c>
      <c r="T303" s="92" t="n">
        <v>1</v>
      </c>
      <c r="U303" s="174">
        <f>IFERROR(Q303*S303,0)</f>
        <v/>
      </c>
      <c r="V303" s="174">
        <f>U303*T303</f>
        <v/>
      </c>
      <c r="W303" s="90" t="n"/>
      <c r="X303" s="90" t="inlineStr">
        <is>
          <t>插件任务基本信息表</t>
        </is>
      </c>
      <c r="Y303" s="90" t="inlineStr">
        <is>
          <t>插件任务基本信息表{任务编号、插件编号、插件版本号、任务名称、任务类型、创建人编号、创建时间、任务状态、备注}</t>
        </is>
      </c>
      <c r="Z303" s="90" t="n"/>
      <c r="AA303" s="90" t="n"/>
      <c r="AB303" s="103" t="n"/>
      <c r="AC303" s="66" t="n"/>
    </row>
    <row r="304" s="112">
      <c r="A304" s="72" t="n"/>
      <c r="B304" s="175" t="n"/>
      <c r="C304" s="80" t="n"/>
      <c r="D304" s="80" t="inlineStr">
        <is>
          <t>张明峰</t>
        </is>
      </c>
      <c r="E304" s="81" t="n"/>
      <c r="F304" s="175" t="n"/>
      <c r="G304" s="175" t="n"/>
      <c r="H304" s="175" t="n"/>
      <c r="I304" s="98" t="inlineStr">
        <is>
          <t>插件任务高级配置表</t>
        </is>
      </c>
      <c r="J304" s="93" t="inlineStr">
        <is>
          <t>ILF</t>
        </is>
      </c>
      <c r="K304" s="99" t="inlineStr">
        <is>
          <t>新增</t>
        </is>
      </c>
      <c r="L304" s="84" t="n"/>
      <c r="M304" s="85" t="n"/>
      <c r="N304" s="85">
        <f>IF(OR(Y304="估算法",Y304="算法类",Y304="无法识别"),"",IF(X304="",IF(OR(J304="ILF",J304="EIF"),0,""),LEN(X304)-LEN(SUBSTITUTE(X304,"、",""))+1))</f>
        <v/>
      </c>
      <c r="O304" s="85">
        <f>IF(OR(Y304="估算法",Y304="算法类",Y304="无法识别"),"",IF(Y304="",IF(OR(J304="ILF",J304="EIF",J304="EI",J304="EO",J304="EQ"),0,""),LEN(Y304)-LEN(SUBSTITUTE(SUBSTITUTE(SUBSTITUTE(SUBSTITUTE(SUBSTITUTE(Y304,"|}","--"),"{|","--"),CHAR(10),""),"、",""),"|",""))+IF(AND(OR(J304="EI",J304="EO",J304="EQ"),$AE$1="NESMA"),2,1)))</f>
        <v/>
      </c>
      <c r="P304" s="86">
        <f>IF(J304="EI",IF(OR(Y304="估算法",Y304="算法类"),"中",IF(Y304="无法识别","低",IF(M304&lt;2,IF(O304&lt;16,"低","中"),IF(M304&lt;3,IF(O304&lt;5,"低",IF(O304&lt;16,"中","高")),IF(O304&lt;5,"中","高"))))),IF(OR(J304="EO",J304="EQ"),IF(OR(Y304="估算法",Y304="算法类"),"中",IF(Y304="无法识别","低",IF(M304&lt;2,IF(O304&lt;20,"低","中"),IF(M304&lt;4,IF(O304&lt;6,"低",IF(O304&lt;20,"中","高")),IF(O304&lt;6,"中","高"))))),IF(OR(J304="ILF",J304="EIF"),IF(OR(Y304="估算法",Y304="算法类",Y304="无法识别"),"低",IF(N304&lt;2,IF(O304&lt;51,"低","中"),IF(N304&lt;6,IF(O304&lt;20,"低",IF(O304&lt;51,"中","高")),IF(O304&lt;20,"中","高")))),"不计算")))</f>
        <v/>
      </c>
      <c r="Q304" s="172">
        <f>IFERROR(IF(J304="EI",IF(P304="低",3,IF(P304="中",4,6)),IF(J304="EO",IF(P304="低",4,IF(P304="中",5,7)),IF(J304="EQ",IF(P304="低",3,IF(P304="中",4,6)),IF(J304="ILF",IF(P304="低",7,IF(P304="中",10,15)),IF(J304="EIF",IF(P304="低",5,IF(P304="中",7,10)),"不计算")))))*R304,"不计算")</f>
        <v/>
      </c>
      <c r="R304" s="172" t="n">
        <v>1</v>
      </c>
      <c r="S304" s="173">
        <f>调整因子!$F$13</f>
        <v/>
      </c>
      <c r="T304" s="92" t="n">
        <v>1</v>
      </c>
      <c r="U304" s="174">
        <f>IFERROR(Q304*S304,0)</f>
        <v/>
      </c>
      <c r="V304" s="174">
        <f>U304*T304</f>
        <v/>
      </c>
      <c r="W304" s="90" t="n"/>
      <c r="X304" s="90" t="inlineStr">
        <is>
          <t>插件任务高级配置表</t>
        </is>
      </c>
      <c r="Y304" s="90" t="inlineStr">
        <is>
          <t>插件任务高级配置表{配置编号、任务编号、配置项键、配置项值、更新时间}</t>
        </is>
      </c>
      <c r="Z304" s="90" t="n"/>
      <c r="AA304" s="90" t="n"/>
      <c r="AB304" s="103" t="n"/>
      <c r="AC304" s="66" t="n"/>
    </row>
    <row r="305" s="112">
      <c r="A305" s="72" t="n"/>
      <c r="B305" s="175" t="n"/>
      <c r="C305" s="80" t="n"/>
      <c r="D305" s="80" t="inlineStr">
        <is>
          <t>张明峰</t>
        </is>
      </c>
      <c r="E305" s="81" t="n"/>
      <c r="F305" s="175" t="n"/>
      <c r="G305" s="175" t="n"/>
      <c r="H305" s="175" t="n"/>
      <c r="I305" s="98" t="inlineStr">
        <is>
          <t>插件任务实例表</t>
        </is>
      </c>
      <c r="J305" s="93" t="inlineStr">
        <is>
          <t>ILF</t>
        </is>
      </c>
      <c r="K305" s="99" t="inlineStr">
        <is>
          <t>新增</t>
        </is>
      </c>
      <c r="L305" s="84" t="n"/>
      <c r="M305" s="85" t="n"/>
      <c r="N305" s="85">
        <f>IF(OR(Y305="估算法",Y305="算法类",Y305="无法识别"),"",IF(X305="",IF(OR(J305="ILF",J305="EIF"),0,""),LEN(X305)-LEN(SUBSTITUTE(X305,"、",""))+1))</f>
        <v/>
      </c>
      <c r="O305" s="85">
        <f>IF(OR(Y305="估算法",Y305="算法类",Y305="无法识别"),"",IF(Y305="",IF(OR(J305="ILF",J305="EIF",J305="EI",J305="EO",J305="EQ"),0,""),LEN(Y305)-LEN(SUBSTITUTE(SUBSTITUTE(SUBSTITUTE(SUBSTITUTE(SUBSTITUTE(Y305,"|}","--"),"{|","--"),CHAR(10),""),"、",""),"|",""))+IF(AND(OR(J305="EI",J305="EO",J305="EQ"),$AE$1="NESMA"),2,1)))</f>
        <v/>
      </c>
      <c r="P305" s="86">
        <f>IF(J305="EI",IF(OR(Y305="估算法",Y305="算法类"),"中",IF(Y305="无法识别","低",IF(M305&lt;2,IF(O305&lt;16,"低","中"),IF(M305&lt;3,IF(O305&lt;5,"低",IF(O305&lt;16,"中","高")),IF(O305&lt;5,"中","高"))))),IF(OR(J305="EO",J305="EQ"),IF(OR(Y305="估算法",Y305="算法类"),"中",IF(Y305="无法识别","低",IF(M305&lt;2,IF(O305&lt;20,"低","中"),IF(M305&lt;4,IF(O305&lt;6,"低",IF(O305&lt;20,"中","高")),IF(O305&lt;6,"中","高"))))),IF(OR(J305="ILF",J305="EIF"),IF(OR(Y305="估算法",Y305="算法类",Y305="无法识别"),"低",IF(N305&lt;2,IF(O305&lt;51,"低","中"),IF(N305&lt;6,IF(O305&lt;20,"低",IF(O305&lt;51,"中","高")),IF(O305&lt;20,"中","高")))),"不计算")))</f>
        <v/>
      </c>
      <c r="Q305" s="172">
        <f>IFERROR(IF(J305="EI",IF(P305="低",3,IF(P305="中",4,6)),IF(J305="EO",IF(P305="低",4,IF(P305="中",5,7)),IF(J305="EQ",IF(P305="低",3,IF(P305="中",4,6)),IF(J305="ILF",IF(P305="低",7,IF(P305="中",10,15)),IF(J305="EIF",IF(P305="低",5,IF(P305="中",7,10)),"不计算")))))*R305,"不计算")</f>
        <v/>
      </c>
      <c r="R305" s="172" t="n">
        <v>1</v>
      </c>
      <c r="S305" s="173">
        <f>调整因子!$F$13</f>
        <v/>
      </c>
      <c r="T305" s="92" t="n">
        <v>1</v>
      </c>
      <c r="U305" s="174">
        <f>IFERROR(Q305*S305,0)</f>
        <v/>
      </c>
      <c r="V305" s="174">
        <f>U305*T305</f>
        <v/>
      </c>
      <c r="W305" s="90" t="n"/>
      <c r="X305" s="90" t="inlineStr">
        <is>
          <t>插件任务实例表</t>
        </is>
      </c>
      <c r="Y305" s="90" t="inlineStr">
        <is>
          <t>插件任务实例表{实例编号、任务编号、启动时间、结束时间、实例状态、执行节点标识}</t>
        </is>
      </c>
      <c r="Z305" s="90" t="n"/>
      <c r="AA305" s="90" t="n"/>
      <c r="AB305" s="103" t="n"/>
      <c r="AC305" s="66" t="n"/>
    </row>
    <row r="306" s="112">
      <c r="A306" s="72" t="n"/>
      <c r="B306" s="175" t="n"/>
      <c r="C306" s="80" t="n"/>
      <c r="D306" s="80" t="inlineStr">
        <is>
          <t>张明峰</t>
        </is>
      </c>
      <c r="E306" s="81" t="n"/>
      <c r="F306" s="175" t="n"/>
      <c r="G306" s="175" t="n"/>
      <c r="H306" s="175" t="n"/>
      <c r="I306" s="98" t="inlineStr">
        <is>
          <t>插件任务报告表</t>
        </is>
      </c>
      <c r="J306" s="93" t="inlineStr">
        <is>
          <t>ILF</t>
        </is>
      </c>
      <c r="K306" s="99" t="inlineStr">
        <is>
          <t>新增</t>
        </is>
      </c>
      <c r="L306" s="84" t="n"/>
      <c r="M306" s="85" t="n"/>
      <c r="N306" s="85">
        <f>IF(OR(Y306="估算法",Y306="算法类",Y306="无法识别"),"",IF(X306="",IF(OR(J306="ILF",J306="EIF"),0,""),LEN(X306)-LEN(SUBSTITUTE(X306,"、",""))+1))</f>
        <v/>
      </c>
      <c r="O306" s="85">
        <f>IF(OR(Y306="估算法",Y306="算法类",Y306="无法识别"),"",IF(Y306="",IF(OR(J306="ILF",J306="EIF",J306="EI",J306="EO",J306="EQ"),0,""),LEN(Y306)-LEN(SUBSTITUTE(SUBSTITUTE(SUBSTITUTE(SUBSTITUTE(SUBSTITUTE(Y306,"|}","--"),"{|","--"),CHAR(10),""),"、",""),"|",""))+IF(AND(OR(J306="EI",J306="EO",J306="EQ"),$AE$1="NESMA"),2,1)))</f>
        <v/>
      </c>
      <c r="P306" s="86">
        <f>IF(J306="EI",IF(OR(Y306="估算法",Y306="算法类"),"中",IF(Y306="无法识别","低",IF(M306&lt;2,IF(O306&lt;16,"低","中"),IF(M306&lt;3,IF(O306&lt;5,"低",IF(O306&lt;16,"中","高")),IF(O306&lt;5,"中","高"))))),IF(OR(J306="EO",J306="EQ"),IF(OR(Y306="估算法",Y306="算法类"),"中",IF(Y306="无法识别","低",IF(M306&lt;2,IF(O306&lt;20,"低","中"),IF(M306&lt;4,IF(O306&lt;6,"低",IF(O306&lt;20,"中","高")),IF(O306&lt;6,"中","高"))))),IF(OR(J306="ILF",J306="EIF"),IF(OR(Y306="估算法",Y306="算法类",Y306="无法识别"),"低",IF(N306&lt;2,IF(O306&lt;51,"低","中"),IF(N306&lt;6,IF(O306&lt;20,"低",IF(O306&lt;51,"中","高")),IF(O306&lt;20,"中","高")))),"不计算")))</f>
        <v/>
      </c>
      <c r="Q306" s="172">
        <f>IFERROR(IF(J306="EI",IF(P306="低",3,IF(P306="中",4,6)),IF(J306="EO",IF(P306="低",4,IF(P306="中",5,7)),IF(J306="EQ",IF(P306="低",3,IF(P306="中",4,6)),IF(J306="ILF",IF(P306="低",7,IF(P306="中",10,15)),IF(J306="EIF",IF(P306="低",5,IF(P306="中",7,10)),"不计算")))))*R306,"不计算")</f>
        <v/>
      </c>
      <c r="R306" s="172" t="n">
        <v>1</v>
      </c>
      <c r="S306" s="173">
        <f>调整因子!$F$13</f>
        <v/>
      </c>
      <c r="T306" s="92" t="n">
        <v>1</v>
      </c>
      <c r="U306" s="174">
        <f>IFERROR(Q306*S306,0)</f>
        <v/>
      </c>
      <c r="V306" s="174">
        <f>U306*T306</f>
        <v/>
      </c>
      <c r="W306" s="90" t="n"/>
      <c r="X306" s="90" t="inlineStr">
        <is>
          <t>插件任务报告表</t>
        </is>
      </c>
      <c r="Y306" s="90" t="inlineStr">
        <is>
          <t>插件任务报告表{报告编号、任务编号、实例编号、报告类型、生成时间、报告存储路径、摘要}</t>
        </is>
      </c>
      <c r="Z306" s="90" t="n"/>
      <c r="AA306" s="90" t="n"/>
      <c r="AB306" s="103" t="n"/>
      <c r="AC306" s="66" t="n"/>
    </row>
    <row r="307" s="112">
      <c r="A307" s="72" t="n"/>
      <c r="B307" s="175" t="n"/>
      <c r="C307" s="80" t="n"/>
      <c r="D307" s="80" t="inlineStr">
        <is>
          <t>张明峰</t>
        </is>
      </c>
      <c r="E307" s="81" t="n"/>
      <c r="F307" s="175" t="n"/>
      <c r="G307" s="175" t="n"/>
      <c r="H307" s="175" t="n"/>
      <c r="I307" s="98" t="inlineStr">
        <is>
          <t>插件部署状态表</t>
        </is>
      </c>
      <c r="J307" s="93" t="inlineStr">
        <is>
          <t>ILF</t>
        </is>
      </c>
      <c r="K307" s="99" t="inlineStr">
        <is>
          <t>新增</t>
        </is>
      </c>
      <c r="L307" s="84" t="n"/>
      <c r="M307" s="85" t="n"/>
      <c r="N307" s="85">
        <f>IF(OR(Y307="估算法",Y307="算法类",Y307="无法识别"),"",IF(X307="",IF(OR(J307="ILF",J307="EIF"),0,""),LEN(X307)-LEN(SUBSTITUTE(X307,"、",""))+1))</f>
        <v/>
      </c>
      <c r="O307" s="85">
        <f>IF(OR(Y307="估算法",Y307="算法类",Y307="无法识别"),"",IF(Y307="",IF(OR(J307="ILF",J307="EIF",J307="EI",J307="EO",J307="EQ"),0,""),LEN(Y307)-LEN(SUBSTITUTE(SUBSTITUTE(SUBSTITUTE(SUBSTITUTE(SUBSTITUTE(Y307,"|}","--"),"{|","--"),CHAR(10),""),"、",""),"|",""))+IF(AND(OR(J307="EI",J307="EO",J307="EQ"),$AE$1="NESMA"),2,1)))</f>
        <v/>
      </c>
      <c r="P307" s="86">
        <f>IF(J307="EI",IF(OR(Y307="估算法",Y307="算法类"),"中",IF(Y307="无法识别","低",IF(M307&lt;2,IF(O307&lt;16,"低","中"),IF(M307&lt;3,IF(O307&lt;5,"低",IF(O307&lt;16,"中","高")),IF(O307&lt;5,"中","高"))))),IF(OR(J307="EO",J307="EQ"),IF(OR(Y307="估算法",Y307="算法类"),"中",IF(Y307="无法识别","低",IF(M307&lt;2,IF(O307&lt;20,"低","中"),IF(M307&lt;4,IF(O307&lt;6,"低",IF(O307&lt;20,"中","高")),IF(O307&lt;6,"中","高"))))),IF(OR(J307="ILF",J307="EIF"),IF(OR(Y307="估算法",Y307="算法类",Y307="无法识别"),"低",IF(N307&lt;2,IF(O307&lt;51,"低","中"),IF(N307&lt;6,IF(O307&lt;20,"低",IF(O307&lt;51,"中","高")),IF(O307&lt;20,"中","高")))),"不计算")))</f>
        <v/>
      </c>
      <c r="Q307" s="172">
        <f>IFERROR(IF(J307="EI",IF(P307="低",3,IF(P307="中",4,6)),IF(J307="EO",IF(P307="低",4,IF(P307="中",5,7)),IF(J307="EQ",IF(P307="低",3,IF(P307="中",4,6)),IF(J307="ILF",IF(P307="低",7,IF(P307="中",10,15)),IF(J307="EIF",IF(P307="低",5,IF(P307="中",7,10)),"不计算")))))*R307,"不计算")</f>
        <v/>
      </c>
      <c r="R307" s="172" t="n">
        <v>1</v>
      </c>
      <c r="S307" s="173">
        <f>调整因子!$F$13</f>
        <v/>
      </c>
      <c r="T307" s="92" t="n">
        <v>1</v>
      </c>
      <c r="U307" s="174">
        <f>IFERROR(Q307*S307,0)</f>
        <v/>
      </c>
      <c r="V307" s="174">
        <f>U307*T307</f>
        <v/>
      </c>
      <c r="W307" s="90" t="n"/>
      <c r="X307" s="90" t="inlineStr">
        <is>
          <t>插件部署状态表</t>
        </is>
      </c>
      <c r="Y307" s="90" t="inlineStr">
        <is>
          <t>插件部署状态表{部署记录编号、插件编号、插件版本号、部署环境、部署状态、部署时间}</t>
        </is>
      </c>
      <c r="Z307" s="90" t="n"/>
      <c r="AA307" s="90" t="n"/>
      <c r="AB307" s="103" t="n"/>
      <c r="AC307" s="66" t="n"/>
    </row>
    <row r="308" s="112">
      <c r="A308" s="72" t="n"/>
      <c r="B308" s="175" t="n"/>
      <c r="C308" s="80" t="n"/>
      <c r="D308" s="80" t="inlineStr">
        <is>
          <t>张明峰</t>
        </is>
      </c>
      <c r="E308" s="81" t="n"/>
      <c r="F308" s="175" t="n"/>
      <c r="G308" s="175" t="n"/>
      <c r="H308" s="175" t="n"/>
      <c r="I308" s="98" t="inlineStr">
        <is>
          <t>插件执行记录表</t>
        </is>
      </c>
      <c r="J308" s="93" t="inlineStr">
        <is>
          <t>ILF</t>
        </is>
      </c>
      <c r="K308" s="99" t="inlineStr">
        <is>
          <t>新增</t>
        </is>
      </c>
      <c r="L308" s="84" t="n"/>
      <c r="M308" s="85" t="n"/>
      <c r="N308" s="85">
        <f>IF(OR(Y308="估算法",Y308="算法类",Y308="无法识别"),"",IF(X308="",IF(OR(J308="ILF",J308="EIF"),0,""),LEN(X308)-LEN(SUBSTITUTE(X308,"、",""))+1))</f>
        <v/>
      </c>
      <c r="O308" s="85">
        <f>IF(OR(Y308="估算法",Y308="算法类",Y308="无法识别"),"",IF(Y308="",IF(OR(J308="ILF",J308="EIF",J308="EI",J308="EO",J308="EQ"),0,""),LEN(Y308)-LEN(SUBSTITUTE(SUBSTITUTE(SUBSTITUTE(SUBSTITUTE(SUBSTITUTE(Y308,"|}","--"),"{|","--"),CHAR(10),""),"、",""),"|",""))+IF(AND(OR(J308="EI",J308="EO",J308="EQ"),$AE$1="NESMA"),2,1)))</f>
        <v/>
      </c>
      <c r="P308" s="86">
        <f>IF(J308="EI",IF(OR(Y308="估算法",Y308="算法类"),"中",IF(Y308="无法识别","低",IF(M308&lt;2,IF(O308&lt;16,"低","中"),IF(M308&lt;3,IF(O308&lt;5,"低",IF(O308&lt;16,"中","高")),IF(O308&lt;5,"中","高"))))),IF(OR(J308="EO",J308="EQ"),IF(OR(Y308="估算法",Y308="算法类"),"中",IF(Y308="无法识别","低",IF(M308&lt;2,IF(O308&lt;20,"低","中"),IF(M308&lt;4,IF(O308&lt;6,"低",IF(O308&lt;20,"中","高")),IF(O308&lt;6,"中","高"))))),IF(OR(J308="ILF",J308="EIF"),IF(OR(Y308="估算法",Y308="算法类",Y308="无法识别"),"低",IF(N308&lt;2,IF(O308&lt;51,"低","中"),IF(N308&lt;6,IF(O308&lt;20,"低",IF(O308&lt;51,"中","高")),IF(O308&lt;20,"中","高")))),"不计算")))</f>
        <v/>
      </c>
      <c r="Q308" s="172">
        <f>IFERROR(IF(J308="EI",IF(P308="低",3,IF(P308="中",4,6)),IF(J308="EO",IF(P308="低",4,IF(P308="中",5,7)),IF(J308="EQ",IF(P308="低",3,IF(P308="中",4,6)),IF(J308="ILF",IF(P308="低",7,IF(P308="中",10,15)),IF(J308="EIF",IF(P308="低",5,IF(P308="中",7,10)),"不计算")))))*R308,"不计算")</f>
        <v/>
      </c>
      <c r="R308" s="172" t="n">
        <v>1</v>
      </c>
      <c r="S308" s="173">
        <f>调整因子!$F$13</f>
        <v/>
      </c>
      <c r="T308" s="92" t="n">
        <v>1</v>
      </c>
      <c r="U308" s="174">
        <f>IFERROR(Q308*S308,0)</f>
        <v/>
      </c>
      <c r="V308" s="174">
        <f>U308*T308</f>
        <v/>
      </c>
      <c r="W308" s="90" t="n"/>
      <c r="X308" s="90" t="inlineStr">
        <is>
          <t>插件执行记录表</t>
        </is>
      </c>
      <c r="Y308" s="90" t="inlineStr">
        <is>
          <t>插件执行记录表{执行记录编号、插件编号、插件版本号、实例编号、开始时间、结束时间、执行结果、日志摘要}</t>
        </is>
      </c>
      <c r="Z308" s="90" t="n"/>
      <c r="AA308" s="90" t="n"/>
      <c r="AB308" s="103" t="n"/>
      <c r="AC308" s="66" t="n"/>
    </row>
    <row r="309" s="112">
      <c r="A309" s="72" t="n"/>
      <c r="B309" s="175" t="n"/>
      <c r="C309" s="80" t="n"/>
      <c r="D309" s="80" t="inlineStr">
        <is>
          <t>张明峰</t>
        </is>
      </c>
      <c r="E309" s="81" t="n"/>
      <c r="F309" s="175" t="n"/>
      <c r="G309" s="175" t="n"/>
      <c r="H309" s="175" t="n"/>
      <c r="I309" s="98" t="inlineStr">
        <is>
          <t>插件类型统计数据表</t>
        </is>
      </c>
      <c r="J309" s="93" t="inlineStr">
        <is>
          <t>ILF</t>
        </is>
      </c>
      <c r="K309" s="99" t="inlineStr">
        <is>
          <t>新增</t>
        </is>
      </c>
      <c r="L309" s="84" t="n"/>
      <c r="M309" s="85" t="n"/>
      <c r="N309" s="85">
        <f>IF(OR(Y309="估算法",Y309="算法类",Y309="无法识别"),"",IF(X309="",IF(OR(J309="ILF",J309="EIF"),0,""),LEN(X309)-LEN(SUBSTITUTE(X309,"、",""))+1))</f>
        <v/>
      </c>
      <c r="O309" s="85">
        <f>IF(OR(Y309="估算法",Y309="算法类",Y309="无法识别"),"",IF(Y309="",IF(OR(J309="ILF",J309="EIF",J309="EI",J309="EO",J309="EQ"),0,""),LEN(Y309)-LEN(SUBSTITUTE(SUBSTITUTE(SUBSTITUTE(SUBSTITUTE(SUBSTITUTE(Y309,"|}","--"),"{|","--"),CHAR(10),""),"、",""),"|",""))+IF(AND(OR(J309="EI",J309="EO",J309="EQ"),$AE$1="NESMA"),2,1)))</f>
        <v/>
      </c>
      <c r="P309" s="86">
        <f>IF(J309="EI",IF(OR(Y309="估算法",Y309="算法类"),"中",IF(Y309="无法识别","低",IF(M309&lt;2,IF(O309&lt;16,"低","中"),IF(M309&lt;3,IF(O309&lt;5,"低",IF(O309&lt;16,"中","高")),IF(O309&lt;5,"中","高"))))),IF(OR(J309="EO",J309="EQ"),IF(OR(Y309="估算法",Y309="算法类"),"中",IF(Y309="无法识别","低",IF(M309&lt;2,IF(O309&lt;20,"低","中"),IF(M309&lt;4,IF(O309&lt;6,"低",IF(O309&lt;20,"中","高")),IF(O309&lt;6,"中","高"))))),IF(OR(J309="ILF",J309="EIF"),IF(OR(Y309="估算法",Y309="算法类",Y309="无法识别"),"低",IF(N309&lt;2,IF(O309&lt;51,"低","中"),IF(N309&lt;6,IF(O309&lt;20,"低",IF(O309&lt;51,"中","高")),IF(O309&lt;20,"中","高")))),"不计算")))</f>
        <v/>
      </c>
      <c r="Q309" s="172">
        <f>IFERROR(IF(J309="EI",IF(P309="低",3,IF(P309="中",4,6)),IF(J309="EO",IF(P309="低",4,IF(P309="中",5,7)),IF(J309="EQ",IF(P309="低",3,IF(P309="中",4,6)),IF(J309="ILF",IF(P309="低",7,IF(P309="中",10,15)),IF(J309="EIF",IF(P309="低",5,IF(P309="中",7,10)),"不计算")))))*R309,"不计算")</f>
        <v/>
      </c>
      <c r="R309" s="172" t="n">
        <v>1</v>
      </c>
      <c r="S309" s="173">
        <f>调整因子!$F$13</f>
        <v/>
      </c>
      <c r="T309" s="92" t="n">
        <v>1</v>
      </c>
      <c r="U309" s="174">
        <f>IFERROR(Q309*S309,0)</f>
        <v/>
      </c>
      <c r="V309" s="174">
        <f>U309*T309</f>
        <v/>
      </c>
      <c r="W309" s="90" t="n"/>
      <c r="X309" s="90" t="inlineStr">
        <is>
          <t>插件类型统计数据表</t>
        </is>
      </c>
      <c r="Y309" s="90" t="inlineStr">
        <is>
          <t>插件类型统计数据表{统计编号、统计日期、插件类型、数量、更新时间}</t>
        </is>
      </c>
      <c r="Z309" s="90" t="n"/>
      <c r="AA309" s="90" t="n"/>
      <c r="AB309" s="103" t="n"/>
      <c r="AC309" s="66" t="n"/>
    </row>
    <row r="310" s="112">
      <c r="A310" s="72" t="n"/>
      <c r="B310" s="175" t="n"/>
      <c r="C310" s="80" t="n"/>
      <c r="D310" s="80" t="inlineStr">
        <is>
          <t>张明峰</t>
        </is>
      </c>
      <c r="E310" s="81" t="n"/>
      <c r="F310" s="175" t="n"/>
      <c r="G310" s="175" t="n"/>
      <c r="H310" s="176" t="n"/>
      <c r="I310" s="98" t="inlineStr">
        <is>
          <t>插件等级统计数据表</t>
        </is>
      </c>
      <c r="J310" s="93" t="inlineStr">
        <is>
          <t>ILF</t>
        </is>
      </c>
      <c r="K310" s="99" t="inlineStr">
        <is>
          <t>新增</t>
        </is>
      </c>
      <c r="L310" s="84" t="n"/>
      <c r="M310" s="85" t="n"/>
      <c r="N310" s="85">
        <f>IF(OR(Y310="估算法",Y310="算法类",Y310="无法识别"),"",IF(X310="",IF(OR(J310="ILF",J310="EIF"),0,""),LEN(X310)-LEN(SUBSTITUTE(X310,"、",""))+1))</f>
        <v/>
      </c>
      <c r="O310" s="85">
        <f>IF(OR(Y310="估算法",Y310="算法类",Y310="无法识别"),"",IF(Y310="",IF(OR(J310="ILF",J310="EIF",J310="EI",J310="EO",J310="EQ"),0,""),LEN(Y310)-LEN(SUBSTITUTE(SUBSTITUTE(SUBSTITUTE(SUBSTITUTE(SUBSTITUTE(Y310,"|}","--"),"{|","--"),CHAR(10),""),"、",""),"|",""))+IF(AND(OR(J310="EI",J310="EO",J310="EQ"),$AE$1="NESMA"),2,1)))</f>
        <v/>
      </c>
      <c r="P310" s="86">
        <f>IF(J310="EI",IF(OR(Y310="估算法",Y310="算法类"),"中",IF(Y310="无法识别","低",IF(M310&lt;2,IF(O310&lt;16,"低","中"),IF(M310&lt;3,IF(O310&lt;5,"低",IF(O310&lt;16,"中","高")),IF(O310&lt;5,"中","高"))))),IF(OR(J310="EO",J310="EQ"),IF(OR(Y310="估算法",Y310="算法类"),"中",IF(Y310="无法识别","低",IF(M310&lt;2,IF(O310&lt;20,"低","中"),IF(M310&lt;4,IF(O310&lt;6,"低",IF(O310&lt;20,"中","高")),IF(O310&lt;6,"中","高"))))),IF(OR(J310="ILF",J310="EIF"),IF(OR(Y310="估算法",Y310="算法类",Y310="无法识别"),"低",IF(N310&lt;2,IF(O310&lt;51,"低","中"),IF(N310&lt;6,IF(O310&lt;20,"低",IF(O310&lt;51,"中","高")),IF(O310&lt;20,"中","高")))),"不计算")))</f>
        <v/>
      </c>
      <c r="Q310" s="172">
        <f>IFERROR(IF(J310="EI",IF(P310="低",3,IF(P310="中",4,6)),IF(J310="EO",IF(P310="低",4,IF(P310="中",5,7)),IF(J310="EQ",IF(P310="低",3,IF(P310="中",4,6)),IF(J310="ILF",IF(P310="低",7,IF(P310="中",10,15)),IF(J310="EIF",IF(P310="低",5,IF(P310="中",7,10)),"不计算")))))*R310,"不计算")</f>
        <v/>
      </c>
      <c r="R310" s="172" t="n">
        <v>1</v>
      </c>
      <c r="S310" s="173">
        <f>调整因子!$F$13</f>
        <v/>
      </c>
      <c r="T310" s="92" t="n">
        <v>1</v>
      </c>
      <c r="U310" s="174">
        <f>IFERROR(Q310*S310,0)</f>
        <v/>
      </c>
      <c r="V310" s="174">
        <f>U310*T310</f>
        <v/>
      </c>
      <c r="W310" s="90" t="n"/>
      <c r="X310" s="90" t="inlineStr">
        <is>
          <t>插件等级统计数据表</t>
        </is>
      </c>
      <c r="Y310" s="90" t="inlineStr">
        <is>
          <t>插件等级统计数据表{统计编号、统计日期、插件等级、数量、更新时间}</t>
        </is>
      </c>
      <c r="Z310" s="90" t="n"/>
      <c r="AA310" s="90" t="n"/>
      <c r="AB310" s="103" t="n"/>
      <c r="AC310" s="66" t="n"/>
    </row>
    <row r="311" s="112">
      <c r="A311" s="72">
        <f>ROW()-1</f>
        <v/>
      </c>
      <c r="B311" s="175" t="n"/>
      <c r="C311" s="80" t="n">
        <v>2025</v>
      </c>
      <c r="D311" s="80" t="inlineStr">
        <is>
          <t>张明峰</t>
        </is>
      </c>
      <c r="E311" s="81">
        <f>VLOOKUP(I311,'25年交付功能（不含废弃）'!A:A,1,FALSE)</f>
        <v/>
      </c>
      <c r="F311" s="175" t="n"/>
      <c r="G311" s="175" t="n"/>
      <c r="H311" s="93" t="inlineStr">
        <is>
          <t>插件引擎管理</t>
        </is>
      </c>
      <c r="I311" s="98" t="inlineStr">
        <is>
          <t>添加引擎分组</t>
        </is>
      </c>
      <c r="J311" s="93" t="inlineStr">
        <is>
          <t>EI</t>
        </is>
      </c>
      <c r="K311" s="84" t="n"/>
      <c r="L311" s="84" t="n"/>
      <c r="M311" s="85">
        <f>IF(OR(Y311="估算法",Y311="算法类",Y311="无法识别"),"",IF(W311="",IF(OR(J311="EI",J311="EO",J311="EQ"),0,""),LEN(W311)-LEN(SUBSTITUTE(W311,"、",""))+1))</f>
        <v/>
      </c>
      <c r="N311" s="85">
        <f>IF(OR(Y311="估算法",Y311="算法类",Y311="无法识别"),"",IF(X311="",IF(OR(J311="ILF",J311="EIF"),0,""),LEN(X311)-LEN(SUBSTITUTE(X311,"、",""))+1))</f>
        <v/>
      </c>
      <c r="O311" s="85">
        <f>IF(OR(Y311="估算法",Y311="算法类",Y311="无法识别"),"",IF(Y311="",IF(OR(J311="ILF",J311="EIF",J311="EI",J311="EO",J311="EQ"),0,""),LEN(Y311)-LEN(SUBSTITUTE(SUBSTITUTE(SUBSTITUTE(SUBSTITUTE(SUBSTITUTE(Y311,"|}","--"),"{|","--"),CHAR(10),""),"、",""),"|",""))+IF(AND(OR(J311="EI",J311="EO",J311="EQ"),$AE$1="NESMA"),2,1)))</f>
        <v/>
      </c>
      <c r="P311" s="86">
        <f>IF(J311="EI",IF(OR(Y311="估算法",Y311="算法类"),"中",IF(Y311="无法识别","低",IF(M311&lt;2,IF(O311&lt;16,"低","中"),IF(M311&lt;3,IF(O311&lt;5,"低",IF(O311&lt;16,"中","高")),IF(O311&lt;5,"中","高"))))),IF(OR(J311="EO",J311="EQ"),IF(OR(Y311="估算法",Y311="算法类"),"中",IF(Y311="无法识别","低",IF(M311&lt;2,IF(O311&lt;20,"低","中"),IF(M311&lt;4,IF(O311&lt;6,"低",IF(O311&lt;20,"中","高")),IF(O311&lt;6,"中","高"))))),IF(OR(J311="ILF",J311="EIF"),IF(OR(Y311="估算法",Y311="算法类",Y311="无法识别"),"低",IF(N311&lt;2,IF(O311&lt;51,"低","中"),IF(N311&lt;6,IF(O311&lt;20,"低",IF(O311&lt;51,"中","高")),IF(O311&lt;20,"中","高")))),"不计算")))</f>
        <v/>
      </c>
      <c r="Q311" s="172">
        <f>IFERROR(IF(J311="EI",IF(P311="低",3,IF(P311="中",4,6)),IF(J311="EO",IF(P311="低",4,IF(P311="中",5,7)),IF(J311="EQ",IF(P311="低",3,IF(P311="中",4,6)),IF(J311="ILF",IF(P311="低",7,IF(P311="中",10,15)),IF(J311="EIF",IF(P311="低",5,IF(P311="中",7,10)),"不计算")))))*R311,"不计算")</f>
        <v/>
      </c>
      <c r="R311" s="172" t="n">
        <v>1</v>
      </c>
      <c r="S311" s="173">
        <f>调整因子!$F$13</f>
        <v/>
      </c>
      <c r="T311" s="92" t="n">
        <v>1</v>
      </c>
      <c r="U311" s="174">
        <f>IFERROR(Q311*S311,0)</f>
        <v/>
      </c>
      <c r="V311" s="174">
        <f>U311*T311</f>
        <v/>
      </c>
      <c r="W311" s="90" t="inlineStr">
        <is>
          <t>插件组表</t>
        </is>
      </c>
      <c r="X311" s="91" t="n"/>
      <c r="Y311" s="90" t="inlineStr">
        <is>
          <t>插件组表{组名称、组编码、描述|响应码、响应内容、响应头}</t>
        </is>
      </c>
      <c r="Z311" s="90" t="n"/>
      <c r="AA311" s="90" t="n"/>
      <c r="AB311" s="103" t="inlineStr">
        <is>
          <t>脱敏规则表、通报模板表</t>
        </is>
      </c>
      <c r="AC311" s="66" t="n"/>
    </row>
    <row r="312" s="112">
      <c r="A312" s="72">
        <f>ROW()-1</f>
        <v/>
      </c>
      <c r="B312" s="175" t="n"/>
      <c r="C312" s="80" t="n">
        <v>2025</v>
      </c>
      <c r="D312" s="80" t="inlineStr">
        <is>
          <t>张明峰</t>
        </is>
      </c>
      <c r="E312" s="81">
        <f>VLOOKUP(I312,'25年交付功能（不含废弃）'!A:A,1,FALSE)</f>
        <v/>
      </c>
      <c r="F312" s="175" t="n"/>
      <c r="G312" s="175" t="n"/>
      <c r="H312" s="175" t="n"/>
      <c r="I312" s="98" t="inlineStr">
        <is>
          <t>修改引擎分组</t>
        </is>
      </c>
      <c r="J312" s="93" t="inlineStr">
        <is>
          <t>EI</t>
        </is>
      </c>
      <c r="K312" s="84" t="n"/>
      <c r="L312" s="84" t="n"/>
      <c r="M312" s="85">
        <f>IF(OR(Y312="估算法",Y312="算法类",Y312="无法识别"),"",IF(W312="",IF(OR(J312="EI",J312="EO",J312="EQ"),0,""),LEN(W312)-LEN(SUBSTITUTE(W312,"、",""))+1))</f>
        <v/>
      </c>
      <c r="N312" s="85">
        <f>IF(OR(Y312="估算法",Y312="算法类",Y312="无法识别"),"",IF(X312="",IF(OR(J312="ILF",J312="EIF"),0,""),LEN(X312)-LEN(SUBSTITUTE(X312,"、",""))+1))</f>
        <v/>
      </c>
      <c r="O312" s="85">
        <f>IF(OR(Y312="估算法",Y312="算法类",Y312="无法识别"),"",IF(Y312="",IF(OR(J312="ILF",J312="EIF",J312="EI",J312="EO",J312="EQ"),0,""),LEN(Y312)-LEN(SUBSTITUTE(SUBSTITUTE(SUBSTITUTE(SUBSTITUTE(SUBSTITUTE(Y312,"|}","--"),"{|","--"),CHAR(10),""),"、",""),"|",""))+IF(AND(OR(J312="EI",J312="EO",J312="EQ"),$AE$1="NESMA"),2,1)))</f>
        <v/>
      </c>
      <c r="P312" s="86">
        <f>IF(J312="EI",IF(OR(Y312="估算法",Y312="算法类"),"中",IF(Y312="无法识别","低",IF(M312&lt;2,IF(O312&lt;16,"低","中"),IF(M312&lt;3,IF(O312&lt;5,"低",IF(O312&lt;16,"中","高")),IF(O312&lt;5,"中","高"))))),IF(OR(J312="EO",J312="EQ"),IF(OR(Y312="估算法",Y312="算法类"),"中",IF(Y312="无法识别","低",IF(M312&lt;2,IF(O312&lt;20,"低","中"),IF(M312&lt;4,IF(O312&lt;6,"低",IF(O312&lt;20,"中","高")),IF(O312&lt;6,"中","高"))))),IF(OR(J312="ILF",J312="EIF"),IF(OR(Y312="估算法",Y312="算法类",Y312="无法识别"),"低",IF(N312&lt;2,IF(O312&lt;51,"低","中"),IF(N312&lt;6,IF(O312&lt;20,"低",IF(O312&lt;51,"中","高")),IF(O312&lt;20,"中","高")))),"不计算")))</f>
        <v/>
      </c>
      <c r="Q312" s="172">
        <f>IFERROR(IF(J312="EI",IF(P312="低",3,IF(P312="中",4,6)),IF(J312="EO",IF(P312="低",4,IF(P312="中",5,7)),IF(J312="EQ",IF(P312="低",3,IF(P312="中",4,6)),IF(J312="ILF",IF(P312="低",7,IF(P312="中",10,15)),IF(J312="EIF",IF(P312="低",5,IF(P312="中",7,10)),"不计算")))))*R312,"不计算")</f>
        <v/>
      </c>
      <c r="R312" s="172" t="n">
        <v>0.333333333333333</v>
      </c>
      <c r="S312" s="173">
        <f>调整因子!$F$13</f>
        <v/>
      </c>
      <c r="T312" s="92" t="n">
        <v>1</v>
      </c>
      <c r="U312" s="174">
        <f>IFERROR(Q312*S312,0)</f>
        <v/>
      </c>
      <c r="V312" s="174">
        <f>U312*T312</f>
        <v/>
      </c>
      <c r="W312" s="90" t="inlineStr">
        <is>
          <t>插件组表</t>
        </is>
      </c>
      <c r="X312" s="91" t="n"/>
      <c r="Y312" s="90" t="inlineStr">
        <is>
          <t>插件组表{组ID、组名称、组编码、描述|响应码、响应内容、响应头}</t>
        </is>
      </c>
      <c r="Z312" s="90" t="n"/>
      <c r="AA312" s="90" t="n"/>
      <c r="AB312" s="103" t="inlineStr">
        <is>
          <t>漏洞处置单表、漏洞统计数据表</t>
        </is>
      </c>
      <c r="AC312" s="66" t="n"/>
    </row>
    <row r="313" s="112">
      <c r="A313" s="72">
        <f>ROW()-1</f>
        <v/>
      </c>
      <c r="B313" s="175" t="n"/>
      <c r="C313" s="80" t="n">
        <v>2025</v>
      </c>
      <c r="D313" s="80" t="inlineStr">
        <is>
          <t>张明峰</t>
        </is>
      </c>
      <c r="E313" s="81">
        <f>VLOOKUP(I313,'25年交付功能（不含废弃）'!A:A,1,FALSE)</f>
        <v/>
      </c>
      <c r="F313" s="175" t="n"/>
      <c r="G313" s="175" t="n"/>
      <c r="H313" s="175" t="n"/>
      <c r="I313" s="98" t="inlineStr">
        <is>
          <t>删除引擎分组</t>
        </is>
      </c>
      <c r="J313" s="93" t="inlineStr">
        <is>
          <t>EI</t>
        </is>
      </c>
      <c r="K313" s="84" t="n"/>
      <c r="L313" s="84" t="n"/>
      <c r="M313" s="85">
        <f>IF(OR(Y313="估算法",Y313="算法类",Y313="无法识别"),"",IF(W313="",IF(OR(J313="EI",J313="EO",J313="EQ"),0,""),LEN(W313)-LEN(SUBSTITUTE(W313,"、",""))+1))</f>
        <v/>
      </c>
      <c r="N313" s="85">
        <f>IF(OR(Y313="估算法",Y313="算法类",Y313="无法识别"),"",IF(X313="",IF(OR(J313="ILF",J313="EIF"),0,""),LEN(X313)-LEN(SUBSTITUTE(X313,"、",""))+1))</f>
        <v/>
      </c>
      <c r="O313" s="85">
        <f>IF(OR(Y313="估算法",Y313="算法类",Y313="无法识别"),"",IF(Y313="",IF(OR(J313="ILF",J313="EIF",J313="EI",J313="EO",J313="EQ"),0,""),LEN(Y313)-LEN(SUBSTITUTE(SUBSTITUTE(SUBSTITUTE(SUBSTITUTE(SUBSTITUTE(Y313,"|}","--"),"{|","--"),CHAR(10),""),"、",""),"|",""))+IF(AND(OR(J313="EI",J313="EO",J313="EQ"),$AE$1="NESMA"),2,1)))</f>
        <v/>
      </c>
      <c r="P313" s="86">
        <f>IF(J313="EI",IF(OR(Y313="估算法",Y313="算法类"),"中",IF(Y313="无法识别","低",IF(M313&lt;2,IF(O313&lt;16,"低","中"),IF(M313&lt;3,IF(O313&lt;5,"低",IF(O313&lt;16,"中","高")),IF(O313&lt;5,"中","高"))))),IF(OR(J313="EO",J313="EQ"),IF(OR(Y313="估算法",Y313="算法类"),"中",IF(Y313="无法识别","低",IF(M313&lt;2,IF(O313&lt;20,"低","中"),IF(M313&lt;4,IF(O313&lt;6,"低",IF(O313&lt;20,"中","高")),IF(O313&lt;6,"中","高"))))),IF(OR(J313="ILF",J313="EIF"),IF(OR(Y313="估算法",Y313="算法类",Y313="无法识别"),"低",IF(N313&lt;2,IF(O313&lt;51,"低","中"),IF(N313&lt;6,IF(O313&lt;20,"低",IF(O313&lt;51,"中","高")),IF(O313&lt;20,"中","高")))),"不计算")))</f>
        <v/>
      </c>
      <c r="Q313" s="172">
        <f>IFERROR(IF(J313="EI",IF(P313="低",3,IF(P313="中",4,6)),IF(J313="EO",IF(P313="低",4,IF(P313="中",5,7)),IF(J313="EQ",IF(P313="低",3,IF(P313="中",4,6)),IF(J313="ILF",IF(P313="低",7,IF(P313="中",10,15)),IF(J313="EIF",IF(P313="低",5,IF(P313="中",7,10)),"不计算")))))*R313,"不计算")</f>
        <v/>
      </c>
      <c r="R313" s="172" t="n">
        <v>0.333333333333333</v>
      </c>
      <c r="S313" s="173">
        <f>调整因子!$F$13</f>
        <v/>
      </c>
      <c r="T313" s="93" t="n">
        <v>1</v>
      </c>
      <c r="U313" s="174">
        <f>IFERROR(Q313*S313,0)</f>
        <v/>
      </c>
      <c r="V313" s="174">
        <f>U313*T313</f>
        <v/>
      </c>
      <c r="W313" s="90" t="inlineStr">
        <is>
          <t>插件组表</t>
        </is>
      </c>
      <c r="X313" s="91" t="n"/>
      <c r="Y313" s="90" t="inlineStr">
        <is>
          <t>插件组表{组ID|响应码、响应内容、响应头}</t>
        </is>
      </c>
      <c r="Z313" s="90" t="n"/>
      <c r="AA313" s="90" t="n"/>
      <c r="AB313" s="103" t="inlineStr">
        <is>
          <t>漏洞处置单表</t>
        </is>
      </c>
      <c r="AC313" s="66" t="n"/>
    </row>
    <row r="314" s="112">
      <c r="A314" s="72">
        <f>ROW()-1</f>
        <v/>
      </c>
      <c r="B314" s="175" t="n"/>
      <c r="C314" s="80" t="n">
        <v>2025</v>
      </c>
      <c r="D314" s="80" t="inlineStr">
        <is>
          <t>张明峰</t>
        </is>
      </c>
      <c r="E314" s="81">
        <f>VLOOKUP(I314,'25年交付功能（不含废弃）'!A:A,1,FALSE)</f>
        <v/>
      </c>
      <c r="F314" s="175" t="n"/>
      <c r="G314" s="175" t="n"/>
      <c r="H314" s="175" t="n"/>
      <c r="I314" s="98" t="inlineStr">
        <is>
          <t>添加引擎服务器</t>
        </is>
      </c>
      <c r="J314" s="93" t="inlineStr">
        <is>
          <t>EI</t>
        </is>
      </c>
      <c r="K314" s="84" t="n"/>
      <c r="L314" s="84" t="n"/>
      <c r="M314" s="85">
        <f>IF(OR(Y314="估算法",Y314="算法类",Y314="无法识别"),"",IF(W314="",IF(OR(J314="EI",J314="EO",J314="EQ"),0,""),LEN(W314)-LEN(SUBSTITUTE(W314,"、",""))+1))</f>
        <v/>
      </c>
      <c r="N314" s="85">
        <f>IF(OR(Y314="估算法",Y314="算法类",Y314="无法识别"),"",IF(X314="",IF(OR(J314="ILF",J314="EIF"),0,""),LEN(X314)-LEN(SUBSTITUTE(X314,"、",""))+1))</f>
        <v/>
      </c>
      <c r="O314" s="85">
        <f>IF(OR(Y314="估算法",Y314="算法类",Y314="无法识别"),"",IF(Y314="",IF(OR(J314="ILF",J314="EIF",J314="EI",J314="EO",J314="EQ"),0,""),LEN(Y314)-LEN(SUBSTITUTE(SUBSTITUTE(SUBSTITUTE(SUBSTITUTE(SUBSTITUTE(Y314,"|}","--"),"{|","--"),CHAR(10),""),"、",""),"|",""))+IF(AND(OR(J314="EI",J314="EO",J314="EQ"),$AE$1="NESMA"),2,1)))</f>
        <v/>
      </c>
      <c r="P314" s="86">
        <f>IF(J314="EI",IF(OR(Y314="估算法",Y314="算法类"),"中",IF(Y314="无法识别","低",IF(M314&lt;2,IF(O314&lt;16,"低","中"),IF(M314&lt;3,IF(O314&lt;5,"低",IF(O314&lt;16,"中","高")),IF(O314&lt;5,"中","高"))))),IF(OR(J314="EO",J314="EQ"),IF(OR(Y314="估算法",Y314="算法类"),"中",IF(Y314="无法识别","低",IF(M314&lt;2,IF(O314&lt;20,"低","中"),IF(M314&lt;4,IF(O314&lt;6,"低",IF(O314&lt;20,"中","高")),IF(O314&lt;6,"中","高"))))),IF(OR(J314="ILF",J314="EIF"),IF(OR(Y314="估算法",Y314="算法类",Y314="无法识别"),"低",IF(N314&lt;2,IF(O314&lt;51,"低","中"),IF(N314&lt;6,IF(O314&lt;20,"低",IF(O314&lt;51,"中","高")),IF(O314&lt;20,"中","高")))),"不计算")))</f>
        <v/>
      </c>
      <c r="Q314" s="172">
        <f>IFERROR(IF(J314="EI",IF(P314="低",3,IF(P314="中",4,6)),IF(J314="EO",IF(P314="低",4,IF(P314="中",5,7)),IF(J314="EQ",IF(P314="低",3,IF(P314="中",4,6)),IF(J314="ILF",IF(P314="低",7,IF(P314="中",10,15)),IF(J314="EIF",IF(P314="低",5,IF(P314="中",7,10)),"不计算")))))*R314,"不计算")</f>
        <v/>
      </c>
      <c r="R314" s="172" t="n">
        <v>1</v>
      </c>
      <c r="S314" s="173">
        <f>调整因子!$F$13</f>
        <v/>
      </c>
      <c r="T314" s="92" t="n">
        <v>1</v>
      </c>
      <c r="U314" s="174">
        <f>IFERROR(Q314*S314,0)</f>
        <v/>
      </c>
      <c r="V314" s="174">
        <f>U314*T314</f>
        <v/>
      </c>
      <c r="W314" s="90" t="inlineStr">
        <is>
          <t>引擎基本信息表、引擎版本管理表、插件组表</t>
        </is>
      </c>
      <c r="X314" s="91" t="n"/>
      <c r="Y314" s="90" t="inlineStr">
        <is>
          <t>插件组表{组ID、组名称、组编码、描述}、引擎基本信息表{引擎名称、引擎IP、引擎端口、描述、版本|响应码、响应内容、响应头}、引擎版本管理表{版本ID、引擎ID、版本号、发布说明、发布时间}</t>
        </is>
      </c>
      <c r="Z314" s="90" t="n"/>
      <c r="AA314" s="90" t="n"/>
      <c r="AB314" s="103" t="inlineStr">
        <is>
          <t>漏洞处置单表、漏洞统计数据表</t>
        </is>
      </c>
      <c r="AC314" s="66" t="n"/>
    </row>
    <row r="315" s="112">
      <c r="A315" s="72">
        <f>ROW()-1</f>
        <v/>
      </c>
      <c r="B315" s="175" t="n"/>
      <c r="C315" s="80" t="n">
        <v>2025</v>
      </c>
      <c r="D315" s="80" t="inlineStr">
        <is>
          <t>张明峰</t>
        </is>
      </c>
      <c r="E315" s="81">
        <f>VLOOKUP(I315,'25年交付功能（不含废弃）'!A:A,1,FALSE)</f>
        <v/>
      </c>
      <c r="F315" s="175" t="n"/>
      <c r="G315" s="175" t="n"/>
      <c r="H315" s="175" t="n"/>
      <c r="I315" s="98" t="inlineStr">
        <is>
          <t>修改引擎服务器</t>
        </is>
      </c>
      <c r="J315" s="93" t="inlineStr">
        <is>
          <t>EI</t>
        </is>
      </c>
      <c r="K315" s="84" t="n"/>
      <c r="L315" s="84" t="n"/>
      <c r="M315" s="85">
        <f>IF(OR(Y315="估算法",Y315="算法类",Y315="无法识别"),"",IF(W315="",IF(OR(J315="EI",J315="EO",J315="EQ"),0,""),LEN(W315)-LEN(SUBSTITUTE(W315,"、",""))+1))</f>
        <v/>
      </c>
      <c r="N315" s="85">
        <f>IF(OR(Y315="估算法",Y315="算法类",Y315="无法识别"),"",IF(X315="",IF(OR(J315="ILF",J315="EIF"),0,""),LEN(X315)-LEN(SUBSTITUTE(X315,"、",""))+1))</f>
        <v/>
      </c>
      <c r="O315" s="85">
        <f>IF(OR(Y315="估算法",Y315="算法类",Y315="无法识别"),"",IF(Y315="",IF(OR(J315="ILF",J315="EIF",J315="EI",J315="EO",J315="EQ"),0,""),LEN(Y315)-LEN(SUBSTITUTE(SUBSTITUTE(SUBSTITUTE(SUBSTITUTE(SUBSTITUTE(Y315,"|}","--"),"{|","--"),CHAR(10),""),"、",""),"|",""))+IF(AND(OR(J315="EI",J315="EO",J315="EQ"),$AE$1="NESMA"),2,1)))</f>
        <v/>
      </c>
      <c r="P315" s="86">
        <f>IF(J315="EI",IF(OR(Y315="估算法",Y315="算法类"),"中",IF(Y315="无法识别","低",IF(M315&lt;2,IF(O315&lt;16,"低","中"),IF(M315&lt;3,IF(O315&lt;5,"低",IF(O315&lt;16,"中","高")),IF(O315&lt;5,"中","高"))))),IF(OR(J315="EO",J315="EQ"),IF(OR(Y315="估算法",Y315="算法类"),"中",IF(Y315="无法识别","低",IF(M315&lt;2,IF(O315&lt;20,"低","中"),IF(M315&lt;4,IF(O315&lt;6,"低",IF(O315&lt;20,"中","高")),IF(O315&lt;6,"中","高"))))),IF(OR(J315="ILF",J315="EIF"),IF(OR(Y315="估算法",Y315="算法类",Y315="无法识别"),"低",IF(N315&lt;2,IF(O315&lt;51,"低","中"),IF(N315&lt;6,IF(O315&lt;20,"低",IF(O315&lt;51,"中","高")),IF(O315&lt;20,"中","高")))),"不计算")))</f>
        <v/>
      </c>
      <c r="Q315" s="172">
        <f>IFERROR(IF(J315="EI",IF(P315="低",3,IF(P315="中",4,6)),IF(J315="EO",IF(P315="低",4,IF(P315="中",5,7)),IF(J315="EQ",IF(P315="低",3,IF(P315="中",4,6)),IF(J315="ILF",IF(P315="低",7,IF(P315="中",10,15)),IF(J315="EIF",IF(P315="低",5,IF(P315="中",7,10)),"不计算")))))*R315,"不计算")</f>
        <v/>
      </c>
      <c r="R315" s="172" t="n">
        <v>0.333333333333333</v>
      </c>
      <c r="S315" s="173">
        <f>调整因子!$F$13</f>
        <v/>
      </c>
      <c r="T315" s="92" t="n">
        <v>1</v>
      </c>
      <c r="U315" s="174">
        <f>IFERROR(Q315*S315,0)</f>
        <v/>
      </c>
      <c r="V315" s="174">
        <f>U315*T315</f>
        <v/>
      </c>
      <c r="W315" s="90" t="inlineStr">
        <is>
          <t>插件组表、引擎基本信息表、引擎版本管理表</t>
        </is>
      </c>
      <c r="X315" s="91" t="n"/>
      <c r="Y315" s="90" t="inlineStr">
        <is>
          <t>引擎版本管理表{版本ID、引擎ID、版本号、发布说明、发布时间}、引擎基本信息表{引擎ID、引擎名称、引擎IP、引擎端口、描述、版本|响应码、响应内容、响应头}、插件组表{组ID、组名称、组编码、描述}</t>
        </is>
      </c>
      <c r="Z315" s="90" t="n"/>
      <c r="AA315" s="90" t="n"/>
      <c r="AB315" s="103" t="inlineStr">
        <is>
          <t>验证记录表</t>
        </is>
      </c>
      <c r="AC315" s="66" t="n"/>
    </row>
    <row r="316" s="112">
      <c r="A316" s="72">
        <f>ROW()-1</f>
        <v/>
      </c>
      <c r="B316" s="175" t="n"/>
      <c r="C316" s="80" t="n">
        <v>2025</v>
      </c>
      <c r="D316" s="80" t="inlineStr">
        <is>
          <t>张明峰</t>
        </is>
      </c>
      <c r="E316" s="81">
        <f>VLOOKUP(I316,'25年交付功能（不含废弃）'!A:A,1,FALSE)</f>
        <v/>
      </c>
      <c r="F316" s="175" t="n"/>
      <c r="G316" s="175" t="n"/>
      <c r="H316" s="175" t="n"/>
      <c r="I316" s="98" t="inlineStr">
        <is>
          <t>删除引擎服务器</t>
        </is>
      </c>
      <c r="J316" s="93" t="inlineStr">
        <is>
          <t>EI</t>
        </is>
      </c>
      <c r="K316" s="84" t="n"/>
      <c r="L316" s="84" t="n"/>
      <c r="M316" s="85">
        <f>IF(OR(Y316="估算法",Y316="算法类",Y316="无法识别"),"",IF(W316="",IF(OR(J316="EI",J316="EO",J316="EQ"),0,""),LEN(W316)-LEN(SUBSTITUTE(W316,"、",""))+1))</f>
        <v/>
      </c>
      <c r="N316" s="85">
        <f>IF(OR(Y316="估算法",Y316="算法类",Y316="无法识别"),"",IF(X316="",IF(OR(J316="ILF",J316="EIF"),0,""),LEN(X316)-LEN(SUBSTITUTE(X316,"、",""))+1))</f>
        <v/>
      </c>
      <c r="O316" s="85">
        <f>IF(OR(Y316="估算法",Y316="算法类",Y316="无法识别"),"",IF(Y316="",IF(OR(J316="ILF",J316="EIF",J316="EI",J316="EO",J316="EQ"),0,""),LEN(Y316)-LEN(SUBSTITUTE(SUBSTITUTE(SUBSTITUTE(SUBSTITUTE(SUBSTITUTE(Y316,"|}","--"),"{|","--"),CHAR(10),""),"、",""),"|",""))+IF(AND(OR(J316="EI",J316="EO",J316="EQ"),$AE$1="NESMA"),2,1)))</f>
        <v/>
      </c>
      <c r="P316" s="86">
        <f>IF(J316="EI",IF(OR(Y316="估算法",Y316="算法类"),"中",IF(Y316="无法识别","低",IF(M316&lt;2,IF(O316&lt;16,"低","中"),IF(M316&lt;3,IF(O316&lt;5,"低",IF(O316&lt;16,"中","高")),IF(O316&lt;5,"中","高"))))),IF(OR(J316="EO",J316="EQ"),IF(OR(Y316="估算法",Y316="算法类"),"中",IF(Y316="无法识别","低",IF(M316&lt;2,IF(O316&lt;20,"低","中"),IF(M316&lt;4,IF(O316&lt;6,"低",IF(O316&lt;20,"中","高")),IF(O316&lt;6,"中","高"))))),IF(OR(J316="ILF",J316="EIF"),IF(OR(Y316="估算法",Y316="算法类",Y316="无法识别"),"低",IF(N316&lt;2,IF(O316&lt;51,"低","中"),IF(N316&lt;6,IF(O316&lt;20,"低",IF(O316&lt;51,"中","高")),IF(O316&lt;20,"中","高")))),"不计算")))</f>
        <v/>
      </c>
      <c r="Q316" s="172">
        <f>IFERROR(IF(J316="EI",IF(P316="低",3,IF(P316="中",4,6)),IF(J316="EO",IF(P316="低",4,IF(P316="中",5,7)),IF(J316="EQ",IF(P316="低",3,IF(P316="中",4,6)),IF(J316="ILF",IF(P316="低",7,IF(P316="中",10,15)),IF(J316="EIF",IF(P316="低",5,IF(P316="中",7,10)),"不计算")))))*R316,"不计算")</f>
        <v/>
      </c>
      <c r="R316" s="172" t="n">
        <v>0.333333333333333</v>
      </c>
      <c r="S316" s="173">
        <f>调整因子!$F$13</f>
        <v/>
      </c>
      <c r="T316" s="93" t="n">
        <v>1</v>
      </c>
      <c r="U316" s="174">
        <f>IFERROR(Q316*S316,0)</f>
        <v/>
      </c>
      <c r="V316" s="174">
        <f>U316*T316</f>
        <v/>
      </c>
      <c r="W316" s="90" t="inlineStr">
        <is>
          <t>引擎基本信息表</t>
        </is>
      </c>
      <c r="X316" s="91" t="n"/>
      <c r="Y316" s="90" t="inlineStr">
        <is>
          <t>引擎基本信息表{引擎ID|响应码、响应内容、响应头}</t>
        </is>
      </c>
      <c r="Z316" s="90" t="n"/>
      <c r="AA316" s="90" t="n"/>
      <c r="AB316" s="103" t="inlineStr">
        <is>
          <t>模板分类表</t>
        </is>
      </c>
      <c r="AC316" s="66" t="n"/>
    </row>
    <row r="317" s="112">
      <c r="A317" s="72">
        <f>ROW()-1</f>
        <v/>
      </c>
      <c r="B317" s="175" t="n"/>
      <c r="C317" s="80" t="n">
        <v>2025</v>
      </c>
      <c r="D317" s="80" t="inlineStr">
        <is>
          <t>张明峰</t>
        </is>
      </c>
      <c r="E317" s="81">
        <f>VLOOKUP(I317,'25年交付功能（不含废弃）'!A:A,1,FALSE)</f>
        <v/>
      </c>
      <c r="F317" s="175" t="n"/>
      <c r="G317" s="175" t="n"/>
      <c r="H317" s="175" t="n"/>
      <c r="I317" s="98" t="inlineStr">
        <is>
          <t>查看引擎服务器列表</t>
        </is>
      </c>
      <c r="J317" s="93" t="inlineStr">
        <is>
          <t>EQ</t>
        </is>
      </c>
      <c r="K317" s="84" t="n"/>
      <c r="L317" s="84" t="n"/>
      <c r="M317" s="85">
        <f>IF(OR(Y317="估算法",Y317="算法类",Y317="无法识别"),"",IF(W317="",IF(OR(J317="EI",J317="EO",J317="EQ"),0,""),LEN(W317)-LEN(SUBSTITUTE(W317,"、",""))+1))</f>
        <v/>
      </c>
      <c r="N317" s="85">
        <f>IF(OR(Y317="估算法",Y317="算法类",Y317="无法识别"),"",IF(X317="",IF(OR(J317="ILF",J317="EIF"),0,""),LEN(X317)-LEN(SUBSTITUTE(X317,"、",""))+1))</f>
        <v/>
      </c>
      <c r="O317" s="85">
        <f>IF(OR(Y317="估算法",Y317="算法类",Y317="无法识别"),"",IF(Y317="",IF(OR(J317="ILF",J317="EIF",J317="EI",J317="EO",J317="EQ"),0,""),LEN(Y317)-LEN(SUBSTITUTE(SUBSTITUTE(SUBSTITUTE(SUBSTITUTE(SUBSTITUTE(Y317,"|}","--"),"{|","--"),CHAR(10),""),"、",""),"|",""))+IF(AND(OR(J317="EI",J317="EO",J317="EQ"),$AE$1="NESMA"),2,1)))</f>
        <v/>
      </c>
      <c r="P317" s="86">
        <f>IF(J317="EI",IF(OR(Y317="估算法",Y317="算法类"),"中",IF(Y317="无法识别","低",IF(M317&lt;2,IF(O317&lt;16,"低","中"),IF(M317&lt;3,IF(O317&lt;5,"低",IF(O317&lt;16,"中","高")),IF(O317&lt;5,"中","高"))))),IF(OR(J317="EO",J317="EQ"),IF(OR(Y317="估算法",Y317="算法类"),"中",IF(Y317="无法识别","低",IF(M317&lt;2,IF(O317&lt;20,"低","中"),IF(M317&lt;4,IF(O317&lt;6,"低",IF(O317&lt;20,"中","高")),IF(O317&lt;6,"中","高"))))),IF(OR(J317="ILF",J317="EIF"),IF(OR(Y317="估算法",Y317="算法类",Y317="无法识别"),"低",IF(N317&lt;2,IF(O317&lt;51,"低","中"),IF(N317&lt;6,IF(O317&lt;20,"低",IF(O317&lt;51,"中","高")),IF(O317&lt;20,"中","高")))),"不计算")))</f>
        <v/>
      </c>
      <c r="Q317" s="172">
        <f>IFERROR(IF(J317="EI",IF(P317="低",3,IF(P317="中",4,6)),IF(J317="EO",IF(P317="低",4,IF(P317="中",5,7)),IF(J317="EQ",IF(P317="低",3,IF(P317="中",4,6)),IF(J317="ILF",IF(P317="低",7,IF(P317="中",10,15)),IF(J317="EIF",IF(P317="低",5,IF(P317="中",7,10)),"不计算")))))*R317,"不计算")</f>
        <v/>
      </c>
      <c r="R317" s="172" t="n">
        <v>1</v>
      </c>
      <c r="S317" s="173">
        <f>调整因子!$F$13</f>
        <v/>
      </c>
      <c r="T317" s="92" t="n">
        <v>1</v>
      </c>
      <c r="U317" s="174">
        <f>IFERROR(Q317*S317,0)</f>
        <v/>
      </c>
      <c r="V317" s="174">
        <f>U317*T317</f>
        <v/>
      </c>
      <c r="W317" s="90" t="inlineStr">
        <is>
          <t>插件组表、引擎基本信息表</t>
        </is>
      </c>
      <c r="X317" s="91" t="n"/>
      <c r="Y317" s="90" t="inlineStr">
        <is>
          <t>插件组表{组ID、组名称、组编码、描述}、引擎基本信息表{引擎名称、引擎IP、引擎端口、描述、版本|响应码、响应内容、响应头}</t>
        </is>
      </c>
      <c r="Z317" s="90" t="n"/>
      <c r="AA317" s="90" t="n"/>
      <c r="AB317" s="103" t="inlineStr">
        <is>
          <t>资产同步任务表</t>
        </is>
      </c>
      <c r="AC317" s="66" t="n"/>
    </row>
    <row r="318" s="112">
      <c r="A318" s="72">
        <f>ROW()-1</f>
        <v/>
      </c>
      <c r="B318" s="175" t="n"/>
      <c r="C318" s="80" t="n">
        <v>2025</v>
      </c>
      <c r="D318" s="80" t="inlineStr">
        <is>
          <t>张明峰</t>
        </is>
      </c>
      <c r="E318" s="81">
        <f>VLOOKUP(I318,'25年交付功能（不含废弃）'!A:A,1,FALSE)</f>
        <v/>
      </c>
      <c r="F318" s="175" t="n"/>
      <c r="G318" s="175" t="n"/>
      <c r="H318" s="175" t="n"/>
      <c r="I318" s="98" t="inlineStr">
        <is>
          <t>查看引擎服务器摘要</t>
        </is>
      </c>
      <c r="J318" s="93" t="inlineStr">
        <is>
          <t>EQ</t>
        </is>
      </c>
      <c r="K318" s="84" t="n"/>
      <c r="L318" s="84" t="n"/>
      <c r="M318" s="85">
        <f>IF(OR(Y318="估算法",Y318="算法类",Y318="无法识别"),"",IF(W318="",IF(OR(J318="EI",J318="EO",J318="EQ"),0,""),LEN(W318)-LEN(SUBSTITUTE(W318,"、",""))+1))</f>
        <v/>
      </c>
      <c r="N318" s="85">
        <f>IF(OR(Y318="估算法",Y318="算法类",Y318="无法识别"),"",IF(X318="",IF(OR(J318="ILF",J318="EIF"),0,""),LEN(X318)-LEN(SUBSTITUTE(X318,"、",""))+1))</f>
        <v/>
      </c>
      <c r="O318" s="85">
        <f>IF(OR(Y318="估算法",Y318="算法类",Y318="无法识别"),"",IF(Y318="",IF(OR(J318="ILF",J318="EIF",J318="EI",J318="EO",J318="EQ"),0,""),LEN(Y318)-LEN(SUBSTITUTE(SUBSTITUTE(SUBSTITUTE(SUBSTITUTE(SUBSTITUTE(Y318,"|}","--"),"{|","--"),CHAR(10),""),"、",""),"|",""))+IF(AND(OR(J318="EI",J318="EO",J318="EQ"),$AE$1="NESMA"),2,1)))</f>
        <v/>
      </c>
      <c r="P318" s="86">
        <f>IF(J318="EI",IF(OR(Y318="估算法",Y318="算法类"),"中",IF(Y318="无法识别","低",IF(M318&lt;2,IF(O318&lt;16,"低","中"),IF(M318&lt;3,IF(O318&lt;5,"低",IF(O318&lt;16,"中","高")),IF(O318&lt;5,"中","高"))))),IF(OR(J318="EO",J318="EQ"),IF(OR(Y318="估算法",Y318="算法类"),"中",IF(Y318="无法识别","低",IF(M318&lt;2,IF(O318&lt;20,"低","中"),IF(M318&lt;4,IF(O318&lt;6,"低",IF(O318&lt;20,"中","高")),IF(O318&lt;6,"中","高"))))),IF(OR(J318="ILF",J318="EIF"),IF(OR(Y318="估算法",Y318="算法类",Y318="无法识别"),"低",IF(N318&lt;2,IF(O318&lt;51,"低","中"),IF(N318&lt;6,IF(O318&lt;20,"低",IF(O318&lt;51,"中","高")),IF(O318&lt;20,"中","高")))),"不计算")))</f>
        <v/>
      </c>
      <c r="Q318" s="172">
        <f>IFERROR(IF(J318="EI",IF(P318="低",3,IF(P318="中",4,6)),IF(J318="EO",IF(P318="低",4,IF(P318="中",5,7)),IF(J318="EQ",IF(P318="低",3,IF(P318="中",4,6)),IF(J318="ILF",IF(P318="低",7,IF(P318="中",10,15)),IF(J318="EIF",IF(P318="低",5,IF(P318="中",7,10)),"不计算")))))*R318,"不计算")</f>
        <v/>
      </c>
      <c r="R318" s="172" t="n">
        <v>1</v>
      </c>
      <c r="S318" s="173">
        <f>调整因子!$F$13</f>
        <v/>
      </c>
      <c r="T318" s="92" t="n">
        <v>1</v>
      </c>
      <c r="U318" s="174">
        <f>IFERROR(Q318*S318,0)</f>
        <v/>
      </c>
      <c r="V318" s="174">
        <f>U318*T318</f>
        <v/>
      </c>
      <c r="W318" s="90" t="inlineStr">
        <is>
          <t>引擎基本信息表、插件组表、引擎版本管理表</t>
        </is>
      </c>
      <c r="X318" s="91" t="n"/>
      <c r="Y318" s="90" t="inlineStr">
        <is>
          <t>引擎版本管理表{|版本ID、引擎ID、版本号、发布说明、发布时间}、引擎基本信息表{引擎ID|引擎名称、引擎IP、引擎端口、描述、版本}、插件组表{|组名称、组编码、描述}</t>
        </is>
      </c>
      <c r="Z318" s="90" t="n"/>
      <c r="AA318" s="90" t="n"/>
      <c r="AB318" s="103" t="inlineStr">
        <is>
          <t>加密规则表、标签分类表</t>
        </is>
      </c>
      <c r="AC318" s="66" t="n"/>
    </row>
    <row r="319" s="112">
      <c r="A319" s="72">
        <f>ROW()-1</f>
        <v/>
      </c>
      <c r="B319" s="175" t="n"/>
      <c r="C319" s="80" t="n">
        <v>2025</v>
      </c>
      <c r="D319" s="80" t="inlineStr">
        <is>
          <t>张明峰</t>
        </is>
      </c>
      <c r="E319" s="81">
        <f>VLOOKUP(I319,'25年交付功能（不含废弃）'!A:A,1,FALSE)</f>
        <v/>
      </c>
      <c r="F319" s="175" t="n"/>
      <c r="G319" s="175" t="n"/>
      <c r="H319" s="175" t="n"/>
      <c r="I319" s="98" t="inlineStr">
        <is>
          <t>引擎离线导入插件</t>
        </is>
      </c>
      <c r="J319" s="93" t="inlineStr">
        <is>
          <t>EI</t>
        </is>
      </c>
      <c r="K319" s="84" t="n"/>
      <c r="L319" s="84" t="n"/>
      <c r="M319" s="85">
        <f>IF(OR(Y319="估算法",Y319="算法类",Y319="无法识别"),"",IF(W319="",IF(OR(J319="EI",J319="EO",J319="EQ"),0,""),LEN(W319)-LEN(SUBSTITUTE(W319,"、",""))+1))</f>
        <v/>
      </c>
      <c r="N319" s="85">
        <f>IF(OR(Y319="估算法",Y319="算法类",Y319="无法识别"),"",IF(X319="",IF(OR(J319="ILF",J319="EIF"),0,""),LEN(X319)-LEN(SUBSTITUTE(X319,"、",""))+1))</f>
        <v/>
      </c>
      <c r="O319" s="85">
        <f>IF(OR(Y319="估算法",Y319="算法类",Y319="无法识别"),"",IF(Y319="",IF(OR(J319="ILF",J319="EIF",J319="EI",J319="EO",J319="EQ"),0,""),LEN(Y319)-LEN(SUBSTITUTE(SUBSTITUTE(SUBSTITUTE(SUBSTITUTE(SUBSTITUTE(Y319,"|}","--"),"{|","--"),CHAR(10),""),"、",""),"|",""))+IF(AND(OR(J319="EI",J319="EO",J319="EQ"),$AE$1="NESMA"),2,1)))</f>
        <v/>
      </c>
      <c r="P319" s="86">
        <f>IF(J319="EI",IF(OR(Y319="估算法",Y319="算法类"),"中",IF(Y319="无法识别","低",IF(M319&lt;2,IF(O319&lt;16,"低","中"),IF(M319&lt;3,IF(O319&lt;5,"低",IF(O319&lt;16,"中","高")),IF(O319&lt;5,"中","高"))))),IF(OR(J319="EO",J319="EQ"),IF(OR(Y319="估算法",Y319="算法类"),"中",IF(Y319="无法识别","低",IF(M319&lt;2,IF(O319&lt;20,"低","中"),IF(M319&lt;4,IF(O319&lt;6,"低",IF(O319&lt;20,"中","高")),IF(O319&lt;6,"中","高"))))),IF(OR(J319="ILF",J319="EIF"),IF(OR(Y319="估算法",Y319="算法类",Y319="无法识别"),"低",IF(N319&lt;2,IF(O319&lt;51,"低","中"),IF(N319&lt;6,IF(O319&lt;20,"低",IF(O319&lt;51,"中","高")),IF(O319&lt;20,"中","高")))),"不计算")))</f>
        <v/>
      </c>
      <c r="Q319" s="172">
        <f>IFERROR(IF(J319="EI",IF(P319="低",3,IF(P319="中",4,6)),IF(J319="EO",IF(P319="低",4,IF(P319="中",5,7)),IF(J319="EQ",IF(P319="低",3,IF(P319="中",4,6)),IF(J319="ILF",IF(P319="低",7,IF(P319="中",10,15)),IF(J319="EIF",IF(P319="低",5,IF(P319="中",7,10)),"不计算")))))*R319,"不计算")</f>
        <v/>
      </c>
      <c r="R319" s="172" t="n">
        <v>1</v>
      </c>
      <c r="S319" s="173">
        <f>调整因子!$F$13</f>
        <v/>
      </c>
      <c r="T319" s="93" t="n">
        <v>1</v>
      </c>
      <c r="U319" s="174">
        <f>IFERROR(Q319*S319,0)</f>
        <v/>
      </c>
      <c r="V319" s="174">
        <f>U319*T319</f>
        <v/>
      </c>
      <c r="W319" s="90" t="inlineStr">
        <is>
          <t>引擎基本信息表</t>
        </is>
      </c>
      <c r="X319" s="91" t="n"/>
      <c r="Y319" s="90" t="inlineStr">
        <is>
          <t>引擎基本信息表{引擎ID、引擎名称、引擎IP、引擎端口、描述、版本|响应码、响应内容、响应头}</t>
        </is>
      </c>
      <c r="Z319" s="90" t="n"/>
      <c r="AA319" s="90" t="n"/>
      <c r="AB319" s="103" t="inlineStr">
        <is>
          <t>任务趋势分析表、通报对象表</t>
        </is>
      </c>
      <c r="AC319" s="66" t="n"/>
    </row>
    <row r="320" s="112">
      <c r="A320" s="72">
        <f>ROW()-1</f>
        <v/>
      </c>
      <c r="B320" s="175" t="n"/>
      <c r="C320" s="80" t="n">
        <v>2025</v>
      </c>
      <c r="D320" s="80" t="inlineStr">
        <is>
          <t>张明峰</t>
        </is>
      </c>
      <c r="E320" s="81">
        <f>VLOOKUP(I320,'25年交付功能（不含废弃）'!A:A,1,FALSE)</f>
        <v/>
      </c>
      <c r="F320" s="175" t="n"/>
      <c r="G320" s="175" t="n"/>
      <c r="H320" s="175" t="n"/>
      <c r="I320" s="98" t="inlineStr">
        <is>
          <t>引擎在线同步插件</t>
        </is>
      </c>
      <c r="J320" s="93" t="inlineStr">
        <is>
          <t>EI</t>
        </is>
      </c>
      <c r="K320" s="84" t="n"/>
      <c r="L320" s="84" t="n"/>
      <c r="M320" s="85">
        <f>IF(OR(Y320="估算法",Y320="算法类",Y320="无法识别"),"",IF(W320="",IF(OR(J320="EI",J320="EO",J320="EQ"),0,""),LEN(W320)-LEN(SUBSTITUTE(W320,"、",""))+1))</f>
        <v/>
      </c>
      <c r="N320" s="85">
        <f>IF(OR(Y320="估算法",Y320="算法类",Y320="无法识别"),"",IF(X320="",IF(OR(J320="ILF",J320="EIF"),0,""),LEN(X320)-LEN(SUBSTITUTE(X320,"、",""))+1))</f>
        <v/>
      </c>
      <c r="O320" s="85">
        <f>IF(OR(Y320="估算法",Y320="算法类",Y320="无法识别"),"",IF(Y320="",IF(OR(J320="ILF",J320="EIF",J320="EI",J320="EO",J320="EQ"),0,""),LEN(Y320)-LEN(SUBSTITUTE(SUBSTITUTE(SUBSTITUTE(SUBSTITUTE(SUBSTITUTE(Y320,"|}","--"),"{|","--"),CHAR(10),""),"、",""),"|",""))+IF(AND(OR(J320="EI",J320="EO",J320="EQ"),$AE$1="NESMA"),2,1)))</f>
        <v/>
      </c>
      <c r="P320" s="86">
        <f>IF(J320="EI",IF(OR(Y320="估算法",Y320="算法类"),"中",IF(Y320="无法识别","低",IF(M320&lt;2,IF(O320&lt;16,"低","中"),IF(M320&lt;3,IF(O320&lt;5,"低",IF(O320&lt;16,"中","高")),IF(O320&lt;5,"中","高"))))),IF(OR(J320="EO",J320="EQ"),IF(OR(Y320="估算法",Y320="算法类"),"中",IF(Y320="无法识别","低",IF(M320&lt;2,IF(O320&lt;20,"低","中"),IF(M320&lt;4,IF(O320&lt;6,"低",IF(O320&lt;20,"中","高")),IF(O320&lt;6,"中","高"))))),IF(OR(J320="ILF",J320="EIF"),IF(OR(Y320="估算法",Y320="算法类",Y320="无法识别"),"低",IF(N320&lt;2,IF(O320&lt;51,"低","中"),IF(N320&lt;6,IF(O320&lt;20,"低",IF(O320&lt;51,"中","高")),IF(O320&lt;20,"中","高")))),"不计算")))</f>
        <v/>
      </c>
      <c r="Q320" s="172">
        <f>IFERROR(IF(J320="EI",IF(P320="低",3,IF(P320="中",4,6)),IF(J320="EO",IF(P320="低",4,IF(P320="中",5,7)),IF(J320="EQ",IF(P320="低",3,IF(P320="中",4,6)),IF(J320="ILF",IF(P320="低",7,IF(P320="中",10,15)),IF(J320="EIF",IF(P320="低",5,IF(P320="中",7,10)),"不计算")))))*R320,"不计算")</f>
        <v/>
      </c>
      <c r="R320" s="172" t="n">
        <v>1</v>
      </c>
      <c r="S320" s="173">
        <f>调整因子!$F$13</f>
        <v/>
      </c>
      <c r="T320" s="92" t="n">
        <v>1</v>
      </c>
      <c r="U320" s="174">
        <f>IFERROR(Q320*S320,0)</f>
        <v/>
      </c>
      <c r="V320" s="174">
        <f>U320*T320</f>
        <v/>
      </c>
      <c r="W320" s="90" t="inlineStr">
        <is>
          <t>引擎基本信息表</t>
        </is>
      </c>
      <c r="X320" s="91" t="n"/>
      <c r="Y320" s="90" t="inlineStr">
        <is>
          <t>引擎基本信息表{引擎ID、引擎名称、引擎IP、引擎端口、描述、版本|响应码、响应内容、响应头}</t>
        </is>
      </c>
      <c r="Z320" s="90" t="n"/>
      <c r="AA320" s="90" t="n"/>
      <c r="AB320" s="103" t="inlineStr">
        <is>
          <t>考核指标配置表、任务统计数据表</t>
        </is>
      </c>
      <c r="AC320" s="66" t="n"/>
    </row>
    <row r="321" s="112">
      <c r="A321" s="72">
        <f>ROW()-1</f>
        <v/>
      </c>
      <c r="B321" s="175" t="n"/>
      <c r="C321" s="80" t="n">
        <v>2025</v>
      </c>
      <c r="D321" s="80" t="inlineStr">
        <is>
          <t>张明峰</t>
        </is>
      </c>
      <c r="E321" s="81">
        <f>VLOOKUP(I321,'25年交付功能（不含废弃）'!A:A,1,FALSE)</f>
        <v/>
      </c>
      <c r="F321" s="175" t="n"/>
      <c r="G321" s="175" t="n"/>
      <c r="H321" s="175" t="n"/>
      <c r="I321" s="98" t="inlineStr">
        <is>
          <t>查看引擎插件导入记录</t>
        </is>
      </c>
      <c r="J321" s="93" t="inlineStr">
        <is>
          <t>EQ</t>
        </is>
      </c>
      <c r="K321" s="84" t="n"/>
      <c r="L321" s="84" t="n"/>
      <c r="M321" s="85">
        <f>IF(OR(Y321="估算法",Y321="算法类",Y321="无法识别"),"",IF(W321="",IF(OR(J321="EI",J321="EO",J321="EQ"),0,""),LEN(W321)-LEN(SUBSTITUTE(W321,"、",""))+1))</f>
        <v/>
      </c>
      <c r="N321" s="85">
        <f>IF(OR(Y321="估算法",Y321="算法类",Y321="无法识别"),"",IF(X321="",IF(OR(J321="ILF",J321="EIF"),0,""),LEN(X321)-LEN(SUBSTITUTE(X321,"、",""))+1))</f>
        <v/>
      </c>
      <c r="O321" s="85">
        <f>IF(OR(Y321="估算法",Y321="算法类",Y321="无法识别"),"",IF(Y321="",IF(OR(J321="ILF",J321="EIF",J321="EI",J321="EO",J321="EQ"),0,""),LEN(Y321)-LEN(SUBSTITUTE(SUBSTITUTE(SUBSTITUTE(SUBSTITUTE(SUBSTITUTE(Y321,"|}","--"),"{|","--"),CHAR(10),""),"、",""),"|",""))+IF(AND(OR(J321="EI",J321="EO",J321="EQ"),$AE$1="NESMA"),2,1)))</f>
        <v/>
      </c>
      <c r="P321" s="86">
        <f>IF(J321="EI",IF(OR(Y321="估算法",Y321="算法类"),"中",IF(Y321="无法识别","低",IF(M321&lt;2,IF(O321&lt;16,"低","中"),IF(M321&lt;3,IF(O321&lt;5,"低",IF(O321&lt;16,"中","高")),IF(O321&lt;5,"中","高"))))),IF(OR(J321="EO",J321="EQ"),IF(OR(Y321="估算法",Y321="算法类"),"中",IF(Y321="无法识别","低",IF(M321&lt;2,IF(O321&lt;20,"低","中"),IF(M321&lt;4,IF(O321&lt;6,"低",IF(O321&lt;20,"中","高")),IF(O321&lt;6,"中","高"))))),IF(OR(J321="ILF",J321="EIF"),IF(OR(Y321="估算法",Y321="算法类",Y321="无法识别"),"低",IF(N321&lt;2,IF(O321&lt;51,"低","中"),IF(N321&lt;6,IF(O321&lt;20,"低",IF(O321&lt;51,"中","高")),IF(O321&lt;20,"中","高")))),"不计算")))</f>
        <v/>
      </c>
      <c r="Q321" s="172">
        <f>IFERROR(IF(J321="EI",IF(P321="低",3,IF(P321="中",4,6)),IF(J321="EO",IF(P321="低",4,IF(P321="中",5,7)),IF(J321="EQ",IF(P321="低",3,IF(P321="中",4,6)),IF(J321="ILF",IF(P321="低",7,IF(P321="中",10,15)),IF(J321="EIF",IF(P321="低",5,IF(P321="中",7,10)),"不计算")))))*R321,"不计算")</f>
        <v/>
      </c>
      <c r="R321" s="172" t="n">
        <v>1</v>
      </c>
      <c r="S321" s="173">
        <f>调整因子!$F$13</f>
        <v/>
      </c>
      <c r="T321" s="92" t="n">
        <v>1</v>
      </c>
      <c r="U321" s="174">
        <f>IFERROR(Q321*S321,0)</f>
        <v/>
      </c>
      <c r="V321" s="174">
        <f>U321*T321</f>
        <v/>
      </c>
      <c r="W321" s="90" t="inlineStr">
        <is>
          <t>导入记录表</t>
        </is>
      </c>
      <c r="X321" s="91" t="n"/>
      <c r="Y321" s="90" t="inlineStr">
        <is>
          <t>导入记录表{记录ID、导入文件路径、导入时间、导入人}</t>
        </is>
      </c>
      <c r="Z321" s="90" t="n"/>
      <c r="AA321" s="90" t="n"/>
      <c r="AB321" s="103" t="inlineStr">
        <is>
          <t>修复步骤表</t>
        </is>
      </c>
      <c r="AC321" s="66" t="n"/>
    </row>
    <row r="322" s="112">
      <c r="A322" s="72">
        <f>ROW()-1</f>
        <v/>
      </c>
      <c r="B322" s="175" t="n"/>
      <c r="C322" s="80" t="n">
        <v>2025</v>
      </c>
      <c r="D322" s="80" t="inlineStr">
        <is>
          <t>张明峰</t>
        </is>
      </c>
      <c r="E322" s="81">
        <f>VLOOKUP(I322,'25年交付功能（不含废弃）'!A:A,1,FALSE)</f>
        <v/>
      </c>
      <c r="F322" s="175" t="n"/>
      <c r="G322" s="175" t="n"/>
      <c r="H322" s="175" t="n"/>
      <c r="I322" s="98" t="inlineStr">
        <is>
          <t>查看引擎插件同步记录</t>
        </is>
      </c>
      <c r="J322" s="93" t="inlineStr">
        <is>
          <t>EQ</t>
        </is>
      </c>
      <c r="K322" s="84" t="n"/>
      <c r="L322" s="84" t="n"/>
      <c r="M322" s="85">
        <f>IF(OR(Y322="估算法",Y322="算法类",Y322="无法识别"),"",IF(W322="",IF(OR(J322="EI",J322="EO",J322="EQ"),0,""),LEN(W322)-LEN(SUBSTITUTE(W322,"、",""))+1))</f>
        <v/>
      </c>
      <c r="N322" s="85">
        <f>IF(OR(Y322="估算法",Y322="算法类",Y322="无法识别"),"",IF(X322="",IF(OR(J322="ILF",J322="EIF"),0,""),LEN(X322)-LEN(SUBSTITUTE(X322,"、",""))+1))</f>
        <v/>
      </c>
      <c r="O322" s="85">
        <f>IF(OR(Y322="估算法",Y322="算法类",Y322="无法识别"),"",IF(Y322="",IF(OR(J322="ILF",J322="EIF",J322="EI",J322="EO",J322="EQ"),0,""),LEN(Y322)-LEN(SUBSTITUTE(SUBSTITUTE(SUBSTITUTE(SUBSTITUTE(SUBSTITUTE(Y322,"|}","--"),"{|","--"),CHAR(10),""),"、",""),"|",""))+IF(AND(OR(J322="EI",J322="EO",J322="EQ"),$AE$1="NESMA"),2,1)))</f>
        <v/>
      </c>
      <c r="P322" s="86">
        <f>IF(J322="EI",IF(OR(Y322="估算法",Y322="算法类"),"中",IF(Y322="无法识别","低",IF(M322&lt;2,IF(O322&lt;16,"低","中"),IF(M322&lt;3,IF(O322&lt;5,"低",IF(O322&lt;16,"中","高")),IF(O322&lt;5,"中","高"))))),IF(OR(J322="EO",J322="EQ"),IF(OR(Y322="估算法",Y322="算法类"),"中",IF(Y322="无法识别","低",IF(M322&lt;2,IF(O322&lt;20,"低","中"),IF(M322&lt;4,IF(O322&lt;6,"低",IF(O322&lt;20,"中","高")),IF(O322&lt;6,"中","高"))))),IF(OR(J322="ILF",J322="EIF"),IF(OR(Y322="估算法",Y322="算法类",Y322="无法识别"),"低",IF(N322&lt;2,IF(O322&lt;51,"低","中"),IF(N322&lt;6,IF(O322&lt;20,"低",IF(O322&lt;51,"中","高")),IF(O322&lt;20,"中","高")))),"不计算")))</f>
        <v/>
      </c>
      <c r="Q322" s="172">
        <f>IFERROR(IF(J322="EI",IF(P322="低",3,IF(P322="中",4,6)),IF(J322="EO",IF(P322="低",4,IF(P322="中",5,7)),IF(J322="EQ",IF(P322="低",3,IF(P322="中",4,6)),IF(J322="ILF",IF(P322="低",7,IF(P322="中",10,15)),IF(J322="EIF",IF(P322="低",5,IF(P322="中",7,10)),"不计算")))))*R322,"不计算")</f>
        <v/>
      </c>
      <c r="R322" s="172" t="n">
        <v>0.333333333333333</v>
      </c>
      <c r="S322" s="173">
        <f>调整因子!$F$13</f>
        <v/>
      </c>
      <c r="T322" s="93" t="n">
        <v>1</v>
      </c>
      <c r="U322" s="174">
        <f>IFERROR(Q322*S322,0)</f>
        <v/>
      </c>
      <c r="V322" s="174">
        <f>U322*T322</f>
        <v/>
      </c>
      <c r="W322" s="90" t="inlineStr">
        <is>
          <t>同步记录表</t>
        </is>
      </c>
      <c r="X322" s="91" t="n"/>
      <c r="Y322" s="90" t="inlineStr">
        <is>
          <t>同步记录表{记录ID、同步类型、同步时间、同步状态}</t>
        </is>
      </c>
      <c r="Z322" s="90" t="n"/>
      <c r="AA322" s="90" t="n"/>
      <c r="AB322" s="103" t="inlineStr">
        <is>
          <t>推送规则表</t>
        </is>
      </c>
      <c r="AC322" s="66" t="n"/>
    </row>
    <row r="323" s="112">
      <c r="A323" s="72">
        <f>ROW()-1</f>
        <v/>
      </c>
      <c r="B323" s="175" t="n"/>
      <c r="C323" s="80" t="n">
        <v>2025</v>
      </c>
      <c r="D323" s="80" t="inlineStr">
        <is>
          <t>张明峰</t>
        </is>
      </c>
      <c r="E323" s="81">
        <f>VLOOKUP(I323,'25年交付功能（不含废弃）'!A:A,1,FALSE)</f>
        <v/>
      </c>
      <c r="F323" s="175" t="n"/>
      <c r="G323" s="175" t="n"/>
      <c r="H323" s="175" t="n"/>
      <c r="I323" s="98" t="inlineStr">
        <is>
          <t>插件组表</t>
        </is>
      </c>
      <c r="J323" s="93" t="inlineStr">
        <is>
          <t>ILF</t>
        </is>
      </c>
      <c r="K323" s="84" t="n"/>
      <c r="L323" s="84" t="n"/>
      <c r="M323" s="85">
        <f>IF(OR(Y323="估算法",Y323="算法类",Y323="无法识别"),"",IF(W323="",IF(OR(J323="EI",J323="EO",J323="EQ"),0,""),LEN(W323)-LEN(SUBSTITUTE(W323,"、",""))+1))</f>
        <v/>
      </c>
      <c r="N323" s="85">
        <f>IF(OR(Y323="估算法",Y323="算法类",Y323="无法识别"),"",IF(X323="",IF(OR(J323="ILF",J323="EIF"),0,""),LEN(X323)-LEN(SUBSTITUTE(X323,"、",""))+1))</f>
        <v/>
      </c>
      <c r="O323" s="85">
        <f>IF(OR(Y323="估算法",Y323="算法类",Y323="无法识别"),"",IF(Y323="",IF(OR(J323="ILF",J323="EIF",J323="EI",J323="EO",J323="EQ"),0,""),LEN(Y323)-LEN(SUBSTITUTE(SUBSTITUTE(SUBSTITUTE(SUBSTITUTE(SUBSTITUTE(Y323,"|}","--"),"{|","--"),CHAR(10),""),"、",""),"|",""))+IF(AND(OR(J323="EI",J323="EO",J323="EQ"),$AE$1="NESMA"),2,1)))</f>
        <v/>
      </c>
      <c r="P323" s="86">
        <f>IF(J323="EI",IF(OR(Y323="估算法",Y323="算法类"),"中",IF(Y323="无法识别","低",IF(M323&lt;2,IF(O323&lt;16,"低","中"),IF(M323&lt;3,IF(O323&lt;5,"低",IF(O323&lt;16,"中","高")),IF(O323&lt;5,"中","高"))))),IF(OR(J323="EO",J323="EQ"),IF(OR(Y323="估算法",Y323="算法类"),"中",IF(Y323="无法识别","低",IF(M323&lt;2,IF(O323&lt;20,"低","中"),IF(M323&lt;4,IF(O323&lt;6,"低",IF(O323&lt;20,"中","高")),IF(O323&lt;6,"中","高"))))),IF(OR(J323="ILF",J323="EIF"),IF(OR(Y323="估算法",Y323="算法类",Y323="无法识别"),"低",IF(N323&lt;2,IF(O323&lt;51,"低","中"),IF(N323&lt;6,IF(O323&lt;20,"低",IF(O323&lt;51,"中","高")),IF(O323&lt;20,"中","高")))),"不计算")))</f>
        <v/>
      </c>
      <c r="Q323" s="172">
        <f>IFERROR(IF(J323="EI",IF(P323="低",3,IF(P323="中",4,6)),IF(J323="EO",IF(P323="低",4,IF(P323="中",5,7)),IF(J323="EQ",IF(P323="低",3,IF(P323="中",4,6)),IF(J323="ILF",IF(P323="低",7,IF(P323="中",10,15)),IF(J323="EIF",IF(P323="低",5,IF(P323="中",7,10)),"不计算")))))*R323,"不计算")</f>
        <v/>
      </c>
      <c r="R323" s="172" t="n">
        <v>1</v>
      </c>
      <c r="S323" s="173">
        <f>调整因子!$F$13</f>
        <v/>
      </c>
      <c r="T323" s="92" t="n">
        <v>1</v>
      </c>
      <c r="U323" s="174">
        <f>IFERROR(Q323*S323,0)</f>
        <v/>
      </c>
      <c r="V323" s="174">
        <f>U323*T323</f>
        <v/>
      </c>
      <c r="W323" s="91" t="n"/>
      <c r="X323" s="90" t="inlineStr">
        <is>
          <t>插件组表</t>
        </is>
      </c>
      <c r="Y323" s="90" t="inlineStr">
        <is>
          <t>插件组表{组ID、组名称、组编码、描述|响应码、响应内容、响应头}</t>
        </is>
      </c>
      <c r="Z323" s="90">
        <f>IF(COUNTIFS(W:W,"*"&amp;I323&amp;"*")&gt;0,"存在","不存在")</f>
        <v/>
      </c>
      <c r="AA323" s="90">
        <f>IF(COUNTIFS(AB:AB,"*"&amp;I323&amp;"*")&gt;0,"存在","不存在")</f>
        <v/>
      </c>
      <c r="AB323" s="103" t="inlineStr">
        <is>
          <t>推送规则表、提醒规则表</t>
        </is>
      </c>
      <c r="AC323" s="66" t="n"/>
    </row>
    <row r="324" s="112">
      <c r="A324" s="72">
        <f>ROW()-1</f>
        <v/>
      </c>
      <c r="B324" s="175" t="n"/>
      <c r="C324" s="80" t="n">
        <v>2025</v>
      </c>
      <c r="D324" s="80" t="inlineStr">
        <is>
          <t>张明峰</t>
        </is>
      </c>
      <c r="E324" s="81">
        <f>VLOOKUP(I324,'25年交付功能（不含废弃）'!A:A,1,FALSE)</f>
        <v/>
      </c>
      <c r="F324" s="175" t="n"/>
      <c r="G324" s="175" t="n"/>
      <c r="H324" s="175" t="n"/>
      <c r="I324" s="98" t="inlineStr">
        <is>
          <t>引擎基本信息表</t>
        </is>
      </c>
      <c r="J324" s="93" t="inlineStr">
        <is>
          <t>ILF</t>
        </is>
      </c>
      <c r="K324" s="84" t="n"/>
      <c r="L324" s="84" t="n"/>
      <c r="M324" s="85">
        <f>IF(OR(Y324="估算法",Y324="算法类",Y324="无法识别"),"",IF(W324="",IF(OR(J324="EI",J324="EO",J324="EQ"),0,""),LEN(W324)-LEN(SUBSTITUTE(W324,"、",""))+1))</f>
        <v/>
      </c>
      <c r="N324" s="85">
        <f>IF(OR(Y324="估算法",Y324="算法类",Y324="无法识别"),"",IF(X324="",IF(OR(J324="ILF",J324="EIF"),0,""),LEN(X324)-LEN(SUBSTITUTE(X324,"、",""))+1))</f>
        <v/>
      </c>
      <c r="O324" s="85">
        <f>IF(OR(Y324="估算法",Y324="算法类",Y324="无法识别"),"",IF(Y324="",IF(OR(J324="ILF",J324="EIF",J324="EI",J324="EO",J324="EQ"),0,""),LEN(Y324)-LEN(SUBSTITUTE(SUBSTITUTE(SUBSTITUTE(SUBSTITUTE(SUBSTITUTE(Y324,"|}","--"),"{|","--"),CHAR(10),""),"、",""),"|",""))+IF(AND(OR(J324="EI",J324="EO",J324="EQ"),$AE$1="NESMA"),2,1)))</f>
        <v/>
      </c>
      <c r="P324" s="86">
        <f>IF(J324="EI",IF(OR(Y324="估算法",Y324="算法类"),"中",IF(Y324="无法识别","低",IF(M324&lt;2,IF(O324&lt;16,"低","中"),IF(M324&lt;3,IF(O324&lt;5,"低",IF(O324&lt;16,"中","高")),IF(O324&lt;5,"中","高"))))),IF(OR(J324="EO",J324="EQ"),IF(OR(Y324="估算法",Y324="算法类"),"中",IF(Y324="无法识别","低",IF(M324&lt;2,IF(O324&lt;20,"低","中"),IF(M324&lt;4,IF(O324&lt;6,"低",IF(O324&lt;20,"中","高")),IF(O324&lt;6,"中","高"))))),IF(OR(J324="ILF",J324="EIF"),IF(OR(Y324="估算法",Y324="算法类",Y324="无法识别"),"低",IF(N324&lt;2,IF(O324&lt;51,"低","中"),IF(N324&lt;6,IF(O324&lt;20,"低",IF(O324&lt;51,"中","高")),IF(O324&lt;20,"中","高")))),"不计算")))</f>
        <v/>
      </c>
      <c r="Q324" s="172">
        <f>IFERROR(IF(J324="EI",IF(P324="低",3,IF(P324="中",4,6)),IF(J324="EO",IF(P324="低",4,IF(P324="中",5,7)),IF(J324="EQ",IF(P324="低",3,IF(P324="中",4,6)),IF(J324="ILF",IF(P324="低",7,IF(P324="中",10,15)),IF(J324="EIF",IF(P324="低",5,IF(P324="中",7,10)),"不计算")))))*R324,"不计算")</f>
        <v/>
      </c>
      <c r="R324" s="172" t="n">
        <v>1</v>
      </c>
      <c r="S324" s="173">
        <f>调整因子!$F$13</f>
        <v/>
      </c>
      <c r="T324" s="92" t="n">
        <v>1</v>
      </c>
      <c r="U324" s="174">
        <f>IFERROR(Q324*S324,0)</f>
        <v/>
      </c>
      <c r="V324" s="174">
        <f>U324*T324</f>
        <v/>
      </c>
      <c r="W324" s="91" t="n"/>
      <c r="X324" s="90" t="inlineStr">
        <is>
          <t>引擎基本信息表</t>
        </is>
      </c>
      <c r="Y324" s="90" t="inlineStr">
        <is>
          <t>引擎基本信息表{引擎ID、引擎名称、引擎IP、引擎端口、描述、版本|响应码、响应内容、响应头}</t>
        </is>
      </c>
      <c r="Z324" s="90">
        <f>IF(COUNTIFS(W:W,"*"&amp;I324&amp;"*")&gt;0,"存在","不存在")</f>
        <v/>
      </c>
      <c r="AA324" s="90">
        <f>IF(COUNTIFS(AB:AB,"*"&amp;I324&amp;"*")&gt;0,"存在","不存在")</f>
        <v/>
      </c>
      <c r="AB324" s="103" t="inlineStr">
        <is>
          <t>推送规则表</t>
        </is>
      </c>
      <c r="AC324" s="66" t="n"/>
    </row>
    <row r="325" s="112">
      <c r="A325" s="72">
        <f>ROW()-1</f>
        <v/>
      </c>
      <c r="B325" s="175" t="n"/>
      <c r="C325" s="80" t="n">
        <v>2025</v>
      </c>
      <c r="D325" s="80" t="inlineStr">
        <is>
          <t>张明峰</t>
        </is>
      </c>
      <c r="E325" s="81">
        <f>VLOOKUP(I325,'25年交付功能（不含废弃）'!A:A,1,FALSE)</f>
        <v/>
      </c>
      <c r="F325" s="175" t="n"/>
      <c r="G325" s="175" t="n"/>
      <c r="H325" s="175" t="n"/>
      <c r="I325" s="98" t="inlineStr">
        <is>
          <t>引擎版本管理表</t>
        </is>
      </c>
      <c r="J325" s="93" t="inlineStr">
        <is>
          <t>ILF</t>
        </is>
      </c>
      <c r="K325" s="84" t="n"/>
      <c r="L325" s="84" t="n"/>
      <c r="M325" s="85">
        <f>IF(OR(Y325="估算法",Y325="算法类",Y325="无法识别"),"",IF(W325="",IF(OR(J325="EI",J325="EO",J325="EQ"),0,""),LEN(W325)-LEN(SUBSTITUTE(W325,"、",""))+1))</f>
        <v/>
      </c>
      <c r="N325" s="85">
        <f>IF(OR(Y325="估算法",Y325="算法类",Y325="无法识别"),"",IF(X325="",IF(OR(J325="ILF",J325="EIF"),0,""),LEN(X325)-LEN(SUBSTITUTE(X325,"、",""))+1))</f>
        <v/>
      </c>
      <c r="O325" s="85">
        <f>IF(OR(Y325="估算法",Y325="算法类",Y325="无法识别"),"",IF(Y325="",IF(OR(J325="ILF",J325="EIF",J325="EI",J325="EO",J325="EQ"),0,""),LEN(Y325)-LEN(SUBSTITUTE(SUBSTITUTE(SUBSTITUTE(SUBSTITUTE(SUBSTITUTE(Y325,"|}","--"),"{|","--"),CHAR(10),""),"、",""),"|",""))+IF(AND(OR(J325="EI",J325="EO",J325="EQ"),$AE$1="NESMA"),2,1)))</f>
        <v/>
      </c>
      <c r="P325" s="86">
        <f>IF(J325="EI",IF(OR(Y325="估算法",Y325="算法类"),"中",IF(Y325="无法识别","低",IF(M325&lt;2,IF(O325&lt;16,"低","中"),IF(M325&lt;3,IF(O325&lt;5,"低",IF(O325&lt;16,"中","高")),IF(O325&lt;5,"中","高"))))),IF(OR(J325="EO",J325="EQ"),IF(OR(Y325="估算法",Y325="算法类"),"中",IF(Y325="无法识别","低",IF(M325&lt;2,IF(O325&lt;20,"低","中"),IF(M325&lt;4,IF(O325&lt;6,"低",IF(O325&lt;20,"中","高")),IF(O325&lt;6,"中","高"))))),IF(OR(J325="ILF",J325="EIF"),IF(OR(Y325="估算法",Y325="算法类",Y325="无法识别"),"低",IF(N325&lt;2,IF(O325&lt;51,"低","中"),IF(N325&lt;6,IF(O325&lt;20,"低",IF(O325&lt;51,"中","高")),IF(O325&lt;20,"中","高")))),"不计算")))</f>
        <v/>
      </c>
      <c r="Q325" s="172">
        <f>IFERROR(IF(J325="EI",IF(P325="低",3,IF(P325="中",4,6)),IF(J325="EO",IF(P325="低",4,IF(P325="中",5,7)),IF(J325="EQ",IF(P325="低",3,IF(P325="中",4,6)),IF(J325="ILF",IF(P325="低",7,IF(P325="中",10,15)),IF(J325="EIF",IF(P325="低",5,IF(P325="中",7,10)),"不计算")))))*R325,"不计算")</f>
        <v/>
      </c>
      <c r="R325" s="172" t="n">
        <v>1</v>
      </c>
      <c r="S325" s="173">
        <f>调整因子!$F$13</f>
        <v/>
      </c>
      <c r="T325" s="93" t="n">
        <v>1</v>
      </c>
      <c r="U325" s="174">
        <f>IFERROR(Q325*S325,0)</f>
        <v/>
      </c>
      <c r="V325" s="174">
        <f>U325*T325</f>
        <v/>
      </c>
      <c r="W325" s="91" t="n"/>
      <c r="X325" s="90" t="inlineStr">
        <is>
          <t>引擎版本管理表</t>
        </is>
      </c>
      <c r="Y325" s="90" t="inlineStr">
        <is>
          <t>引擎版本管理表{版本ID、引擎ID、版本号、发布说明、发布时间}</t>
        </is>
      </c>
      <c r="Z325" s="90">
        <f>IF(COUNTIFS(W:W,"*"&amp;I325&amp;"*")&gt;0,"存在","不存在")</f>
        <v/>
      </c>
      <c r="AA325" s="90">
        <f>IF(COUNTIFS(AB:AB,"*"&amp;I325&amp;"*")&gt;0,"存在","不存在")</f>
        <v/>
      </c>
      <c r="AB325" s="103" t="inlineStr">
        <is>
          <t>数据清洗任务表、资产同步任务表</t>
        </is>
      </c>
      <c r="AC325" s="66" t="n"/>
    </row>
    <row r="326" s="112">
      <c r="A326" s="72">
        <f>ROW()-1</f>
        <v/>
      </c>
      <c r="B326" s="175" t="n"/>
      <c r="C326" s="80" t="n">
        <v>2025</v>
      </c>
      <c r="D326" s="80" t="inlineStr">
        <is>
          <t>张明峰</t>
        </is>
      </c>
      <c r="E326" s="81">
        <f>VLOOKUP(I326,'25年交付功能（不含废弃）'!A:A,1,FALSE)</f>
        <v/>
      </c>
      <c r="F326" s="175" t="n"/>
      <c r="G326" s="175" t="n"/>
      <c r="H326" s="175" t="n"/>
      <c r="I326" s="98" t="inlineStr">
        <is>
          <t>插件部署状态表</t>
        </is>
      </c>
      <c r="J326" s="93" t="inlineStr">
        <is>
          <t>ILF</t>
        </is>
      </c>
      <c r="K326" s="109" t="inlineStr">
        <is>
          <t>添加引用「添加引擎服务器、修改引擎服务器、删除引擎服务器」</t>
        </is>
      </c>
      <c r="L326" s="84" t="inlineStr">
        <is>
          <t>数据库表未被本系统所使用</t>
        </is>
      </c>
      <c r="M326" s="85">
        <f>IF(OR(Y326="估算法",Y326="算法类",Y326="无法识别"),"",IF(W326="",IF(OR(J326="EI",J326="EO",J326="EQ"),0,""),LEN(W326)-LEN(SUBSTITUTE(W326,"、",""))+1))</f>
        <v/>
      </c>
      <c r="N326" s="85">
        <f>IF(OR(Y326="估算法",Y326="算法类",Y326="无法识别"),"",IF(X326="",IF(OR(J326="ILF",J326="EIF"),0,""),LEN(X326)-LEN(SUBSTITUTE(X326,"、",""))+1))</f>
        <v/>
      </c>
      <c r="O326" s="85">
        <f>IF(OR(Y326="估算法",Y326="算法类",Y326="无法识别"),"",IF(Y326="",IF(OR(J326="ILF",J326="EIF",J326="EI",J326="EO",J326="EQ"),0,""),LEN(Y326)-LEN(SUBSTITUTE(SUBSTITUTE(SUBSTITUTE(SUBSTITUTE(SUBSTITUTE(Y326,"|}","--"),"{|","--"),CHAR(10),""),"、",""),"|",""))+IF(AND(OR(J326="EI",J326="EO",J326="EQ"),$AE$1="NESMA"),2,1)))</f>
        <v/>
      </c>
      <c r="P326" s="86">
        <f>IF(J326="EI",IF(OR(Y326="估算法",Y326="算法类"),"中",IF(Y326="无法识别","低",IF(M326&lt;2,IF(O326&lt;16,"低","中"),IF(M326&lt;3,IF(O326&lt;5,"低",IF(O326&lt;16,"中","高")),IF(O326&lt;5,"中","高"))))),IF(OR(J326="EO",J326="EQ"),IF(OR(Y326="估算法",Y326="算法类"),"中",IF(Y326="无法识别","低",IF(M326&lt;2,IF(O326&lt;20,"低","中"),IF(M326&lt;4,IF(O326&lt;6,"低",IF(O326&lt;20,"中","高")),IF(O326&lt;6,"中","高"))))),IF(OR(J326="ILF",J326="EIF"),IF(OR(Y326="估算法",Y326="算法类",Y326="无法识别"),"低",IF(N326&lt;2,IF(O326&lt;51,"低","中"),IF(N326&lt;6,IF(O326&lt;20,"低",IF(O326&lt;51,"中","高")),IF(O326&lt;20,"中","高")))),"不计算")))</f>
        <v/>
      </c>
      <c r="Q326" s="172">
        <f>IFERROR(IF(J326="EI",IF(P326="低",3,IF(P326="中",4,6)),IF(J326="EO",IF(P326="低",4,IF(P326="中",5,7)),IF(J326="EQ",IF(P326="低",3,IF(P326="中",4,6)),IF(J326="ILF",IF(P326="低",7,IF(P326="中",10,15)),IF(J326="EIF",IF(P326="低",5,IF(P326="中",7,10)),"不计算")))))*R326,"不计算")</f>
        <v/>
      </c>
      <c r="R326" s="172" t="n">
        <v>1</v>
      </c>
      <c r="S326" s="173">
        <f>调整因子!$F$13</f>
        <v/>
      </c>
      <c r="T326" s="92" t="n">
        <v>1</v>
      </c>
      <c r="U326" s="174">
        <f>IFERROR(Q326*S326,0)</f>
        <v/>
      </c>
      <c r="V326" s="174">
        <f>U326*T326</f>
        <v/>
      </c>
      <c r="W326" s="91" t="n"/>
      <c r="X326" s="90" t="inlineStr">
        <is>
          <t>插件部署状态表</t>
        </is>
      </c>
      <c r="Y326" s="90" t="inlineStr">
        <is>
          <t>插件部署状态表{状态ID、插件ID、环境、部署状态、部署时间}</t>
        </is>
      </c>
      <c r="Z326" s="90">
        <f>IF(COUNTIFS(W:W,"*"&amp;I326&amp;"*")&gt;0,"存在","不存在")</f>
        <v/>
      </c>
      <c r="AA326" s="90">
        <f>IF(COUNTIFS(AB:AB,"*"&amp;I326&amp;"*")&gt;0,"存在","不存在")</f>
        <v/>
      </c>
      <c r="AB326" s="103" t="inlineStr">
        <is>
          <t>数据清洗任务表</t>
        </is>
      </c>
      <c r="AC326" s="66" t="n"/>
    </row>
    <row r="327" s="112">
      <c r="A327" s="72">
        <f>ROW()-1</f>
        <v/>
      </c>
      <c r="B327" s="175" t="n"/>
      <c r="C327" s="80" t="n">
        <v>2025</v>
      </c>
      <c r="D327" s="80" t="inlineStr">
        <is>
          <t>张明峰</t>
        </is>
      </c>
      <c r="E327" s="81">
        <f>VLOOKUP(I327,'25年交付功能（不含废弃）'!A:A,1,FALSE)</f>
        <v/>
      </c>
      <c r="F327" s="175" t="n"/>
      <c r="G327" s="175" t="n"/>
      <c r="H327" s="175" t="n"/>
      <c r="I327" s="98" t="inlineStr">
        <is>
          <t>插件执行记录表</t>
        </is>
      </c>
      <c r="J327" s="93" t="inlineStr">
        <is>
          <t>ILF</t>
        </is>
      </c>
      <c r="K327" s="109" t="inlineStr">
        <is>
          <t>添加引用「添加引擎服务器、修改引擎服务器、删除引擎服务器」</t>
        </is>
      </c>
      <c r="L327" s="84" t="inlineStr">
        <is>
          <t>数据库表未被本系统所使用</t>
        </is>
      </c>
      <c r="M327" s="85">
        <f>IF(OR(Y327="估算法",Y327="算法类",Y327="无法识别"),"",IF(W327="",IF(OR(J327="EI",J327="EO",J327="EQ"),0,""),LEN(W327)-LEN(SUBSTITUTE(W327,"、",""))+1))</f>
        <v/>
      </c>
      <c r="N327" s="85">
        <f>IF(OR(Y327="估算法",Y327="算法类",Y327="无法识别"),"",IF(X327="",IF(OR(J327="ILF",J327="EIF"),0,""),LEN(X327)-LEN(SUBSTITUTE(X327,"、",""))+1))</f>
        <v/>
      </c>
      <c r="O327" s="85">
        <f>IF(OR(Y327="估算法",Y327="算法类",Y327="无法识别"),"",IF(Y327="",IF(OR(J327="ILF",J327="EIF",J327="EI",J327="EO",J327="EQ"),0,""),LEN(Y327)-LEN(SUBSTITUTE(SUBSTITUTE(SUBSTITUTE(SUBSTITUTE(SUBSTITUTE(Y327,"|}","--"),"{|","--"),CHAR(10),""),"、",""),"|",""))+IF(AND(OR(J327="EI",J327="EO",J327="EQ"),$AE$1="NESMA"),2,1)))</f>
        <v/>
      </c>
      <c r="P327" s="86">
        <f>IF(J327="EI",IF(OR(Y327="估算法",Y327="算法类"),"中",IF(Y327="无法识别","低",IF(M327&lt;2,IF(O327&lt;16,"低","中"),IF(M327&lt;3,IF(O327&lt;5,"低",IF(O327&lt;16,"中","高")),IF(O327&lt;5,"中","高"))))),IF(OR(J327="EO",J327="EQ"),IF(OR(Y327="估算法",Y327="算法类"),"中",IF(Y327="无法识别","低",IF(M327&lt;2,IF(O327&lt;20,"低","中"),IF(M327&lt;4,IF(O327&lt;6,"低",IF(O327&lt;20,"中","高")),IF(O327&lt;6,"中","高"))))),IF(OR(J327="ILF",J327="EIF"),IF(OR(Y327="估算法",Y327="算法类",Y327="无法识别"),"低",IF(N327&lt;2,IF(O327&lt;51,"低","中"),IF(N327&lt;6,IF(O327&lt;20,"低",IF(O327&lt;51,"中","高")),IF(O327&lt;20,"中","高")))),"不计算")))</f>
        <v/>
      </c>
      <c r="Q327" s="172">
        <f>IFERROR(IF(J327="EI",IF(P327="低",3,IF(P327="中",4,6)),IF(J327="EO",IF(P327="低",4,IF(P327="中",5,7)),IF(J327="EQ",IF(P327="低",3,IF(P327="中",4,6)),IF(J327="ILF",IF(P327="低",7,IF(P327="中",10,15)),IF(J327="EIF",IF(P327="低",5,IF(P327="中",7,10)),"不计算")))))*R327,"不计算")</f>
        <v/>
      </c>
      <c r="R327" s="172" t="n">
        <v>1</v>
      </c>
      <c r="S327" s="173">
        <f>调整因子!$F$13</f>
        <v/>
      </c>
      <c r="T327" s="92" t="n">
        <v>1</v>
      </c>
      <c r="U327" s="174">
        <f>IFERROR(Q327*S327,0)</f>
        <v/>
      </c>
      <c r="V327" s="174">
        <f>U327*T327</f>
        <v/>
      </c>
      <c r="W327" s="91" t="n"/>
      <c r="X327" s="90" t="inlineStr">
        <is>
          <t>插件执行记录表</t>
        </is>
      </c>
      <c r="Y327" s="90" t="inlineStr">
        <is>
          <t>插件执行记录表{记录ID、插件ID、开始时间、结束时间、结果、日志}</t>
        </is>
      </c>
      <c r="Z327" s="90">
        <f>IF(COUNTIFS(W:W,"*"&amp;I327&amp;"*")&gt;0,"存在","不存在")</f>
        <v/>
      </c>
      <c r="AA327" s="90">
        <f>IF(COUNTIFS(AB:AB,"*"&amp;I327&amp;"*")&gt;0,"存在","不存在")</f>
        <v/>
      </c>
      <c r="AB327" s="103" t="inlineStr">
        <is>
          <t>推送规则表、提醒规则表</t>
        </is>
      </c>
      <c r="AC327" s="66" t="n"/>
    </row>
    <row r="328" s="112">
      <c r="A328" s="72">
        <f>ROW()-1</f>
        <v/>
      </c>
      <c r="B328" s="175" t="n"/>
      <c r="C328" s="80" t="n">
        <v>2025</v>
      </c>
      <c r="D328" s="80" t="inlineStr">
        <is>
          <t>张明峰</t>
        </is>
      </c>
      <c r="E328" s="81">
        <f>VLOOKUP(I328,'25年交付功能（不含废弃）'!A:A,1,FALSE)</f>
        <v/>
      </c>
      <c r="F328" s="175" t="n"/>
      <c r="G328" s="175" t="n"/>
      <c r="H328" s="175" t="n"/>
      <c r="I328" s="98" t="inlineStr">
        <is>
          <t>安全资源注册请求参数表</t>
        </is>
      </c>
      <c r="J328" s="93" t="inlineStr">
        <is>
          <t>ILF</t>
        </is>
      </c>
      <c r="K328" s="109" t="inlineStr">
        <is>
          <t>添加引用「添加引擎服务器、修改引擎服务器、删除引擎服务器」</t>
        </is>
      </c>
      <c r="L328" s="84" t="inlineStr">
        <is>
          <t>数据库表未被本系统所使用</t>
        </is>
      </c>
      <c r="M328" s="85">
        <f>IF(OR(Y328="估算法",Y328="算法类",Y328="无法识别"),"",IF(W328="",IF(OR(J328="EI",J328="EO",J328="EQ"),0,""),LEN(W328)-LEN(SUBSTITUTE(W328,"、",""))+1))</f>
        <v/>
      </c>
      <c r="N328" s="85">
        <f>IF(OR(Y328="估算法",Y328="算法类",Y328="无法识别"),"",IF(X328="",IF(OR(J328="ILF",J328="EIF"),0,""),LEN(X328)-LEN(SUBSTITUTE(X328,"、",""))+1))</f>
        <v/>
      </c>
      <c r="O328" s="85">
        <f>IF(OR(Y328="估算法",Y328="算法类",Y328="无法识别"),"",IF(Y328="",IF(OR(J328="ILF",J328="EIF",J328="EI",J328="EO",J328="EQ"),0,""),LEN(Y328)-LEN(SUBSTITUTE(SUBSTITUTE(SUBSTITUTE(SUBSTITUTE(SUBSTITUTE(Y328,"|}","--"),"{|","--"),CHAR(10),""),"、",""),"|",""))+IF(AND(OR(J328="EI",J328="EO",J328="EQ"),$AE$1="NESMA"),2,1)))</f>
        <v/>
      </c>
      <c r="P328" s="86">
        <f>IF(J328="EI",IF(OR(Y328="估算法",Y328="算法类"),"中",IF(Y328="无法识别","低",IF(M328&lt;2,IF(O328&lt;16,"低","中"),IF(M328&lt;3,IF(O328&lt;5,"低",IF(O328&lt;16,"中","高")),IF(O328&lt;5,"中","高"))))),IF(OR(J328="EO",J328="EQ"),IF(OR(Y328="估算法",Y328="算法类"),"中",IF(Y328="无法识别","低",IF(M328&lt;2,IF(O328&lt;20,"低","中"),IF(M328&lt;4,IF(O328&lt;6,"低",IF(O328&lt;20,"中","高")),IF(O328&lt;6,"中","高"))))),IF(OR(J328="ILF",J328="EIF"),IF(OR(Y328="估算法",Y328="算法类",Y328="无法识别"),"低",IF(N328&lt;2,IF(O328&lt;51,"低","中"),IF(N328&lt;6,IF(O328&lt;20,"低",IF(O328&lt;51,"中","高")),IF(O328&lt;20,"中","高")))),"不计算")))</f>
        <v/>
      </c>
      <c r="Q328" s="172">
        <f>IFERROR(IF(J328="EI",IF(P328="低",3,IF(P328="中",4,6)),IF(J328="EO",IF(P328="低",4,IF(P328="中",5,7)),IF(J328="EQ",IF(P328="低",3,IF(P328="中",4,6)),IF(J328="ILF",IF(P328="低",7,IF(P328="中",10,15)),IF(J328="EIF",IF(P328="低",5,IF(P328="中",7,10)),"不计算")))))*R328,"不计算")</f>
        <v/>
      </c>
      <c r="R328" s="172" t="n">
        <v>1</v>
      </c>
      <c r="S328" s="173">
        <f>调整因子!$F$13</f>
        <v/>
      </c>
      <c r="T328" s="93" t="n">
        <v>1</v>
      </c>
      <c r="U328" s="174">
        <f>IFERROR(Q328*S328,0)</f>
        <v/>
      </c>
      <c r="V328" s="174">
        <f>U328*T328</f>
        <v/>
      </c>
      <c r="W328" s="91" t="n"/>
      <c r="X328" s="90" t="inlineStr">
        <is>
          <t>安全资源注册请求参数表</t>
        </is>
      </c>
      <c r="Y328" s="90" t="inlineStr">
        <is>
          <t>安全资源注册请求参数表{请求ID、插件ID、安全资源描述、IP范围}</t>
        </is>
      </c>
      <c r="Z328" s="90">
        <f>IF(COUNTIFS(W:W,"*"&amp;I328&amp;"*")&gt;0,"存在","不存在")</f>
        <v/>
      </c>
      <c r="AA328" s="90">
        <f>IF(COUNTIFS(AB:AB,"*"&amp;I328&amp;"*")&gt;0,"存在","不存在")</f>
        <v/>
      </c>
      <c r="AB328" s="103" t="inlineStr">
        <is>
          <t>推送规则表、提醒规则表</t>
        </is>
      </c>
      <c r="AC328" s="66" t="n"/>
    </row>
    <row r="329" s="112">
      <c r="A329" s="72">
        <f>ROW()-1</f>
        <v/>
      </c>
      <c r="B329" s="175" t="n"/>
      <c r="C329" s="80" t="n">
        <v>2025</v>
      </c>
      <c r="D329" s="80" t="inlineStr">
        <is>
          <t>张明峰</t>
        </is>
      </c>
      <c r="E329" s="81">
        <f>VLOOKUP(I329,'25年交付功能（不含废弃）'!A:A,1,FALSE)</f>
        <v/>
      </c>
      <c r="F329" s="175" t="n"/>
      <c r="G329" s="175" t="n"/>
      <c r="H329" s="175" t="n"/>
      <c r="I329" s="98" t="inlineStr">
        <is>
          <t>导入记录表</t>
        </is>
      </c>
      <c r="J329" s="93" t="n"/>
      <c r="K329" s="110" t="inlineStr">
        <is>
          <t>删除</t>
        </is>
      </c>
      <c r="L329" s="84" t="inlineStr">
        <is>
          <t>非ILF-流水</t>
        </is>
      </c>
      <c r="M329" s="85">
        <f>IF(OR(Y329="估算法",Y329="算法类",Y329="无法识别"),"",IF(W329="",IF(OR(J329="EI",J329="EO",J329="EQ"),0,""),LEN(W329)-LEN(SUBSTITUTE(W329,"、",""))+1))</f>
        <v/>
      </c>
      <c r="N329" s="85">
        <f>IF(OR(Y329="估算法",Y329="算法类",Y329="无法识别"),"",IF(X329="",IF(OR(J329="ILF",J329="EIF"),0,""),LEN(X329)-LEN(SUBSTITUTE(X329,"、",""))+1))</f>
        <v/>
      </c>
      <c r="O329" s="85">
        <f>IF(OR(Y329="估算法",Y329="算法类",Y329="无法识别"),"",IF(Y329="",IF(OR(J329="ILF",J329="EIF",J329="EI",J329="EO",J329="EQ"),0,""),LEN(Y329)-LEN(SUBSTITUTE(SUBSTITUTE(SUBSTITUTE(SUBSTITUTE(SUBSTITUTE(Y329,"|}","--"),"{|","--"),CHAR(10),""),"、",""),"|",""))+IF(AND(OR(J329="EI",J329="EO",J329="EQ"),$AE$1="NESMA"),2,1)))</f>
        <v/>
      </c>
      <c r="P329" s="86">
        <f>IF(J329="EI",IF(OR(Y329="估算法",Y329="算法类"),"中",IF(Y329="无法识别","低",IF(M329&lt;2,IF(O329&lt;16,"低","中"),IF(M329&lt;3,IF(O329&lt;5,"低",IF(O329&lt;16,"中","高")),IF(O329&lt;5,"中","高"))))),IF(OR(J329="EO",J329="EQ"),IF(OR(Y329="估算法",Y329="算法类"),"中",IF(Y329="无法识别","低",IF(M329&lt;2,IF(O329&lt;20,"低","中"),IF(M329&lt;4,IF(O329&lt;6,"低",IF(O329&lt;20,"中","高")),IF(O329&lt;6,"中","高"))))),IF(OR(J329="ILF",J329="EIF"),IF(OR(Y329="估算法",Y329="算法类",Y329="无法识别"),"低",IF(N329&lt;2,IF(O329&lt;51,"低","中"),IF(N329&lt;6,IF(O329&lt;20,"低",IF(O329&lt;51,"中","高")),IF(O329&lt;20,"中","高")))),"不计算")))</f>
        <v/>
      </c>
      <c r="Q329" s="172">
        <f>IFERROR(IF(J329="EI",IF(P329="低",3,IF(P329="中",4,6)),IF(J329="EO",IF(P329="低",4,IF(P329="中",5,7)),IF(J329="EQ",IF(P329="低",3,IF(P329="中",4,6)),IF(J329="ILF",IF(P329="低",7,IF(P329="中",10,15)),IF(J329="EIF",IF(P329="低",5,IF(P329="中",7,10)),"不计算")))))*R329,"不计算")</f>
        <v/>
      </c>
      <c r="R329" s="172" t="n">
        <v>1</v>
      </c>
      <c r="S329" s="173">
        <f>调整因子!$F$13</f>
        <v/>
      </c>
      <c r="T329" s="92" t="n">
        <v>1</v>
      </c>
      <c r="U329" s="174">
        <f>IFERROR(Q329*S329,0)</f>
        <v/>
      </c>
      <c r="V329" s="174">
        <f>U329*T329</f>
        <v/>
      </c>
      <c r="W329" s="91" t="n"/>
      <c r="X329" s="90" t="inlineStr">
        <is>
          <t>导入记录表</t>
        </is>
      </c>
      <c r="Y329" s="90" t="inlineStr">
        <is>
          <t>导入记录表{记录ID、导入文件路径、导入时间、导入人}</t>
        </is>
      </c>
      <c r="Z329" s="90">
        <f>IF(COUNTIFS(W:W,"*"&amp;I329&amp;"*")&gt;0,"存在","不存在")</f>
        <v/>
      </c>
      <c r="AA329" s="90">
        <f>IF(COUNTIFS(AB:AB,"*"&amp;I329&amp;"*")&gt;0,"存在","不存在")</f>
        <v/>
      </c>
      <c r="AB329" s="103" t="inlineStr">
        <is>
          <t>推送规则表</t>
        </is>
      </c>
      <c r="AC329" s="66" t="n"/>
    </row>
    <row r="330" s="112">
      <c r="A330" s="72">
        <f>ROW()-1</f>
        <v/>
      </c>
      <c r="B330" s="175" t="n"/>
      <c r="C330" s="80" t="n">
        <v>2025</v>
      </c>
      <c r="D330" s="80" t="inlineStr">
        <is>
          <t>张明峰</t>
        </is>
      </c>
      <c r="E330" s="81">
        <f>VLOOKUP(I330,'25年交付功能（不含废弃）'!A:A,1,FALSE)</f>
        <v/>
      </c>
      <c r="F330" s="175" t="n"/>
      <c r="G330" s="175" t="n"/>
      <c r="H330" s="176" t="n"/>
      <c r="I330" s="98" t="inlineStr">
        <is>
          <t>同步记录表</t>
        </is>
      </c>
      <c r="J330" s="93" t="n"/>
      <c r="K330" s="110" t="inlineStr">
        <is>
          <t>删除</t>
        </is>
      </c>
      <c r="L330" s="84" t="inlineStr">
        <is>
          <t>非ILF-流水</t>
        </is>
      </c>
      <c r="M330" s="85">
        <f>IF(OR(Y330="估算法",Y330="算法类",Y330="无法识别"),"",IF(W330="",IF(OR(J330="EI",J330="EO",J330="EQ"),0,""),LEN(W330)-LEN(SUBSTITUTE(W330,"、",""))+1))</f>
        <v/>
      </c>
      <c r="N330" s="85">
        <f>IF(OR(Y330="估算法",Y330="算法类",Y330="无法识别"),"",IF(X330="",IF(OR(J330="ILF",J330="EIF"),0,""),LEN(X330)-LEN(SUBSTITUTE(X330,"、",""))+1))</f>
        <v/>
      </c>
      <c r="O330" s="85">
        <f>IF(OR(Y330="估算法",Y330="算法类",Y330="无法识别"),"",IF(Y330="",IF(OR(J330="ILF",J330="EIF",J330="EI",J330="EO",J330="EQ"),0,""),LEN(Y330)-LEN(SUBSTITUTE(SUBSTITUTE(SUBSTITUTE(SUBSTITUTE(SUBSTITUTE(Y330,"|}","--"),"{|","--"),CHAR(10),""),"、",""),"|",""))+IF(AND(OR(J330="EI",J330="EO",J330="EQ"),$AE$1="NESMA"),2,1)))</f>
        <v/>
      </c>
      <c r="P330" s="86">
        <f>IF(J330="EI",IF(OR(Y330="估算法",Y330="算法类"),"中",IF(Y330="无法识别","低",IF(M330&lt;2,IF(O330&lt;16,"低","中"),IF(M330&lt;3,IF(O330&lt;5,"低",IF(O330&lt;16,"中","高")),IF(O330&lt;5,"中","高"))))),IF(OR(J330="EO",J330="EQ"),IF(OR(Y330="估算法",Y330="算法类"),"中",IF(Y330="无法识别","低",IF(M330&lt;2,IF(O330&lt;20,"低","中"),IF(M330&lt;4,IF(O330&lt;6,"低",IF(O330&lt;20,"中","高")),IF(O330&lt;6,"中","高"))))),IF(OR(J330="ILF",J330="EIF"),IF(OR(Y330="估算法",Y330="算法类",Y330="无法识别"),"低",IF(N330&lt;2,IF(O330&lt;51,"低","中"),IF(N330&lt;6,IF(O330&lt;20,"低",IF(O330&lt;51,"中","高")),IF(O330&lt;20,"中","高")))),"不计算")))</f>
        <v/>
      </c>
      <c r="Q330" s="172">
        <f>IFERROR(IF(J330="EI",IF(P330="低",3,IF(P330="中",4,6)),IF(J330="EO",IF(P330="低",4,IF(P330="中",5,7)),IF(J330="EQ",IF(P330="低",3,IF(P330="中",4,6)),IF(J330="ILF",IF(P330="低",7,IF(P330="中",10,15)),IF(J330="EIF",IF(P330="低",5,IF(P330="中",7,10)),"不计算")))))*R330,"不计算")</f>
        <v/>
      </c>
      <c r="R330" s="172" t="n">
        <v>1</v>
      </c>
      <c r="S330" s="173">
        <f>调整因子!$F$13</f>
        <v/>
      </c>
      <c r="T330" s="92" t="n">
        <v>1</v>
      </c>
      <c r="U330" s="174">
        <f>IFERROR(Q330*S330,0)</f>
        <v/>
      </c>
      <c r="V330" s="174">
        <f>U330*T330</f>
        <v/>
      </c>
      <c r="W330" s="91" t="n"/>
      <c r="X330" s="90" t="inlineStr">
        <is>
          <t>同步记录表</t>
        </is>
      </c>
      <c r="Y330" s="90" t="inlineStr">
        <is>
          <t>同步记录表{记录ID、同步类型、同步时间、同步状态}</t>
        </is>
      </c>
      <c r="Z330" s="90">
        <f>IF(COUNTIFS(W:W,"*"&amp;I330&amp;"*")&gt;0,"存在","不存在")</f>
        <v/>
      </c>
      <c r="AA330" s="90">
        <f>IF(COUNTIFS(AB:AB,"*"&amp;I330&amp;"*")&gt;0,"存在","不存在")</f>
        <v/>
      </c>
      <c r="AB330" s="103" t="inlineStr">
        <is>
          <t>任务故障记录表、分类层级关系表</t>
        </is>
      </c>
      <c r="AC330" s="66" t="n"/>
    </row>
    <row r="331" s="112">
      <c r="A331" s="72" t="n"/>
      <c r="B331" s="175" t="n"/>
      <c r="C331" s="80" t="n"/>
      <c r="D331" s="80" t="inlineStr">
        <is>
          <t>张明峰</t>
        </is>
      </c>
      <c r="E331" s="81" t="n"/>
      <c r="F331" s="175" t="n"/>
      <c r="G331" s="175" t="n"/>
      <c r="H331" s="93" t="inlineStr">
        <is>
          <t>插件任务管理</t>
        </is>
      </c>
      <c r="L331" s="84" t="n"/>
      <c r="M331" s="85">
        <f>IF(OR(Y331="估算法",Y331="算法类",Y331="无法识别"),"",IF(W331="",IF(OR(J199="EI",J199="EO",J199="EQ"),0,""),LEN(W331)-LEN(SUBSTITUTE(W331,"、",""))+1))</f>
        <v/>
      </c>
      <c r="N331" s="85">
        <f>IF(OR(Y331="估算法",Y331="算法类",Y331="无法识别"),"",IF(X331="",IF(OR(J199="ILF",J199="EIF"),0,""),LEN(X331)-LEN(SUBSTITUTE(X331,"、",""))+1))</f>
        <v/>
      </c>
      <c r="O331" s="85">
        <f>IF(OR(Y331="估算法",Y331="算法类",Y331="无法识别"),"",IF(Y331="",IF(OR(J199="ILF",J199="EIF",J199="EI",J199="EO",J199="EQ"),0,""),LEN(Y331)-LEN(SUBSTITUTE(SUBSTITUTE(SUBSTITUTE(SUBSTITUTE(SUBSTITUTE(Y331,"|}","--"),"{|","--"),CHAR(10),""),"、",""),"|",""))+IF(AND(OR(J199="EI",J199="EO",J199="EQ"),$AE$1="NESMA"),2,1)))</f>
        <v/>
      </c>
      <c r="P331" s="86">
        <f>IF(J199="EI",IF(OR(Y331="估算法",Y331="算法类"),"中",IF(Y331="无法识别","低",IF(M331&lt;2,IF(O331&lt;16,"低","中"),IF(M331&lt;3,IF(O331&lt;5,"低",IF(O331&lt;16,"中","高")),IF(O331&lt;5,"中","高"))))),IF(OR(J199="EO",J199="EQ"),IF(OR(Y331="估算法",Y331="算法类"),"中",IF(Y331="无法识别","低",IF(M331&lt;2,IF(O331&lt;20,"低","中"),IF(M331&lt;4,IF(O331&lt;6,"低",IF(O331&lt;20,"中","高")),IF(O331&lt;6,"中","高"))))),IF(OR(J199="ILF",J199="EIF"),IF(OR(Y331="估算法",Y331="算法类",Y331="无法识别"),"低",IF(N331&lt;2,IF(O331&lt;51,"低","中"),IF(N331&lt;6,IF(O331&lt;20,"低",IF(O331&lt;51,"中","高")),IF(O331&lt;20,"中","高")))),"不计算")))</f>
        <v/>
      </c>
      <c r="Q331" s="172">
        <f>IFERROR(IF(J199="EI",IF(P331="低",3,IF(P331="中",4,6)),IF(J199="EO",IF(P331="低",4,IF(P331="中",5,7)),IF(J199="EQ",IF(P331="低",3,IF(P331="中",4,6)),IF(J199="ILF",IF(P331="低",7,IF(P331="中",10,15)),IF(J199="EIF",IF(P331="低",5,IF(P331="中",7,10)),"不计算")))))*R331,"不计算")</f>
        <v/>
      </c>
      <c r="R331" s="172" t="n">
        <v>1</v>
      </c>
      <c r="S331" s="173">
        <f>调整因子!$F$13</f>
        <v/>
      </c>
      <c r="T331" s="93" t="n">
        <v>1</v>
      </c>
      <c r="U331" s="174">
        <f>IFERROR(Q331*S331,0)</f>
        <v/>
      </c>
      <c r="V331" s="174">
        <f>U331*T331</f>
        <v/>
      </c>
      <c r="W331" s="91" t="n"/>
      <c r="X331" s="90" t="n"/>
      <c r="Y331" s="90" t="n"/>
      <c r="Z331" s="90" t="n"/>
      <c r="AA331" s="90" t="n"/>
      <c r="AB331" s="103" t="n"/>
      <c r="AC331" s="66" t="n"/>
    </row>
    <row r="332" s="112">
      <c r="A332" s="72">
        <f>ROW()-1</f>
        <v/>
      </c>
      <c r="B332" s="175" t="n"/>
      <c r="C332" s="80" t="n">
        <v>2025</v>
      </c>
      <c r="D332" s="80" t="inlineStr">
        <is>
          <t>张明峰</t>
        </is>
      </c>
      <c r="E332" s="81">
        <f>VLOOKUP(I332,'25年交付功能（不含废弃）'!A:A,1,FALSE)</f>
        <v/>
      </c>
      <c r="F332" s="175" t="n"/>
      <c r="G332" s="175" t="n"/>
      <c r="H332" s="175" t="n"/>
      <c r="I332" s="98" t="inlineStr">
        <is>
          <t>创建任务高级配置查询漏洞列表</t>
        </is>
      </c>
      <c r="J332" s="93" t="inlineStr">
        <is>
          <t>EI</t>
        </is>
      </c>
      <c r="K332" s="84" t="n"/>
      <c r="L332" s="84" t="n"/>
      <c r="M332" s="85">
        <f>IF(OR(Y332="估算法",Y332="算法类",Y332="无法识别"),"",IF(W332="",IF(OR(J332="EI",J332="EO",J332="EQ"),0,""),LEN(W332)-LEN(SUBSTITUTE(W332,"、",""))+1))</f>
        <v/>
      </c>
      <c r="N332" s="85">
        <f>IF(OR(Y332="估算法",Y332="算法类",Y332="无法识别"),"",IF(X332="",IF(OR(J332="ILF",J332="EIF"),0,""),LEN(X332)-LEN(SUBSTITUTE(X332,"、",""))+1))</f>
        <v/>
      </c>
      <c r="O332" s="85">
        <f>IF(OR(Y332="估算法",Y332="算法类",Y332="无法识别"),"",IF(Y332="",IF(OR(J332="ILF",J332="EIF",J332="EI",J332="EO",J332="EQ"),0,""),LEN(Y332)-LEN(SUBSTITUTE(SUBSTITUTE(SUBSTITUTE(SUBSTITUTE(SUBSTITUTE(Y332,"|}","--"),"{|","--"),CHAR(10),""),"、",""),"|",""))+IF(AND(OR(J332="EI",J332="EO",J332="EQ"),$AE$1="NESMA"),2,1)))</f>
        <v/>
      </c>
      <c r="P332" s="86">
        <f>IF(J332="EI",IF(OR(Y332="估算法",Y332="算法类"),"中",IF(Y332="无法识别","低",IF(M332&lt;2,IF(O332&lt;16,"低","中"),IF(M332&lt;3,IF(O332&lt;5,"低",IF(O332&lt;16,"中","高")),IF(O332&lt;5,"中","高"))))),IF(OR(J332="EO",J332="EQ"),IF(OR(Y332="估算法",Y332="算法类"),"中",IF(Y332="无法识别","低",IF(M332&lt;2,IF(O332&lt;20,"低","中"),IF(M332&lt;4,IF(O332&lt;6,"低",IF(O332&lt;20,"中","高")),IF(O332&lt;6,"中","高"))))),IF(OR(J332="ILF",J332="EIF"),IF(OR(Y332="估算法",Y332="算法类",Y332="无法识别"),"低",IF(N332&lt;2,IF(O332&lt;51,"低","中"),IF(N332&lt;6,IF(O332&lt;20,"低",IF(O332&lt;51,"中","高")),IF(O332&lt;20,"中","高")))),"不计算")))</f>
        <v/>
      </c>
      <c r="Q332" s="172">
        <f>IFERROR(IF(J332="EI",IF(P332="低",3,IF(P332="中",4,6)),IF(J332="EO",IF(P332="低",4,IF(P332="中",5,7)),IF(J332="EQ",IF(P332="低",3,IF(P332="中",4,6)),IF(J332="ILF",IF(P332="低",7,IF(P332="中",10,15)),IF(J332="EIF",IF(P332="低",5,IF(P332="中",7,10)),"不计算")))))*R332,"不计算")</f>
        <v/>
      </c>
      <c r="R332" s="172" t="n">
        <v>1</v>
      </c>
      <c r="S332" s="173">
        <f>调整因子!$F$13</f>
        <v/>
      </c>
      <c r="T332" s="93" t="n">
        <v>1</v>
      </c>
      <c r="U332" s="174">
        <f>IFERROR(Q332*S332,0)</f>
        <v/>
      </c>
      <c r="V332" s="174">
        <f>U332*T332</f>
        <v/>
      </c>
      <c r="W332" s="90" t="inlineStr">
        <is>
          <t>漏洞概况表</t>
        </is>
      </c>
      <c r="X332" s="113" t="n"/>
      <c r="Y332" s="90" t="inlineStr">
        <is>
          <t>漏洞概况表{概况ID、任务ID、总漏洞数、严重漏洞数、高危漏洞数、中危漏洞数、低危漏洞数、详情}</t>
        </is>
      </c>
      <c r="Z332" s="90" t="n"/>
      <c r="AA332" s="90" t="n"/>
      <c r="AB332" s="103" t="inlineStr">
        <is>
          <t>扫描盲区记录表、故障知识库表</t>
        </is>
      </c>
      <c r="AC332" s="66" t="n"/>
    </row>
    <row r="333" s="112">
      <c r="A333" s="72">
        <f>ROW()-1</f>
        <v/>
      </c>
      <c r="B333" s="175" t="n"/>
      <c r="C333" s="80" t="n">
        <v>2025</v>
      </c>
      <c r="D333" s="80" t="inlineStr">
        <is>
          <t>张明峰</t>
        </is>
      </c>
      <c r="E333" s="81">
        <f>VLOOKUP(I333,'25年交付功能（不含废弃）'!A:A,1,FALSE)</f>
        <v/>
      </c>
      <c r="F333" s="175" t="n"/>
      <c r="G333" s="175" t="n"/>
      <c r="H333" s="175" t="n"/>
      <c r="I333" s="98" t="inlineStr">
        <is>
          <t>创建任务高级配置查询扫描序列</t>
        </is>
      </c>
      <c r="J333" s="93" t="n"/>
      <c r="K333" s="110" t="inlineStr">
        <is>
          <t>删除</t>
        </is>
      </c>
      <c r="L333" s="84" t="inlineStr">
        <is>
          <t>和上行合并，输入输出字段完全一致</t>
        </is>
      </c>
      <c r="M333" s="85">
        <f>IF(OR(Y333="估算法",Y333="算法类",Y333="无法识别"),"",IF(W333="",IF(OR(J333="EI",J333="EO",J333="EQ"),0,""),LEN(W333)-LEN(SUBSTITUTE(W333,"、",""))+1))</f>
        <v/>
      </c>
      <c r="N333" s="85">
        <f>IF(OR(Y333="估算法",Y333="算法类",Y333="无法识别"),"",IF(X333="",IF(OR(J333="ILF",J333="EIF"),0,""),LEN(X333)-LEN(SUBSTITUTE(X333,"、",""))+1))</f>
        <v/>
      </c>
      <c r="O333" s="85">
        <f>IF(OR(Y333="估算法",Y333="算法类",Y333="无法识别"),"",IF(Y333="",IF(OR(J333="ILF",J333="EIF",J333="EI",J333="EO",J333="EQ"),0,""),LEN(Y333)-LEN(SUBSTITUTE(SUBSTITUTE(SUBSTITUTE(SUBSTITUTE(SUBSTITUTE(Y333,"|}","--"),"{|","--"),CHAR(10),""),"、",""),"|",""))+IF(AND(OR(J333="EI",J333="EO",J333="EQ"),$AE$1="NESMA"),2,1)))</f>
        <v/>
      </c>
      <c r="P333" s="86">
        <f>IF(J333="EI",IF(OR(Y333="估算法",Y333="算法类"),"中",IF(Y333="无法识别","低",IF(M333&lt;2,IF(O333&lt;16,"低","中"),IF(M333&lt;3,IF(O333&lt;5,"低",IF(O333&lt;16,"中","高")),IF(O333&lt;5,"中","高"))))),IF(OR(J333="EO",J333="EQ"),IF(OR(Y333="估算法",Y333="算法类"),"中",IF(Y333="无法识别","低",IF(M333&lt;2,IF(O333&lt;20,"低","中"),IF(M333&lt;4,IF(O333&lt;6,"低",IF(O333&lt;20,"中","高")),IF(O333&lt;6,"中","高"))))),IF(OR(J333="ILF",J333="EIF"),IF(OR(Y333="估算法",Y333="算法类",Y333="无法识别"),"低",IF(N333&lt;2,IF(O333&lt;51,"低","中"),IF(N333&lt;6,IF(O333&lt;20,"低",IF(O333&lt;51,"中","高")),IF(O333&lt;20,"中","高")))),"不计算")))</f>
        <v/>
      </c>
      <c r="Q333" s="172">
        <f>IFERROR(IF(J333="EI",IF(P333="低",3,IF(P333="中",4,6)),IF(J333="EO",IF(P333="低",4,IF(P333="中",5,7)),IF(J333="EQ",IF(P333="低",3,IF(P333="中",4,6)),IF(J333="ILF",IF(P333="低",7,IF(P333="中",10,15)),IF(J333="EIF",IF(P333="低",5,IF(P333="中",7,10)),"不计算")))))*R333,"不计算")</f>
        <v/>
      </c>
      <c r="R333" s="172" t="n">
        <v>1</v>
      </c>
      <c r="S333" s="173">
        <f>调整因子!$F$13</f>
        <v/>
      </c>
      <c r="T333" s="92" t="n">
        <v>1</v>
      </c>
      <c r="U333" s="174">
        <f>IFERROR(Q333*S333,0)</f>
        <v/>
      </c>
      <c r="V333" s="174">
        <f>U333*T333</f>
        <v/>
      </c>
      <c r="W333" s="90" t="inlineStr">
        <is>
          <t>漏洞概况表</t>
        </is>
      </c>
      <c r="X333" s="113" t="n"/>
      <c r="Y333" s="90" t="inlineStr">
        <is>
          <t>漏洞概况表{概况ID、任务ID、总漏洞数、严重漏洞数、高危漏洞数、中危漏洞数、低危漏洞数、详情}</t>
        </is>
      </c>
      <c r="Z333" s="90" t="n"/>
      <c r="AA333" s="90" t="n"/>
      <c r="AB333" s="103" t="inlineStr">
        <is>
          <t>资产查询接口配置表、扫描盲区记录表</t>
        </is>
      </c>
      <c r="AC333" s="66" t="n"/>
    </row>
    <row r="334" s="112">
      <c r="A334" s="72">
        <f>ROW()-1</f>
        <v/>
      </c>
      <c r="B334" s="175" t="n"/>
      <c r="C334" s="80" t="n">
        <v>2025</v>
      </c>
      <c r="D334" s="80" t="inlineStr">
        <is>
          <t>张明峰</t>
        </is>
      </c>
      <c r="E334" s="81">
        <f>VLOOKUP(I334,'25年交付功能（不含废弃）'!A:A,1,FALSE)</f>
        <v/>
      </c>
      <c r="F334" s="175" t="n"/>
      <c r="G334" s="175" t="n"/>
      <c r="H334" s="175" t="n"/>
      <c r="I334" s="98" t="inlineStr">
        <is>
          <t>创建任务高级配置查询模板策略</t>
        </is>
      </c>
      <c r="J334" s="93" t="inlineStr">
        <is>
          <t>EQ</t>
        </is>
      </c>
      <c r="K334" s="109" t="inlineStr">
        <is>
          <t>修改「FTR、DET」</t>
        </is>
      </c>
      <c r="L334" s="84" t="inlineStr">
        <is>
          <t>和上行合并，输入输出字段完全一致</t>
        </is>
      </c>
      <c r="M334" s="85">
        <f>IF(OR(Y334="估算法",Y334="算法类",Y334="无法识别"),"",IF(W334="",IF(OR(J334="EI",J334="EO",J334="EQ"),0,""),LEN(W334)-LEN(SUBSTITUTE(W334,"、",""))+1))</f>
        <v/>
      </c>
      <c r="N334" s="85">
        <f>IF(OR(Y334="估算法",Y334="算法类",Y334="无法识别"),"",IF(X334="",IF(OR(J334="ILF",J334="EIF"),0,""),LEN(X334)-LEN(SUBSTITUTE(X334,"、",""))+1))</f>
        <v/>
      </c>
      <c r="O334" s="85">
        <f>IF(OR(Y334="估算法",Y334="算法类",Y334="无法识别"),"",IF(Y334="",IF(OR(J334="ILF",J334="EIF",J334="EI",J334="EO",J334="EQ"),0,""),LEN(Y334)-LEN(SUBSTITUTE(SUBSTITUTE(SUBSTITUTE(SUBSTITUTE(SUBSTITUTE(Y334,"|}","--"),"{|","--"),CHAR(10),""),"、",""),"|",""))+IF(AND(OR(J334="EI",J334="EO",J334="EQ"),$AE$1="NESMA"),2,1)))</f>
        <v/>
      </c>
      <c r="P334" s="86">
        <f>IF(J334="EI",IF(OR(Y334="估算法",Y334="算法类"),"中",IF(Y334="无法识别","低",IF(M334&lt;2,IF(O334&lt;16,"低","中"),IF(M334&lt;3,IF(O334&lt;5,"低",IF(O334&lt;16,"中","高")),IF(O334&lt;5,"中","高"))))),IF(OR(J334="EO",J334="EQ"),IF(OR(Y334="估算法",Y334="算法类"),"中",IF(Y334="无法识别","低",IF(M334&lt;2,IF(O334&lt;20,"低","中"),IF(M334&lt;4,IF(O334&lt;6,"低",IF(O334&lt;20,"中","高")),IF(O334&lt;6,"中","高"))))),IF(OR(J334="ILF",J334="EIF"),IF(OR(Y334="估算法",Y334="算法类",Y334="无法识别"),"低",IF(N334&lt;2,IF(O334&lt;51,"低","中"),IF(N334&lt;6,IF(O334&lt;20,"低",IF(O334&lt;51,"中","高")),IF(O334&lt;20,"中","高")))),"不计算")))</f>
        <v/>
      </c>
      <c r="Q334" s="172">
        <f>IFERROR(IF(J334="EI",IF(P334="低",3,IF(P334="中",4,6)),IF(J334="EO",IF(P334="低",4,IF(P334="中",5,7)),IF(J334="EQ",IF(P334="低",3,IF(P334="中",4,6)),IF(J334="ILF",IF(P334="低",7,IF(P334="中",10,15)),IF(J334="EIF",IF(P334="低",5,IF(P334="中",7,10)),"不计算")))))*R334,"不计算")</f>
        <v/>
      </c>
      <c r="R334" s="172" t="n">
        <v>1</v>
      </c>
      <c r="S334" s="173">
        <f>调整因子!$F$13</f>
        <v/>
      </c>
      <c r="T334" s="92" t="n">
        <v>1</v>
      </c>
      <c r="U334" s="174">
        <f>IFERROR(Q334*S334,0)</f>
        <v/>
      </c>
      <c r="V334" s="174">
        <f>U334*T334</f>
        <v/>
      </c>
      <c r="W334" s="90" t="inlineStr">
        <is>
          <t>漏洞概况表</t>
        </is>
      </c>
      <c r="X334" s="113" t="n"/>
      <c r="Y334" s="90" t="inlineStr">
        <is>
          <t>漏洞概况表{概况ID、任务ID、总漏洞数、严重漏洞数、高危漏洞数、中危漏洞数、低危漏洞数、详情}</t>
        </is>
      </c>
      <c r="Z334" s="90" t="n"/>
      <c r="AA334" s="90" t="n"/>
      <c r="AB334" s="103" t="inlineStr">
        <is>
          <t>资产同步任务表</t>
        </is>
      </c>
      <c r="AC334" s="66" t="n"/>
    </row>
    <row r="335" s="112">
      <c r="A335" s="72">
        <f>ROW()-1</f>
        <v/>
      </c>
      <c r="B335" s="175" t="n"/>
      <c r="C335" s="80" t="n">
        <v>2025</v>
      </c>
      <c r="D335" s="80" t="inlineStr">
        <is>
          <t>张明峰</t>
        </is>
      </c>
      <c r="E335" s="81">
        <f>VLOOKUP(I335,'25年交付功能（不含废弃）'!A:A,1,FALSE)</f>
        <v/>
      </c>
      <c r="F335" s="175" t="n"/>
      <c r="G335" s="175" t="n"/>
      <c r="H335" s="175" t="n"/>
      <c r="I335" s="98" t="inlineStr">
        <is>
          <t>提交插件任务</t>
        </is>
      </c>
      <c r="J335" s="93" t="inlineStr">
        <is>
          <t>EI</t>
        </is>
      </c>
      <c r="K335" s="84" t="n"/>
      <c r="L335" s="84" t="n"/>
      <c r="M335" s="85">
        <f>IF(OR(Y335="估算法",Y335="算法类",Y335="无法识别"),"",IF(W335="",IF(OR(J335="EI",J335="EO",J335="EQ"),0,""),LEN(W335)-LEN(SUBSTITUTE(W335,"、",""))+1))</f>
        <v/>
      </c>
      <c r="N335" s="85">
        <f>IF(OR(Y335="估算法",Y335="算法类",Y335="无法识别"),"",IF(X335="",IF(OR(J335="ILF",J335="EIF"),0,""),LEN(X335)-LEN(SUBSTITUTE(X335,"、",""))+1))</f>
        <v/>
      </c>
      <c r="O335" s="85">
        <f>IF(OR(Y335="估算法",Y335="算法类",Y335="无法识别"),"",IF(Y335="",IF(OR(J335="ILF",J335="EIF",J335="EI",J335="EO",J335="EQ"),0,""),LEN(Y335)-LEN(SUBSTITUTE(SUBSTITUTE(SUBSTITUTE(SUBSTITUTE(SUBSTITUTE(Y335,"|}","--"),"{|","--"),CHAR(10),""),"、",""),"|",""))+IF(AND(OR(J335="EI",J335="EO",J335="EQ"),$AE$1="NESMA"),2,1)))</f>
        <v/>
      </c>
      <c r="P335" s="86">
        <f>IF(J335="EI",IF(OR(Y335="估算法",Y335="算法类"),"中",IF(Y335="无法识别","低",IF(M335&lt;2,IF(O335&lt;16,"低","中"),IF(M335&lt;3,IF(O335&lt;5,"低",IF(O335&lt;16,"中","高")),IF(O335&lt;5,"中","高"))))),IF(OR(J335="EO",J335="EQ"),IF(OR(Y335="估算法",Y335="算法类"),"中",IF(Y335="无法识别","低",IF(M335&lt;2,IF(O335&lt;20,"低","中"),IF(M335&lt;4,IF(O335&lt;6,"低",IF(O335&lt;20,"中","高")),IF(O335&lt;6,"中","高"))))),IF(OR(J335="ILF",J335="EIF"),IF(OR(Y335="估算法",Y335="算法类",Y335="无法识别"),"低",IF(N335&lt;2,IF(O335&lt;51,"低","中"),IF(N335&lt;6,IF(O335&lt;20,"低",IF(O335&lt;51,"中","高")),IF(O335&lt;20,"中","高")))),"不计算")))</f>
        <v/>
      </c>
      <c r="Q335" s="172">
        <f>IFERROR(IF(J335="EI",IF(P335="低",3,IF(P335="中",4,6)),IF(J335="EO",IF(P335="低",4,IF(P335="中",5,7)),IF(J335="EQ",IF(P335="低",3,IF(P335="中",4,6)),IF(J335="ILF",IF(P335="低",7,IF(P335="中",10,15)),IF(J335="EIF",IF(P335="低",5,IF(P335="中",7,10)),"不计算")))))*R335,"不计算")</f>
        <v/>
      </c>
      <c r="R335" s="172" t="n">
        <v>1</v>
      </c>
      <c r="S335" s="173">
        <f>调整因子!$F$13</f>
        <v/>
      </c>
      <c r="T335" s="93" t="n">
        <v>1</v>
      </c>
      <c r="U335" s="174">
        <f>IFERROR(Q335*S335,0)</f>
        <v/>
      </c>
      <c r="V335" s="174">
        <f>U335*T335</f>
        <v/>
      </c>
      <c r="W335" s="90" t="inlineStr">
        <is>
          <t>插件任务实例表</t>
        </is>
      </c>
      <c r="X335" s="113" t="n"/>
      <c r="Y335" s="90" t="inlineStr">
        <is>
          <t>插件任务实例表{实例ID、任务ID、资产ID、状态、开始时间、结束时间|响应状态码、返回数据信息}</t>
        </is>
      </c>
      <c r="Z335" s="90" t="n"/>
      <c r="AA335" s="90" t="n"/>
      <c r="AB335" s="103" t="inlineStr">
        <is>
          <t>扫描策略模板表</t>
        </is>
      </c>
      <c r="AC335" s="66" t="n"/>
    </row>
    <row r="336" s="112">
      <c r="A336" s="72">
        <f>ROW()-1</f>
        <v/>
      </c>
      <c r="B336" s="175" t="n"/>
      <c r="C336" s="80" t="n">
        <v>2025</v>
      </c>
      <c r="D336" s="80" t="inlineStr">
        <is>
          <t>张明峰</t>
        </is>
      </c>
      <c r="E336" s="81">
        <f>VLOOKUP(I336,'25年交付功能（不含废弃）'!A:A,1,FALSE)</f>
        <v/>
      </c>
      <c r="F336" s="175" t="n"/>
      <c r="G336" s="175" t="n"/>
      <c r="H336" s="175" t="n"/>
      <c r="I336" s="98" t="inlineStr">
        <is>
          <t>查看插件任务列表</t>
        </is>
      </c>
      <c r="J336" s="93" t="inlineStr">
        <is>
          <t>EQ</t>
        </is>
      </c>
      <c r="K336" s="84" t="n"/>
      <c r="L336" s="84" t="n"/>
      <c r="M336" s="85">
        <f>IF(OR(Y336="估算法",Y336="算法类",Y336="无法识别"),"",IF(W336="",IF(OR(J336="EI",J336="EO",J336="EQ"),0,""),LEN(W336)-LEN(SUBSTITUTE(W336,"、",""))+1))</f>
        <v/>
      </c>
      <c r="N336" s="85">
        <f>IF(OR(Y336="估算法",Y336="算法类",Y336="无法识别"),"",IF(X336="",IF(OR(J336="ILF",J336="EIF"),0,""),LEN(X336)-LEN(SUBSTITUTE(X336,"、",""))+1))</f>
        <v/>
      </c>
      <c r="O336" s="85">
        <f>IF(OR(Y336="估算法",Y336="算法类",Y336="无法识别"),"",IF(Y336="",IF(OR(J336="ILF",J336="EIF",J336="EI",J336="EO",J336="EQ"),0,""),LEN(Y336)-LEN(SUBSTITUTE(SUBSTITUTE(SUBSTITUTE(SUBSTITUTE(SUBSTITUTE(Y336,"|}","--"),"{|","--"),CHAR(10),""),"、",""),"|",""))+IF(AND(OR(J336="EI",J336="EO",J336="EQ"),$AE$1="NESMA"),2,1)))</f>
        <v/>
      </c>
      <c r="P336" s="86">
        <f>IF(J336="EI",IF(OR(Y336="估算法",Y336="算法类"),"中",IF(Y336="无法识别","低",IF(M336&lt;2,IF(O336&lt;16,"低","中"),IF(M336&lt;3,IF(O336&lt;5,"低",IF(O336&lt;16,"中","高")),IF(O336&lt;5,"中","高"))))),IF(OR(J336="EO",J336="EQ"),IF(OR(Y336="估算法",Y336="算法类"),"中",IF(Y336="无法识别","低",IF(M336&lt;2,IF(O336&lt;20,"低","中"),IF(M336&lt;4,IF(O336&lt;6,"低",IF(O336&lt;20,"中","高")),IF(O336&lt;6,"中","高"))))),IF(OR(J336="ILF",J336="EIF"),IF(OR(Y336="估算法",Y336="算法类",Y336="无法识别"),"低",IF(N336&lt;2,IF(O336&lt;51,"低","中"),IF(N336&lt;6,IF(O336&lt;20,"低",IF(O336&lt;51,"中","高")),IF(O336&lt;20,"中","高")))),"不计算")))</f>
        <v/>
      </c>
      <c r="Q336" s="172">
        <f>IFERROR(IF(J336="EI",IF(P336="低",3,IF(P336="中",4,6)),IF(J336="EO",IF(P336="低",4,IF(P336="中",5,7)),IF(J336="EQ",IF(P336="低",3,IF(P336="中",4,6)),IF(J336="ILF",IF(P336="低",7,IF(P336="中",10,15)),IF(J336="EIF",IF(P336="低",5,IF(P336="中",7,10)),"不计算")))))*R336,"不计算")</f>
        <v/>
      </c>
      <c r="R336" s="172" t="n">
        <v>1</v>
      </c>
      <c r="S336" s="173">
        <f>调整因子!$F$13</f>
        <v/>
      </c>
      <c r="T336" s="92" t="n">
        <v>1</v>
      </c>
      <c r="U336" s="174">
        <f>IFERROR(Q336*S336,0)</f>
        <v/>
      </c>
      <c r="V336" s="174">
        <f>U336*T336</f>
        <v/>
      </c>
      <c r="W336" s="90" t="inlineStr">
        <is>
          <t>插件任务实例表</t>
        </is>
      </c>
      <c r="X336" s="113" t="n"/>
      <c r="Y336" s="90" t="inlineStr">
        <is>
          <t>插件任务实例表{实例ID、任务ID、资产ID、状态、开始时间、结束时间|响应状态码、返回数据信息}</t>
        </is>
      </c>
      <c r="Z336" s="90" t="n"/>
      <c r="AA336" s="90" t="n"/>
      <c r="AB336" s="103" t="inlineStr">
        <is>
          <t>修复步骤表</t>
        </is>
      </c>
      <c r="AC336" s="66" t="n"/>
    </row>
    <row r="337" s="112">
      <c r="A337" s="72">
        <f>ROW()-1</f>
        <v/>
      </c>
      <c r="B337" s="175" t="n"/>
      <c r="C337" s="80" t="n">
        <v>2025</v>
      </c>
      <c r="D337" s="80" t="inlineStr">
        <is>
          <t>张明峰</t>
        </is>
      </c>
      <c r="E337" s="81">
        <f>VLOOKUP(I337,'25年交付功能（不含废弃）'!A:A,1,FALSE)</f>
        <v/>
      </c>
      <c r="F337" s="175" t="n"/>
      <c r="G337" s="175" t="n"/>
      <c r="H337" s="175" t="n"/>
      <c r="I337" s="98" t="inlineStr">
        <is>
          <t>查看插件任务详情</t>
        </is>
      </c>
      <c r="J337" s="93" t="inlineStr">
        <is>
          <t>EQ</t>
        </is>
      </c>
      <c r="K337" s="84" t="n"/>
      <c r="L337" s="84" t="n"/>
      <c r="M337" s="85">
        <f>IF(OR(Y337="估算法",Y337="算法类",Y337="无法识别"),"",IF(W337="",IF(OR(J337="EI",J337="EO",J337="EQ"),0,""),LEN(W337)-LEN(SUBSTITUTE(W337,"、",""))+1))</f>
        <v/>
      </c>
      <c r="N337" s="85">
        <f>IF(OR(Y337="估算法",Y337="算法类",Y337="无法识别"),"",IF(X337="",IF(OR(J337="ILF",J337="EIF"),0,""),LEN(X337)-LEN(SUBSTITUTE(X337,"、",""))+1))</f>
        <v/>
      </c>
      <c r="O337" s="85">
        <f>IF(OR(Y337="估算法",Y337="算法类",Y337="无法识别"),"",IF(Y337="",IF(OR(J337="ILF",J337="EIF",J337="EI",J337="EO",J337="EQ"),0,""),LEN(Y337)-LEN(SUBSTITUTE(SUBSTITUTE(SUBSTITUTE(SUBSTITUTE(SUBSTITUTE(Y337,"|}","--"),"{|","--"),CHAR(10),""),"、",""),"|",""))+IF(AND(OR(J337="EI",J337="EO",J337="EQ"),$AE$1="NESMA"),2,1)))</f>
        <v/>
      </c>
      <c r="P337" s="86">
        <f>IF(J337="EI",IF(OR(Y337="估算法",Y337="算法类"),"中",IF(Y337="无法识别","低",IF(M337&lt;2,IF(O337&lt;16,"低","中"),IF(M337&lt;3,IF(O337&lt;5,"低",IF(O337&lt;16,"中","高")),IF(O337&lt;5,"中","高"))))),IF(OR(J337="EO",J337="EQ"),IF(OR(Y337="估算法",Y337="算法类"),"中",IF(Y337="无法识别","低",IF(M337&lt;2,IF(O337&lt;20,"低","中"),IF(M337&lt;4,IF(O337&lt;6,"低",IF(O337&lt;20,"中","高")),IF(O337&lt;6,"中","高"))))),IF(OR(J337="ILF",J337="EIF"),IF(OR(Y337="估算法",Y337="算法类",Y337="无法识别"),"低",IF(N337&lt;2,IF(O337&lt;51,"低","中"),IF(N337&lt;6,IF(O337&lt;20,"低",IF(O337&lt;51,"中","高")),IF(O337&lt;20,"中","高")))),"不计算")))</f>
        <v/>
      </c>
      <c r="Q337" s="172">
        <f>IFERROR(IF(J337="EI",IF(P337="低",3,IF(P337="中",4,6)),IF(J337="EO",IF(P337="低",4,IF(P337="中",5,7)),IF(J337="EQ",IF(P337="低",3,IF(P337="中",4,6)),IF(J337="ILF",IF(P337="低",7,IF(P337="中",10,15)),IF(J337="EIF",IF(P337="低",5,IF(P337="中",7,10)),"不计算")))))*R337,"不计算")</f>
        <v/>
      </c>
      <c r="R337" s="172" t="n">
        <v>1</v>
      </c>
      <c r="S337" s="173">
        <f>调整因子!$F$13</f>
        <v/>
      </c>
      <c r="T337" s="92" t="n">
        <v>1</v>
      </c>
      <c r="U337" s="174">
        <f>IFERROR(Q337*S337,0)</f>
        <v/>
      </c>
      <c r="V337" s="174">
        <f>U337*T337</f>
        <v/>
      </c>
      <c r="W337" s="90" t="inlineStr">
        <is>
          <t>插件任务实例表</t>
        </is>
      </c>
      <c r="X337" s="113" t="n"/>
      <c r="Y337" s="90" t="inlineStr">
        <is>
          <t>插件任务实例表{实例ID、任务ID、资产ID、状态、开始时间、结束时间|响应状态码、返回数据信息}</t>
        </is>
      </c>
      <c r="Z337" s="90" t="n"/>
      <c r="AA337" s="90" t="n"/>
      <c r="AB337" s="103" t="inlineStr">
        <is>
          <t>复测任务表</t>
        </is>
      </c>
      <c r="AC337" s="66" t="n"/>
    </row>
    <row r="338" s="112">
      <c r="A338" s="72">
        <f>ROW()-1</f>
        <v/>
      </c>
      <c r="B338" s="175" t="n"/>
      <c r="C338" s="80" t="n">
        <v>2025</v>
      </c>
      <c r="D338" s="80" t="inlineStr">
        <is>
          <t>张明峰</t>
        </is>
      </c>
      <c r="E338" s="81">
        <f>VLOOKUP(I338,'25年交付功能（不含废弃）'!A:A,1,FALSE)</f>
        <v/>
      </c>
      <c r="F338" s="175" t="n"/>
      <c r="G338" s="175" t="n"/>
      <c r="H338" s="175" t="n"/>
      <c r="I338" s="98" t="inlineStr">
        <is>
          <t>插件任务实例状态自动更新</t>
        </is>
      </c>
      <c r="J338" s="93" t="n"/>
      <c r="K338" s="110" t="inlineStr">
        <is>
          <t>删除</t>
        </is>
      </c>
      <c r="L338" s="84" t="inlineStr">
        <is>
          <t>和下行合并，相同数据输入输出</t>
        </is>
      </c>
      <c r="M338" s="85">
        <f>IF(OR(Y338="估算法",Y338="算法类",Y338="无法识别"),"",IF(W338="",IF(OR(J338="EI",J338="EO",J338="EQ"),0,""),LEN(W338)-LEN(SUBSTITUTE(W338,"、",""))+1))</f>
        <v/>
      </c>
      <c r="N338" s="85">
        <f>IF(OR(Y338="估算法",Y338="算法类",Y338="无法识别"),"",IF(X338="",IF(OR(J338="ILF",J338="EIF"),0,""),LEN(X338)-LEN(SUBSTITUTE(X338,"、",""))+1))</f>
        <v/>
      </c>
      <c r="O338" s="85">
        <f>IF(OR(Y338="估算法",Y338="算法类",Y338="无法识别"),"",IF(Y338="",IF(OR(J338="ILF",J338="EIF",J338="EI",J338="EO",J338="EQ"),0,""),LEN(Y338)-LEN(SUBSTITUTE(SUBSTITUTE(SUBSTITUTE(SUBSTITUTE(SUBSTITUTE(Y338,"|}","--"),"{|","--"),CHAR(10),""),"、",""),"|",""))+IF(AND(OR(J338="EI",J338="EO",J338="EQ"),$AE$1="NESMA"),2,1)))</f>
        <v/>
      </c>
      <c r="P338" s="86">
        <f>IF(J338="EI",IF(OR(Y338="估算法",Y338="算法类"),"中",IF(Y338="无法识别","低",IF(M338&lt;2,IF(O338&lt;16,"低","中"),IF(M338&lt;3,IF(O338&lt;5,"低",IF(O338&lt;16,"中","高")),IF(O338&lt;5,"中","高"))))),IF(OR(J338="EO",J338="EQ"),IF(OR(Y338="估算法",Y338="算法类"),"中",IF(Y338="无法识别","低",IF(M338&lt;2,IF(O338&lt;20,"低","中"),IF(M338&lt;4,IF(O338&lt;6,"低",IF(O338&lt;20,"中","高")),IF(O338&lt;6,"中","高"))))),IF(OR(J338="ILF",J338="EIF"),IF(OR(Y338="估算法",Y338="算法类",Y338="无法识别"),"低",IF(N338&lt;2,IF(O338&lt;51,"低","中"),IF(N338&lt;6,IF(O338&lt;20,"低",IF(O338&lt;51,"中","高")),IF(O338&lt;20,"中","高")))),"不计算")))</f>
        <v/>
      </c>
      <c r="Q338" s="172">
        <f>IFERROR(IF(J338="EI",IF(P338="低",3,IF(P338="中",4,6)),IF(J338="EO",IF(P338="低",4,IF(P338="中",5,7)),IF(J338="EQ",IF(P338="低",3,IF(P338="中",4,6)),IF(J338="ILF",IF(P338="低",7,IF(P338="中",10,15)),IF(J338="EIF",IF(P338="低",5,IF(P338="中",7,10)),"不计算")))))*R338,"不计算")</f>
        <v/>
      </c>
      <c r="R338" s="172" t="n">
        <v>1</v>
      </c>
      <c r="S338" s="173">
        <f>调整因子!$F$13</f>
        <v/>
      </c>
      <c r="T338" s="93" t="n">
        <v>1</v>
      </c>
      <c r="U338" s="174">
        <f>IFERROR(Q338*S338,0)</f>
        <v/>
      </c>
      <c r="V338" s="174">
        <f>U338*T338</f>
        <v/>
      </c>
      <c r="W338" s="90" t="inlineStr">
        <is>
          <t>插件任务实例表</t>
        </is>
      </c>
      <c r="X338" s="113" t="n"/>
      <c r="Y338" s="90" t="inlineStr">
        <is>
          <t>插件任务实例表{实例ID、任务ID、资产ID、状态、开始时间、结束时间|响应状态码、返回数据信息}</t>
        </is>
      </c>
      <c r="Z338" s="90" t="n"/>
      <c r="AA338" s="90" t="n"/>
      <c r="AB338" s="103" t="inlineStr">
        <is>
          <t>通报对象表、分布分析表</t>
        </is>
      </c>
      <c r="AC338" s="66" t="n"/>
    </row>
    <row r="339" s="112">
      <c r="A339" s="72">
        <f>ROW()-1</f>
        <v/>
      </c>
      <c r="B339" s="175" t="n"/>
      <c r="C339" s="80" t="n">
        <v>2025</v>
      </c>
      <c r="D339" s="80" t="inlineStr">
        <is>
          <t>张明峰</t>
        </is>
      </c>
      <c r="E339" s="81">
        <f>VLOOKUP(I339,'25年交付功能（不含废弃）'!A:A,1,FALSE)</f>
        <v/>
      </c>
      <c r="F339" s="175" t="n"/>
      <c r="G339" s="175" t="n"/>
      <c r="H339" s="175" t="n"/>
      <c r="I339" s="98" t="inlineStr">
        <is>
          <t>查询插件任务实例列表</t>
        </is>
      </c>
      <c r="J339" s="93" t="inlineStr">
        <is>
          <t>EQ</t>
        </is>
      </c>
      <c r="K339" s="84" t="n"/>
      <c r="L339" s="84" t="n"/>
      <c r="M339" s="85">
        <f>IF(OR(Y339="估算法",Y339="算法类",Y339="无法识别"),"",IF(W339="",IF(OR(J339="EI",J339="EO",J339="EQ"),0,""),LEN(W339)-LEN(SUBSTITUTE(W339,"、",""))+1))</f>
        <v/>
      </c>
      <c r="N339" s="85">
        <f>IF(OR(Y339="估算法",Y339="算法类",Y339="无法识别"),"",IF(X339="",IF(OR(J339="ILF",J339="EIF"),0,""),LEN(X339)-LEN(SUBSTITUTE(X339,"、",""))+1))</f>
        <v/>
      </c>
      <c r="O339" s="85">
        <f>IF(OR(Y339="估算法",Y339="算法类",Y339="无法识别"),"",IF(Y339="",IF(OR(J339="ILF",J339="EIF",J339="EI",J339="EO",J339="EQ"),0,""),LEN(Y339)-LEN(SUBSTITUTE(SUBSTITUTE(SUBSTITUTE(SUBSTITUTE(SUBSTITUTE(Y339,"|}","--"),"{|","--"),CHAR(10),""),"、",""),"|",""))+IF(AND(OR(J339="EI",J339="EO",J339="EQ"),$AE$1="NESMA"),2,1)))</f>
        <v/>
      </c>
      <c r="P339" s="86">
        <f>IF(J339="EI",IF(OR(Y339="估算法",Y339="算法类"),"中",IF(Y339="无法识别","低",IF(M339&lt;2,IF(O339&lt;16,"低","中"),IF(M339&lt;3,IF(O339&lt;5,"低",IF(O339&lt;16,"中","高")),IF(O339&lt;5,"中","高"))))),IF(OR(J339="EO",J339="EQ"),IF(OR(Y339="估算法",Y339="算法类"),"中",IF(Y339="无法识别","低",IF(M339&lt;2,IF(O339&lt;20,"低","中"),IF(M339&lt;4,IF(O339&lt;6,"低",IF(O339&lt;20,"中","高")),IF(O339&lt;6,"中","高"))))),IF(OR(J339="ILF",J339="EIF"),IF(OR(Y339="估算法",Y339="算法类",Y339="无法识别"),"低",IF(N339&lt;2,IF(O339&lt;51,"低","中"),IF(N339&lt;6,IF(O339&lt;20,"低",IF(O339&lt;51,"中","高")),IF(O339&lt;20,"中","高")))),"不计算")))</f>
        <v/>
      </c>
      <c r="Q339" s="172">
        <f>IFERROR(IF(J339="EI",IF(P339="低",3,IF(P339="中",4,6)),IF(J339="EO",IF(P339="低",4,IF(P339="中",5,7)),IF(J339="EQ",IF(P339="低",3,IF(P339="中",4,6)),IF(J339="ILF",IF(P339="低",7,IF(P339="中",10,15)),IF(J339="EIF",IF(P339="低",5,IF(P339="中",7,10)),"不计算")))))*R339,"不计算")</f>
        <v/>
      </c>
      <c r="R339" s="172" t="n">
        <v>1</v>
      </c>
      <c r="S339" s="173">
        <f>调整因子!$F$13</f>
        <v/>
      </c>
      <c r="T339" s="92" t="n">
        <v>1</v>
      </c>
      <c r="U339" s="174">
        <f>IFERROR(Q339*S339,0)</f>
        <v/>
      </c>
      <c r="V339" s="174">
        <f>U339*T339</f>
        <v/>
      </c>
      <c r="W339" s="90" t="inlineStr">
        <is>
          <t>插件任务实例表</t>
        </is>
      </c>
      <c r="X339" s="113" t="n"/>
      <c r="Y339" s="90" t="inlineStr">
        <is>
          <t>插件任务实例表{实例ID、任务ID、资产ID、状态、开始时间、结束时间|响应状态码、返回数据信息}</t>
        </is>
      </c>
      <c r="Z339" s="90" t="n"/>
      <c r="AA339" s="90" t="n"/>
      <c r="AB339" s="103" t="inlineStr">
        <is>
          <t>接口参数配置表、处置单配置表</t>
        </is>
      </c>
      <c r="AC339" s="66" t="n"/>
    </row>
    <row r="340" s="112">
      <c r="A340" s="72">
        <f>ROW()-1</f>
        <v/>
      </c>
      <c r="B340" s="175" t="n"/>
      <c r="C340" s="80" t="n">
        <v>2025</v>
      </c>
      <c r="D340" s="80" t="inlineStr">
        <is>
          <t>张明峰</t>
        </is>
      </c>
      <c r="E340" s="81">
        <f>VLOOKUP(I340,'25年交付功能（不含废弃）'!A:A,1,FALSE)</f>
        <v/>
      </c>
      <c r="F340" s="175" t="n"/>
      <c r="G340" s="175" t="n"/>
      <c r="H340" s="175" t="n"/>
      <c r="I340" s="98" t="inlineStr">
        <is>
          <t>查看插件任务资产概况</t>
        </is>
      </c>
      <c r="J340" s="93" t="inlineStr">
        <is>
          <t>EQ</t>
        </is>
      </c>
      <c r="K340" s="84" t="n"/>
      <c r="L340" s="84" t="n"/>
      <c r="M340" s="85">
        <f>IF(OR(Y340="估算法",Y340="算法类",Y340="无法识别"),"",IF(W340="",IF(OR(J340="EI",J340="EO",J340="EQ"),0,""),LEN(W340)-LEN(SUBSTITUTE(W340,"、",""))+1))</f>
        <v/>
      </c>
      <c r="N340" s="85">
        <f>IF(OR(Y340="估算法",Y340="算法类",Y340="无法识别"),"",IF(X340="",IF(OR(J340="ILF",J340="EIF"),0,""),LEN(X340)-LEN(SUBSTITUTE(X340,"、",""))+1))</f>
        <v/>
      </c>
      <c r="O340" s="85">
        <f>IF(OR(Y340="估算法",Y340="算法类",Y340="无法识别"),"",IF(Y340="",IF(OR(J340="ILF",J340="EIF",J340="EI",J340="EO",J340="EQ"),0,""),LEN(Y340)-LEN(SUBSTITUTE(SUBSTITUTE(SUBSTITUTE(SUBSTITUTE(SUBSTITUTE(Y340,"|}","--"),"{|","--"),CHAR(10),""),"、",""),"|",""))+IF(AND(OR(J340="EI",J340="EO",J340="EQ"),$AE$1="NESMA"),2,1)))</f>
        <v/>
      </c>
      <c r="P340" s="86">
        <f>IF(J340="EI",IF(OR(Y340="估算法",Y340="算法类"),"中",IF(Y340="无法识别","低",IF(M340&lt;2,IF(O340&lt;16,"低","中"),IF(M340&lt;3,IF(O340&lt;5,"低",IF(O340&lt;16,"中","高")),IF(O340&lt;5,"中","高"))))),IF(OR(J340="EO",J340="EQ"),IF(OR(Y340="估算法",Y340="算法类"),"中",IF(Y340="无法识别","低",IF(M340&lt;2,IF(O340&lt;20,"低","中"),IF(M340&lt;4,IF(O340&lt;6,"低",IF(O340&lt;20,"中","高")),IF(O340&lt;6,"中","高"))))),IF(OR(J340="ILF",J340="EIF"),IF(OR(Y340="估算法",Y340="算法类",Y340="无法识别"),"低",IF(N340&lt;2,IF(O340&lt;51,"低","中"),IF(N340&lt;6,IF(O340&lt;20,"低",IF(O340&lt;51,"中","高")),IF(O340&lt;20,"中","高")))),"不计算")))</f>
        <v/>
      </c>
      <c r="Q340" s="172">
        <f>IFERROR(IF(J340="EI",IF(P340="低",3,IF(P340="中",4,6)),IF(J340="EO",IF(P340="低",4,IF(P340="中",5,7)),IF(J340="EQ",IF(P340="低",3,IF(P340="中",4,6)),IF(J340="ILF",IF(P340="低",7,IF(P340="中",10,15)),IF(J340="EIF",IF(P340="低",5,IF(P340="中",7,10)),"不计算")))))*R340,"不计算")</f>
        <v/>
      </c>
      <c r="R340" s="172" t="n">
        <v>1</v>
      </c>
      <c r="S340" s="173">
        <f>调整因子!$F$13</f>
        <v/>
      </c>
      <c r="T340" s="92" t="n">
        <v>1</v>
      </c>
      <c r="U340" s="174">
        <f>IFERROR(Q340*S340,0)</f>
        <v/>
      </c>
      <c r="V340" s="174">
        <f>U340*T340</f>
        <v/>
      </c>
      <c r="W340" s="90" t="inlineStr">
        <is>
          <t>插件任务基本信息表、漏洞概况表</t>
        </is>
      </c>
      <c r="X340" s="113" t="n"/>
      <c r="Y340" s="90" t="inlineStr">
        <is>
          <t>插件任务基本信息表{任务ID、任务名称、描述、插件ID、状态、创建时间、资产概况表{概况ID、任务ID、总资产数、已扫描资产数、失败资产数、详情}</t>
        </is>
      </c>
      <c r="Z340" s="90" t="n"/>
      <c r="AA340" s="90" t="n"/>
      <c r="AB340" s="103" t="inlineStr">
        <is>
          <t>日志采集配置表</t>
        </is>
      </c>
      <c r="AC340" s="66" t="n"/>
    </row>
    <row r="341" s="112">
      <c r="A341" s="72">
        <f>ROW()-1</f>
        <v/>
      </c>
      <c r="B341" s="175" t="n"/>
      <c r="C341" s="80" t="n">
        <v>2025</v>
      </c>
      <c r="D341" s="80" t="inlineStr">
        <is>
          <t>张明峰</t>
        </is>
      </c>
      <c r="E341" s="81">
        <f>VLOOKUP(I341,'25年交付功能（不含废弃）'!A:A,1,FALSE)</f>
        <v/>
      </c>
      <c r="F341" s="175" t="n"/>
      <c r="G341" s="175" t="n"/>
      <c r="H341" s="175" t="n"/>
      <c r="I341" s="98" t="inlineStr">
        <is>
          <t>导出插件任务资产概况</t>
        </is>
      </c>
      <c r="J341" s="93" t="inlineStr">
        <is>
          <t>EO</t>
        </is>
      </c>
      <c r="K341" s="84" t="n"/>
      <c r="L341" s="84" t="n"/>
      <c r="M341" s="85">
        <f>IF(OR(Y341="估算法",Y341="算法类",Y341="无法识别"),"",IF(W341="",IF(OR(J341="EI",J341="EO",J341="EQ"),0,""),LEN(W341)-LEN(SUBSTITUTE(W341,"、",""))+1))</f>
        <v/>
      </c>
      <c r="N341" s="85">
        <f>IF(OR(Y341="估算法",Y341="算法类",Y341="无法识别"),"",IF(X341="",IF(OR(J341="ILF",J341="EIF"),0,""),LEN(X341)-LEN(SUBSTITUTE(X341,"、",""))+1))</f>
        <v/>
      </c>
      <c r="O341" s="85">
        <f>IF(OR(Y341="估算法",Y341="算法类",Y341="无法识别"),"",IF(Y341="",IF(OR(J341="ILF",J341="EIF",J341="EI",J341="EO",J341="EQ"),0,""),LEN(Y341)-LEN(SUBSTITUTE(SUBSTITUTE(SUBSTITUTE(SUBSTITUTE(SUBSTITUTE(Y341,"|}","--"),"{|","--"),CHAR(10),""),"、",""),"|",""))+IF(AND(OR(J341="EI",J341="EO",J341="EQ"),$AE$1="NESMA"),2,1)))</f>
        <v/>
      </c>
      <c r="P341" s="86">
        <f>IF(J341="EI",IF(OR(Y341="估算法",Y341="算法类"),"中",IF(Y341="无法识别","低",IF(M341&lt;2,IF(O341&lt;16,"低","中"),IF(M341&lt;3,IF(O341&lt;5,"低",IF(O341&lt;16,"中","高")),IF(O341&lt;5,"中","高"))))),IF(OR(J341="EO",J341="EQ"),IF(OR(Y341="估算法",Y341="算法类"),"中",IF(Y341="无法识别","低",IF(M341&lt;2,IF(O341&lt;20,"低","中"),IF(M341&lt;4,IF(O341&lt;6,"低",IF(O341&lt;20,"中","高")),IF(O341&lt;6,"中","高"))))),IF(OR(J341="ILF",J341="EIF"),IF(OR(Y341="估算法",Y341="算法类",Y341="无法识别"),"低",IF(N341&lt;2,IF(O341&lt;51,"低","中"),IF(N341&lt;6,IF(O341&lt;20,"低",IF(O341&lt;51,"中","高")),IF(O341&lt;20,"中","高")))),"不计算")))</f>
        <v/>
      </c>
      <c r="Q341" s="172">
        <f>IFERROR(IF(J341="EI",IF(P341="低",3,IF(P341="中",4,6)),IF(J341="EO",IF(P341="低",4,IF(P341="中",5,7)),IF(J341="EQ",IF(P341="低",3,IF(P341="中",4,6)),IF(J341="ILF",IF(P341="低",7,IF(P341="中",10,15)),IF(J341="EIF",IF(P341="低",5,IF(P341="中",7,10)),"不计算")))))*R341,"不计算")</f>
        <v/>
      </c>
      <c r="R341" s="172" t="n">
        <v>1</v>
      </c>
      <c r="S341" s="173">
        <f>调整因子!$F$13</f>
        <v/>
      </c>
      <c r="T341" s="93" t="n">
        <v>1</v>
      </c>
      <c r="U341" s="174">
        <f>IFERROR(Q341*S341,0)</f>
        <v/>
      </c>
      <c r="V341" s="174">
        <f>U341*T341</f>
        <v/>
      </c>
      <c r="W341" s="90" t="inlineStr">
        <is>
          <t>插件任务基本信息表、漏洞概况表</t>
        </is>
      </c>
      <c r="X341" s="113" t="n"/>
      <c r="Y341" s="90" t="inlineStr">
        <is>
          <t>插件任务基本信息表{任务ID、任务名称、描述、插件ID、状态、创建时间、资产概况表{概况ID、任务ID、总资产数、已扫描资产数、失败资产数、详情}</t>
        </is>
      </c>
      <c r="Z341" s="90" t="n"/>
      <c r="AA341" s="90" t="n"/>
      <c r="AB341" s="103" t="inlineStr">
        <is>
          <t>态势大屏配置表、同步任务调度表</t>
        </is>
      </c>
      <c r="AC341" s="66" t="n"/>
    </row>
    <row r="342" s="112">
      <c r="A342" s="72">
        <f>ROW()-1</f>
        <v/>
      </c>
      <c r="B342" s="175" t="n"/>
      <c r="C342" s="80" t="n">
        <v>2025</v>
      </c>
      <c r="D342" s="80" t="inlineStr">
        <is>
          <t>张明峰</t>
        </is>
      </c>
      <c r="E342" s="81">
        <f>VLOOKUP(I342,'25年交付功能（不含废弃）'!A:A,1,FALSE)</f>
        <v/>
      </c>
      <c r="F342" s="175" t="n"/>
      <c r="G342" s="175" t="n"/>
      <c r="H342" s="175" t="n"/>
      <c r="I342" s="98" t="inlineStr">
        <is>
          <t>查看插件任务漏洞概况</t>
        </is>
      </c>
      <c r="J342" s="93" t="inlineStr">
        <is>
          <t>EQ</t>
        </is>
      </c>
      <c r="K342" s="84" t="n"/>
      <c r="L342" s="84" t="n"/>
      <c r="M342" s="85">
        <f>IF(OR(Y342="估算法",Y342="算法类",Y342="无法识别"),"",IF(W342="",IF(OR(J342="EI",J342="EO",J342="EQ"),0,""),LEN(W342)-LEN(SUBSTITUTE(W342,"、",""))+1))</f>
        <v/>
      </c>
      <c r="N342" s="85">
        <f>IF(OR(Y342="估算法",Y342="算法类",Y342="无法识别"),"",IF(X342="",IF(OR(J342="ILF",J342="EIF"),0,""),LEN(X342)-LEN(SUBSTITUTE(X342,"、",""))+1))</f>
        <v/>
      </c>
      <c r="O342" s="85">
        <f>IF(OR(Y342="估算法",Y342="算法类",Y342="无法识别"),"",IF(Y342="",IF(OR(J342="ILF",J342="EIF",J342="EI",J342="EO",J342="EQ"),0,""),LEN(Y342)-LEN(SUBSTITUTE(SUBSTITUTE(SUBSTITUTE(SUBSTITUTE(SUBSTITUTE(Y342,"|}","--"),"{|","--"),CHAR(10),""),"、",""),"|",""))+IF(AND(OR(J342="EI",J342="EO",J342="EQ"),$AE$1="NESMA"),2,1)))</f>
        <v/>
      </c>
      <c r="P342" s="86">
        <f>IF(J342="EI",IF(OR(Y342="估算法",Y342="算法类"),"中",IF(Y342="无法识别","低",IF(M342&lt;2,IF(O342&lt;16,"低","中"),IF(M342&lt;3,IF(O342&lt;5,"低",IF(O342&lt;16,"中","高")),IF(O342&lt;5,"中","高"))))),IF(OR(J342="EO",J342="EQ"),IF(OR(Y342="估算法",Y342="算法类"),"中",IF(Y342="无法识别","低",IF(M342&lt;2,IF(O342&lt;20,"低","中"),IF(M342&lt;4,IF(O342&lt;6,"低",IF(O342&lt;20,"中","高")),IF(O342&lt;6,"中","高"))))),IF(OR(J342="ILF",J342="EIF"),IF(OR(Y342="估算法",Y342="算法类",Y342="无法识别"),"低",IF(N342&lt;2,IF(O342&lt;51,"低","中"),IF(N342&lt;6,IF(O342&lt;20,"低",IF(O342&lt;51,"中","高")),IF(O342&lt;20,"中","高")))),"不计算")))</f>
        <v/>
      </c>
      <c r="Q342" s="172">
        <f>IFERROR(IF(J342="EI",IF(P342="低",3,IF(P342="中",4,6)),IF(J342="EO",IF(P342="低",4,IF(P342="中",5,7)),IF(J342="EQ",IF(P342="低",3,IF(P342="中",4,6)),IF(J342="ILF",IF(P342="低",7,IF(P342="中",10,15)),IF(J342="EIF",IF(P342="低",5,IF(P342="中",7,10)),"不计算")))))*R342,"不计算")</f>
        <v/>
      </c>
      <c r="R342" s="172" t="n">
        <v>1</v>
      </c>
      <c r="S342" s="173">
        <f>调整因子!$F$13</f>
        <v/>
      </c>
      <c r="T342" s="92" t="n">
        <v>1</v>
      </c>
      <c r="U342" s="174">
        <f>IFERROR(Q342*S342,0)</f>
        <v/>
      </c>
      <c r="V342" s="174">
        <f>U342*T342</f>
        <v/>
      </c>
      <c r="W342" s="90" t="inlineStr">
        <is>
          <t>漏洞概况表</t>
        </is>
      </c>
      <c r="X342" s="113" t="n"/>
      <c r="Y342" s="90" t="inlineStr">
        <is>
          <t>漏洞概况表{概况ID、任务ID、总漏洞数、严重漏洞数、高危漏洞数、中危漏洞数、低危漏洞数、详情}</t>
        </is>
      </c>
      <c r="Z342" s="90" t="n"/>
      <c r="AA342" s="90" t="n"/>
      <c r="AB342" s="103" t="inlineStr">
        <is>
          <t>任务优先级配置表、接口参数表</t>
        </is>
      </c>
      <c r="AC342" s="66" t="n"/>
    </row>
    <row r="343" s="112">
      <c r="A343" s="72">
        <f>ROW()-1</f>
        <v/>
      </c>
      <c r="B343" s="175" t="n"/>
      <c r="C343" s="80" t="n">
        <v>2025</v>
      </c>
      <c r="D343" s="80" t="inlineStr">
        <is>
          <t>张明峰</t>
        </is>
      </c>
      <c r="E343" s="81">
        <f>VLOOKUP(I343,'25年交付功能（不含废弃）'!A:A,1,FALSE)</f>
        <v/>
      </c>
      <c r="F343" s="175" t="n"/>
      <c r="G343" s="175" t="n"/>
      <c r="H343" s="175" t="n"/>
      <c r="I343" s="98" t="inlineStr">
        <is>
          <t>查看插件任务引擎概况</t>
        </is>
      </c>
      <c r="J343" s="93" t="inlineStr">
        <is>
          <t>EQ</t>
        </is>
      </c>
      <c r="K343" s="109" t="inlineStr">
        <is>
          <t>修改「FTR、DET」</t>
        </is>
      </c>
      <c r="L343" s="84" t="inlineStr">
        <is>
          <t>和上行合并，输入输出字段完全一致</t>
        </is>
      </c>
      <c r="M343" s="85">
        <f>IF(OR(Y343="估算法",Y343="算法类",Y343="无法识别"),"",IF(W343="",IF(OR(J343="EI",J343="EO",J343="EQ"),0,""),LEN(W343)-LEN(SUBSTITUTE(W343,"、",""))+1))</f>
        <v/>
      </c>
      <c r="N343" s="85">
        <f>IF(OR(Y343="估算法",Y343="算法类",Y343="无法识别"),"",IF(X343="",IF(OR(J343="ILF",J343="EIF"),0,""),LEN(X343)-LEN(SUBSTITUTE(X343,"、",""))+1))</f>
        <v/>
      </c>
      <c r="O343" s="85">
        <f>IF(OR(Y343="估算法",Y343="算法类",Y343="无法识别"),"",IF(Y343="",IF(OR(J343="ILF",J343="EIF",J343="EI",J343="EO",J343="EQ"),0,""),LEN(Y343)-LEN(SUBSTITUTE(SUBSTITUTE(SUBSTITUTE(SUBSTITUTE(SUBSTITUTE(Y343,"|}","--"),"{|","--"),CHAR(10),""),"、",""),"|",""))+IF(AND(OR(J343="EI",J343="EO",J343="EQ"),$AE$1="NESMA"),2,1)))</f>
        <v/>
      </c>
      <c r="P343" s="86">
        <f>IF(J343="EI",IF(OR(Y343="估算法",Y343="算法类"),"中",IF(Y343="无法识别","低",IF(M343&lt;2,IF(O343&lt;16,"低","中"),IF(M343&lt;3,IF(O343&lt;5,"低",IF(O343&lt;16,"中","高")),IF(O343&lt;5,"中","高"))))),IF(OR(J343="EO",J343="EQ"),IF(OR(Y343="估算法",Y343="算法类"),"中",IF(Y343="无法识别","低",IF(M343&lt;2,IF(O343&lt;20,"低","中"),IF(M343&lt;4,IF(O343&lt;6,"低",IF(O343&lt;20,"中","高")),IF(O343&lt;6,"中","高"))))),IF(OR(J343="ILF",J343="EIF"),IF(OR(Y343="估算法",Y343="算法类",Y343="无法识别"),"低",IF(N343&lt;2,IF(O343&lt;51,"低","中"),IF(N343&lt;6,IF(O343&lt;20,"低",IF(O343&lt;51,"中","高")),IF(O343&lt;20,"中","高")))),"不计算")))</f>
        <v/>
      </c>
      <c r="Q343" s="172">
        <f>IFERROR(IF(J343="EI",IF(P343="低",3,IF(P343="中",4,6)),IF(J343="EO",IF(P343="低",4,IF(P343="中",5,7)),IF(J343="EQ",IF(P343="低",3,IF(P343="中",4,6)),IF(J343="ILF",IF(P343="低",7,IF(P343="中",10,15)),IF(J343="EIF",IF(P343="低",5,IF(P343="中",7,10)),"不计算")))))*R343,"不计算")</f>
        <v/>
      </c>
      <c r="R343" s="172" t="n">
        <v>1</v>
      </c>
      <c r="S343" s="173">
        <f>调整因子!$F$13</f>
        <v/>
      </c>
      <c r="T343" s="92" t="n">
        <v>1</v>
      </c>
      <c r="U343" s="174">
        <f>IFERROR(Q343*S343,0)</f>
        <v/>
      </c>
      <c r="V343" s="174">
        <f>U343*T343</f>
        <v/>
      </c>
      <c r="W343" s="90" t="inlineStr">
        <is>
          <t>漏洞概况表</t>
        </is>
      </c>
      <c r="X343" s="113" t="n"/>
      <c r="Y343" s="90" t="inlineStr">
        <is>
          <t>漏洞概况表{概况ID、任务ID、总漏洞数、严重漏洞数、高危漏洞数、中危漏洞数、低危漏洞数、详情}</t>
        </is>
      </c>
      <c r="Z343" s="90" t="n"/>
      <c r="AA343" s="90" t="n"/>
      <c r="AB343" s="103" t="inlineStr">
        <is>
          <t>考核指标配置表、任务趋势分析表</t>
        </is>
      </c>
      <c r="AC343" s="66" t="n"/>
    </row>
    <row r="344" s="112">
      <c r="A344" s="72">
        <f>ROW()-1</f>
        <v/>
      </c>
      <c r="B344" s="175" t="n"/>
      <c r="C344" s="80" t="n">
        <v>2025</v>
      </c>
      <c r="D344" s="80" t="inlineStr">
        <is>
          <t>张明峰</t>
        </is>
      </c>
      <c r="E344" s="81">
        <f>VLOOKUP(I344,'25年交付功能（不含废弃）'!A:A,1,FALSE)</f>
        <v/>
      </c>
      <c r="F344" s="175" t="n"/>
      <c r="G344" s="175" t="n"/>
      <c r="H344" s="175" t="n"/>
      <c r="I344" s="98" t="inlineStr">
        <is>
          <t>导出插件任务漏洞结果</t>
        </is>
      </c>
      <c r="J344" s="93" t="inlineStr">
        <is>
          <t>EO</t>
        </is>
      </c>
      <c r="K344" s="84" t="n"/>
      <c r="L344" s="84" t="n"/>
      <c r="M344" s="85">
        <f>IF(OR(Y344="估算法",Y344="算法类",Y344="无法识别"),"",IF(W344="",IF(OR(J344="EI",J344="EO",J344="EQ"),0,""),LEN(W344)-LEN(SUBSTITUTE(W344,"、",""))+1))</f>
        <v/>
      </c>
      <c r="N344" s="85">
        <f>IF(OR(Y344="估算法",Y344="算法类",Y344="无法识别"),"",IF(X344="",IF(OR(J344="ILF",J344="EIF"),0,""),LEN(X344)-LEN(SUBSTITUTE(X344,"、",""))+1))</f>
        <v/>
      </c>
      <c r="O344" s="85">
        <f>IF(OR(Y344="估算法",Y344="算法类",Y344="无法识别"),"",IF(Y344="",IF(OR(J344="ILF",J344="EIF",J344="EI",J344="EO",J344="EQ"),0,""),LEN(Y344)-LEN(SUBSTITUTE(SUBSTITUTE(SUBSTITUTE(SUBSTITUTE(SUBSTITUTE(Y344,"|}","--"),"{|","--"),CHAR(10),""),"、",""),"|",""))+IF(AND(OR(J344="EI",J344="EO",J344="EQ"),$AE$1="NESMA"),2,1)))</f>
        <v/>
      </c>
      <c r="P344" s="86">
        <f>IF(J344="EI",IF(OR(Y344="估算法",Y344="算法类"),"中",IF(Y344="无法识别","低",IF(M344&lt;2,IF(O344&lt;16,"低","中"),IF(M344&lt;3,IF(O344&lt;5,"低",IF(O344&lt;16,"中","高")),IF(O344&lt;5,"中","高"))))),IF(OR(J344="EO",J344="EQ"),IF(OR(Y344="估算法",Y344="算法类"),"中",IF(Y344="无法识别","低",IF(M344&lt;2,IF(O344&lt;20,"低","中"),IF(M344&lt;4,IF(O344&lt;6,"低",IF(O344&lt;20,"中","高")),IF(O344&lt;6,"中","高"))))),IF(OR(J344="ILF",J344="EIF"),IF(OR(Y344="估算法",Y344="算法类",Y344="无法识别"),"低",IF(N344&lt;2,IF(O344&lt;51,"低","中"),IF(N344&lt;6,IF(O344&lt;20,"低",IF(O344&lt;51,"中","高")),IF(O344&lt;20,"中","高")))),"不计算")))</f>
        <v/>
      </c>
      <c r="Q344" s="172">
        <f>IFERROR(IF(J344="EI",IF(P344="低",3,IF(P344="中",4,6)),IF(J344="EO",IF(P344="低",4,IF(P344="中",5,7)),IF(J344="EQ",IF(P344="低",3,IF(P344="中",4,6)),IF(J344="ILF",IF(P344="低",7,IF(P344="中",10,15)),IF(J344="EIF",IF(P344="低",5,IF(P344="中",7,10)),"不计算")))))*R344,"不计算")</f>
        <v/>
      </c>
      <c r="R344" s="172" t="n">
        <v>1</v>
      </c>
      <c r="S344" s="173">
        <f>调整因子!$F$13</f>
        <v/>
      </c>
      <c r="T344" s="93" t="n">
        <v>1</v>
      </c>
      <c r="U344" s="174">
        <f>IFERROR(Q344*S344,0)</f>
        <v/>
      </c>
      <c r="V344" s="174">
        <f>U344*T344</f>
        <v/>
      </c>
      <c r="W344" s="90" t="inlineStr">
        <is>
          <t>漏洞概况表</t>
        </is>
      </c>
      <c r="X344" s="113" t="n"/>
      <c r="Y344" s="90" t="inlineStr">
        <is>
          <t>漏洞概况表{概况ID、任务ID、总漏洞数、严重漏洞数、高危漏洞数、中危漏洞数、低危漏洞数、详情}</t>
        </is>
      </c>
      <c r="Z344" s="90" t="n"/>
      <c r="AA344" s="90" t="n"/>
      <c r="AB344" s="103" t="inlineStr">
        <is>
          <t>方案审批表</t>
        </is>
      </c>
      <c r="AC344" s="66" t="n"/>
    </row>
    <row r="345" s="112">
      <c r="A345" s="72">
        <f>ROW()-1</f>
        <v/>
      </c>
      <c r="B345" s="175" t="n"/>
      <c r="C345" s="80" t="n">
        <v>2025</v>
      </c>
      <c r="D345" s="80" t="inlineStr">
        <is>
          <t>张明峰</t>
        </is>
      </c>
      <c r="E345" s="81">
        <f>VLOOKUP(I345,'25年交付功能（不含废弃）'!A:A,1,FALSE)</f>
        <v/>
      </c>
      <c r="F345" s="175" t="n"/>
      <c r="G345" s="175" t="n"/>
      <c r="H345" s="175" t="n"/>
      <c r="I345" s="98" t="inlineStr">
        <is>
          <t>查看插件任务报告</t>
        </is>
      </c>
      <c r="J345" s="93" t="inlineStr">
        <is>
          <t>EQ</t>
        </is>
      </c>
      <c r="K345" s="84" t="n"/>
      <c r="L345" s="84" t="n"/>
      <c r="M345" s="85">
        <f>IF(OR(Y345="估算法",Y345="算法类",Y345="无法识别"),"",IF(W345="",IF(OR(J345="EI",J345="EO",J345="EQ"),0,""),LEN(W345)-LEN(SUBSTITUTE(W345,"、",""))+1))</f>
        <v/>
      </c>
      <c r="N345" s="85">
        <f>IF(OR(Y345="估算法",Y345="算法类",Y345="无法识别"),"",IF(X345="",IF(OR(J345="ILF",J345="EIF"),0,""),LEN(X345)-LEN(SUBSTITUTE(X345,"、",""))+1))</f>
        <v/>
      </c>
      <c r="O345" s="85">
        <f>IF(OR(Y345="估算法",Y345="算法类",Y345="无法识别"),"",IF(Y345="",IF(OR(J345="ILF",J345="EIF",J345="EI",J345="EO",J345="EQ"),0,""),LEN(Y345)-LEN(SUBSTITUTE(SUBSTITUTE(SUBSTITUTE(SUBSTITUTE(SUBSTITUTE(Y345,"|}","--"),"{|","--"),CHAR(10),""),"、",""),"|",""))+IF(AND(OR(J345="EI",J345="EO",J345="EQ"),$AE$1="NESMA"),2,1)))</f>
        <v/>
      </c>
      <c r="P345" s="86">
        <f>IF(J345="EI",IF(OR(Y345="估算法",Y345="算法类"),"中",IF(Y345="无法识别","低",IF(M345&lt;2,IF(O345&lt;16,"低","中"),IF(M345&lt;3,IF(O345&lt;5,"低",IF(O345&lt;16,"中","高")),IF(O345&lt;5,"中","高"))))),IF(OR(J345="EO",J345="EQ"),IF(OR(Y345="估算法",Y345="算法类"),"中",IF(Y345="无法识别","低",IF(M345&lt;2,IF(O345&lt;20,"低","中"),IF(M345&lt;4,IF(O345&lt;6,"低",IF(O345&lt;20,"中","高")),IF(O345&lt;6,"中","高"))))),IF(OR(J345="ILF",J345="EIF"),IF(OR(Y345="估算法",Y345="算法类",Y345="无法识别"),"低",IF(N345&lt;2,IF(O345&lt;51,"低","中"),IF(N345&lt;6,IF(O345&lt;20,"低",IF(O345&lt;51,"中","高")),IF(O345&lt;20,"中","高")))),"不计算")))</f>
        <v/>
      </c>
      <c r="Q345" s="172">
        <f>IFERROR(IF(J345="EI",IF(P345="低",3,IF(P345="中",4,6)),IF(J345="EO",IF(P345="低",4,IF(P345="中",5,7)),IF(J345="EQ",IF(P345="低",3,IF(P345="中",4,6)),IF(J345="ILF",IF(P345="低",7,IF(P345="中",10,15)),IF(J345="EIF",IF(P345="低",5,IF(P345="中",7,10)),"不计算")))))*R345,"不计算")</f>
        <v/>
      </c>
      <c r="R345" s="172" t="n">
        <v>1</v>
      </c>
      <c r="S345" s="173">
        <f>调整因子!$F$13</f>
        <v/>
      </c>
      <c r="T345" s="92" t="n">
        <v>1</v>
      </c>
      <c r="U345" s="174">
        <f>IFERROR(Q345*S345,0)</f>
        <v/>
      </c>
      <c r="V345" s="174">
        <f>U345*T345</f>
        <v/>
      </c>
      <c r="W345" s="90" t="inlineStr">
        <is>
          <t>插件任务基本信息表</t>
        </is>
      </c>
      <c r="X345" s="113" t="n"/>
      <c r="Y345" s="90" t="inlineStr">
        <is>
          <t>插件任务基本信息表{任务ID、任务名称、描述、插件ID、状态、创建时间}</t>
        </is>
      </c>
      <c r="Z345" s="90" t="n"/>
      <c r="AA345" s="90" t="n"/>
      <c r="AB345" s="103" t="inlineStr">
        <is>
          <t>数据清洗任务表</t>
        </is>
      </c>
      <c r="AC345" s="66" t="n"/>
    </row>
    <row r="346" s="112">
      <c r="A346" s="72">
        <f>ROW()-1</f>
        <v/>
      </c>
      <c r="B346" s="175" t="n"/>
      <c r="C346" s="80" t="n">
        <v>2025</v>
      </c>
      <c r="D346" s="80" t="inlineStr">
        <is>
          <t>张明峰</t>
        </is>
      </c>
      <c r="E346" s="81">
        <f>VLOOKUP(I346,'25年交付功能（不含废弃）'!A:A,1,FALSE)</f>
        <v/>
      </c>
      <c r="F346" s="175" t="n"/>
      <c r="G346" s="175" t="n"/>
      <c r="H346" s="175" t="n"/>
      <c r="I346" s="98" t="inlineStr">
        <is>
          <t>生成插件任务报告</t>
        </is>
      </c>
      <c r="J346" s="93" t="inlineStr">
        <is>
          <t>EO</t>
        </is>
      </c>
      <c r="K346" s="84" t="n"/>
      <c r="L346" s="84" t="n"/>
      <c r="M346" s="85">
        <f>IF(OR(Y346="估算法",Y346="算法类",Y346="无法识别"),"",IF(W346="",IF(OR(J346="EI",J346="EO",J346="EQ"),0,""),LEN(W346)-LEN(SUBSTITUTE(W346,"、",""))+1))</f>
        <v/>
      </c>
      <c r="N346" s="85">
        <f>IF(OR(Y346="估算法",Y346="算法类",Y346="无法识别"),"",IF(X346="",IF(OR(J346="ILF",J346="EIF"),0,""),LEN(X346)-LEN(SUBSTITUTE(X346,"、",""))+1))</f>
        <v/>
      </c>
      <c r="O346" s="85">
        <f>IF(OR(Y346="估算法",Y346="算法类",Y346="无法识别"),"",IF(Y346="",IF(OR(J346="ILF",J346="EIF",J346="EI",J346="EO",J346="EQ"),0,""),LEN(Y346)-LEN(SUBSTITUTE(SUBSTITUTE(SUBSTITUTE(SUBSTITUTE(SUBSTITUTE(Y346,"|}","--"),"{|","--"),CHAR(10),""),"、",""),"|",""))+IF(AND(OR(J346="EI",J346="EO",J346="EQ"),$AE$1="NESMA"),2,1)))</f>
        <v/>
      </c>
      <c r="P346" s="86">
        <f>IF(J346="EI",IF(OR(Y346="估算法",Y346="算法类"),"中",IF(Y346="无法识别","低",IF(M346&lt;2,IF(O346&lt;16,"低","中"),IF(M346&lt;3,IF(O346&lt;5,"低",IF(O346&lt;16,"中","高")),IF(O346&lt;5,"中","高"))))),IF(OR(J346="EO",J346="EQ"),IF(OR(Y346="估算法",Y346="算法类"),"中",IF(Y346="无法识别","低",IF(M346&lt;2,IF(O346&lt;20,"低","中"),IF(M346&lt;4,IF(O346&lt;6,"低",IF(O346&lt;20,"中","高")),IF(O346&lt;6,"中","高"))))),IF(OR(J346="ILF",J346="EIF"),IF(OR(Y346="估算法",Y346="算法类",Y346="无法识别"),"低",IF(N346&lt;2,IF(O346&lt;51,"低","中"),IF(N346&lt;6,IF(O346&lt;20,"低",IF(O346&lt;51,"中","高")),IF(O346&lt;20,"中","高")))),"不计算")))</f>
        <v/>
      </c>
      <c r="Q346" s="172">
        <f>IFERROR(IF(J346="EI",IF(P346="低",3,IF(P346="中",4,6)),IF(J346="EO",IF(P346="低",4,IF(P346="中",5,7)),IF(J346="EQ",IF(P346="低",3,IF(P346="中",4,6)),IF(J346="ILF",IF(P346="低",7,IF(P346="中",10,15)),IF(J346="EIF",IF(P346="低",5,IF(P346="中",7,10)),"不计算")))))*R346,"不计算")</f>
        <v/>
      </c>
      <c r="R346" s="172" t="n">
        <v>1</v>
      </c>
      <c r="S346" s="173">
        <f>调整因子!$F$13</f>
        <v/>
      </c>
      <c r="T346" s="92" t="n">
        <v>1</v>
      </c>
      <c r="U346" s="174">
        <f>IFERROR(Q346*S346,0)</f>
        <v/>
      </c>
      <c r="V346" s="174">
        <f>U346*T346</f>
        <v/>
      </c>
      <c r="W346" s="90" t="inlineStr">
        <is>
          <t>插件任务报告表、报告模板表、报告生成记录表</t>
        </is>
      </c>
      <c r="X346" s="91" t="n"/>
      <c r="Y346" s="90" t="inlineStr">
        <is>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t>
        </is>
      </c>
      <c r="Z346" s="90" t="n"/>
      <c r="AA346" s="90" t="n"/>
      <c r="AB346" s="103" t="inlineStr">
        <is>
          <t>数据清洗任务表</t>
        </is>
      </c>
      <c r="AC346" s="66" t="n"/>
    </row>
    <row r="347" s="112">
      <c r="A347" s="72">
        <f>ROW()-1</f>
        <v/>
      </c>
      <c r="B347" s="175" t="n"/>
      <c r="C347" s="80" t="n">
        <v>2025</v>
      </c>
      <c r="D347" s="80" t="inlineStr">
        <is>
          <t>张明峰</t>
        </is>
      </c>
      <c r="E347" s="81">
        <f>VLOOKUP(I347,'25年交付功能（不含废弃）'!A:A,1,FALSE)</f>
        <v/>
      </c>
      <c r="F347" s="175" t="n"/>
      <c r="G347" s="175" t="n"/>
      <c r="H347" s="175" t="n"/>
      <c r="I347" s="98" t="inlineStr">
        <is>
          <t>下载插件任务报告</t>
        </is>
      </c>
      <c r="J347" s="93" t="inlineStr">
        <is>
          <t>EO</t>
        </is>
      </c>
      <c r="K347" s="84" t="n"/>
      <c r="L347" s="84" t="n"/>
      <c r="M347" s="85">
        <f>IF(OR(Y347="估算法",Y347="算法类",Y347="无法识别"),"",IF(W347="",IF(OR(J347="EI",J347="EO",J347="EQ"),0,""),LEN(W347)-LEN(SUBSTITUTE(W347,"、",""))+1))</f>
        <v/>
      </c>
      <c r="N347" s="85">
        <f>IF(OR(Y347="估算法",Y347="算法类",Y347="无法识别"),"",IF(X347="",IF(OR(J347="ILF",J347="EIF"),0,""),LEN(X347)-LEN(SUBSTITUTE(X347,"、",""))+1))</f>
        <v/>
      </c>
      <c r="O347" s="85">
        <f>IF(OR(Y347="估算法",Y347="算法类",Y347="无法识别"),"",IF(Y347="",IF(OR(J347="ILF",J347="EIF",J347="EI",J347="EO",J347="EQ"),0,""),LEN(Y347)-LEN(SUBSTITUTE(SUBSTITUTE(SUBSTITUTE(SUBSTITUTE(SUBSTITUTE(Y347,"|}","--"),"{|","--"),CHAR(10),""),"、",""),"|",""))+IF(AND(OR(J347="EI",J347="EO",J347="EQ"),$AE$1="NESMA"),2,1)))</f>
        <v/>
      </c>
      <c r="P347" s="86">
        <f>IF(J347="EI",IF(OR(Y347="估算法",Y347="算法类"),"中",IF(Y347="无法识别","低",IF(M347&lt;2,IF(O347&lt;16,"低","中"),IF(M347&lt;3,IF(O347&lt;5,"低",IF(O347&lt;16,"中","高")),IF(O347&lt;5,"中","高"))))),IF(OR(J347="EO",J347="EQ"),IF(OR(Y347="估算法",Y347="算法类"),"中",IF(Y347="无法识别","低",IF(M347&lt;2,IF(O347&lt;20,"低","中"),IF(M347&lt;4,IF(O347&lt;6,"低",IF(O347&lt;20,"中","高")),IF(O347&lt;6,"中","高"))))),IF(OR(J347="ILF",J347="EIF"),IF(OR(Y347="估算法",Y347="算法类",Y347="无法识别"),"低",IF(N347&lt;2,IF(O347&lt;51,"低","中"),IF(N347&lt;6,IF(O347&lt;20,"低",IF(O347&lt;51,"中","高")),IF(O347&lt;20,"中","高")))),"不计算")))</f>
        <v/>
      </c>
      <c r="Q347" s="172">
        <f>IFERROR(IF(J347="EI",IF(P347="低",3,IF(P347="中",4,6)),IF(J347="EO",IF(P347="低",4,IF(P347="中",5,7)),IF(J347="EQ",IF(P347="低",3,IF(P347="中",4,6)),IF(J347="ILF",IF(P347="低",7,IF(P347="中",10,15)),IF(J347="EIF",IF(P347="低",5,IF(P347="中",7,10)),"不计算")))))*R347,"不计算")</f>
        <v/>
      </c>
      <c r="R347" s="172" t="n">
        <v>1</v>
      </c>
      <c r="S347" s="173">
        <f>调整因子!$F$13</f>
        <v/>
      </c>
      <c r="T347" s="93" t="n">
        <v>1</v>
      </c>
      <c r="U347" s="174">
        <f>IFERROR(Q347*S347,0)</f>
        <v/>
      </c>
      <c r="V347" s="174">
        <f>U347*T347</f>
        <v/>
      </c>
      <c r="W347" s="90" t="inlineStr">
        <is>
          <t>插件任务报告表、报告模板表</t>
        </is>
      </c>
      <c r="X347" s="91" t="n"/>
      <c r="Y347" s="90" t="inlineStr">
        <is>
          <t>插件任务报告表{报告ID、任务ID、报告内容、生成时间、下载链接}、报告模板表{模板ID、模板名称、内容、创建时间|响应状态码、返回数据信息|响应状态码、返回数据信息}</t>
        </is>
      </c>
      <c r="Z347" s="90" t="n"/>
      <c r="AA347" s="90" t="n"/>
      <c r="AB347" s="103" t="inlineStr">
        <is>
          <t>数据清洗任务表、资产同步任务表</t>
        </is>
      </c>
      <c r="AC347" s="66" t="n"/>
    </row>
    <row r="348" s="112">
      <c r="A348" s="72">
        <f>ROW()-1</f>
        <v/>
      </c>
      <c r="B348" s="175" t="n"/>
      <c r="C348" s="80" t="n">
        <v>2025</v>
      </c>
      <c r="D348" s="80" t="inlineStr">
        <is>
          <t>张明峰</t>
        </is>
      </c>
      <c r="E348" s="81">
        <f>VLOOKUP(I348,'25年交付功能（不含废弃）'!A:A,1,FALSE)</f>
        <v/>
      </c>
      <c r="F348" s="175" t="n"/>
      <c r="G348" s="175" t="n"/>
      <c r="H348" s="175" t="n"/>
      <c r="I348" s="98" t="inlineStr">
        <is>
          <t>插件任务基本信息表</t>
        </is>
      </c>
      <c r="J348" s="93" t="inlineStr">
        <is>
          <t>ILF</t>
        </is>
      </c>
      <c r="K348" s="84" t="n"/>
      <c r="L348" s="84" t="inlineStr">
        <is>
          <t>数据库表未被本系统所维护</t>
        </is>
      </c>
      <c r="M348" s="85">
        <f>IF(OR(Y348="估算法",Y348="算法类",Y348="无法识别"),"",IF(W348="",IF(OR(J348="EI",J348="EO",J348="EQ"),0,""),LEN(W348)-LEN(SUBSTITUTE(W348,"、",""))+1))</f>
        <v/>
      </c>
      <c r="N348" s="85">
        <f>IF(OR(Y348="估算法",Y348="算法类",Y348="无法识别"),"",IF(X348="",IF(OR(J348="ILF",J348="EIF"),0,""),LEN(X348)-LEN(SUBSTITUTE(X348,"、",""))+1))</f>
        <v/>
      </c>
      <c r="O348" s="85">
        <f>IF(OR(Y348="估算法",Y348="算法类",Y348="无法识别"),"",IF(Y348="",IF(OR(J348="ILF",J348="EIF",J348="EI",J348="EO",J348="EQ"),0,""),LEN(Y348)-LEN(SUBSTITUTE(SUBSTITUTE(SUBSTITUTE(SUBSTITUTE(SUBSTITUTE(Y348,"|}","--"),"{|","--"),CHAR(10),""),"、",""),"|",""))+IF(AND(OR(J348="EI",J348="EO",J348="EQ"),$AE$1="NESMA"),2,1)))</f>
        <v/>
      </c>
      <c r="P348" s="86">
        <f>IF(J348="EI",IF(OR(Y348="估算法",Y348="算法类"),"中",IF(Y348="无法识别","低",IF(M348&lt;2,IF(O348&lt;16,"低","中"),IF(M348&lt;3,IF(O348&lt;5,"低",IF(O348&lt;16,"中","高")),IF(O348&lt;5,"中","高"))))),IF(OR(J348="EO",J348="EQ"),IF(OR(Y348="估算法",Y348="算法类"),"中",IF(Y348="无法识别","低",IF(M348&lt;2,IF(O348&lt;20,"低","中"),IF(M348&lt;4,IF(O348&lt;6,"低",IF(O348&lt;20,"中","高")),IF(O348&lt;6,"中","高"))))),IF(OR(J348="ILF",J348="EIF"),IF(OR(Y348="估算法",Y348="算法类",Y348="无法识别"),"低",IF(N348&lt;2,IF(O348&lt;51,"低","中"),IF(N348&lt;6,IF(O348&lt;20,"低",IF(O348&lt;51,"中","高")),IF(O348&lt;20,"中","高")))),"不计算")))</f>
        <v/>
      </c>
      <c r="Q348" s="172">
        <f>IFERROR(IF(J348="EI",IF(P348="低",3,IF(P348="中",4,6)),IF(J348="EO",IF(P348="低",4,IF(P348="中",5,7)),IF(J348="EQ",IF(P348="低",3,IF(P348="中",4,6)),IF(J348="ILF",IF(P348="低",7,IF(P348="中",10,15)),IF(J348="EIF",IF(P348="低",5,IF(P348="中",7,10)),"不计算")))))*R348,"不计算")</f>
        <v/>
      </c>
      <c r="R348" s="172" t="n">
        <v>0</v>
      </c>
      <c r="S348" s="173">
        <f>调整因子!$F$13</f>
        <v/>
      </c>
      <c r="T348" s="92" t="n">
        <v>1</v>
      </c>
      <c r="U348" s="174">
        <f>IFERROR(Q348*S348,0)</f>
        <v/>
      </c>
      <c r="V348" s="174">
        <f>U348*T348</f>
        <v/>
      </c>
      <c r="W348" s="91" t="n"/>
      <c r="X348" s="90" t="inlineStr">
        <is>
          <t>插件任务基本信息表</t>
        </is>
      </c>
      <c r="Y348" s="90" t="inlineStr">
        <is>
          <t>插件任务基本信息表{任务ID、任务名称、描述、插件ID、状态、创建时间}</t>
        </is>
      </c>
      <c r="Z348" s="90">
        <f>IF(COUNTIFS(W:W,"*"&amp;I348&amp;"*")&gt;0,"存在","不存在")</f>
        <v/>
      </c>
      <c r="AA348" s="90">
        <f>IF(COUNTIFS(AB:AB,"*"&amp;I348&amp;"*")&gt;0,"存在","不存在")</f>
        <v/>
      </c>
      <c r="AB348" s="103" t="inlineStr">
        <is>
          <t>数据清洗任务表</t>
        </is>
      </c>
      <c r="AC348" s="66" t="n"/>
    </row>
    <row r="349" s="112">
      <c r="A349" s="72">
        <f>ROW()-1</f>
        <v/>
      </c>
      <c r="B349" s="175" t="n"/>
      <c r="C349" s="80" t="n">
        <v>2025</v>
      </c>
      <c r="D349" s="80" t="inlineStr">
        <is>
          <t>张明峰</t>
        </is>
      </c>
      <c r="E349" s="81">
        <f>VLOOKUP(I349,'25年交付功能（不含废弃）'!A:A,1,FALSE)</f>
        <v/>
      </c>
      <c r="F349" s="175" t="n"/>
      <c r="G349" s="175" t="n"/>
      <c r="H349" s="175" t="n"/>
      <c r="I349" s="98" t="inlineStr">
        <is>
          <t>插件任务高级配置表</t>
        </is>
      </c>
      <c r="J349" s="93" t="inlineStr">
        <is>
          <t>ILF</t>
        </is>
      </c>
      <c r="K349" s="109" t="inlineStr">
        <is>
          <t>添加引用「提交插件任务」</t>
        </is>
      </c>
      <c r="L349" s="84" t="inlineStr">
        <is>
          <t>数据库表未被本系统所使用</t>
        </is>
      </c>
      <c r="M349" s="85">
        <f>IF(OR(Y349="估算法",Y349="算法类",Y349="无法识别"),"",IF(W349="",IF(OR(J349="EI",J349="EO",J349="EQ"),0,""),LEN(W349)-LEN(SUBSTITUTE(W349,"、",""))+1))</f>
        <v/>
      </c>
      <c r="N349" s="85">
        <f>IF(OR(Y349="估算法",Y349="算法类",Y349="无法识别"),"",IF(X349="",IF(OR(J349="ILF",J349="EIF"),0,""),LEN(X349)-LEN(SUBSTITUTE(X349,"、",""))+1))</f>
        <v/>
      </c>
      <c r="O349" s="85">
        <f>IF(OR(Y349="估算法",Y349="算法类",Y349="无法识别"),"",IF(Y349="",IF(OR(J349="ILF",J349="EIF",J349="EI",J349="EO",J349="EQ"),0,""),LEN(Y349)-LEN(SUBSTITUTE(SUBSTITUTE(SUBSTITUTE(SUBSTITUTE(SUBSTITUTE(Y349,"|}","--"),"{|","--"),CHAR(10),""),"、",""),"|",""))+IF(AND(OR(J349="EI",J349="EO",J349="EQ"),$AE$1="NESMA"),2,1)))</f>
        <v/>
      </c>
      <c r="P349" s="86">
        <f>IF(J349="EI",IF(OR(Y349="估算法",Y349="算法类"),"中",IF(Y349="无法识别","低",IF(M349&lt;2,IF(O349&lt;16,"低","中"),IF(M349&lt;3,IF(O349&lt;5,"低",IF(O349&lt;16,"中","高")),IF(O349&lt;5,"中","高"))))),IF(OR(J349="EO",J349="EQ"),IF(OR(Y349="估算法",Y349="算法类"),"中",IF(Y349="无法识别","低",IF(M349&lt;2,IF(O349&lt;20,"低","中"),IF(M349&lt;4,IF(O349&lt;6,"低",IF(O349&lt;20,"中","高")),IF(O349&lt;6,"中","高"))))),IF(OR(J349="ILF",J349="EIF"),IF(OR(Y349="估算法",Y349="算法类",Y349="无法识别"),"低",IF(N349&lt;2,IF(O349&lt;51,"低","中"),IF(N349&lt;6,IF(O349&lt;20,"低",IF(O349&lt;51,"中","高")),IF(O349&lt;20,"中","高")))),"不计算")))</f>
        <v/>
      </c>
      <c r="Q349" s="172">
        <f>IFERROR(IF(J349="EI",IF(P349="低",3,IF(P349="中",4,6)),IF(J349="EO",IF(P349="低",4,IF(P349="中",5,7)),IF(J349="EQ",IF(P349="低",3,IF(P349="中",4,6)),IF(J349="ILF",IF(P349="低",7,IF(P349="中",10,15)),IF(J349="EIF",IF(P349="低",5,IF(P349="中",7,10)),"不计算")))))*R349,"不计算")</f>
        <v/>
      </c>
      <c r="R349" s="172" t="n">
        <v>1</v>
      </c>
      <c r="S349" s="173">
        <f>调整因子!$F$13</f>
        <v/>
      </c>
      <c r="T349" s="92" t="n">
        <v>1</v>
      </c>
      <c r="U349" s="174">
        <f>IFERROR(Q349*S349,0)</f>
        <v/>
      </c>
      <c r="V349" s="174">
        <f>U349*T349</f>
        <v/>
      </c>
      <c r="W349" s="91" t="n"/>
      <c r="X349" s="90" t="inlineStr">
        <is>
          <t>插件任务高级配置表</t>
        </is>
      </c>
      <c r="Y349" s="90" t="inlineStr">
        <is>
          <t>插件任务高级配置表{配置ID、任务ID、高级配置内容、创建时间|响应状态码、返回数据信息}</t>
        </is>
      </c>
      <c r="Z349" s="90">
        <f>IF(COUNTIFS(W:W,"*"&amp;I349&amp;"*")&gt;0,"存在","不存在")</f>
        <v/>
      </c>
      <c r="AA349" s="90">
        <f>IF(COUNTIFS(AB:AB,"*"&amp;I349&amp;"*")&gt;0,"存在","不存在")</f>
        <v/>
      </c>
      <c r="AB349" s="103" t="inlineStr">
        <is>
          <t>数据清洗任务表、资产同步任务表</t>
        </is>
      </c>
      <c r="AC349" s="66" t="n"/>
    </row>
    <row r="350" s="112">
      <c r="A350" s="72">
        <f>ROW()-1</f>
        <v/>
      </c>
      <c r="B350" s="175" t="n"/>
      <c r="C350" s="80" t="n">
        <v>2025</v>
      </c>
      <c r="D350" s="80" t="inlineStr">
        <is>
          <t>张明峰</t>
        </is>
      </c>
      <c r="E350" s="81">
        <f>VLOOKUP(I350,'25年交付功能（不含废弃）'!A:A,1,FALSE)</f>
        <v/>
      </c>
      <c r="F350" s="175" t="n"/>
      <c r="G350" s="175" t="n"/>
      <c r="H350" s="175" t="n"/>
      <c r="I350" s="98" t="inlineStr">
        <is>
          <t>插件任务实例表</t>
        </is>
      </c>
      <c r="J350" s="93" t="n"/>
      <c r="K350" s="84" t="n"/>
      <c r="L350" s="84" t="inlineStr">
        <is>
          <t>非ILF - 运行时状态</t>
        </is>
      </c>
      <c r="M350" s="85">
        <f>IF(OR(Y350="估算法",Y350="算法类",Y350="无法识别"),"",IF(W350="",IF(OR(J350="EI",J350="EO",J350="EQ"),0,""),LEN(W350)-LEN(SUBSTITUTE(W350,"、",""))+1))</f>
        <v/>
      </c>
      <c r="N350" s="85">
        <f>IF(OR(Y350="估算法",Y350="算法类",Y350="无法识别"),"",IF(X350="",IF(OR(J350="ILF",J350="EIF"),0,""),LEN(X350)-LEN(SUBSTITUTE(X350,"、",""))+1))</f>
        <v/>
      </c>
      <c r="O350" s="85">
        <f>IF(OR(Y350="估算法",Y350="算法类",Y350="无法识别"),"",IF(Y350="",IF(OR(J350="ILF",J350="EIF",J350="EI",J350="EO",J350="EQ"),0,""),LEN(Y350)-LEN(SUBSTITUTE(SUBSTITUTE(SUBSTITUTE(SUBSTITUTE(SUBSTITUTE(Y350,"|}","--"),"{|","--"),CHAR(10),""),"、",""),"|",""))+IF(AND(OR(J350="EI",J350="EO",J350="EQ"),$AE$1="NESMA"),2,1)))</f>
        <v/>
      </c>
      <c r="P350" s="86">
        <f>IF(J350="EI",IF(OR(Y350="估算法",Y350="算法类"),"中",IF(Y350="无法识别","低",IF(M350&lt;2,IF(O350&lt;16,"低","中"),IF(M350&lt;3,IF(O350&lt;5,"低",IF(O350&lt;16,"中","高")),IF(O350&lt;5,"中","高"))))),IF(OR(J350="EO",J350="EQ"),IF(OR(Y350="估算法",Y350="算法类"),"中",IF(Y350="无法识别","低",IF(M350&lt;2,IF(O350&lt;20,"低","中"),IF(M350&lt;4,IF(O350&lt;6,"低",IF(O350&lt;20,"中","高")),IF(O350&lt;6,"中","高"))))),IF(OR(J350="ILF",J350="EIF"),IF(OR(Y350="估算法",Y350="算法类",Y350="无法识别"),"低",IF(N350&lt;2,IF(O350&lt;51,"低","中"),IF(N350&lt;6,IF(O350&lt;20,"低",IF(O350&lt;51,"中","高")),IF(O350&lt;20,"中","高")))),"不计算")))</f>
        <v/>
      </c>
      <c r="Q350" s="172">
        <f>IFERROR(IF(J350="EI",IF(P350="低",3,IF(P350="中",4,6)),IF(J350="EO",IF(P350="低",4,IF(P350="中",5,7)),IF(J350="EQ",IF(P350="低",3,IF(P350="中",4,6)),IF(J350="ILF",IF(P350="低",7,IF(P350="中",10,15)),IF(J350="EIF",IF(P350="低",5,IF(P350="中",7,10)),"不计算")))))*R350,"不计算")</f>
        <v/>
      </c>
      <c r="R350" s="172" t="n">
        <v>1</v>
      </c>
      <c r="S350" s="173">
        <f>调整因子!$F$13</f>
        <v/>
      </c>
      <c r="T350" s="93" t="n">
        <v>1</v>
      </c>
      <c r="U350" s="174">
        <f>IFERROR(Q350*S350,0)</f>
        <v/>
      </c>
      <c r="V350" s="174">
        <f>U350*T350</f>
        <v/>
      </c>
      <c r="W350" s="91" t="n"/>
      <c r="X350" s="90" t="inlineStr">
        <is>
          <t>插件任务实例表</t>
        </is>
      </c>
      <c r="Y350" s="90" t="inlineStr">
        <is>
          <t>插件任务实例表{实例ID、任务ID、资产ID、状态、开始时间、结束时间|响应状态码、返回数据信息}</t>
        </is>
      </c>
      <c r="Z350" s="90">
        <f>IF(COUNTIFS(W:W,"*"&amp;I350&amp;"*")&gt;0,"存在","不存在")</f>
        <v/>
      </c>
      <c r="AA350" s="90">
        <f>IF(COUNTIFS(AB:AB,"*"&amp;I350&amp;"*")&gt;0,"存在","不存在")</f>
        <v/>
      </c>
      <c r="AB350" s="103" t="inlineStr">
        <is>
          <t>同步失败重试记录表</t>
        </is>
      </c>
      <c r="AC350" s="66" t="n"/>
    </row>
    <row r="351" s="112">
      <c r="A351" s="72">
        <f>ROW()-1</f>
        <v/>
      </c>
      <c r="B351" s="175" t="n"/>
      <c r="C351" s="80" t="n">
        <v>2025</v>
      </c>
      <c r="D351" s="80" t="inlineStr">
        <is>
          <t>张明峰</t>
        </is>
      </c>
      <c r="E351" s="81">
        <f>VLOOKUP(I351,'25年交付功能（不含废弃）'!A:A,1,FALSE)</f>
        <v/>
      </c>
      <c r="F351" s="175" t="n"/>
      <c r="G351" s="175" t="n"/>
      <c r="H351" s="175" t="n"/>
      <c r="I351" s="98" t="inlineStr">
        <is>
          <t>资产概况表</t>
        </is>
      </c>
      <c r="J351" s="93" t="n"/>
      <c r="K351" s="84" t="n"/>
      <c r="L351" s="84" t="inlineStr">
        <is>
          <t>数据库表未被本系统所使用</t>
        </is>
      </c>
      <c r="M351" s="85">
        <f>IF(OR(Y351="估算法",Y351="算法类",Y351="无法识别"),"",IF(W351="",IF(OR(J351="EI",J351="EO",J351="EQ"),0,""),LEN(W351)-LEN(SUBSTITUTE(W351,"、",""))+1))</f>
        <v/>
      </c>
      <c r="N351" s="85">
        <f>IF(OR(Y351="估算法",Y351="算法类",Y351="无法识别"),"",IF(X351="",IF(OR(J351="ILF",J351="EIF"),0,""),LEN(X351)-LEN(SUBSTITUTE(X351,"、",""))+1))</f>
        <v/>
      </c>
      <c r="O351" s="85">
        <f>IF(OR(Y351="估算法",Y351="算法类",Y351="无法识别"),"",IF(Y351="",IF(OR(J351="ILF",J351="EIF",J351="EI",J351="EO",J351="EQ"),0,""),LEN(Y351)-LEN(SUBSTITUTE(SUBSTITUTE(SUBSTITUTE(SUBSTITUTE(SUBSTITUTE(Y351,"|}","--"),"{|","--"),CHAR(10),""),"、",""),"|",""))+IF(AND(OR(J351="EI",J351="EO",J351="EQ"),$AE$1="NESMA"),2,1)))</f>
        <v/>
      </c>
      <c r="P351" s="86">
        <f>IF(J351="EI",IF(OR(Y351="估算法",Y351="算法类"),"中",IF(Y351="无法识别","低",IF(M351&lt;2,IF(O351&lt;16,"低","中"),IF(M351&lt;3,IF(O351&lt;5,"低",IF(O351&lt;16,"中","高")),IF(O351&lt;5,"中","高"))))),IF(OR(J351="EO",J351="EQ"),IF(OR(Y351="估算法",Y351="算法类"),"中",IF(Y351="无法识别","低",IF(M351&lt;2,IF(O351&lt;20,"低","中"),IF(M351&lt;4,IF(O351&lt;6,"低",IF(O351&lt;20,"中","高")),IF(O351&lt;6,"中","高"))))),IF(OR(J351="ILF",J351="EIF"),IF(OR(Y351="估算法",Y351="算法类",Y351="无法识别"),"低",IF(N351&lt;2,IF(O351&lt;51,"低","中"),IF(N351&lt;6,IF(O351&lt;20,"低",IF(O351&lt;51,"中","高")),IF(O351&lt;20,"中","高")))),"不计算")))</f>
        <v/>
      </c>
      <c r="Q351" s="172">
        <f>IFERROR(IF(J351="EI",IF(P351="低",3,IF(P351="中",4,6)),IF(J351="EO",IF(P351="低",4,IF(P351="中",5,7)),IF(J351="EQ",IF(P351="低",3,IF(P351="中",4,6)),IF(J351="ILF",IF(P351="低",7,IF(P351="中",10,15)),IF(J351="EIF",IF(P351="低",5,IF(P351="中",7,10)),"不计算")))))*R351,"不计算")</f>
        <v/>
      </c>
      <c r="R351" s="172" t="n">
        <v>1</v>
      </c>
      <c r="S351" s="173">
        <f>调整因子!$F$13</f>
        <v/>
      </c>
      <c r="T351" s="92" t="n">
        <v>1</v>
      </c>
      <c r="U351" s="174">
        <f>IFERROR(Q351*S351,0)</f>
        <v/>
      </c>
      <c r="V351" s="174">
        <f>U351*T351</f>
        <v/>
      </c>
      <c r="W351" s="91" t="n"/>
      <c r="X351" s="90" t="inlineStr">
        <is>
          <t>资产概况表</t>
        </is>
      </c>
      <c r="Y351" s="90" t="inlineStr">
        <is>
          <t>资产概况表{概况ID、任务ID、总资产数、已扫描资产数、失败资产数、详情}</t>
        </is>
      </c>
      <c r="Z351" s="90">
        <f>IF(COUNTIFS(W:W,"*"&amp;I351&amp;"*")&gt;0,"存在","不存在")</f>
        <v/>
      </c>
      <c r="AA351" s="90">
        <f>IF(COUNTIFS(AB:AB,"*"&amp;I351&amp;"*")&gt;0,"存在","不存在")</f>
        <v/>
      </c>
      <c r="AB351" s="103" t="inlineStr">
        <is>
          <t>资产扫描覆盖表</t>
        </is>
      </c>
      <c r="AC351" s="66" t="n"/>
    </row>
    <row r="352" s="112">
      <c r="A352" s="72">
        <f>ROW()-1</f>
        <v/>
      </c>
      <c r="B352" s="175" t="n"/>
      <c r="C352" s="80" t="n">
        <v>2025</v>
      </c>
      <c r="D352" s="80" t="inlineStr">
        <is>
          <t>张明峰</t>
        </is>
      </c>
      <c r="E352" s="81">
        <f>VLOOKUP(I352,'25年交付功能（不含废弃）'!A:A,1,FALSE)</f>
        <v/>
      </c>
      <c r="F352" s="175" t="n"/>
      <c r="G352" s="175" t="n"/>
      <c r="H352" s="175" t="n"/>
      <c r="I352" s="98" t="inlineStr">
        <is>
          <t>漏洞概况表</t>
        </is>
      </c>
      <c r="J352" s="93" t="inlineStr">
        <is>
          <t>ILF</t>
        </is>
      </c>
      <c r="K352" s="84" t="n"/>
      <c r="L352" s="84" t="n"/>
      <c r="M352" s="85">
        <f>IF(OR(Y352="估算法",Y352="算法类",Y352="无法识别"),"",IF(W352="",IF(OR(J352="EI",J352="EO",J352="EQ"),0,""),LEN(W352)-LEN(SUBSTITUTE(W352,"、",""))+1))</f>
        <v/>
      </c>
      <c r="N352" s="85">
        <f>IF(OR(Y352="估算法",Y352="算法类",Y352="无法识别"),"",IF(X352="",IF(OR(J352="ILF",J352="EIF"),0,""),LEN(X352)-LEN(SUBSTITUTE(X352,"、",""))+1))</f>
        <v/>
      </c>
      <c r="O352" s="85">
        <f>IF(OR(Y352="估算法",Y352="算法类",Y352="无法识别"),"",IF(Y352="",IF(OR(J352="ILF",J352="EIF",J352="EI",J352="EO",J352="EQ"),0,""),LEN(Y352)-LEN(SUBSTITUTE(SUBSTITUTE(SUBSTITUTE(SUBSTITUTE(SUBSTITUTE(Y352,"|}","--"),"{|","--"),CHAR(10),""),"、",""),"|",""))+IF(AND(OR(J352="EI",J352="EO",J352="EQ"),$AE$1="NESMA"),2,1)))</f>
        <v/>
      </c>
      <c r="P352" s="86">
        <f>IF(J352="EI",IF(OR(Y352="估算法",Y352="算法类"),"中",IF(Y352="无法识别","低",IF(M352&lt;2,IF(O352&lt;16,"低","中"),IF(M352&lt;3,IF(O352&lt;5,"低",IF(O352&lt;16,"中","高")),IF(O352&lt;5,"中","高"))))),IF(OR(J352="EO",J352="EQ"),IF(OR(Y352="估算法",Y352="算法类"),"中",IF(Y352="无法识别","低",IF(M352&lt;2,IF(O352&lt;20,"低","中"),IF(M352&lt;4,IF(O352&lt;6,"低",IF(O352&lt;20,"中","高")),IF(O352&lt;6,"中","高"))))),IF(OR(J352="ILF",J352="EIF"),IF(OR(Y352="估算法",Y352="算法类",Y352="无法识别"),"低",IF(N352&lt;2,IF(O352&lt;51,"低","中"),IF(N352&lt;6,IF(O352&lt;20,"低",IF(O352&lt;51,"中","高")),IF(O352&lt;20,"中","高")))),"不计算")))</f>
        <v/>
      </c>
      <c r="Q352" s="172">
        <f>IFERROR(IF(J352="EI",IF(P352="低",3,IF(P352="中",4,6)),IF(J352="EO",IF(P352="低",4,IF(P352="中",5,7)),IF(J352="EQ",IF(P352="低",3,IF(P352="中",4,6)),IF(J352="ILF",IF(P352="低",7,IF(P352="中",10,15)),IF(J352="EIF",IF(P352="低",5,IF(P352="中",7,10)),"不计算")))))*R352,"不计算")</f>
        <v/>
      </c>
      <c r="R352" s="172" t="n">
        <v>1</v>
      </c>
      <c r="S352" s="173">
        <f>调整因子!$F$13</f>
        <v/>
      </c>
      <c r="T352" s="92" t="n">
        <v>1</v>
      </c>
      <c r="U352" s="174">
        <f>IFERROR(Q352*S352,0)</f>
        <v/>
      </c>
      <c r="V352" s="174">
        <f>U352*T352</f>
        <v/>
      </c>
      <c r="W352" s="91" t="n"/>
      <c r="X352" s="90" t="inlineStr">
        <is>
          <t>漏洞概况表</t>
        </is>
      </c>
      <c r="Y352" s="90" t="inlineStr">
        <is>
          <t>漏洞概况表{概况ID、任务ID、总漏洞数、严重漏洞数、高危漏洞数、中危漏洞数、低危漏洞数、详情}</t>
        </is>
      </c>
      <c r="Z352" s="90">
        <f>IF(COUNTIFS(W:W,"*"&amp;I352&amp;"*")&gt;0,"存在","不存在")</f>
        <v/>
      </c>
      <c r="AA352" s="90">
        <f>IF(COUNTIFS(AB:AB,"*"&amp;I352&amp;"*")&gt;0,"存在","不存在")</f>
        <v/>
      </c>
      <c r="AB352" s="103" t="inlineStr">
        <is>
          <t>复测配置表、漏洞处置单表</t>
        </is>
      </c>
      <c r="AC352" s="66" t="n"/>
    </row>
    <row r="353" s="112">
      <c r="A353" s="72">
        <f>ROW()-1</f>
        <v/>
      </c>
      <c r="B353" s="175" t="n"/>
      <c r="C353" s="80" t="n">
        <v>2025</v>
      </c>
      <c r="D353" s="80" t="inlineStr">
        <is>
          <t>张明峰</t>
        </is>
      </c>
      <c r="E353" s="81">
        <f>VLOOKUP(I353,'25年交付功能（不含废弃）'!A:A,1,FALSE)</f>
        <v/>
      </c>
      <c r="F353" s="175" t="n"/>
      <c r="G353" s="175" t="n"/>
      <c r="H353" s="175" t="n"/>
      <c r="I353" s="98" t="inlineStr">
        <is>
          <t>插件任务报告表</t>
        </is>
      </c>
      <c r="J353" s="93" t="inlineStr">
        <is>
          <t>ILF</t>
        </is>
      </c>
      <c r="K353" s="84" t="n"/>
      <c r="L353" s="84" t="inlineStr">
        <is>
          <t>数据库表未被本系统所维护</t>
        </is>
      </c>
      <c r="M353" s="85">
        <f>IF(OR(Y353="估算法",Y353="算法类",Y353="无法识别"),"",IF(W353="",IF(OR(J353="EI",J353="EO",J353="EQ"),0,""),LEN(W353)-LEN(SUBSTITUTE(W353,"、",""))+1))</f>
        <v/>
      </c>
      <c r="N353" s="85">
        <f>IF(OR(Y353="估算法",Y353="算法类",Y353="无法识别"),"",IF(X353="",IF(OR(J353="ILF",J353="EIF"),0,""),LEN(X353)-LEN(SUBSTITUTE(X353,"、",""))+1))</f>
        <v/>
      </c>
      <c r="O353" s="85">
        <f>IF(OR(Y353="估算法",Y353="算法类",Y353="无法识别"),"",IF(Y353="",IF(OR(J353="ILF",J353="EIF",J353="EI",J353="EO",J353="EQ"),0,""),LEN(Y353)-LEN(SUBSTITUTE(SUBSTITUTE(SUBSTITUTE(SUBSTITUTE(SUBSTITUTE(Y353,"|}","--"),"{|","--"),CHAR(10),""),"、",""),"|",""))+IF(AND(OR(J353="EI",J353="EO",J353="EQ"),$AE$1="NESMA"),2,1)))</f>
        <v/>
      </c>
      <c r="P353" s="86">
        <f>IF(J353="EI",IF(OR(Y353="估算法",Y353="算法类"),"中",IF(Y353="无法识别","低",IF(M353&lt;2,IF(O353&lt;16,"低","中"),IF(M353&lt;3,IF(O353&lt;5,"低",IF(O353&lt;16,"中","高")),IF(O353&lt;5,"中","高"))))),IF(OR(J353="EO",J353="EQ"),IF(OR(Y353="估算法",Y353="算法类"),"中",IF(Y353="无法识别","低",IF(M353&lt;2,IF(O353&lt;20,"低","中"),IF(M353&lt;4,IF(O353&lt;6,"低",IF(O353&lt;20,"中","高")),IF(O353&lt;6,"中","高"))))),IF(OR(J353="ILF",J353="EIF"),IF(OR(Y353="估算法",Y353="算法类",Y353="无法识别"),"低",IF(N353&lt;2,IF(O353&lt;51,"低","中"),IF(N353&lt;6,IF(O353&lt;20,"低",IF(O353&lt;51,"中","高")),IF(O353&lt;20,"中","高")))),"不计算")))</f>
        <v/>
      </c>
      <c r="Q353" s="172">
        <f>IFERROR(IF(J353="EI",IF(P353="低",3,IF(P353="中",4,6)),IF(J353="EO",IF(P353="低",4,IF(P353="中",5,7)),IF(J353="EQ",IF(P353="低",3,IF(P353="中",4,6)),IF(J353="ILF",IF(P353="低",7,IF(P353="中",10,15)),IF(J353="EIF",IF(P353="低",5,IF(P353="中",7,10)),"不计算")))))*R353,"不计算")</f>
        <v/>
      </c>
      <c r="R353" s="172" t="n">
        <v>0</v>
      </c>
      <c r="S353" s="173">
        <f>调整因子!$F$13</f>
        <v/>
      </c>
      <c r="T353" s="93" t="n">
        <v>1</v>
      </c>
      <c r="U353" s="174">
        <f>IFERROR(Q353*S353,0)</f>
        <v/>
      </c>
      <c r="V353" s="174">
        <f>U353*T353</f>
        <v/>
      </c>
      <c r="W353" s="91" t="n"/>
      <c r="X353" s="90" t="inlineStr">
        <is>
          <t>插件任务报告表</t>
        </is>
      </c>
      <c r="Y353" s="90" t="inlineStr">
        <is>
          <t>插件任务报告表{报告ID、任务ID、报告内容、生成时间、下载链接}</t>
        </is>
      </c>
      <c r="Z353" s="90">
        <f>IF(COUNTIFS(W:W,"*"&amp;I353&amp;"*")&gt;0,"存在","不存在")</f>
        <v/>
      </c>
      <c r="AA353" s="90">
        <f>IF(COUNTIFS(AB:AB,"*"&amp;I353&amp;"*")&gt;0,"存在","不存在")</f>
        <v/>
      </c>
      <c r="AB353" s="103" t="inlineStr">
        <is>
          <t>报告解析结果表、离线扫描报告表</t>
        </is>
      </c>
      <c r="AC353" s="66" t="n"/>
    </row>
    <row r="354" s="112">
      <c r="A354" s="72">
        <f>ROW()-1</f>
        <v/>
      </c>
      <c r="B354" s="175" t="n"/>
      <c r="C354" s="80" t="n">
        <v>2025</v>
      </c>
      <c r="D354" s="80" t="inlineStr">
        <is>
          <t>张明峰</t>
        </is>
      </c>
      <c r="E354" s="81">
        <f>VLOOKUP(I354,'25年交付功能（不含废弃）'!A:A,1,FALSE)</f>
        <v/>
      </c>
      <c r="F354" s="175" t="n"/>
      <c r="G354" s="175" t="n"/>
      <c r="H354" s="175" t="n"/>
      <c r="I354" s="98" t="inlineStr">
        <is>
          <t>报告模板表</t>
        </is>
      </c>
      <c r="J354" s="93" t="n"/>
      <c r="K354" s="110" t="inlineStr">
        <is>
          <t>删除</t>
        </is>
      </c>
      <c r="L354" s="84" t="inlineStr">
        <is>
          <t>重复数据库表</t>
        </is>
      </c>
      <c r="M354" s="85">
        <f>IF(OR(Y354="估算法",Y354="算法类",Y354="无法识别"),"",IF(W354="",IF(OR(J354="EI",J354="EO",J354="EQ"),0,""),LEN(W354)-LEN(SUBSTITUTE(W354,"、",""))+1))</f>
        <v/>
      </c>
      <c r="N354" s="85">
        <f>IF(OR(Y354="估算法",Y354="算法类",Y354="无法识别"),"",IF(X354="",IF(OR(J354="ILF",J354="EIF"),0,""),LEN(X354)-LEN(SUBSTITUTE(X354,"、",""))+1))</f>
        <v/>
      </c>
      <c r="O354" s="85">
        <f>IF(OR(Y354="估算法",Y354="算法类",Y354="无法识别"),"",IF(Y354="",IF(OR(J354="ILF",J354="EIF",J354="EI",J354="EO",J354="EQ"),0,""),LEN(Y354)-LEN(SUBSTITUTE(SUBSTITUTE(SUBSTITUTE(SUBSTITUTE(SUBSTITUTE(Y354,"|}","--"),"{|","--"),CHAR(10),""),"、",""),"|",""))+IF(AND(OR(J354="EI",J354="EO",J354="EQ"),$AE$1="NESMA"),2,1)))</f>
        <v/>
      </c>
      <c r="P354" s="86">
        <f>IF(J354="EI",IF(OR(Y354="估算法",Y354="算法类"),"中",IF(Y354="无法识别","低",IF(M354&lt;2,IF(O354&lt;16,"低","中"),IF(M354&lt;3,IF(O354&lt;5,"低",IF(O354&lt;16,"中","高")),IF(O354&lt;5,"中","高"))))),IF(OR(J354="EO",J354="EQ"),IF(OR(Y354="估算法",Y354="算法类"),"中",IF(Y354="无法识别","低",IF(M354&lt;2,IF(O354&lt;20,"低","中"),IF(M354&lt;4,IF(O354&lt;6,"低",IF(O354&lt;20,"中","高")),IF(O354&lt;6,"中","高"))))),IF(OR(J354="ILF",J354="EIF"),IF(OR(Y354="估算法",Y354="算法类",Y354="无法识别"),"低",IF(N354&lt;2,IF(O354&lt;51,"低","中"),IF(N354&lt;6,IF(O354&lt;20,"低",IF(O354&lt;51,"中","高")),IF(O354&lt;20,"中","高")))),"不计算")))</f>
        <v/>
      </c>
      <c r="Q354" s="172">
        <f>IFERROR(IF(J354="EI",IF(P354="低",3,IF(P354="中",4,6)),IF(J354="EO",IF(P354="低",4,IF(P354="中",5,7)),IF(J354="EQ",IF(P354="低",3,IF(P354="中",4,6)),IF(J354="ILF",IF(P354="低",7,IF(P354="中",10,15)),IF(J354="EIF",IF(P354="低",5,IF(P354="中",7,10)),"不计算")))))*R354,"不计算")</f>
        <v/>
      </c>
      <c r="R354" s="172" t="n">
        <v>1</v>
      </c>
      <c r="S354" s="173">
        <f>调整因子!$F$13</f>
        <v/>
      </c>
      <c r="T354" s="92" t="n">
        <v>1</v>
      </c>
      <c r="U354" s="174">
        <f>IFERROR(Q354*S354,0)</f>
        <v/>
      </c>
      <c r="V354" s="174">
        <f>U354*T354</f>
        <v/>
      </c>
      <c r="W354" s="91" t="n"/>
      <c r="X354" s="90" t="inlineStr">
        <is>
          <t>报告模板表</t>
        </is>
      </c>
      <c r="Y354" s="90" t="inlineStr">
        <is>
          <t>报告模板表{模板ID、模板名称、内容、创建时间|响应状态码、返回数据信息|响应状态码、返回数据信息}</t>
        </is>
      </c>
      <c r="Z354" s="90">
        <f>IF(COUNTIFS(W:W,"*"&amp;I354&amp;"*")&gt;0,"存在","不存在")</f>
        <v/>
      </c>
      <c r="AA354" s="90">
        <f>IF(COUNTIFS(AB:AB,"*"&amp;I354&amp;"*")&gt;0,"存在","不存在")</f>
        <v/>
      </c>
      <c r="AB354" s="103" t="inlineStr">
        <is>
          <t>数据清洗任务表</t>
        </is>
      </c>
      <c r="AC354" s="66" t="n"/>
    </row>
    <row r="355" s="112">
      <c r="A355" s="72">
        <f>ROW()-1</f>
        <v/>
      </c>
      <c r="B355" s="175" t="n"/>
      <c r="C355" s="80" t="n">
        <v>2025</v>
      </c>
      <c r="D355" s="80" t="inlineStr">
        <is>
          <t>张明峰</t>
        </is>
      </c>
      <c r="E355" s="81">
        <f>VLOOKUP(I355,'25年交付功能（不含废弃）'!A:A,1,FALSE)</f>
        <v/>
      </c>
      <c r="F355" s="175" t="n"/>
      <c r="G355" s="175" t="n"/>
      <c r="H355" s="176" t="n"/>
      <c r="I355" s="98" t="inlineStr">
        <is>
          <t>报告生成记录表</t>
        </is>
      </c>
      <c r="J355" s="93" t="inlineStr">
        <is>
          <t>ILF</t>
        </is>
      </c>
      <c r="K355" s="84" t="inlineStr">
        <is>
          <t>添加引用「生成插件任务报告」</t>
        </is>
      </c>
      <c r="L355" s="84" t="inlineStr">
        <is>
          <t>数据库表未被本系统所维护</t>
        </is>
      </c>
      <c r="M355" s="85">
        <f>IF(OR(Y355="估算法",Y355="算法类",Y355="无法识别"),"",IF(W355="",IF(OR(J355="EI",J355="EO",J355="EQ"),0,""),LEN(W355)-LEN(SUBSTITUTE(W355,"、",""))+1))</f>
        <v/>
      </c>
      <c r="N355" s="85">
        <f>IF(OR(Y355="估算法",Y355="算法类",Y355="无法识别"),"",IF(X355="",IF(OR(J355="ILF",J355="EIF"),0,""),LEN(X355)-LEN(SUBSTITUTE(X355,"、",""))+1))</f>
        <v/>
      </c>
      <c r="O355" s="85">
        <f>IF(OR(Y355="估算法",Y355="算法类",Y355="无法识别"),"",IF(Y355="",IF(OR(J355="ILF",J355="EIF",J355="EI",J355="EO",J355="EQ"),0,""),LEN(Y355)-LEN(SUBSTITUTE(SUBSTITUTE(SUBSTITUTE(SUBSTITUTE(SUBSTITUTE(Y355,"|}","--"),"{|","--"),CHAR(10),""),"、",""),"|",""))+IF(AND(OR(J355="EI",J355="EO",J355="EQ"),$AE$1="NESMA"),2,1)))</f>
        <v/>
      </c>
      <c r="P355" s="86">
        <f>IF(J355="EI",IF(OR(Y355="估算法",Y355="算法类"),"中",IF(Y355="无法识别","低",IF(M355&lt;2,IF(O355&lt;16,"低","中"),IF(M355&lt;3,IF(O355&lt;5,"低",IF(O355&lt;16,"中","高")),IF(O355&lt;5,"中","高"))))),IF(OR(J355="EO",J355="EQ"),IF(OR(Y355="估算法",Y355="算法类"),"中",IF(Y355="无法识别","低",IF(M355&lt;2,IF(O355&lt;20,"低","中"),IF(M355&lt;4,IF(O355&lt;6,"低",IF(O355&lt;20,"中","高")),IF(O355&lt;6,"中","高"))))),IF(OR(J355="ILF",J355="EIF"),IF(OR(Y355="估算法",Y355="算法类",Y355="无法识别"),"低",IF(N355&lt;2,IF(O355&lt;51,"低","中"),IF(N355&lt;6,IF(O355&lt;20,"低",IF(O355&lt;51,"中","高")),IF(O355&lt;20,"中","高")))),"不计算")))</f>
        <v/>
      </c>
      <c r="Q355" s="172">
        <f>IFERROR(IF(J355="EI",IF(P355="低",3,IF(P355="中",4,6)),IF(J355="EO",IF(P355="低",4,IF(P355="中",5,7)),IF(J355="EQ",IF(P355="低",3,IF(P355="中",4,6)),IF(J355="ILF",IF(P355="低",7,IF(P355="中",10,15)),IF(J355="EIF",IF(P355="低",5,IF(P355="中",7,10)),"不计算")))))*R355,"不计算")</f>
        <v/>
      </c>
      <c r="R355" s="172" t="n">
        <v>0</v>
      </c>
      <c r="S355" s="173">
        <f>调整因子!$F$13</f>
        <v/>
      </c>
      <c r="T355" s="92" t="n">
        <v>1</v>
      </c>
      <c r="U355" s="174">
        <f>IFERROR(Q355*S355,0)</f>
        <v/>
      </c>
      <c r="V355" s="174">
        <f>U355*T355</f>
        <v/>
      </c>
      <c r="W355" s="91" t="n"/>
      <c r="X355" s="90" t="inlineStr">
        <is>
          <t>报告生成记录表</t>
        </is>
      </c>
      <c r="Y355" s="90" t="inlineStr">
        <is>
          <t>报告生成记录表{记录ID、报告ID、生成时间、生成人|响应状态码、返回数据信息}</t>
        </is>
      </c>
      <c r="Z355" s="90">
        <f>IF(COUNTIFS(W:W,"*"&amp;I355&amp;"*")&gt;0,"存在","不存在")</f>
        <v/>
      </c>
      <c r="AA355" s="90">
        <f>IF(COUNTIFS(AB:AB,"*"&amp;I355&amp;"*")&gt;0,"存在","不存在")</f>
        <v/>
      </c>
      <c r="AB355" s="103" t="inlineStr">
        <is>
          <t>数据清洗任务表、资产同步任务表</t>
        </is>
      </c>
      <c r="AC355" s="66" t="n"/>
    </row>
    <row r="356" s="112">
      <c r="A356" s="72">
        <f>ROW()-1</f>
        <v/>
      </c>
      <c r="B356" s="175" t="n"/>
      <c r="C356" s="80" t="n">
        <v>2025</v>
      </c>
      <c r="D356" s="80" t="inlineStr">
        <is>
          <t>张明峰</t>
        </is>
      </c>
      <c r="E356" s="81">
        <f>VLOOKUP(I356,'25年交付功能（不含废弃）'!A:A,1,FALSE)</f>
        <v/>
      </c>
      <c r="F356" s="175" t="n"/>
      <c r="G356" s="175" t="n"/>
      <c r="H356" s="93" t="inlineStr">
        <is>
          <t>插件调用综合展示</t>
        </is>
      </c>
      <c r="I356" s="98" t="inlineStr">
        <is>
          <t>插件类型视图展示</t>
        </is>
      </c>
      <c r="J356" s="93" t="inlineStr">
        <is>
          <t>EO</t>
        </is>
      </c>
      <c r="K356" s="84" t="n"/>
      <c r="L356" s="84" t="n"/>
      <c r="M356" s="85">
        <f>IF(OR(Y356="估算法",Y356="算法类",Y356="无法识别"),"",IF(W356="",IF(OR(J356="EI",J356="EO",J356="EQ"),0,""),LEN(W356)-LEN(SUBSTITUTE(W356,"、",""))+1))</f>
        <v/>
      </c>
      <c r="N356" s="85">
        <f>IF(OR(Y356="估算法",Y356="算法类",Y356="无法识别"),"",IF(X356="",IF(OR(J356="ILF",J356="EIF"),0,""),LEN(X356)-LEN(SUBSTITUTE(X356,"、",""))+1))</f>
        <v/>
      </c>
      <c r="O356" s="85">
        <f>IF(OR(Y356="估算法",Y356="算法类",Y356="无法识别"),"",IF(Y356="",IF(OR(J356="ILF",J356="EIF",J356="EI",J356="EO",J356="EQ"),0,""),LEN(Y356)-LEN(SUBSTITUTE(SUBSTITUTE(SUBSTITUTE(SUBSTITUTE(SUBSTITUTE(Y356,"|}","--"),"{|","--"),CHAR(10),""),"、",""),"|",""))+IF(AND(OR(J356="EI",J356="EO",J356="EQ"),$AE$1="NESMA"),2,1)))</f>
        <v/>
      </c>
      <c r="P356" s="86">
        <f>IF(J356="EI",IF(OR(Y356="估算法",Y356="算法类"),"中",IF(Y356="无法识别","低",IF(M356&lt;2,IF(O356&lt;16,"低","中"),IF(M356&lt;3,IF(O356&lt;5,"低",IF(O356&lt;16,"中","高")),IF(O356&lt;5,"中","高"))))),IF(OR(J356="EO",J356="EQ"),IF(OR(Y356="估算法",Y356="算法类"),"中",IF(Y356="无法识别","低",IF(M356&lt;2,IF(O356&lt;20,"低","中"),IF(M356&lt;4,IF(O356&lt;6,"低",IF(O356&lt;20,"中","高")),IF(O356&lt;6,"中","高"))))),IF(OR(J356="ILF",J356="EIF"),IF(OR(Y356="估算法",Y356="算法类",Y356="无法识别"),"低",IF(N356&lt;2,IF(O356&lt;51,"低","中"),IF(N356&lt;6,IF(O356&lt;20,"低",IF(O356&lt;51,"中","高")),IF(O356&lt;20,"中","高")))),"不计算")))</f>
        <v/>
      </c>
      <c r="Q356" s="172">
        <f>IFERROR(IF(J356="EI",IF(P356="低",3,IF(P356="中",4,6)),IF(J356="EO",IF(P356="低",4,IF(P356="中",5,7)),IF(J356="EQ",IF(P356="低",3,IF(P356="中",4,6)),IF(J356="ILF",IF(P356="低",7,IF(P356="中",10,15)),IF(J356="EIF",IF(P356="低",5,IF(P356="中",7,10)),"不计算")))))*R356,"不计算")</f>
        <v/>
      </c>
      <c r="R356" s="172" t="n">
        <v>1</v>
      </c>
      <c r="S356" s="173">
        <f>调整因子!$F$13</f>
        <v/>
      </c>
      <c r="T356" s="93" t="n">
        <v>1</v>
      </c>
      <c r="U356" s="174">
        <f>IFERROR(Q356*S356,0)</f>
        <v/>
      </c>
      <c r="V356" s="174">
        <f>U356*T356</f>
        <v/>
      </c>
      <c r="W356" s="90" t="inlineStr">
        <is>
          <t>插件类型统计数据表</t>
        </is>
      </c>
      <c r="X356" s="113" t="n"/>
      <c r="Y356" s="90" t="inlineStr">
        <is>
          <t>插件类型统计数据表{数据ID、插件类型、数量、统计时间}</t>
        </is>
      </c>
      <c r="Z356" s="90" t="n"/>
      <c r="AA356" s="90" t="n"/>
      <c r="AB356" s="103" t="inlineStr">
        <is>
          <t>数据清洗任务表、资产同步任务表</t>
        </is>
      </c>
      <c r="AC356" s="66" t="n"/>
    </row>
    <row r="357" s="112">
      <c r="A357" s="72">
        <f>ROW()-1</f>
        <v/>
      </c>
      <c r="B357" s="175" t="n"/>
      <c r="C357" s="80" t="n">
        <v>2025</v>
      </c>
      <c r="D357" s="80" t="inlineStr">
        <is>
          <t>张明峰</t>
        </is>
      </c>
      <c r="E357" s="81">
        <f>VLOOKUP(I357,'25年交付功能（不含废弃）'!A:A,1,FALSE)</f>
        <v/>
      </c>
      <c r="F357" s="175" t="n"/>
      <c r="G357" s="175" t="n"/>
      <c r="H357" s="175" t="n"/>
      <c r="I357" s="98" t="inlineStr">
        <is>
          <t>漏洞类型统计视图展示</t>
        </is>
      </c>
      <c r="J357" s="93" t="inlineStr">
        <is>
          <t>EO</t>
        </is>
      </c>
      <c r="K357" s="84" t="n"/>
      <c r="L357" s="84" t="n"/>
      <c r="M357" s="85">
        <f>IF(OR(Y357="估算法",Y357="算法类",Y357="无法识别"),"",IF(W357="",IF(OR(J357="EI",J357="EO",J357="EQ"),0,""),LEN(W357)-LEN(SUBSTITUTE(W357,"、",""))+1))</f>
        <v/>
      </c>
      <c r="N357" s="85">
        <f>IF(OR(Y357="估算法",Y357="算法类",Y357="无法识别"),"",IF(X357="",IF(OR(J357="ILF",J357="EIF"),0,""),LEN(X357)-LEN(SUBSTITUTE(X357,"、",""))+1))</f>
        <v/>
      </c>
      <c r="O357" s="85">
        <f>IF(OR(Y357="估算法",Y357="算法类",Y357="无法识别"),"",IF(Y357="",IF(OR(J357="ILF",J357="EIF",J357="EI",J357="EO",J357="EQ"),0,""),LEN(Y357)-LEN(SUBSTITUTE(SUBSTITUTE(SUBSTITUTE(SUBSTITUTE(SUBSTITUTE(Y357,"|}","--"),"{|","--"),CHAR(10),""),"、",""),"|",""))+IF(AND(OR(J357="EI",J357="EO",J357="EQ"),$AE$1="NESMA"),2,1)))</f>
        <v/>
      </c>
      <c r="P357" s="86">
        <f>IF(J357="EI",IF(OR(Y357="估算法",Y357="算法类"),"中",IF(Y357="无法识别","低",IF(M357&lt;2,IF(O357&lt;16,"低","中"),IF(M357&lt;3,IF(O357&lt;5,"低",IF(O357&lt;16,"中","高")),IF(O357&lt;5,"中","高"))))),IF(OR(J357="EO",J357="EQ"),IF(OR(Y357="估算法",Y357="算法类"),"中",IF(Y357="无法识别","低",IF(M357&lt;2,IF(O357&lt;20,"低","中"),IF(M357&lt;4,IF(O357&lt;6,"低",IF(O357&lt;20,"中","高")),IF(O357&lt;6,"中","高"))))),IF(OR(J357="ILF",J357="EIF"),IF(OR(Y357="估算法",Y357="算法类",Y357="无法识别"),"低",IF(N357&lt;2,IF(O357&lt;51,"低","中"),IF(N357&lt;6,IF(O357&lt;20,"低",IF(O357&lt;51,"中","高")),IF(O357&lt;20,"中","高")))),"不计算")))</f>
        <v/>
      </c>
      <c r="Q357" s="172">
        <f>IFERROR(IF(J357="EI",IF(P357="低",3,IF(P357="中",4,6)),IF(J357="EO",IF(P357="低",4,IF(P357="中",5,7)),IF(J357="EQ",IF(P357="低",3,IF(P357="中",4,6)),IF(J357="ILF",IF(P357="低",7,IF(P357="中",10,15)),IF(J357="EIF",IF(P357="低",5,IF(P357="中",7,10)),"不计算")))))*R357,"不计算")</f>
        <v/>
      </c>
      <c r="R357" s="172" t="n">
        <v>0.666666666666667</v>
      </c>
      <c r="S357" s="173">
        <f>调整因子!$F$13</f>
        <v/>
      </c>
      <c r="T357" s="92" t="n">
        <v>1</v>
      </c>
      <c r="U357" s="174">
        <f>IFERROR(Q357*S357,0)</f>
        <v/>
      </c>
      <c r="V357" s="174">
        <f>U357*T357</f>
        <v/>
      </c>
      <c r="W357" s="90" t="inlineStr">
        <is>
          <t>漏洞类型统计数据表</t>
        </is>
      </c>
      <c r="X357" s="113" t="n"/>
      <c r="Y357" s="90" t="inlineStr">
        <is>
          <t>漏洞类型统计数据表{数据ID、漏洞类型、数量、统计时间}</t>
        </is>
      </c>
      <c r="Z357" s="90" t="n"/>
      <c r="AA357" s="90" t="n"/>
      <c r="AB357" s="103" t="inlineStr">
        <is>
          <t>数据清洗任务表、资产同步任务表</t>
        </is>
      </c>
      <c r="AC357" s="66" t="n"/>
    </row>
    <row r="358" s="112">
      <c r="A358" s="72">
        <f>ROW()-1</f>
        <v/>
      </c>
      <c r="B358" s="175" t="n"/>
      <c r="C358" s="80" t="n">
        <v>2025</v>
      </c>
      <c r="D358" s="80" t="inlineStr">
        <is>
          <t>张明峰</t>
        </is>
      </c>
      <c r="E358" s="81">
        <f>VLOOKUP(I358,'25年交付功能（不含废弃）'!A:A,1,FALSE)</f>
        <v/>
      </c>
      <c r="F358" s="175" t="n"/>
      <c r="G358" s="175" t="n"/>
      <c r="H358" s="175" t="n"/>
      <c r="I358" s="98" t="inlineStr">
        <is>
          <t>插件等级统计视图展示</t>
        </is>
      </c>
      <c r="J358" s="93" t="inlineStr">
        <is>
          <t>EO</t>
        </is>
      </c>
      <c r="K358" s="84" t="n"/>
      <c r="L358" s="84" t="n"/>
      <c r="M358" s="85">
        <f>IF(OR(Y358="估算法",Y358="算法类",Y358="无法识别"),"",IF(W358="",IF(OR(J358="EI",J358="EO",J358="EQ"),0,""),LEN(W358)-LEN(SUBSTITUTE(W358,"、",""))+1))</f>
        <v/>
      </c>
      <c r="N358" s="85">
        <f>IF(OR(Y358="估算法",Y358="算法类",Y358="无法识别"),"",IF(X358="",IF(OR(J358="ILF",J358="EIF"),0,""),LEN(X358)-LEN(SUBSTITUTE(X358,"、",""))+1))</f>
        <v/>
      </c>
      <c r="O358" s="85">
        <f>IF(OR(Y358="估算法",Y358="算法类",Y358="无法识别"),"",IF(Y358="",IF(OR(J358="ILF",J358="EIF",J358="EI",J358="EO",J358="EQ"),0,""),LEN(Y358)-LEN(SUBSTITUTE(SUBSTITUTE(SUBSTITUTE(SUBSTITUTE(SUBSTITUTE(Y358,"|}","--"),"{|","--"),CHAR(10),""),"、",""),"|",""))+IF(AND(OR(J358="EI",J358="EO",J358="EQ"),$AE$1="NESMA"),2,1)))</f>
        <v/>
      </c>
      <c r="P358" s="86">
        <f>IF(J358="EI",IF(OR(Y358="估算法",Y358="算法类"),"中",IF(Y358="无法识别","低",IF(M358&lt;2,IF(O358&lt;16,"低","中"),IF(M358&lt;3,IF(O358&lt;5,"低",IF(O358&lt;16,"中","高")),IF(O358&lt;5,"中","高"))))),IF(OR(J358="EO",J358="EQ"),IF(OR(Y358="估算法",Y358="算法类"),"中",IF(Y358="无法识别","低",IF(M358&lt;2,IF(O358&lt;20,"低","中"),IF(M358&lt;4,IF(O358&lt;6,"低",IF(O358&lt;20,"中","高")),IF(O358&lt;6,"中","高"))))),IF(OR(J358="ILF",J358="EIF"),IF(OR(Y358="估算法",Y358="算法类",Y358="无法识别"),"低",IF(N358&lt;2,IF(O358&lt;51,"低","中"),IF(N358&lt;6,IF(O358&lt;20,"低",IF(O358&lt;51,"中","高")),IF(O358&lt;20,"中","高")))),"不计算")))</f>
        <v/>
      </c>
      <c r="Q358" s="172">
        <f>IFERROR(IF(J358="EI",IF(P358="低",3,IF(P358="中",4,6)),IF(J358="EO",IF(P358="低",4,IF(P358="中",5,7)),IF(J358="EQ",IF(P358="低",3,IF(P358="中",4,6)),IF(J358="ILF",IF(P358="低",7,IF(P358="中",10,15)),IF(J358="EIF",IF(P358="低",5,IF(P358="中",7,10)),"不计算")))))*R358,"不计算")</f>
        <v/>
      </c>
      <c r="R358" s="172" t="n">
        <v>0.666666666666667</v>
      </c>
      <c r="S358" s="173">
        <f>调整因子!$F$13</f>
        <v/>
      </c>
      <c r="T358" s="92" t="n">
        <v>1</v>
      </c>
      <c r="U358" s="174">
        <f>IFERROR(Q358*S358,0)</f>
        <v/>
      </c>
      <c r="V358" s="174">
        <f>U358*T358</f>
        <v/>
      </c>
      <c r="W358" s="90" t="inlineStr">
        <is>
          <t>插件等级统计数据表</t>
        </is>
      </c>
      <c r="X358" s="113" t="n"/>
      <c r="Y358" s="90" t="inlineStr">
        <is>
          <t>插件等级统计数据表{数据ID、插件等级、数量、统计时间}</t>
        </is>
      </c>
      <c r="Z358" s="90" t="n"/>
      <c r="AA358" s="90" t="n"/>
      <c r="AB358" s="103" t="inlineStr">
        <is>
          <t>数据清洗任务表、资产同步任务表</t>
        </is>
      </c>
      <c r="AC358" s="66" t="n"/>
    </row>
    <row r="359" s="112">
      <c r="A359" s="72">
        <f>ROW()-1</f>
        <v/>
      </c>
      <c r="B359" s="175" t="n"/>
      <c r="C359" s="80" t="n">
        <v>2025</v>
      </c>
      <c r="D359" s="80" t="inlineStr">
        <is>
          <t>张明峰</t>
        </is>
      </c>
      <c r="E359" s="81">
        <f>VLOOKUP(I359,'25年交付功能（不含废弃）'!A:A,1,FALSE)</f>
        <v/>
      </c>
      <c r="F359" s="175" t="n"/>
      <c r="G359" s="175" t="n"/>
      <c r="H359" s="175" t="n"/>
      <c r="I359" s="98" t="inlineStr">
        <is>
          <t>漏洞时间趋势统计视图展示</t>
        </is>
      </c>
      <c r="J359" s="93" t="inlineStr">
        <is>
          <t>EO</t>
        </is>
      </c>
      <c r="K359" s="84" t="n"/>
      <c r="L359" s="84" t="n"/>
      <c r="M359" s="85">
        <f>IF(OR(Y359="估算法",Y359="算法类",Y359="无法识别"),"",IF(W359="",IF(OR(J359="EI",J359="EO",J359="EQ"),0,""),LEN(W359)-LEN(SUBSTITUTE(W359,"、",""))+1))</f>
        <v/>
      </c>
      <c r="N359" s="85">
        <f>IF(OR(Y359="估算法",Y359="算法类",Y359="无法识别"),"",IF(X359="",IF(OR(J359="ILF",J359="EIF"),0,""),LEN(X359)-LEN(SUBSTITUTE(X359,"、",""))+1))</f>
        <v/>
      </c>
      <c r="O359" s="85">
        <f>IF(OR(Y359="估算法",Y359="算法类",Y359="无法识别"),"",IF(Y359="",IF(OR(J359="ILF",J359="EIF",J359="EI",J359="EO",J359="EQ"),0,""),LEN(Y359)-LEN(SUBSTITUTE(SUBSTITUTE(SUBSTITUTE(SUBSTITUTE(SUBSTITUTE(Y359,"|}","--"),"{|","--"),CHAR(10),""),"、",""),"|",""))+IF(AND(OR(J359="EI",J359="EO",J359="EQ"),$AE$1="NESMA"),2,1)))</f>
        <v/>
      </c>
      <c r="P359" s="86">
        <f>IF(J359="EI",IF(OR(Y359="估算法",Y359="算法类"),"中",IF(Y359="无法识别","低",IF(M359&lt;2,IF(O359&lt;16,"低","中"),IF(M359&lt;3,IF(O359&lt;5,"低",IF(O359&lt;16,"中","高")),IF(O359&lt;5,"中","高"))))),IF(OR(J359="EO",J359="EQ"),IF(OR(Y359="估算法",Y359="算法类"),"中",IF(Y359="无法识别","低",IF(M359&lt;2,IF(O359&lt;20,"低","中"),IF(M359&lt;4,IF(O359&lt;6,"低",IF(O359&lt;20,"中","高")),IF(O359&lt;6,"中","高"))))),IF(OR(J359="ILF",J359="EIF"),IF(OR(Y359="估算法",Y359="算法类",Y359="无法识别"),"低",IF(N359&lt;2,IF(O359&lt;51,"低","中"),IF(N359&lt;6,IF(O359&lt;20,"低",IF(O359&lt;51,"中","高")),IF(O359&lt;20,"中","高")))),"不计算")))</f>
        <v/>
      </c>
      <c r="Q359" s="172">
        <f>IFERROR(IF(J359="EI",IF(P359="低",3,IF(P359="中",4,6)),IF(J359="EO",IF(P359="低",4,IF(P359="中",5,7)),IF(J359="EQ",IF(P359="低",3,IF(P359="中",4,6)),IF(J359="ILF",IF(P359="低",7,IF(P359="中",10,15)),IF(J359="EIF",IF(P359="低",5,IF(P359="中",7,10)),"不计算")))))*R359,"不计算")</f>
        <v/>
      </c>
      <c r="R359" s="172" t="n">
        <v>0.666666666666667</v>
      </c>
      <c r="S359" s="173">
        <f>调整因子!$F$13</f>
        <v/>
      </c>
      <c r="T359" s="93" t="n">
        <v>1</v>
      </c>
      <c r="U359" s="174">
        <f>IFERROR(Q359*S359,0)</f>
        <v/>
      </c>
      <c r="V359" s="174">
        <f>U359*T359</f>
        <v/>
      </c>
      <c r="W359" s="90" t="inlineStr">
        <is>
          <t>漏洞时间趋势统计表</t>
        </is>
      </c>
      <c r="X359" s="113" t="n"/>
      <c r="Y359" s="90" t="inlineStr">
        <is>
          <t>漏洞时间趋势统计表{统计ID、时间段、漏洞数量、统计时间}</t>
        </is>
      </c>
      <c r="Z359" s="90" t="n"/>
      <c r="AA359" s="90" t="n"/>
      <c r="AB359" s="103" t="inlineStr">
        <is>
          <t>任务优先级配置表</t>
        </is>
      </c>
      <c r="AC359" s="66" t="n"/>
    </row>
    <row r="360" s="112">
      <c r="A360" s="72">
        <f>ROW()-1</f>
        <v/>
      </c>
      <c r="B360" s="175" t="n"/>
      <c r="C360" s="80" t="n">
        <v>2025</v>
      </c>
      <c r="D360" s="80" t="inlineStr">
        <is>
          <t>张明峰</t>
        </is>
      </c>
      <c r="E360" s="81">
        <f>VLOOKUP(I360,'25年交付功能（不含废弃）'!A:A,1,FALSE)</f>
        <v/>
      </c>
      <c r="F360" s="175" t="n"/>
      <c r="G360" s="175" t="n"/>
      <c r="H360" s="175" t="n"/>
      <c r="I360" s="98" t="inlineStr">
        <is>
          <t>漏洞概念验证检测结果IP风险率展示</t>
        </is>
      </c>
      <c r="J360" s="93" t="inlineStr">
        <is>
          <t>EO</t>
        </is>
      </c>
      <c r="K360" s="84" t="n"/>
      <c r="L360" s="84" t="n"/>
      <c r="M360" s="85">
        <f>IF(OR(Y360="估算法",Y360="算法类",Y360="无法识别"),"",IF(W360="",IF(OR(J360="EI",J360="EO",J360="EQ"),0,""),LEN(W360)-LEN(SUBSTITUTE(W360,"、",""))+1))</f>
        <v/>
      </c>
      <c r="N360" s="85">
        <f>IF(OR(Y360="估算法",Y360="算法类",Y360="无法识别"),"",IF(X360="",IF(OR(J360="ILF",J360="EIF"),0,""),LEN(X360)-LEN(SUBSTITUTE(X360,"、",""))+1))</f>
        <v/>
      </c>
      <c r="O360" s="85">
        <f>IF(OR(Y360="估算法",Y360="算法类",Y360="无法识别"),"",IF(Y360="",IF(OR(J360="ILF",J360="EIF",J360="EI",J360="EO",J360="EQ"),0,""),LEN(Y360)-LEN(SUBSTITUTE(SUBSTITUTE(SUBSTITUTE(SUBSTITUTE(SUBSTITUTE(Y360,"|}","--"),"{|","--"),CHAR(10),""),"、",""),"|",""))+IF(AND(OR(J360="EI",J360="EO",J360="EQ"),$AE$1="NESMA"),2,1)))</f>
        <v/>
      </c>
      <c r="P360" s="86">
        <f>IF(J360="EI",IF(OR(Y360="估算法",Y360="算法类"),"中",IF(Y360="无法识别","低",IF(M360&lt;2,IF(O360&lt;16,"低","中"),IF(M360&lt;3,IF(O360&lt;5,"低",IF(O360&lt;16,"中","高")),IF(O360&lt;5,"中","高"))))),IF(OR(J360="EO",J360="EQ"),IF(OR(Y360="估算法",Y360="算法类"),"中",IF(Y360="无法识别","低",IF(M360&lt;2,IF(O360&lt;20,"低","中"),IF(M360&lt;4,IF(O360&lt;6,"低",IF(O360&lt;20,"中","高")),IF(O360&lt;6,"中","高"))))),IF(OR(J360="ILF",J360="EIF"),IF(OR(Y360="估算法",Y360="算法类",Y360="无法识别"),"低",IF(N360&lt;2,IF(O360&lt;51,"低","中"),IF(N360&lt;6,IF(O360&lt;20,"低",IF(O360&lt;51,"中","高")),IF(O360&lt;20,"中","高")))),"不计算")))</f>
        <v/>
      </c>
      <c r="Q360" s="172">
        <f>IFERROR(IF(J360="EI",IF(P360="低",3,IF(P360="中",4,6)),IF(J360="EO",IF(P360="低",4,IF(P360="中",5,7)),IF(J360="EQ",IF(P360="低",3,IF(P360="中",4,6)),IF(J360="ILF",IF(P360="低",7,IF(P360="中",10,15)),IF(J360="EIF",IF(P360="低",5,IF(P360="中",7,10)),"不计算")))))*R360,"不计算")</f>
        <v/>
      </c>
      <c r="R360" s="172" t="n">
        <v>0.666666666666667</v>
      </c>
      <c r="S360" s="173">
        <f>调整因子!$F$13</f>
        <v/>
      </c>
      <c r="T360" s="92" t="n">
        <v>1</v>
      </c>
      <c r="U360" s="174">
        <f>IFERROR(Q360*S360,0)</f>
        <v/>
      </c>
      <c r="V360" s="174">
        <f>U360*T360</f>
        <v/>
      </c>
      <c r="W360" s="90" t="inlineStr">
        <is>
          <t>IP风险率统计表</t>
        </is>
      </c>
      <c r="X360" s="113" t="n"/>
      <c r="Y360" s="90" t="inlineStr">
        <is>
          <t>IP风险率统计表{统计ID、IP地址、风险率、统计时间}</t>
        </is>
      </c>
      <c r="Z360" s="90" t="n"/>
      <c r="AA360" s="90" t="n"/>
      <c r="AB360" s="103" t="inlineStr">
        <is>
          <t>模板配置表、推送配置表</t>
        </is>
      </c>
      <c r="AC360" s="66" t="n"/>
    </row>
    <row r="361" s="112">
      <c r="A361" s="72">
        <f>ROW()-1</f>
        <v/>
      </c>
      <c r="B361" s="175" t="n"/>
      <c r="C361" s="80" t="n">
        <v>2025</v>
      </c>
      <c r="D361" s="80" t="inlineStr">
        <is>
          <t>张明峰</t>
        </is>
      </c>
      <c r="E361" s="81">
        <f>VLOOKUP(I361,'25年交付功能（不含废弃）'!A:A,1,FALSE)</f>
        <v/>
      </c>
      <c r="F361" s="175" t="n"/>
      <c r="G361" s="175" t="n"/>
      <c r="H361" s="175" t="n"/>
      <c r="I361" s="98" t="inlineStr">
        <is>
          <t>漏洞概念验证检测结果端口风险率展示</t>
        </is>
      </c>
      <c r="J361" s="93" t="inlineStr">
        <is>
          <t>EO</t>
        </is>
      </c>
      <c r="K361" s="84" t="n"/>
      <c r="L361" s="84" t="n"/>
      <c r="M361" s="85">
        <f>IF(OR(Y361="估算法",Y361="算法类",Y361="无法识别"),"",IF(W361="",IF(OR(J361="EI",J361="EO",J361="EQ"),0,""),LEN(W361)-LEN(SUBSTITUTE(W361,"、",""))+1))</f>
        <v/>
      </c>
      <c r="N361" s="85">
        <f>IF(OR(Y361="估算法",Y361="算法类",Y361="无法识别"),"",IF(X361="",IF(OR(J361="ILF",J361="EIF"),0,""),LEN(X361)-LEN(SUBSTITUTE(X361,"、",""))+1))</f>
        <v/>
      </c>
      <c r="O361" s="85">
        <f>IF(OR(Y361="估算法",Y361="算法类",Y361="无法识别"),"",IF(Y361="",IF(OR(J361="ILF",J361="EIF",J361="EI",J361="EO",J361="EQ"),0,""),LEN(Y361)-LEN(SUBSTITUTE(SUBSTITUTE(SUBSTITUTE(SUBSTITUTE(SUBSTITUTE(Y361,"|}","--"),"{|","--"),CHAR(10),""),"、",""),"|",""))+IF(AND(OR(J361="EI",J361="EO",J361="EQ"),$AE$1="NESMA"),2,1)))</f>
        <v/>
      </c>
      <c r="P361" s="86">
        <f>IF(J361="EI",IF(OR(Y361="估算法",Y361="算法类"),"中",IF(Y361="无法识别","低",IF(M361&lt;2,IF(O361&lt;16,"低","中"),IF(M361&lt;3,IF(O361&lt;5,"低",IF(O361&lt;16,"中","高")),IF(O361&lt;5,"中","高"))))),IF(OR(J361="EO",J361="EQ"),IF(OR(Y361="估算法",Y361="算法类"),"中",IF(Y361="无法识别","低",IF(M361&lt;2,IF(O361&lt;20,"低","中"),IF(M361&lt;4,IF(O361&lt;6,"低",IF(O361&lt;20,"中","高")),IF(O361&lt;6,"中","高"))))),IF(OR(J361="ILF",J361="EIF"),IF(OR(Y361="估算法",Y361="算法类",Y361="无法识别"),"低",IF(N361&lt;2,IF(O361&lt;51,"低","中"),IF(N361&lt;6,IF(O361&lt;20,"低",IF(O361&lt;51,"中","高")),IF(O361&lt;20,"中","高")))),"不计算")))</f>
        <v/>
      </c>
      <c r="Q361" s="172">
        <f>IFERROR(IF(J361="EI",IF(P361="低",3,IF(P361="中",4,6)),IF(J361="EO",IF(P361="低",4,IF(P361="中",5,7)),IF(J361="EQ",IF(P361="低",3,IF(P361="中",4,6)),IF(J361="ILF",IF(P361="低",7,IF(P361="中",10,15)),IF(J361="EIF",IF(P361="低",5,IF(P361="中",7,10)),"不计算")))))*R361,"不计算")</f>
        <v/>
      </c>
      <c r="R361" s="172" t="n">
        <v>0.666666666666667</v>
      </c>
      <c r="S361" s="173">
        <f>调整因子!$F$13</f>
        <v/>
      </c>
      <c r="T361" s="92" t="n">
        <v>1</v>
      </c>
      <c r="U361" s="174">
        <f>IFERROR(Q361*S361,0)</f>
        <v/>
      </c>
      <c r="V361" s="174">
        <f>U361*T361</f>
        <v/>
      </c>
      <c r="W361" s="90" t="inlineStr">
        <is>
          <t>端口风险率统计表</t>
        </is>
      </c>
      <c r="X361" s="113" t="n"/>
      <c r="Y361" s="90" t="inlineStr">
        <is>
          <t>端口风险率统计表{统计ID、端口号、风险率、统计时间}</t>
        </is>
      </c>
      <c r="Z361" s="90" t="n"/>
      <c r="AA361" s="90" t="n"/>
      <c r="AB361" s="103" t="inlineStr">
        <is>
          <t>同步失败重试记录表</t>
        </is>
      </c>
      <c r="AC361" s="66" t="n"/>
    </row>
    <row r="362" s="112">
      <c r="A362" s="72">
        <f>ROW()-1</f>
        <v/>
      </c>
      <c r="B362" s="175" t="n"/>
      <c r="C362" s="80" t="n">
        <v>2025</v>
      </c>
      <c r="D362" s="80" t="inlineStr">
        <is>
          <t>张明峰</t>
        </is>
      </c>
      <c r="E362" s="81">
        <f>VLOOKUP(I362,'25年交付功能（不含废弃）'!A:A,1,FALSE)</f>
        <v/>
      </c>
      <c r="F362" s="175" t="n"/>
      <c r="G362" s="175" t="n"/>
      <c r="H362" s="175" t="n"/>
      <c r="I362" s="98" t="inlineStr">
        <is>
          <t>漏洞概念验证检测结果协议风险率展示</t>
        </is>
      </c>
      <c r="J362" s="93" t="inlineStr">
        <is>
          <t>EO</t>
        </is>
      </c>
      <c r="K362" s="84" t="n"/>
      <c r="L362" s="84" t="n"/>
      <c r="M362" s="85">
        <f>IF(OR(Y362="估算法",Y362="算法类",Y362="无法识别"),"",IF(W362="",IF(OR(J362="EI",J362="EO",J362="EQ"),0,""),LEN(W362)-LEN(SUBSTITUTE(W362,"、",""))+1))</f>
        <v/>
      </c>
      <c r="N362" s="85">
        <f>IF(OR(Y362="估算法",Y362="算法类",Y362="无法识别"),"",IF(X362="",IF(OR(J362="ILF",J362="EIF"),0,""),LEN(X362)-LEN(SUBSTITUTE(X362,"、",""))+1))</f>
        <v/>
      </c>
      <c r="O362" s="85">
        <f>IF(OR(Y362="估算法",Y362="算法类",Y362="无法识别"),"",IF(Y362="",IF(OR(J362="ILF",J362="EIF",J362="EI",J362="EO",J362="EQ"),0,""),LEN(Y362)-LEN(SUBSTITUTE(SUBSTITUTE(SUBSTITUTE(SUBSTITUTE(SUBSTITUTE(Y362,"|}","--"),"{|","--"),CHAR(10),""),"、",""),"|",""))+IF(AND(OR(J362="EI",J362="EO",J362="EQ"),$AE$1="NESMA"),2,1)))</f>
        <v/>
      </c>
      <c r="P362" s="86">
        <f>IF(J362="EI",IF(OR(Y362="估算法",Y362="算法类"),"中",IF(Y362="无法识别","低",IF(M362&lt;2,IF(O362&lt;16,"低","中"),IF(M362&lt;3,IF(O362&lt;5,"低",IF(O362&lt;16,"中","高")),IF(O362&lt;5,"中","高"))))),IF(OR(J362="EO",J362="EQ"),IF(OR(Y362="估算法",Y362="算法类"),"中",IF(Y362="无法识别","低",IF(M362&lt;2,IF(O362&lt;20,"低","中"),IF(M362&lt;4,IF(O362&lt;6,"低",IF(O362&lt;20,"中","高")),IF(O362&lt;6,"中","高"))))),IF(OR(J362="ILF",J362="EIF"),IF(OR(Y362="估算法",Y362="算法类",Y362="无法识别"),"低",IF(N362&lt;2,IF(O362&lt;51,"低","中"),IF(N362&lt;6,IF(O362&lt;20,"低",IF(O362&lt;51,"中","高")),IF(O362&lt;20,"中","高")))),"不计算")))</f>
        <v/>
      </c>
      <c r="Q362" s="172">
        <f>IFERROR(IF(J362="EI",IF(P362="低",3,IF(P362="中",4,6)),IF(J362="EO",IF(P362="低",4,IF(P362="中",5,7)),IF(J362="EQ",IF(P362="低",3,IF(P362="中",4,6)),IF(J362="ILF",IF(P362="低",7,IF(P362="中",10,15)),IF(J362="EIF",IF(P362="低",5,IF(P362="中",7,10)),"不计算")))))*R362,"不计算")</f>
        <v/>
      </c>
      <c r="R362" s="172" t="n">
        <v>0.666666666666667</v>
      </c>
      <c r="S362" s="173">
        <f>调整因子!$F$13</f>
        <v/>
      </c>
      <c r="T362" s="93" t="n">
        <v>1</v>
      </c>
      <c r="U362" s="174">
        <f>IFERROR(Q362*S362,0)</f>
        <v/>
      </c>
      <c r="V362" s="174">
        <f>U362*T362</f>
        <v/>
      </c>
      <c r="W362" s="90" t="inlineStr">
        <is>
          <t>协议风险率统计表</t>
        </is>
      </c>
      <c r="X362" s="113" t="n"/>
      <c r="Y362" s="90" t="inlineStr">
        <is>
          <t>协议风险率统计表{统计ID、协议类型、风险率、统计时间}</t>
        </is>
      </c>
      <c r="Z362" s="90" t="n"/>
      <c r="AA362" s="90" t="n"/>
      <c r="AB362" s="103" t="inlineStr">
        <is>
          <t>模板配置表</t>
        </is>
      </c>
      <c r="AC362" s="66" t="n"/>
    </row>
    <row r="363" s="112">
      <c r="A363" s="72">
        <f>ROW()-1</f>
        <v/>
      </c>
      <c r="B363" s="175" t="n"/>
      <c r="C363" s="80" t="n">
        <v>2025</v>
      </c>
      <c r="D363" s="80" t="inlineStr">
        <is>
          <t>张明峰</t>
        </is>
      </c>
      <c r="E363" s="81">
        <f>VLOOKUP(I363,'25年交付功能（不含废弃）'!A:A,1,FALSE)</f>
        <v/>
      </c>
      <c r="F363" s="175" t="n"/>
      <c r="G363" s="175" t="n"/>
      <c r="H363" s="175" t="n"/>
      <c r="I363" s="98" t="inlineStr">
        <is>
          <t>插件类型统计数据表</t>
        </is>
      </c>
      <c r="J363" s="93" t="inlineStr">
        <is>
          <t>ILF</t>
        </is>
      </c>
      <c r="K363" s="84" t="n"/>
      <c r="L363" s="84" t="inlineStr">
        <is>
          <t>数据库表未被本系统所维护</t>
        </is>
      </c>
      <c r="M363" s="85">
        <f>IF(OR(Y363="估算法",Y363="算法类",Y363="无法识别"),"",IF(W363="",IF(OR(J363="EI",J363="EO",J363="EQ"),0,""),LEN(W363)-LEN(SUBSTITUTE(W363,"、",""))+1))</f>
        <v/>
      </c>
      <c r="N363" s="85">
        <f>IF(OR(Y363="估算法",Y363="算法类",Y363="无法识别"),"",IF(X363="",IF(OR(J363="ILF",J363="EIF"),0,""),LEN(X363)-LEN(SUBSTITUTE(X363,"、",""))+1))</f>
        <v/>
      </c>
      <c r="O363" s="85">
        <f>IF(OR(Y363="估算法",Y363="算法类",Y363="无法识别"),"",IF(Y363="",IF(OR(J363="ILF",J363="EIF",J363="EI",J363="EO",J363="EQ"),0,""),LEN(Y363)-LEN(SUBSTITUTE(SUBSTITUTE(SUBSTITUTE(SUBSTITUTE(SUBSTITUTE(Y363,"|}","--"),"{|","--"),CHAR(10),""),"、",""),"|",""))+IF(AND(OR(J363="EI",J363="EO",J363="EQ"),$AE$1="NESMA"),2,1)))</f>
        <v/>
      </c>
      <c r="P363" s="86">
        <f>IF(J363="EI",IF(OR(Y363="估算法",Y363="算法类"),"中",IF(Y363="无法识别","低",IF(M363&lt;2,IF(O363&lt;16,"低","中"),IF(M363&lt;3,IF(O363&lt;5,"低",IF(O363&lt;16,"中","高")),IF(O363&lt;5,"中","高"))))),IF(OR(J363="EO",J363="EQ"),IF(OR(Y363="估算法",Y363="算法类"),"中",IF(Y363="无法识别","低",IF(M363&lt;2,IF(O363&lt;20,"低","中"),IF(M363&lt;4,IF(O363&lt;6,"低",IF(O363&lt;20,"中","高")),IF(O363&lt;6,"中","高"))))),IF(OR(J363="ILF",J363="EIF"),IF(OR(Y363="估算法",Y363="算法类",Y363="无法识别"),"低",IF(N363&lt;2,IF(O363&lt;51,"低","中"),IF(N363&lt;6,IF(O363&lt;20,"低",IF(O363&lt;51,"中","高")),IF(O363&lt;20,"中","高")))),"不计算")))</f>
        <v/>
      </c>
      <c r="Q363" s="172">
        <f>IFERROR(IF(J363="EI",IF(P363="低",3,IF(P363="中",4,6)),IF(J363="EO",IF(P363="低",4,IF(P363="中",5,7)),IF(J363="EQ",IF(P363="低",3,IF(P363="中",4,6)),IF(J363="ILF",IF(P363="低",7,IF(P363="中",10,15)),IF(J363="EIF",IF(P363="低",5,IF(P363="中",7,10)),"不计算")))))*R363,"不计算")</f>
        <v/>
      </c>
      <c r="R363" s="172" t="n">
        <v>0</v>
      </c>
      <c r="S363" s="173">
        <f>调整因子!$F$13</f>
        <v/>
      </c>
      <c r="T363" s="92" t="n">
        <v>1</v>
      </c>
      <c r="U363" s="174">
        <f>IFERROR(Q363*S363,0)</f>
        <v/>
      </c>
      <c r="V363" s="174">
        <f>U363*T363</f>
        <v/>
      </c>
      <c r="W363" s="91" t="n"/>
      <c r="X363" s="90" t="inlineStr">
        <is>
          <t>插件类型统计数据表</t>
        </is>
      </c>
      <c r="Y363" s="90" t="inlineStr">
        <is>
          <t>插件类型统计数据表{数据ID、插件类型、数量、统计时间}</t>
        </is>
      </c>
      <c r="Z363" s="90">
        <f>IF(COUNTIFS(W:W,"*"&amp;I363&amp;"*")&gt;0,"存在","不存在")</f>
        <v/>
      </c>
      <c r="AA363" s="90">
        <f>IF(COUNTIFS(AB:AB,"*"&amp;I363&amp;"*")&gt;0,"存在","不存在")</f>
        <v/>
      </c>
      <c r="AB363" s="103" t="inlineStr">
        <is>
          <t>数据清洗任务表、资产同步任务表</t>
        </is>
      </c>
      <c r="AC363" s="66" t="n"/>
    </row>
    <row r="364" s="112">
      <c r="A364" s="72">
        <f>ROW()-1</f>
        <v/>
      </c>
      <c r="B364" s="175" t="n"/>
      <c r="C364" s="80" t="n">
        <v>2025</v>
      </c>
      <c r="D364" s="80" t="inlineStr">
        <is>
          <t>张明峰</t>
        </is>
      </c>
      <c r="E364" s="81">
        <f>VLOOKUP(I364,'25年交付功能（不含废弃）'!A:A,1,FALSE)</f>
        <v/>
      </c>
      <c r="F364" s="175" t="n"/>
      <c r="G364" s="175" t="n"/>
      <c r="H364" s="175" t="n"/>
      <c r="I364" s="98" t="inlineStr">
        <is>
          <t>漏洞类型统计数据表</t>
        </is>
      </c>
      <c r="J364" s="93" t="inlineStr">
        <is>
          <t>ILF</t>
        </is>
      </c>
      <c r="K364" s="84" t="n"/>
      <c r="L364" s="84" t="inlineStr">
        <is>
          <t>数据库表未被本系统所维护</t>
        </is>
      </c>
      <c r="M364" s="85">
        <f>IF(OR(Y364="估算法",Y364="算法类",Y364="无法识别"),"",IF(W364="",IF(OR(J364="EI",J364="EO",J364="EQ"),0,""),LEN(W364)-LEN(SUBSTITUTE(W364,"、",""))+1))</f>
        <v/>
      </c>
      <c r="N364" s="85">
        <f>IF(OR(Y364="估算法",Y364="算法类",Y364="无法识别"),"",IF(X364="",IF(OR(J364="ILF",J364="EIF"),0,""),LEN(X364)-LEN(SUBSTITUTE(X364,"、",""))+1))</f>
        <v/>
      </c>
      <c r="O364" s="85">
        <f>IF(OR(Y364="估算法",Y364="算法类",Y364="无法识别"),"",IF(Y364="",IF(OR(J364="ILF",J364="EIF",J364="EI",J364="EO",J364="EQ"),0,""),LEN(Y364)-LEN(SUBSTITUTE(SUBSTITUTE(SUBSTITUTE(SUBSTITUTE(SUBSTITUTE(Y364,"|}","--"),"{|","--"),CHAR(10),""),"、",""),"|",""))+IF(AND(OR(J364="EI",J364="EO",J364="EQ"),$AE$1="NESMA"),2,1)))</f>
        <v/>
      </c>
      <c r="P364" s="86">
        <f>IF(J364="EI",IF(OR(Y364="估算法",Y364="算法类"),"中",IF(Y364="无法识别","低",IF(M364&lt;2,IF(O364&lt;16,"低","中"),IF(M364&lt;3,IF(O364&lt;5,"低",IF(O364&lt;16,"中","高")),IF(O364&lt;5,"中","高"))))),IF(OR(J364="EO",J364="EQ"),IF(OR(Y364="估算法",Y364="算法类"),"中",IF(Y364="无法识别","低",IF(M364&lt;2,IF(O364&lt;20,"低","中"),IF(M364&lt;4,IF(O364&lt;6,"低",IF(O364&lt;20,"中","高")),IF(O364&lt;6,"中","高"))))),IF(OR(J364="ILF",J364="EIF"),IF(OR(Y364="估算法",Y364="算法类",Y364="无法识别"),"低",IF(N364&lt;2,IF(O364&lt;51,"低","中"),IF(N364&lt;6,IF(O364&lt;20,"低",IF(O364&lt;51,"中","高")),IF(O364&lt;20,"中","高")))),"不计算")))</f>
        <v/>
      </c>
      <c r="Q364" s="172">
        <f>IFERROR(IF(J364="EI",IF(P364="低",3,IF(P364="中",4,6)),IF(J364="EO",IF(P364="低",4,IF(P364="中",5,7)),IF(J364="EQ",IF(P364="低",3,IF(P364="中",4,6)),IF(J364="ILF",IF(P364="低",7,IF(P364="中",10,15)),IF(J364="EIF",IF(P364="低",5,IF(P364="中",7,10)),"不计算")))))*R364,"不计算")</f>
        <v/>
      </c>
      <c r="R364" s="172" t="n">
        <v>0</v>
      </c>
      <c r="S364" s="173">
        <f>调整因子!$F$13</f>
        <v/>
      </c>
      <c r="T364" s="92" t="n">
        <v>1</v>
      </c>
      <c r="U364" s="174">
        <f>IFERROR(Q364*S364,0)</f>
        <v/>
      </c>
      <c r="V364" s="174">
        <f>U364*T364</f>
        <v/>
      </c>
      <c r="W364" s="91" t="n"/>
      <c r="X364" s="90" t="inlineStr">
        <is>
          <t>漏洞类型统计数据表</t>
        </is>
      </c>
      <c r="Y364" s="90" t="inlineStr">
        <is>
          <t>漏洞类型统计数据表{数据ID、漏洞类型、数量、统计时间}</t>
        </is>
      </c>
      <c r="Z364" s="90">
        <f>IF(COUNTIFS(W:W,"*"&amp;I364&amp;"*")&gt;0,"存在","不存在")</f>
        <v/>
      </c>
      <c r="AA364" s="90">
        <f>IF(COUNTIFS(AB:AB,"*"&amp;I364&amp;"*")&gt;0,"存在","不存在")</f>
        <v/>
      </c>
      <c r="AB364" s="103" t="inlineStr">
        <is>
          <t>数据清洗任务表</t>
        </is>
      </c>
      <c r="AC364" s="66" t="n"/>
    </row>
    <row r="365" s="112">
      <c r="A365" s="72">
        <f>ROW()-1</f>
        <v/>
      </c>
      <c r="B365" s="175" t="n"/>
      <c r="C365" s="80" t="n">
        <v>2025</v>
      </c>
      <c r="D365" s="80" t="inlineStr">
        <is>
          <t>张明峰</t>
        </is>
      </c>
      <c r="E365" s="81">
        <f>VLOOKUP(I365,'25年交付功能（不含废弃）'!A:A,1,FALSE)</f>
        <v/>
      </c>
      <c r="F365" s="175" t="n"/>
      <c r="G365" s="175" t="n"/>
      <c r="H365" s="175" t="n"/>
      <c r="I365" s="98" t="inlineStr">
        <is>
          <t>插件等级统计数据表</t>
        </is>
      </c>
      <c r="J365" s="93" t="inlineStr">
        <is>
          <t>ILF</t>
        </is>
      </c>
      <c r="K365" s="84" t="n"/>
      <c r="L365" s="84" t="inlineStr">
        <is>
          <t>数据库表未被本系统所维护</t>
        </is>
      </c>
      <c r="M365" s="85">
        <f>IF(OR(Y365="估算法",Y365="算法类",Y365="无法识别"),"",IF(W365="",IF(OR(J365="EI",J365="EO",J365="EQ"),0,""),LEN(W365)-LEN(SUBSTITUTE(W365,"、",""))+1))</f>
        <v/>
      </c>
      <c r="N365" s="85">
        <f>IF(OR(Y365="估算法",Y365="算法类",Y365="无法识别"),"",IF(X365="",IF(OR(J365="ILF",J365="EIF"),0,""),LEN(X365)-LEN(SUBSTITUTE(X365,"、",""))+1))</f>
        <v/>
      </c>
      <c r="O365" s="85">
        <f>IF(OR(Y365="估算法",Y365="算法类",Y365="无法识别"),"",IF(Y365="",IF(OR(J365="ILF",J365="EIF",J365="EI",J365="EO",J365="EQ"),0,""),LEN(Y365)-LEN(SUBSTITUTE(SUBSTITUTE(SUBSTITUTE(SUBSTITUTE(SUBSTITUTE(Y365,"|}","--"),"{|","--"),CHAR(10),""),"、",""),"|",""))+IF(AND(OR(J365="EI",J365="EO",J365="EQ"),$AE$1="NESMA"),2,1)))</f>
        <v/>
      </c>
      <c r="P365" s="86">
        <f>IF(J365="EI",IF(OR(Y365="估算法",Y365="算法类"),"中",IF(Y365="无法识别","低",IF(M365&lt;2,IF(O365&lt;16,"低","中"),IF(M365&lt;3,IF(O365&lt;5,"低",IF(O365&lt;16,"中","高")),IF(O365&lt;5,"中","高"))))),IF(OR(J365="EO",J365="EQ"),IF(OR(Y365="估算法",Y365="算法类"),"中",IF(Y365="无法识别","低",IF(M365&lt;2,IF(O365&lt;20,"低","中"),IF(M365&lt;4,IF(O365&lt;6,"低",IF(O365&lt;20,"中","高")),IF(O365&lt;6,"中","高"))))),IF(OR(J365="ILF",J365="EIF"),IF(OR(Y365="估算法",Y365="算法类",Y365="无法识别"),"低",IF(N365&lt;2,IF(O365&lt;51,"低","中"),IF(N365&lt;6,IF(O365&lt;20,"低",IF(O365&lt;51,"中","高")),IF(O365&lt;20,"中","高")))),"不计算")))</f>
        <v/>
      </c>
      <c r="Q365" s="172">
        <f>IFERROR(IF(J365="EI",IF(P365="低",3,IF(P365="中",4,6)),IF(J365="EO",IF(P365="低",4,IF(P365="中",5,7)),IF(J365="EQ",IF(P365="低",3,IF(P365="中",4,6)),IF(J365="ILF",IF(P365="低",7,IF(P365="中",10,15)),IF(J365="EIF",IF(P365="低",5,IF(P365="中",7,10)),"不计算")))))*R365,"不计算")</f>
        <v/>
      </c>
      <c r="R365" s="172" t="n">
        <v>0</v>
      </c>
      <c r="S365" s="173">
        <f>调整因子!$F$13</f>
        <v/>
      </c>
      <c r="T365" s="93" t="n">
        <v>1</v>
      </c>
      <c r="U365" s="174">
        <f>IFERROR(Q365*S365,0)</f>
        <v/>
      </c>
      <c r="V365" s="174">
        <f>U365*T365</f>
        <v/>
      </c>
      <c r="W365" s="91" t="n"/>
      <c r="X365" s="90" t="inlineStr">
        <is>
          <t>插件等级统计数据表</t>
        </is>
      </c>
      <c r="Y365" s="90" t="inlineStr">
        <is>
          <t>插件等级统计数据表{数据ID、插件等级、数量、统计时间}</t>
        </is>
      </c>
      <c r="Z365" s="90">
        <f>IF(COUNTIFS(W:W,"*"&amp;I365&amp;"*")&gt;0,"存在","不存在")</f>
        <v/>
      </c>
      <c r="AA365" s="90">
        <f>IF(COUNTIFS(AB:AB,"*"&amp;I365&amp;"*")&gt;0,"存在","不存在")</f>
        <v/>
      </c>
      <c r="AB365" s="103" t="inlineStr">
        <is>
          <t>数据清洗任务表</t>
        </is>
      </c>
      <c r="AC365" s="66" t="n"/>
    </row>
    <row r="366" s="112">
      <c r="A366" s="72">
        <f>ROW()-1</f>
        <v/>
      </c>
      <c r="B366" s="175" t="n"/>
      <c r="C366" s="80" t="n">
        <v>2025</v>
      </c>
      <c r="D366" s="80" t="inlineStr">
        <is>
          <t>张明峰</t>
        </is>
      </c>
      <c r="E366" s="81">
        <f>VLOOKUP(I366,'25年交付功能（不含废弃）'!A:A,1,FALSE)</f>
        <v/>
      </c>
      <c r="F366" s="175" t="n"/>
      <c r="G366" s="175" t="n"/>
      <c r="H366" s="175" t="n"/>
      <c r="I366" s="98" t="inlineStr">
        <is>
          <t>漏洞时间趋势统计表</t>
        </is>
      </c>
      <c r="J366" s="93" t="inlineStr">
        <is>
          <t>ILF</t>
        </is>
      </c>
      <c r="K366" s="84" t="n"/>
      <c r="L366" s="84" t="inlineStr">
        <is>
          <t>数据库表未被本系统所维护</t>
        </is>
      </c>
      <c r="M366" s="85">
        <f>IF(OR(Y366="估算法",Y366="算法类",Y366="无法识别"),"",IF(W366="",IF(OR(J366="EI",J366="EO",J366="EQ"),0,""),LEN(W366)-LEN(SUBSTITUTE(W366,"、",""))+1))</f>
        <v/>
      </c>
      <c r="N366" s="85">
        <f>IF(OR(Y366="估算法",Y366="算法类",Y366="无法识别"),"",IF(X366="",IF(OR(J366="ILF",J366="EIF"),0,""),LEN(X366)-LEN(SUBSTITUTE(X366,"、",""))+1))</f>
        <v/>
      </c>
      <c r="O366" s="85">
        <f>IF(OR(Y366="估算法",Y366="算法类",Y366="无法识别"),"",IF(Y366="",IF(OR(J366="ILF",J366="EIF",J366="EI",J366="EO",J366="EQ"),0,""),LEN(Y366)-LEN(SUBSTITUTE(SUBSTITUTE(SUBSTITUTE(SUBSTITUTE(SUBSTITUTE(Y366,"|}","--"),"{|","--"),CHAR(10),""),"、",""),"|",""))+IF(AND(OR(J366="EI",J366="EO",J366="EQ"),$AE$1="NESMA"),2,1)))</f>
        <v/>
      </c>
      <c r="P366" s="86">
        <f>IF(J366="EI",IF(OR(Y366="估算法",Y366="算法类"),"中",IF(Y366="无法识别","低",IF(M366&lt;2,IF(O366&lt;16,"低","中"),IF(M366&lt;3,IF(O366&lt;5,"低",IF(O366&lt;16,"中","高")),IF(O366&lt;5,"中","高"))))),IF(OR(J366="EO",J366="EQ"),IF(OR(Y366="估算法",Y366="算法类"),"中",IF(Y366="无法识别","低",IF(M366&lt;2,IF(O366&lt;20,"低","中"),IF(M366&lt;4,IF(O366&lt;6,"低",IF(O366&lt;20,"中","高")),IF(O366&lt;6,"中","高"))))),IF(OR(J366="ILF",J366="EIF"),IF(OR(Y366="估算法",Y366="算法类",Y366="无法识别"),"低",IF(N366&lt;2,IF(O366&lt;51,"低","中"),IF(N366&lt;6,IF(O366&lt;20,"低",IF(O366&lt;51,"中","高")),IF(O366&lt;20,"中","高")))),"不计算")))</f>
        <v/>
      </c>
      <c r="Q366" s="172">
        <f>IFERROR(IF(J366="EI",IF(P366="低",3,IF(P366="中",4,6)),IF(J366="EO",IF(P366="低",4,IF(P366="中",5,7)),IF(J366="EQ",IF(P366="低",3,IF(P366="中",4,6)),IF(J366="ILF",IF(P366="低",7,IF(P366="中",10,15)),IF(J366="EIF",IF(P366="低",5,IF(P366="中",7,10)),"不计算")))))*R366,"不计算")</f>
        <v/>
      </c>
      <c r="R366" s="172" t="n">
        <v>0</v>
      </c>
      <c r="S366" s="173">
        <f>调整因子!$F$13</f>
        <v/>
      </c>
      <c r="T366" s="92" t="n">
        <v>1</v>
      </c>
      <c r="U366" s="174">
        <f>IFERROR(Q366*S366,0)</f>
        <v/>
      </c>
      <c r="V366" s="174">
        <f>U366*T366</f>
        <v/>
      </c>
      <c r="W366" s="91" t="n"/>
      <c r="X366" s="90" t="inlineStr">
        <is>
          <t>漏洞时间趋势统计表</t>
        </is>
      </c>
      <c r="Y366" s="90" t="inlineStr">
        <is>
          <t>漏洞时间趋势统计表{统计ID、时间段、漏洞数量、统计时间}</t>
        </is>
      </c>
      <c r="Z366" s="90">
        <f>IF(COUNTIFS(W:W,"*"&amp;I366&amp;"*")&gt;0,"存在","不存在")</f>
        <v/>
      </c>
      <c r="AA366" s="90">
        <f>IF(COUNTIFS(AB:AB,"*"&amp;I366&amp;"*")&gt;0,"存在","不存在")</f>
        <v/>
      </c>
      <c r="AB366" s="103" t="inlineStr">
        <is>
          <t>数据清洗任务表</t>
        </is>
      </c>
      <c r="AC366" s="66" t="n"/>
    </row>
    <row r="367" s="112">
      <c r="A367" s="72">
        <f>ROW()-1</f>
        <v/>
      </c>
      <c r="B367" s="175" t="n"/>
      <c r="C367" s="80" t="n">
        <v>2025</v>
      </c>
      <c r="D367" s="80" t="inlineStr">
        <is>
          <t>张明峰</t>
        </is>
      </c>
      <c r="E367" s="81">
        <f>VLOOKUP(I367,'25年交付功能（不含废弃）'!A:A,1,FALSE)</f>
        <v/>
      </c>
      <c r="F367" s="175" t="n"/>
      <c r="G367" s="175" t="n"/>
      <c r="H367" s="175" t="n"/>
      <c r="I367" s="98" t="inlineStr">
        <is>
          <t>IP风险率统计表</t>
        </is>
      </c>
      <c r="J367" s="93" t="inlineStr">
        <is>
          <t>ILF</t>
        </is>
      </c>
      <c r="K367" s="84" t="n"/>
      <c r="L367" s="84" t="inlineStr">
        <is>
          <t>数据库表未被本系统所维护</t>
        </is>
      </c>
      <c r="M367" s="85">
        <f>IF(OR(Y367="估算法",Y367="算法类",Y367="无法识别"),"",IF(W367="",IF(OR(J367="EI",J367="EO",J367="EQ"),0,""),LEN(W367)-LEN(SUBSTITUTE(W367,"、",""))+1))</f>
        <v/>
      </c>
      <c r="N367" s="85">
        <f>IF(OR(Y367="估算法",Y367="算法类",Y367="无法识别"),"",IF(X367="",IF(OR(J367="ILF",J367="EIF"),0,""),LEN(X367)-LEN(SUBSTITUTE(X367,"、",""))+1))</f>
        <v/>
      </c>
      <c r="O367" s="85">
        <f>IF(OR(Y367="估算法",Y367="算法类",Y367="无法识别"),"",IF(Y367="",IF(OR(J367="ILF",J367="EIF",J367="EI",J367="EO",J367="EQ"),0,""),LEN(Y367)-LEN(SUBSTITUTE(SUBSTITUTE(SUBSTITUTE(SUBSTITUTE(SUBSTITUTE(Y367,"|}","--"),"{|","--"),CHAR(10),""),"、",""),"|",""))+IF(AND(OR(J367="EI",J367="EO",J367="EQ"),$AE$1="NESMA"),2,1)))</f>
        <v/>
      </c>
      <c r="P367" s="86">
        <f>IF(J367="EI",IF(OR(Y367="估算法",Y367="算法类"),"中",IF(Y367="无法识别","低",IF(M367&lt;2,IF(O367&lt;16,"低","中"),IF(M367&lt;3,IF(O367&lt;5,"低",IF(O367&lt;16,"中","高")),IF(O367&lt;5,"中","高"))))),IF(OR(J367="EO",J367="EQ"),IF(OR(Y367="估算法",Y367="算法类"),"中",IF(Y367="无法识别","低",IF(M367&lt;2,IF(O367&lt;20,"低","中"),IF(M367&lt;4,IF(O367&lt;6,"低",IF(O367&lt;20,"中","高")),IF(O367&lt;6,"中","高"))))),IF(OR(J367="ILF",J367="EIF"),IF(OR(Y367="估算法",Y367="算法类",Y367="无法识别"),"低",IF(N367&lt;2,IF(O367&lt;51,"低","中"),IF(N367&lt;6,IF(O367&lt;20,"低",IF(O367&lt;51,"中","高")),IF(O367&lt;20,"中","高")))),"不计算")))</f>
        <v/>
      </c>
      <c r="Q367" s="172">
        <f>IFERROR(IF(J367="EI",IF(P367="低",3,IF(P367="中",4,6)),IF(J367="EO",IF(P367="低",4,IF(P367="中",5,7)),IF(J367="EQ",IF(P367="低",3,IF(P367="中",4,6)),IF(J367="ILF",IF(P367="低",7,IF(P367="中",10,15)),IF(J367="EIF",IF(P367="低",5,IF(P367="中",7,10)),"不计算")))))*R367,"不计算")</f>
        <v/>
      </c>
      <c r="R367" s="172" t="n">
        <v>0</v>
      </c>
      <c r="S367" s="173">
        <f>调整因子!$F$13</f>
        <v/>
      </c>
      <c r="T367" s="92" t="n">
        <v>1</v>
      </c>
      <c r="U367" s="174">
        <f>IFERROR(Q367*S367,0)</f>
        <v/>
      </c>
      <c r="V367" s="174">
        <f>U367*T367</f>
        <v/>
      </c>
      <c r="W367" s="91" t="n"/>
      <c r="X367" s="90" t="inlineStr">
        <is>
          <t>IP风险率统计表</t>
        </is>
      </c>
      <c r="Y367" s="90" t="inlineStr">
        <is>
          <t>IP风险率统计表{统计ID、IP地址、风险率、统计时间}</t>
        </is>
      </c>
      <c r="Z367" s="90">
        <f>IF(COUNTIFS(W:W,"*"&amp;I367&amp;"*")&gt;0,"存在","不存在")</f>
        <v/>
      </c>
      <c r="AA367" s="90">
        <f>IF(COUNTIFS(AB:AB,"*"&amp;I367&amp;"*")&gt;0,"存在","不存在")</f>
        <v/>
      </c>
      <c r="AB367" s="103" t="inlineStr">
        <is>
          <t>漏洞查询接口配置表</t>
        </is>
      </c>
      <c r="AC367" s="66" t="n"/>
    </row>
    <row r="368" s="112">
      <c r="A368" s="72">
        <f>ROW()-1</f>
        <v/>
      </c>
      <c r="B368" s="175" t="n"/>
      <c r="C368" s="80" t="n">
        <v>2025</v>
      </c>
      <c r="D368" s="80" t="inlineStr">
        <is>
          <t>张明峰</t>
        </is>
      </c>
      <c r="E368" s="81">
        <f>VLOOKUP(I368,'25年交付功能（不含废弃）'!A:A,1,FALSE)</f>
        <v/>
      </c>
      <c r="F368" s="175" t="n"/>
      <c r="G368" s="175" t="n"/>
      <c r="H368" s="175" t="n"/>
      <c r="I368" s="98" t="inlineStr">
        <is>
          <t>端口风险率统计表</t>
        </is>
      </c>
      <c r="J368" s="93" t="inlineStr">
        <is>
          <t>ILF</t>
        </is>
      </c>
      <c r="K368" s="84" t="n"/>
      <c r="L368" s="84" t="inlineStr">
        <is>
          <t>数据库表未被本系统所维护</t>
        </is>
      </c>
      <c r="M368" s="85">
        <f>IF(OR(Y368="估算法",Y368="算法类",Y368="无法识别"),"",IF(W368="",IF(OR(J368="EI",J368="EO",J368="EQ"),0,""),LEN(W368)-LEN(SUBSTITUTE(W368,"、",""))+1))</f>
        <v/>
      </c>
      <c r="N368" s="85">
        <f>IF(OR(Y368="估算法",Y368="算法类",Y368="无法识别"),"",IF(X368="",IF(OR(J368="ILF",J368="EIF"),0,""),LEN(X368)-LEN(SUBSTITUTE(X368,"、",""))+1))</f>
        <v/>
      </c>
      <c r="O368" s="85">
        <f>IF(OR(Y368="估算法",Y368="算法类",Y368="无法识别"),"",IF(Y368="",IF(OR(J368="ILF",J368="EIF",J368="EI",J368="EO",J368="EQ"),0,""),LEN(Y368)-LEN(SUBSTITUTE(SUBSTITUTE(SUBSTITUTE(SUBSTITUTE(SUBSTITUTE(Y368,"|}","--"),"{|","--"),CHAR(10),""),"、",""),"|",""))+IF(AND(OR(J368="EI",J368="EO",J368="EQ"),$AE$1="NESMA"),2,1)))</f>
        <v/>
      </c>
      <c r="P368" s="86">
        <f>IF(J368="EI",IF(OR(Y368="估算法",Y368="算法类"),"中",IF(Y368="无法识别","低",IF(M368&lt;2,IF(O368&lt;16,"低","中"),IF(M368&lt;3,IF(O368&lt;5,"低",IF(O368&lt;16,"中","高")),IF(O368&lt;5,"中","高"))))),IF(OR(J368="EO",J368="EQ"),IF(OR(Y368="估算法",Y368="算法类"),"中",IF(Y368="无法识别","低",IF(M368&lt;2,IF(O368&lt;20,"低","中"),IF(M368&lt;4,IF(O368&lt;6,"低",IF(O368&lt;20,"中","高")),IF(O368&lt;6,"中","高"))))),IF(OR(J368="ILF",J368="EIF"),IF(OR(Y368="估算法",Y368="算法类",Y368="无法识别"),"低",IF(N368&lt;2,IF(O368&lt;51,"低","中"),IF(N368&lt;6,IF(O368&lt;20,"低",IF(O368&lt;51,"中","高")),IF(O368&lt;20,"中","高")))),"不计算")))</f>
        <v/>
      </c>
      <c r="Q368" s="172">
        <f>IFERROR(IF(J368="EI",IF(P368="低",3,IF(P368="中",4,6)),IF(J368="EO",IF(P368="低",4,IF(P368="中",5,7)),IF(J368="EQ",IF(P368="低",3,IF(P368="中",4,6)),IF(J368="ILF",IF(P368="低",7,IF(P368="中",10,15)),IF(J368="EIF",IF(P368="低",5,IF(P368="中",7,10)),"不计算")))))*R368,"不计算")</f>
        <v/>
      </c>
      <c r="R368" s="172" t="n">
        <v>0</v>
      </c>
      <c r="S368" s="173">
        <f>调整因子!$F$13</f>
        <v/>
      </c>
      <c r="T368" s="93" t="n">
        <v>1</v>
      </c>
      <c r="U368" s="174">
        <f>IFERROR(Q368*S368,0)</f>
        <v/>
      </c>
      <c r="V368" s="174">
        <f>U368*T368</f>
        <v/>
      </c>
      <c r="W368" s="91" t="n"/>
      <c r="X368" s="90" t="inlineStr">
        <is>
          <t>端口风险率统计表</t>
        </is>
      </c>
      <c r="Y368" s="90" t="inlineStr">
        <is>
          <t>端口风险率统计表{统计ID、端口号、风险率、统计时间}</t>
        </is>
      </c>
      <c r="Z368" s="90">
        <f>IF(COUNTIFS(W:W,"*"&amp;I368&amp;"*")&gt;0,"存在","不存在")</f>
        <v/>
      </c>
      <c r="AA368" s="90">
        <f>IF(COUNTIFS(AB:AB,"*"&amp;I368&amp;"*")&gt;0,"存在","不存在")</f>
        <v/>
      </c>
      <c r="AB368" s="103" t="inlineStr">
        <is>
          <t>任务优先级配置表</t>
        </is>
      </c>
      <c r="AC368" s="66" t="n"/>
    </row>
    <row r="369" s="112">
      <c r="A369" s="72">
        <f>ROW()-1</f>
        <v/>
      </c>
      <c r="B369" s="175" t="n"/>
      <c r="C369" s="80" t="n">
        <v>2025</v>
      </c>
      <c r="D369" s="80" t="inlineStr">
        <is>
          <t>张明峰</t>
        </is>
      </c>
      <c r="E369" s="81">
        <f>VLOOKUP(I369,'25年交付功能（不含废弃）'!A:A,1,FALSE)</f>
        <v/>
      </c>
      <c r="F369" s="175" t="n"/>
      <c r="G369" s="175" t="n"/>
      <c r="H369" s="176" t="n"/>
      <c r="I369" s="98" t="inlineStr">
        <is>
          <t>协议风险率统计表</t>
        </is>
      </c>
      <c r="J369" s="93" t="inlineStr">
        <is>
          <t>ILF</t>
        </is>
      </c>
      <c r="K369" s="84" t="n"/>
      <c r="L369" s="84" t="inlineStr">
        <is>
          <t>数据库表未被本系统所维护</t>
        </is>
      </c>
      <c r="M369" s="85">
        <f>IF(OR(Y369="估算法",Y369="算法类",Y369="无法识别"),"",IF(W369="",IF(OR(J369="EI",J369="EO",J369="EQ"),0,""),LEN(W369)-LEN(SUBSTITUTE(W369,"、",""))+1))</f>
        <v/>
      </c>
      <c r="N369" s="85">
        <f>IF(OR(Y369="估算法",Y369="算法类",Y369="无法识别"),"",IF(X369="",IF(OR(J369="ILF",J369="EIF"),0,""),LEN(X369)-LEN(SUBSTITUTE(X369,"、",""))+1))</f>
        <v/>
      </c>
      <c r="O369" s="85">
        <f>IF(OR(Y369="估算法",Y369="算法类",Y369="无法识别"),"",IF(Y369="",IF(OR(J369="ILF",J369="EIF",J369="EI",J369="EO",J369="EQ"),0,""),LEN(Y369)-LEN(SUBSTITUTE(SUBSTITUTE(SUBSTITUTE(SUBSTITUTE(SUBSTITUTE(Y369,"|}","--"),"{|","--"),CHAR(10),""),"、",""),"|",""))+IF(AND(OR(J369="EI",J369="EO",J369="EQ"),$AE$1="NESMA"),2,1)))</f>
        <v/>
      </c>
      <c r="P369" s="86">
        <f>IF(J369="EI",IF(OR(Y369="估算法",Y369="算法类"),"中",IF(Y369="无法识别","低",IF(M369&lt;2,IF(O369&lt;16,"低","中"),IF(M369&lt;3,IF(O369&lt;5,"低",IF(O369&lt;16,"中","高")),IF(O369&lt;5,"中","高"))))),IF(OR(J369="EO",J369="EQ"),IF(OR(Y369="估算法",Y369="算法类"),"中",IF(Y369="无法识别","低",IF(M369&lt;2,IF(O369&lt;20,"低","中"),IF(M369&lt;4,IF(O369&lt;6,"低",IF(O369&lt;20,"中","高")),IF(O369&lt;6,"中","高"))))),IF(OR(J369="ILF",J369="EIF"),IF(OR(Y369="估算法",Y369="算法类",Y369="无法识别"),"低",IF(N369&lt;2,IF(O369&lt;51,"低","中"),IF(N369&lt;6,IF(O369&lt;20,"低",IF(O369&lt;51,"中","高")),IF(O369&lt;20,"中","高")))),"不计算")))</f>
        <v/>
      </c>
      <c r="Q369" s="172">
        <f>IFERROR(IF(J369="EI",IF(P369="低",3,IF(P369="中",4,6)),IF(J369="EO",IF(P369="低",4,IF(P369="中",5,7)),IF(J369="EQ",IF(P369="低",3,IF(P369="中",4,6)),IF(J369="ILF",IF(P369="低",7,IF(P369="中",10,15)),IF(J369="EIF",IF(P369="低",5,IF(P369="中",7,10)),"不计算")))))*R369,"不计算")</f>
        <v/>
      </c>
      <c r="R369" s="172" t="n">
        <v>0</v>
      </c>
      <c r="S369" s="173">
        <f>调整因子!$F$13</f>
        <v/>
      </c>
      <c r="T369" s="92" t="n">
        <v>1</v>
      </c>
      <c r="U369" s="174">
        <f>IFERROR(Q369*S369,0)</f>
        <v/>
      </c>
      <c r="V369" s="174">
        <f>U369*T369</f>
        <v/>
      </c>
      <c r="W369" s="91" t="n"/>
      <c r="X369" s="90" t="inlineStr">
        <is>
          <t>协议风险率统计表</t>
        </is>
      </c>
      <c r="Y369" s="90" t="inlineStr">
        <is>
          <t>协议风险率统计表{统计ID、协议类型、风险率、统计时间}</t>
        </is>
      </c>
      <c r="Z369" s="90">
        <f>IF(COUNTIFS(W:W,"*"&amp;I369&amp;"*")&gt;0,"存在","不存在")</f>
        <v/>
      </c>
      <c r="AA369" s="90">
        <f>IF(COUNTIFS(AB:AB,"*"&amp;I369&amp;"*")&gt;0,"存在","不存在")</f>
        <v/>
      </c>
      <c r="AB369" s="103" t="inlineStr">
        <is>
          <t>任务优先级配置表、模板参数配置表</t>
        </is>
      </c>
      <c r="AC369" s="66" t="n"/>
    </row>
    <row r="370" s="112">
      <c r="A370" s="72">
        <f>ROW()-1</f>
        <v/>
      </c>
      <c r="B370" s="175" t="n"/>
      <c r="C370" s="80" t="n">
        <v>2025</v>
      </c>
      <c r="D370" s="80" t="inlineStr">
        <is>
          <t>张明峰</t>
        </is>
      </c>
      <c r="E370" s="81">
        <f>VLOOKUP(I370,'25年交付功能（不含废弃）'!A:A,1,FALSE)</f>
        <v/>
      </c>
      <c r="F370" s="175" t="n"/>
      <c r="G370" s="175" t="n"/>
      <c r="H370" s="93" t="inlineStr">
        <is>
          <t>部企接口信息</t>
        </is>
      </c>
      <c r="I370" s="98" t="inlineStr">
        <is>
          <t>查看部企接口列表</t>
        </is>
      </c>
      <c r="J370" s="93" t="inlineStr">
        <is>
          <t>EQ</t>
        </is>
      </c>
      <c r="K370" s="84" t="n"/>
      <c r="L370" s="84" t="n"/>
      <c r="M370" s="85">
        <f>IF(OR(Y370="估算法",Y370="算法类",Y370="无法识别"),"",IF(W370="",IF(OR(J370="EI",J370="EO",J370="EQ"),0,""),LEN(W370)-LEN(SUBSTITUTE(W370,"、",""))+1))</f>
        <v/>
      </c>
      <c r="N370" s="85">
        <f>IF(OR(Y370="估算法",Y370="算法类",Y370="无法识别"),"",IF(X370="",IF(OR(J370="ILF",J370="EIF"),0,""),LEN(X370)-LEN(SUBSTITUTE(X370,"、",""))+1))</f>
        <v/>
      </c>
      <c r="O370" s="85">
        <f>IF(OR(Y370="估算法",Y370="算法类",Y370="无法识别"),"",IF(Y370="",IF(OR(J370="ILF",J370="EIF",J370="EI",J370="EO",J370="EQ"),0,""),LEN(Y370)-LEN(SUBSTITUTE(SUBSTITUTE(SUBSTITUTE(SUBSTITUTE(SUBSTITUTE(Y370,"|}","--"),"{|","--"),CHAR(10),""),"、",""),"|",""))+IF(AND(OR(J370="EI",J370="EO",J370="EQ"),$AE$1="NESMA"),2,1)))</f>
        <v/>
      </c>
      <c r="P370" s="86">
        <f>IF(J370="EI",IF(OR(Y370="估算法",Y370="算法类"),"中",IF(Y370="无法识别","低",IF(M370&lt;2,IF(O370&lt;16,"低","中"),IF(M370&lt;3,IF(O370&lt;5,"低",IF(O370&lt;16,"中","高")),IF(O370&lt;5,"中","高"))))),IF(OR(J370="EO",J370="EQ"),IF(OR(Y370="估算法",Y370="算法类"),"中",IF(Y370="无法识别","低",IF(M370&lt;2,IF(O370&lt;20,"低","中"),IF(M370&lt;4,IF(O370&lt;6,"低",IF(O370&lt;20,"中","高")),IF(O370&lt;6,"中","高"))))),IF(OR(J370="ILF",J370="EIF"),IF(OR(Y370="估算法",Y370="算法类",Y370="无法识别"),"低",IF(N370&lt;2,IF(O370&lt;51,"低","中"),IF(N370&lt;6,IF(O370&lt;20,"低",IF(O370&lt;51,"中","高")),IF(O370&lt;20,"中","高")))),"不计算")))</f>
        <v/>
      </c>
      <c r="Q370" s="172">
        <f>IFERROR(IF(J370="EI",IF(P370="低",3,IF(P370="中",4,6)),IF(J370="EO",IF(P370="低",4,IF(P370="中",5,7)),IF(J370="EQ",IF(P370="低",3,IF(P370="中",4,6)),IF(J370="ILF",IF(P370="低",7,IF(P370="中",10,15)),IF(J370="EIF",IF(P370="低",5,IF(P370="中",7,10)),"不计算")))))*R370,"不计算")</f>
        <v/>
      </c>
      <c r="R370" s="172" t="n">
        <v>1</v>
      </c>
      <c r="S370" s="173">
        <f>调整因子!$F$13</f>
        <v/>
      </c>
      <c r="T370" s="92" t="n">
        <v>1</v>
      </c>
      <c r="U370" s="174">
        <f>IFERROR(Q370*S370,0)</f>
        <v/>
      </c>
      <c r="V370" s="174">
        <f>U370*T370</f>
        <v/>
      </c>
      <c r="W370" s="90" t="inlineStr">
        <is>
          <t>部企接口配置表</t>
        </is>
      </c>
      <c r="X370" s="113" t="n"/>
      <c r="Y370" s="90" t="inlineStr">
        <is>
          <t>部企接口配置表{配置ID、接口名称、配置内容、创建时间}</t>
        </is>
      </c>
      <c r="Z370" s="90" t="n"/>
      <c r="AA370" s="90" t="n"/>
      <c r="AB370" s="103" t="inlineStr">
        <is>
          <t>报告解析结果表</t>
        </is>
      </c>
      <c r="AC370" s="66" t="n"/>
    </row>
    <row r="371" s="112">
      <c r="A371" s="72">
        <f>ROW()-1</f>
        <v/>
      </c>
      <c r="B371" s="175" t="n"/>
      <c r="C371" s="80" t="n">
        <v>2025</v>
      </c>
      <c r="D371" s="80" t="inlineStr">
        <is>
          <t>张明峰</t>
        </is>
      </c>
      <c r="E371" s="81">
        <f>VLOOKUP(I371,'25年交付功能（不含废弃）'!A:A,1,FALSE)</f>
        <v/>
      </c>
      <c r="F371" s="175" t="n"/>
      <c r="G371" s="175" t="n"/>
      <c r="H371" s="175" t="n"/>
      <c r="I371" s="98" t="inlineStr">
        <is>
          <t>查看部企接口配置详情</t>
        </is>
      </c>
      <c r="J371" s="93" t="inlineStr">
        <is>
          <t>EQ</t>
        </is>
      </c>
      <c r="K371" s="84" t="n"/>
      <c r="L371" s="84" t="n"/>
      <c r="M371" s="85">
        <f>IF(OR(Y371="估算法",Y371="算法类",Y371="无法识别"),"",IF(W371="",IF(OR(J371="EI",J371="EO",J371="EQ"),0,""),LEN(W371)-LEN(SUBSTITUTE(W371,"、",""))+1))</f>
        <v/>
      </c>
      <c r="N371" s="85">
        <f>IF(OR(Y371="估算法",Y371="算法类",Y371="无法识别"),"",IF(X371="",IF(OR(J371="ILF",J371="EIF"),0,""),LEN(X371)-LEN(SUBSTITUTE(X371,"、",""))+1))</f>
        <v/>
      </c>
      <c r="O371" s="85">
        <f>IF(OR(Y371="估算法",Y371="算法类",Y371="无法识别"),"",IF(Y371="",IF(OR(J371="ILF",J371="EIF",J371="EI",J371="EO",J371="EQ"),0,""),LEN(Y371)-LEN(SUBSTITUTE(SUBSTITUTE(SUBSTITUTE(SUBSTITUTE(SUBSTITUTE(Y371,"|}","--"),"{|","--"),CHAR(10),""),"、",""),"|",""))+IF(AND(OR(J371="EI",J371="EO",J371="EQ"),$AE$1="NESMA"),2,1)))</f>
        <v/>
      </c>
      <c r="P371" s="86">
        <f>IF(J371="EI",IF(OR(Y371="估算法",Y371="算法类"),"中",IF(Y371="无法识别","低",IF(M371&lt;2,IF(O371&lt;16,"低","中"),IF(M371&lt;3,IF(O371&lt;5,"低",IF(O371&lt;16,"中","高")),IF(O371&lt;5,"中","高"))))),IF(OR(J371="EO",J371="EQ"),IF(OR(Y371="估算法",Y371="算法类"),"中",IF(Y371="无法识别","低",IF(M371&lt;2,IF(O371&lt;20,"低","中"),IF(M371&lt;4,IF(O371&lt;6,"低",IF(O371&lt;20,"中","高")),IF(O371&lt;6,"中","高"))))),IF(OR(J371="ILF",J371="EIF"),IF(OR(Y371="估算法",Y371="算法类",Y371="无法识别"),"低",IF(N371&lt;2,IF(O371&lt;51,"低","中"),IF(N371&lt;6,IF(O371&lt;20,"低",IF(O371&lt;51,"中","高")),IF(O371&lt;20,"中","高")))),"不计算")))</f>
        <v/>
      </c>
      <c r="Q371" s="172">
        <f>IFERROR(IF(J371="EI",IF(P371="低",3,IF(P371="中",4,6)),IF(J371="EO",IF(P371="低",4,IF(P371="中",5,7)),IF(J371="EQ",IF(P371="低",3,IF(P371="中",4,6)),IF(J371="ILF",IF(P371="低",7,IF(P371="中",10,15)),IF(J371="EIF",IF(P371="低",5,IF(P371="中",7,10)),"不计算")))))*R371,"不计算")</f>
        <v/>
      </c>
      <c r="R371" s="172" t="n">
        <v>1</v>
      </c>
      <c r="S371" s="173">
        <f>调整因子!$F$13</f>
        <v/>
      </c>
      <c r="T371" s="93" t="n">
        <v>1</v>
      </c>
      <c r="U371" s="174">
        <f>IFERROR(Q371*S371,0)</f>
        <v/>
      </c>
      <c r="V371" s="174">
        <f>U371*T371</f>
        <v/>
      </c>
      <c r="W371" s="90" t="inlineStr">
        <is>
          <t>部企接口配置表</t>
        </is>
      </c>
      <c r="X371" s="113" t="n"/>
      <c r="Y371" s="90" t="inlineStr">
        <is>
          <t>部企接口配置表{配置ID、接口名称、配置内容、创建时间}</t>
        </is>
      </c>
      <c r="Z371" s="90" t="n"/>
      <c r="AA371" s="90" t="n"/>
      <c r="AB371" s="103" t="inlineStr">
        <is>
          <t>推送日志表、扫描策略模板表</t>
        </is>
      </c>
      <c r="AC371" s="66" t="n"/>
    </row>
    <row r="372" s="112">
      <c r="A372" s="72">
        <f>ROW()-1</f>
        <v/>
      </c>
      <c r="B372" s="175" t="n"/>
      <c r="C372" s="80" t="n">
        <v>2025</v>
      </c>
      <c r="D372" s="80" t="inlineStr">
        <is>
          <t>张明峰</t>
        </is>
      </c>
      <c r="E372" s="81">
        <f>VLOOKUP(I372,'25年交付功能（不含废弃）'!A:A,1,FALSE)</f>
        <v/>
      </c>
      <c r="F372" s="175" t="n"/>
      <c r="G372" s="175" t="n"/>
      <c r="H372" s="175" t="n"/>
      <c r="I372" s="98" t="inlineStr">
        <is>
          <t>查看部企接口调用记录</t>
        </is>
      </c>
      <c r="J372" s="93" t="inlineStr">
        <is>
          <t>EQ</t>
        </is>
      </c>
      <c r="K372" s="84" t="n"/>
      <c r="L372" s="84" t="n"/>
      <c r="M372" s="85">
        <f>IF(OR(Y372="估算法",Y372="算法类",Y372="无法识别"),"",IF(W372="",IF(OR(J372="EI",J372="EO",J372="EQ"),0,""),LEN(W372)-LEN(SUBSTITUTE(W372,"、",""))+1))</f>
        <v/>
      </c>
      <c r="N372" s="85">
        <f>IF(OR(Y372="估算法",Y372="算法类",Y372="无法识别"),"",IF(X372="",IF(OR(J372="ILF",J372="EIF"),0,""),LEN(X372)-LEN(SUBSTITUTE(X372,"、",""))+1))</f>
        <v/>
      </c>
      <c r="O372" s="85">
        <f>IF(OR(Y372="估算法",Y372="算法类",Y372="无法识别"),"",IF(Y372="",IF(OR(J372="ILF",J372="EIF",J372="EI",J372="EO",J372="EQ"),0,""),LEN(Y372)-LEN(SUBSTITUTE(SUBSTITUTE(SUBSTITUTE(SUBSTITUTE(SUBSTITUTE(Y372,"|}","--"),"{|","--"),CHAR(10),""),"、",""),"|",""))+IF(AND(OR(J372="EI",J372="EO",J372="EQ"),$AE$1="NESMA"),2,1)))</f>
        <v/>
      </c>
      <c r="P372" s="86">
        <f>IF(J372="EI",IF(OR(Y372="估算法",Y372="算法类"),"中",IF(Y372="无法识别","低",IF(M372&lt;2,IF(O372&lt;16,"低","中"),IF(M372&lt;3,IF(O372&lt;5,"低",IF(O372&lt;16,"中","高")),IF(O372&lt;5,"中","高"))))),IF(OR(J372="EO",J372="EQ"),IF(OR(Y372="估算法",Y372="算法类"),"中",IF(Y372="无法识别","低",IF(M372&lt;2,IF(O372&lt;20,"低","中"),IF(M372&lt;4,IF(O372&lt;6,"低",IF(O372&lt;20,"中","高")),IF(O372&lt;6,"中","高"))))),IF(OR(J372="ILF",J372="EIF"),IF(OR(Y372="估算法",Y372="算法类",Y372="无法识别"),"低",IF(N372&lt;2,IF(O372&lt;51,"低","中"),IF(N372&lt;6,IF(O372&lt;20,"低",IF(O372&lt;51,"中","高")),IF(O372&lt;20,"中","高")))),"不计算")))</f>
        <v/>
      </c>
      <c r="Q372" s="172">
        <f>IFERROR(IF(J372="EI",IF(P372="低",3,IF(P372="中",4,6)),IF(J372="EO",IF(P372="低",4,IF(P372="中",5,7)),IF(J372="EQ",IF(P372="低",3,IF(P372="中",4,6)),IF(J372="ILF",IF(P372="低",7,IF(P372="中",10,15)),IF(J372="EIF",IF(P372="低",5,IF(P372="中",7,10)),"不计算")))))*R372,"不计算")</f>
        <v/>
      </c>
      <c r="R372" s="172" t="n">
        <v>1</v>
      </c>
      <c r="S372" s="173">
        <f>调整因子!$F$13</f>
        <v/>
      </c>
      <c r="T372" s="92" t="n">
        <v>1</v>
      </c>
      <c r="U372" s="174">
        <f>IFERROR(Q372*S372,0)</f>
        <v/>
      </c>
      <c r="V372" s="174">
        <f>U372*T372</f>
        <v/>
      </c>
      <c r="W372" s="90" t="inlineStr">
        <is>
          <t>部企接口调用记录表</t>
        </is>
      </c>
      <c r="X372" s="113" t="n"/>
      <c r="Y372" s="90" t="inlineStr">
        <is>
          <t>部企接口调用记录表{记录ID、接口名称、调用时间、调用结果}</t>
        </is>
      </c>
      <c r="Z372" s="90" t="n"/>
      <c r="AA372" s="90" t="n"/>
      <c r="AB372" s="103" t="inlineStr">
        <is>
          <t>任务优先级配置表、模板参数配置表</t>
        </is>
      </c>
      <c r="AC372" s="66" t="n"/>
    </row>
    <row r="373" s="112">
      <c r="A373" s="72">
        <f>ROW()-1</f>
        <v/>
      </c>
      <c r="B373" s="175" t="n"/>
      <c r="C373" s="80" t="n">
        <v>2025</v>
      </c>
      <c r="D373" s="80" t="inlineStr">
        <is>
          <t>张明峰</t>
        </is>
      </c>
      <c r="E373" s="81">
        <f>VLOOKUP(I373,'25年交付功能（不含废弃）'!A:A,1,FALSE)</f>
        <v/>
      </c>
      <c r="F373" s="175" t="n"/>
      <c r="G373" s="175" t="n"/>
      <c r="H373" s="175" t="n"/>
      <c r="I373" s="98" t="inlineStr">
        <is>
          <t>查看部企接口调用内容</t>
        </is>
      </c>
      <c r="J373" s="93" t="inlineStr">
        <is>
          <t>EQ</t>
        </is>
      </c>
      <c r="K373" s="109" t="inlineStr">
        <is>
          <t>修改需求中业务流程</t>
        </is>
      </c>
      <c r="L373" s="84" t="inlineStr">
        <is>
          <t>和下行合并，相同数据输入输出</t>
        </is>
      </c>
      <c r="M373" s="85">
        <f>IF(OR(Y373="估算法",Y373="算法类",Y373="无法识别"),"",IF(W373="",IF(OR(J373="EI",J373="EO",J373="EQ"),0,""),LEN(W373)-LEN(SUBSTITUTE(W373,"、",""))+1))</f>
        <v/>
      </c>
      <c r="N373" s="85">
        <f>IF(OR(Y373="估算法",Y373="算法类",Y373="无法识别"),"",IF(X373="",IF(OR(J373="ILF",J373="EIF"),0,""),LEN(X373)-LEN(SUBSTITUTE(X373,"、",""))+1))</f>
        <v/>
      </c>
      <c r="O373" s="85">
        <f>IF(OR(Y373="估算法",Y373="算法类",Y373="无法识别"),"",IF(Y373="",IF(OR(J373="ILF",J373="EIF",J373="EI",J373="EO",J373="EQ"),0,""),LEN(Y373)-LEN(SUBSTITUTE(SUBSTITUTE(SUBSTITUTE(SUBSTITUTE(SUBSTITUTE(Y373,"|}","--"),"{|","--"),CHAR(10),""),"、",""),"|",""))+IF(AND(OR(J373="EI",J373="EO",J373="EQ"),$AE$1="NESMA"),2,1)))</f>
        <v/>
      </c>
      <c r="P373" s="86">
        <f>IF(J373="EI",IF(OR(Y373="估算法",Y373="算法类"),"中",IF(Y373="无法识别","低",IF(M373&lt;2,IF(O373&lt;16,"低","中"),IF(M373&lt;3,IF(O373&lt;5,"低",IF(O373&lt;16,"中","高")),IF(O373&lt;5,"中","高"))))),IF(OR(J373="EO",J373="EQ"),IF(OR(Y373="估算法",Y373="算法类"),"中",IF(Y373="无法识别","低",IF(M373&lt;2,IF(O373&lt;20,"低","中"),IF(M373&lt;4,IF(O373&lt;6,"低",IF(O373&lt;20,"中","高")),IF(O373&lt;6,"中","高"))))),IF(OR(J373="ILF",J373="EIF"),IF(OR(Y373="估算法",Y373="算法类",Y373="无法识别"),"低",IF(N373&lt;2,IF(O373&lt;51,"低","中"),IF(N373&lt;6,IF(O373&lt;20,"低",IF(O373&lt;51,"中","高")),IF(O373&lt;20,"中","高")))),"不计算")))</f>
        <v/>
      </c>
      <c r="Q373" s="172">
        <f>IFERROR(IF(J373="EI",IF(P373="低",3,IF(P373="中",4,6)),IF(J373="EO",IF(P373="低",4,IF(P373="中",5,7)),IF(J373="EQ",IF(P373="低",3,IF(P373="中",4,6)),IF(J373="ILF",IF(P373="低",7,IF(P373="中",10,15)),IF(J373="EIF",IF(P373="低",5,IF(P373="中",7,10)),"不计算")))))*R373,"不计算")</f>
        <v/>
      </c>
      <c r="R373" s="172" t="n">
        <v>1</v>
      </c>
      <c r="S373" s="173">
        <f>调整因子!$F$13</f>
        <v/>
      </c>
      <c r="T373" s="92" t="n">
        <v>1</v>
      </c>
      <c r="U373" s="174">
        <f>IFERROR(Q373*S373,0)</f>
        <v/>
      </c>
      <c r="V373" s="174">
        <f>U373*T373</f>
        <v/>
      </c>
      <c r="W373" s="90" t="inlineStr">
        <is>
          <t>部企接口调用记录表</t>
        </is>
      </c>
      <c r="X373" s="113" t="n"/>
      <c r="Y373" s="90" t="inlineStr">
        <is>
          <t>部企接口调用记录表{记录ID、接口名称、调用时间、调用结果}</t>
        </is>
      </c>
      <c r="Z373" s="90" t="n"/>
      <c r="AA373" s="90" t="n"/>
      <c r="AB373" s="103" t="inlineStr">
        <is>
          <t>采集记录表、接口参数表</t>
        </is>
      </c>
      <c r="AC373" s="66" t="n"/>
    </row>
    <row r="374" s="112">
      <c r="A374" s="72">
        <f>ROW()-1</f>
        <v/>
      </c>
      <c r="B374" s="175" t="n"/>
      <c r="C374" s="80" t="n">
        <v>2025</v>
      </c>
      <c r="D374" s="80" t="inlineStr">
        <is>
          <t>张明峰</t>
        </is>
      </c>
      <c r="E374" s="81">
        <f>VLOOKUP(I374,'25年交付功能（不含废弃）'!A:A,1,FALSE)</f>
        <v/>
      </c>
      <c r="F374" s="175" t="n"/>
      <c r="G374" s="175" t="n"/>
      <c r="H374" s="175" t="n"/>
      <c r="I374" s="98" t="inlineStr">
        <is>
          <t>修改部企接口配置信息</t>
        </is>
      </c>
      <c r="J374" s="93" t="inlineStr">
        <is>
          <t>EI</t>
        </is>
      </c>
      <c r="K374" s="84" t="n"/>
      <c r="L374" s="84" t="n"/>
      <c r="M374" s="85">
        <f>IF(OR(Y374="估算法",Y374="算法类",Y374="无法识别"),"",IF(W374="",IF(OR(J374="EI",J374="EO",J374="EQ"),0,""),LEN(W374)-LEN(SUBSTITUTE(W374,"、",""))+1))</f>
        <v/>
      </c>
      <c r="N374" s="85">
        <f>IF(OR(Y374="估算法",Y374="算法类",Y374="无法识别"),"",IF(X374="",IF(OR(J374="ILF",J374="EIF"),0,""),LEN(X374)-LEN(SUBSTITUTE(X374,"、",""))+1))</f>
        <v/>
      </c>
      <c r="O374" s="85">
        <f>IF(OR(Y374="估算法",Y374="算法类",Y374="无法识别"),"",IF(Y374="",IF(OR(J374="ILF",J374="EIF",J374="EI",J374="EO",J374="EQ"),0,""),LEN(Y374)-LEN(SUBSTITUTE(SUBSTITUTE(SUBSTITUTE(SUBSTITUTE(SUBSTITUTE(Y374,"|}","--"),"{|","--"),CHAR(10),""),"、",""),"|",""))+IF(AND(OR(J374="EI",J374="EO",J374="EQ"),$AE$1="NESMA"),2,1)))</f>
        <v/>
      </c>
      <c r="P374" s="86">
        <f>IF(J374="EI",IF(OR(Y374="估算法",Y374="算法类"),"中",IF(Y374="无法识别","低",IF(M374&lt;2,IF(O374&lt;16,"低","中"),IF(M374&lt;3,IF(O374&lt;5,"低",IF(O374&lt;16,"中","高")),IF(O374&lt;5,"中","高"))))),IF(OR(J374="EO",J374="EQ"),IF(OR(Y374="估算法",Y374="算法类"),"中",IF(Y374="无法识别","低",IF(M374&lt;2,IF(O374&lt;20,"低","中"),IF(M374&lt;4,IF(O374&lt;6,"低",IF(O374&lt;20,"中","高")),IF(O374&lt;6,"中","高"))))),IF(OR(J374="ILF",J374="EIF"),IF(OR(Y374="估算法",Y374="算法类",Y374="无法识别"),"低",IF(N374&lt;2,IF(O374&lt;51,"低","中"),IF(N374&lt;6,IF(O374&lt;20,"低",IF(O374&lt;51,"中","高")),IF(O374&lt;20,"中","高")))),"不计算")))</f>
        <v/>
      </c>
      <c r="Q374" s="172">
        <f>IFERROR(IF(J374="EI",IF(P374="低",3,IF(P374="中",4,6)),IF(J374="EO",IF(P374="低",4,IF(P374="中",5,7)),IF(J374="EQ",IF(P374="低",3,IF(P374="中",4,6)),IF(J374="ILF",IF(P374="低",7,IF(P374="中",10,15)),IF(J374="EIF",IF(P374="低",5,IF(P374="中",7,10)),"不计算")))))*R374,"不计算")</f>
        <v/>
      </c>
      <c r="R374" s="172" t="n">
        <v>0.333333333333333</v>
      </c>
      <c r="S374" s="173">
        <f>调整因子!$F$13</f>
        <v/>
      </c>
      <c r="T374" s="93" t="n">
        <v>1</v>
      </c>
      <c r="U374" s="174">
        <f>IFERROR(Q374*S374,0)</f>
        <v/>
      </c>
      <c r="V374" s="174">
        <f>U374*T374</f>
        <v/>
      </c>
      <c r="W374" s="90" t="inlineStr">
        <is>
          <t>部企接口配置表</t>
        </is>
      </c>
      <c r="X374" s="113" t="n"/>
      <c r="Y374" s="90" t="inlineStr">
        <is>
          <t>部企接口配置表{配置ID、接口名称、配置内容、创建时间}</t>
        </is>
      </c>
      <c r="Z374" s="90" t="n"/>
      <c r="AA374" s="90" t="n"/>
      <c r="AB374" s="103" t="inlineStr">
        <is>
          <t>任务优先级配置表</t>
        </is>
      </c>
      <c r="AC374" s="66" t="n"/>
    </row>
    <row r="375" s="112">
      <c r="A375" s="72">
        <f>ROW()-1</f>
        <v/>
      </c>
      <c r="B375" s="175" t="n"/>
      <c r="C375" s="80" t="n">
        <v>2025</v>
      </c>
      <c r="D375" s="80" t="inlineStr">
        <is>
          <t>张明峰</t>
        </is>
      </c>
      <c r="E375" s="81">
        <f>VLOOKUP(I375,'25年交付功能（不含废弃）'!A:A,1,FALSE)</f>
        <v/>
      </c>
      <c r="F375" s="175" t="n"/>
      <c r="G375" s="175" t="n"/>
      <c r="H375" s="175" t="n"/>
      <c r="I375" s="98" t="inlineStr">
        <is>
          <t>接口配置表</t>
        </is>
      </c>
      <c r="J375" s="93" t="inlineStr">
        <is>
          <t>ILF</t>
        </is>
      </c>
      <c r="K375" s="100" t="inlineStr">
        <is>
          <t>修改名称：「部企接口配置表」</t>
        </is>
      </c>
      <c r="L375" s="84" t="n"/>
      <c r="M375" s="85">
        <f>IF(OR(Y375="估算法",Y375="算法类",Y375="无法识别"),"",IF(W375="",IF(OR(J375="EI",J375="EO",J375="EQ"),0,""),LEN(W375)-LEN(SUBSTITUTE(W375,"、",""))+1))</f>
        <v/>
      </c>
      <c r="N375" s="85">
        <f>IF(OR(Y375="估算法",Y375="算法类",Y375="无法识别"),"",IF(X375="",IF(OR(J375="ILF",J375="EIF"),0,""),LEN(X375)-LEN(SUBSTITUTE(X375,"、",""))+1))</f>
        <v/>
      </c>
      <c r="O375" s="85">
        <f>IF(OR(Y375="估算法",Y375="算法类",Y375="无法识别"),"",IF(Y375="",IF(OR(J375="ILF",J375="EIF",J375="EI",J375="EO",J375="EQ"),0,""),LEN(Y375)-LEN(SUBSTITUTE(SUBSTITUTE(SUBSTITUTE(SUBSTITUTE(SUBSTITUTE(Y375,"|}","--"),"{|","--"),CHAR(10),""),"、",""),"|",""))+IF(AND(OR(J375="EI",J375="EO",J375="EQ"),$AE$1="NESMA"),2,1)))</f>
        <v/>
      </c>
      <c r="P375" s="86">
        <f>IF(J375="EI",IF(OR(Y375="估算法",Y375="算法类"),"中",IF(Y375="无法识别","低",IF(M375&lt;2,IF(O375&lt;16,"低","中"),IF(M375&lt;3,IF(O375&lt;5,"低",IF(O375&lt;16,"中","高")),IF(O375&lt;5,"中","高"))))),IF(OR(J375="EO",J375="EQ"),IF(OR(Y375="估算法",Y375="算法类"),"中",IF(Y375="无法识别","低",IF(M375&lt;2,IF(O375&lt;20,"低","中"),IF(M375&lt;4,IF(O375&lt;6,"低",IF(O375&lt;20,"中","高")),IF(O375&lt;6,"中","高"))))),IF(OR(J375="ILF",J375="EIF"),IF(OR(Y375="估算法",Y375="算法类",Y375="无法识别"),"低",IF(N375&lt;2,IF(O375&lt;51,"低","中"),IF(N375&lt;6,IF(O375&lt;20,"低",IF(O375&lt;51,"中","高")),IF(O375&lt;20,"中","高")))),"不计算")))</f>
        <v/>
      </c>
      <c r="Q375" s="172">
        <f>IFERROR(IF(J375="EI",IF(P375="低",3,IF(P375="中",4,6)),IF(J375="EO",IF(P375="低",4,IF(P375="中",5,7)),IF(J375="EQ",IF(P375="低",3,IF(P375="中",4,6)),IF(J375="ILF",IF(P375="低",7,IF(P375="中",10,15)),IF(J375="EIF",IF(P375="低",5,IF(P375="中",7,10)),"不计算")))))*R375,"不计算")</f>
        <v/>
      </c>
      <c r="R375" s="172" t="n">
        <v>1</v>
      </c>
      <c r="S375" s="173">
        <f>调整因子!$F$13</f>
        <v/>
      </c>
      <c r="T375" s="92" t="n">
        <v>1</v>
      </c>
      <c r="U375" s="174">
        <f>IFERROR(Q375*S375,0)</f>
        <v/>
      </c>
      <c r="V375" s="174">
        <f>U375*T375</f>
        <v/>
      </c>
      <c r="W375" s="91" t="n"/>
      <c r="X375" s="90" t="inlineStr">
        <is>
          <t>部企接口配置表</t>
        </is>
      </c>
      <c r="Y375" s="90" t="inlineStr">
        <is>
          <t>部企接口配置表{配置ID、接口名称、配置内容、创建时间|响应状态码、返回数据信息}</t>
        </is>
      </c>
      <c r="Z375" s="90">
        <f>IF(COUNTIFS(W:W,"*"&amp;I375&amp;"*")&gt;0,"存在","不存在")</f>
        <v/>
      </c>
      <c r="AA375" s="90">
        <f>IF(COUNTIFS(AB:AB,"*"&amp;I375&amp;"*")&gt;0,"存在","不存在")</f>
        <v/>
      </c>
      <c r="AB375" s="103" t="inlineStr">
        <is>
          <t>推送规则表</t>
        </is>
      </c>
      <c r="AC375" s="66" t="n"/>
    </row>
    <row r="376" s="112">
      <c r="A376" s="72">
        <f>ROW()-1</f>
        <v/>
      </c>
      <c r="B376" s="175" t="n"/>
      <c r="C376" s="80" t="n">
        <v>2025</v>
      </c>
      <c r="D376" s="80" t="inlineStr">
        <is>
          <t>张明峰</t>
        </is>
      </c>
      <c r="E376" s="81">
        <f>VLOOKUP(I376,'25年交付功能（不含废弃）'!A:A,1,FALSE)</f>
        <v/>
      </c>
      <c r="F376" s="175" t="n"/>
      <c r="G376" s="175" t="n"/>
      <c r="H376" s="175" t="n"/>
      <c r="I376" s="98" t="inlineStr">
        <is>
          <t>接口信息表</t>
        </is>
      </c>
      <c r="J376" s="93" t="inlineStr">
        <is>
          <t>ILF</t>
        </is>
      </c>
      <c r="K376" s="99" t="inlineStr">
        <is>
          <t>新增</t>
        </is>
      </c>
      <c r="L376" s="84" t="inlineStr">
        <is>
          <t>数据库表未被本系统所维护</t>
        </is>
      </c>
      <c r="M376" s="85">
        <f>IF(OR(Y376="估算法",Y376="算法类",Y376="无法识别"),"",IF(W376="",IF(OR(J376="EI",J376="EO",J376="EQ"),0,""),LEN(W376)-LEN(SUBSTITUTE(W376,"、",""))+1))</f>
        <v/>
      </c>
      <c r="N376" s="85">
        <f>IF(OR(Y376="估算法",Y376="算法类",Y376="无法识别"),"",IF(X376="",IF(OR(J376="ILF",J376="EIF"),0,""),LEN(X376)-LEN(SUBSTITUTE(X376,"、",""))+1))</f>
        <v/>
      </c>
      <c r="O376" s="85">
        <f>IF(OR(Y376="估算法",Y376="算法类",Y376="无法识别"),"",IF(Y376="",IF(OR(J376="ILF",J376="EIF",J376="EI",J376="EO",J376="EQ"),0,""),LEN(Y376)-LEN(SUBSTITUTE(SUBSTITUTE(SUBSTITUTE(SUBSTITUTE(SUBSTITUTE(Y376,"|}","--"),"{|","--"),CHAR(10),""),"、",""),"|",""))+IF(AND(OR(J376="EI",J376="EO",J376="EQ"),$AE$1="NESMA"),2,1)))</f>
        <v/>
      </c>
      <c r="P376" s="86">
        <f>IF(J376="EI",IF(OR(Y376="估算法",Y376="算法类"),"中",IF(Y376="无法识别","低",IF(M376&lt;2,IF(O376&lt;16,"低","中"),IF(M376&lt;3,IF(O376&lt;5,"低",IF(O376&lt;16,"中","高")),IF(O376&lt;5,"中","高"))))),IF(OR(J376="EO",J376="EQ"),IF(OR(Y376="估算法",Y376="算法类"),"中",IF(Y376="无法识别","低",IF(M376&lt;2,IF(O376&lt;20,"低","中"),IF(M376&lt;4,IF(O376&lt;6,"低",IF(O376&lt;20,"中","高")),IF(O376&lt;6,"中","高"))))),IF(OR(J376="ILF",J376="EIF"),IF(OR(Y376="估算法",Y376="算法类",Y376="无法识别"),"低",IF(N376&lt;2,IF(O376&lt;51,"低","中"),IF(N376&lt;6,IF(O376&lt;20,"低",IF(O376&lt;51,"中","高")),IF(O376&lt;20,"中","高")))),"不计算")))</f>
        <v/>
      </c>
      <c r="Q376" s="172">
        <f>IFERROR(IF(J376="EI",IF(P376="低",3,IF(P376="中",4,6)),IF(J376="EO",IF(P376="低",4,IF(P376="中",5,7)),IF(J376="EQ",IF(P376="低",3,IF(P376="中",4,6)),IF(J376="ILF",IF(P376="低",7,IF(P376="中",10,15)),IF(J376="EIF",IF(P376="低",5,IF(P376="中",7,10)),"不计算")))))*R376,"不计算")</f>
        <v/>
      </c>
      <c r="R376" s="172" t="n">
        <v>0</v>
      </c>
      <c r="S376" s="173">
        <f>调整因子!$F$13</f>
        <v/>
      </c>
      <c r="T376" s="92" t="n">
        <v>1</v>
      </c>
      <c r="U376" s="174">
        <f>IFERROR(Q376*S376,0)</f>
        <v/>
      </c>
      <c r="V376" s="174">
        <f>U376*T376</f>
        <v/>
      </c>
      <c r="W376" s="91" t="n"/>
      <c r="X376" s="90" t="inlineStr">
        <is>
          <t>部企接口调用记录表</t>
        </is>
      </c>
      <c r="Y376" s="90" t="inlineStr">
        <is>
          <t>部企接口调用记录表{记录ID、接口名称、调用时间、调用结果}</t>
        </is>
      </c>
      <c r="Z376" s="90">
        <f>IF(COUNTIFS(W:W,"*"&amp;I376&amp;"*")&gt;0,"存在","不存在")</f>
        <v/>
      </c>
      <c r="AA376" s="90">
        <f>IF(COUNTIFS(AB:AB,"*"&amp;I376&amp;"*")&gt;0,"存在","不存在")</f>
        <v/>
      </c>
      <c r="AB376" s="103" t="inlineStr">
        <is>
          <t>推送规则表</t>
        </is>
      </c>
      <c r="AC376" s="66" t="n"/>
      <c r="AD376" s="66" t="n"/>
      <c r="AE376" s="66" t="n"/>
    </row>
    <row r="377" s="112">
      <c r="A377" s="72">
        <f>ROW()-1</f>
        <v/>
      </c>
      <c r="B377" s="175" t="n"/>
      <c r="C377" s="80" t="n">
        <v>2025</v>
      </c>
      <c r="D377" s="80" t="inlineStr">
        <is>
          <t>张明峰</t>
        </is>
      </c>
      <c r="E377" s="81">
        <f>VLOOKUP(I377,'25年交付功能（不含废弃）'!A:A,1,FALSE)</f>
        <v/>
      </c>
      <c r="F377" s="175" t="n"/>
      <c r="G377" s="175" t="n"/>
      <c r="H377" s="175" t="n"/>
      <c r="I377" s="98" t="inlineStr">
        <is>
          <t>接口响应数据表</t>
        </is>
      </c>
      <c r="J377" s="93" t="inlineStr">
        <is>
          <t>ILF</t>
        </is>
      </c>
      <c r="K377" s="99" t="inlineStr">
        <is>
          <t>新增</t>
        </is>
      </c>
      <c r="L377" s="84" t="inlineStr">
        <is>
          <t>数据库表未被本系统所维护</t>
        </is>
      </c>
      <c r="M377" s="85">
        <f>IF(OR(Y377="估算法",Y377="算法类",Y377="无法识别"),"",IF(W377="",IF(OR(J377="EI",J377="EO",J377="EQ"),0,""),LEN(W377)-LEN(SUBSTITUTE(W377,"、",""))+1))</f>
        <v/>
      </c>
      <c r="N377" s="85">
        <f>IF(OR(Y377="估算法",Y377="算法类",Y377="无法识别"),"",IF(X377="",IF(OR(J377="ILF",J377="EIF"),0,""),LEN(X377)-LEN(SUBSTITUTE(X377,"、",""))+1))</f>
        <v/>
      </c>
      <c r="O377" s="85">
        <f>IF(OR(Y377="估算法",Y377="算法类",Y377="无法识别"),"",IF(Y377="",IF(OR(J377="ILF",J377="EIF",J377="EI",J377="EO",J377="EQ"),0,""),LEN(Y377)-LEN(SUBSTITUTE(SUBSTITUTE(SUBSTITUTE(SUBSTITUTE(SUBSTITUTE(Y377,"|}","--"),"{|","--"),CHAR(10),""),"、",""),"|",""))+IF(AND(OR(J377="EI",J377="EO",J377="EQ"),$AE$1="NESMA"),2,1)))</f>
        <v/>
      </c>
      <c r="P377" s="86">
        <f>IF(J377="EI",IF(OR(Y377="估算法",Y377="算法类"),"中",IF(Y377="无法识别","低",IF(M377&lt;2,IF(O377&lt;16,"低","中"),IF(M377&lt;3,IF(O377&lt;5,"低",IF(O377&lt;16,"中","高")),IF(O377&lt;5,"中","高"))))),IF(OR(J377="EO",J377="EQ"),IF(OR(Y377="估算法",Y377="算法类"),"中",IF(Y377="无法识别","低",IF(M377&lt;2,IF(O377&lt;20,"低","中"),IF(M377&lt;4,IF(O377&lt;6,"低",IF(O377&lt;20,"中","高")),IF(O377&lt;6,"中","高"))))),IF(OR(J377="ILF",J377="EIF"),IF(OR(Y377="估算法",Y377="算法类",Y377="无法识别"),"低",IF(N377&lt;2,IF(O377&lt;51,"低","中"),IF(N377&lt;6,IF(O377&lt;20,"低",IF(O377&lt;51,"中","高")),IF(O377&lt;20,"中","高")))),"不计算")))</f>
        <v/>
      </c>
      <c r="Q377" s="172">
        <f>IFERROR(IF(J377="EI",IF(P377="低",3,IF(P377="中",4,6)),IF(J377="EO",IF(P377="低",4,IF(P377="中",5,7)),IF(J377="EQ",IF(P377="低",3,IF(P377="中",4,6)),IF(J377="ILF",IF(P377="低",7,IF(P377="中",10,15)),IF(J377="EIF",IF(P377="低",5,IF(P377="中",7,10)),"不计算")))))*R377,"不计算")</f>
        <v/>
      </c>
      <c r="R377" s="172" t="n">
        <v>0</v>
      </c>
      <c r="S377" s="173">
        <f>调整因子!$F$13</f>
        <v/>
      </c>
      <c r="T377" s="92" t="n">
        <v>1</v>
      </c>
      <c r="U377" s="174">
        <f>IFERROR(Q377*S377,0)</f>
        <v/>
      </c>
      <c r="V377" s="174">
        <f>U377*T377</f>
        <v/>
      </c>
      <c r="W377" s="91" t="n"/>
      <c r="X377" s="90" t="inlineStr">
        <is>
          <t>部企接口调用记录表</t>
        </is>
      </c>
      <c r="Y377" s="90" t="inlineStr">
        <is>
          <t>部企接口调用记录表{记录ID、接口名称、调用时间、调用结果}</t>
        </is>
      </c>
      <c r="Z377" s="90">
        <f>IF(COUNTIFS(W:W,"*"&amp;I377&amp;"*")&gt;0,"存在","不存在")</f>
        <v/>
      </c>
      <c r="AA377" s="90">
        <f>IF(COUNTIFS(AB:AB,"*"&amp;I377&amp;"*")&gt;0,"存在","不存在")</f>
        <v/>
      </c>
      <c r="AB377" s="103" t="inlineStr">
        <is>
          <t>推送规则表</t>
        </is>
      </c>
      <c r="AC377" s="66" t="n"/>
      <c r="AD377" s="66" t="n"/>
      <c r="AE377" s="66" t="n"/>
    </row>
    <row r="378" s="112">
      <c r="A378" s="72">
        <f>ROW()-1</f>
        <v/>
      </c>
      <c r="B378" s="175" t="n"/>
      <c r="C378" s="80" t="n">
        <v>2025</v>
      </c>
      <c r="D378" s="80" t="inlineStr">
        <is>
          <t>张明峰</t>
        </is>
      </c>
      <c r="E378" s="81">
        <f>VLOOKUP(I378,'25年交付功能（不含废弃）'!A:A,1,FALSE)</f>
        <v/>
      </c>
      <c r="F378" s="175" t="n"/>
      <c r="G378" s="175" t="n"/>
      <c r="H378" s="175" t="n"/>
      <c r="I378" s="98" t="inlineStr">
        <is>
          <t>接口请求数据表</t>
        </is>
      </c>
      <c r="J378" s="93" t="inlineStr">
        <is>
          <t>ILF</t>
        </is>
      </c>
      <c r="K378" s="99" t="inlineStr">
        <is>
          <t>新增</t>
        </is>
      </c>
      <c r="L378" s="84" t="inlineStr">
        <is>
          <t>数据库表未被本系统所维护</t>
        </is>
      </c>
      <c r="M378" s="85">
        <f>IF(OR(Y378="估算法",Y378="算法类",Y378="无法识别"),"",IF(W378="",IF(OR(J378="EI",J378="EO",J378="EQ"),0,""),LEN(W378)-LEN(SUBSTITUTE(W378,"、",""))+1))</f>
        <v/>
      </c>
      <c r="N378" s="85">
        <f>IF(OR(Y378="估算法",Y378="算法类",Y378="无法识别"),"",IF(X378="",IF(OR(J378="ILF",J378="EIF"),0,""),LEN(X378)-LEN(SUBSTITUTE(X378,"、",""))+1))</f>
        <v/>
      </c>
      <c r="O378" s="85">
        <f>IF(OR(Y378="估算法",Y378="算法类",Y378="无法识别"),"",IF(Y378="",IF(OR(J378="ILF",J378="EIF",J378="EI",J378="EO",J378="EQ"),0,""),LEN(Y378)-LEN(SUBSTITUTE(SUBSTITUTE(SUBSTITUTE(SUBSTITUTE(SUBSTITUTE(Y378,"|}","--"),"{|","--"),CHAR(10),""),"、",""),"|",""))+IF(AND(OR(J378="EI",J378="EO",J378="EQ"),$AE$1="NESMA"),2,1)))</f>
        <v/>
      </c>
      <c r="P378" s="86">
        <f>IF(J378="EI",IF(OR(Y378="估算法",Y378="算法类"),"中",IF(Y378="无法识别","低",IF(M378&lt;2,IF(O378&lt;16,"低","中"),IF(M378&lt;3,IF(O378&lt;5,"低",IF(O378&lt;16,"中","高")),IF(O378&lt;5,"中","高"))))),IF(OR(J378="EO",J378="EQ"),IF(OR(Y378="估算法",Y378="算法类"),"中",IF(Y378="无法识别","低",IF(M378&lt;2,IF(O378&lt;20,"低","中"),IF(M378&lt;4,IF(O378&lt;6,"低",IF(O378&lt;20,"中","高")),IF(O378&lt;6,"中","高"))))),IF(OR(J378="ILF",J378="EIF"),IF(OR(Y378="估算法",Y378="算法类",Y378="无法识别"),"低",IF(N378&lt;2,IF(O378&lt;51,"低","中"),IF(N378&lt;6,IF(O378&lt;20,"低",IF(O378&lt;51,"中","高")),IF(O378&lt;20,"中","高")))),"不计算")))</f>
        <v/>
      </c>
      <c r="Q378" s="172">
        <f>IFERROR(IF(J378="EI",IF(P378="低",3,IF(P378="中",4,6)),IF(J378="EO",IF(P378="低",4,IF(P378="中",5,7)),IF(J378="EQ",IF(P378="低",3,IF(P378="中",4,6)),IF(J378="ILF",IF(P378="低",7,IF(P378="中",10,15)),IF(J378="EIF",IF(P378="低",5,IF(P378="中",7,10)),"不计算")))))*R378,"不计算")</f>
        <v/>
      </c>
      <c r="R378" s="172" t="n">
        <v>0</v>
      </c>
      <c r="S378" s="173">
        <f>调整因子!$F$13</f>
        <v/>
      </c>
      <c r="T378" s="92" t="n">
        <v>1</v>
      </c>
      <c r="U378" s="174">
        <f>IFERROR(Q378*S378,0)</f>
        <v/>
      </c>
      <c r="V378" s="174">
        <f>U378*T378</f>
        <v/>
      </c>
      <c r="W378" s="91" t="n"/>
      <c r="X378" s="90" t="inlineStr">
        <is>
          <t>部企接口调用记录表</t>
        </is>
      </c>
      <c r="Y378" s="90" t="inlineStr">
        <is>
          <t>部企接口调用记录表{记录ID、接口名称、调用时间、调用结果}</t>
        </is>
      </c>
      <c r="Z378" s="90">
        <f>IF(COUNTIFS(W:W,"*"&amp;I378&amp;"*")&gt;0,"存在","不存在")</f>
        <v/>
      </c>
      <c r="AA378" s="90">
        <f>IF(COUNTIFS(AB:AB,"*"&amp;I378&amp;"*")&gt;0,"存在","不存在")</f>
        <v/>
      </c>
      <c r="AB378" s="103" t="inlineStr">
        <is>
          <t>推送规则表</t>
        </is>
      </c>
      <c r="AC378" s="66" t="n"/>
      <c r="AD378" s="66" t="n"/>
      <c r="AE378" s="66" t="n"/>
    </row>
    <row r="379" s="112">
      <c r="A379" s="72">
        <f>ROW()-1</f>
        <v/>
      </c>
      <c r="B379" s="175" t="n"/>
      <c r="C379" s="80" t="n">
        <v>2025</v>
      </c>
      <c r="D379" s="80" t="inlineStr">
        <is>
          <t>张明峰</t>
        </is>
      </c>
      <c r="E379" s="81">
        <f>VLOOKUP(I379,'25年交付功能（不含废弃）'!A:A,1,FALSE)</f>
        <v/>
      </c>
      <c r="F379" s="175" t="n"/>
      <c r="G379" s="175" t="n"/>
      <c r="H379" s="176" t="n"/>
      <c r="I379" s="98" t="inlineStr">
        <is>
          <t>部企接口调用记录表</t>
        </is>
      </c>
      <c r="J379" s="93" t="inlineStr">
        <is>
          <t>ILF</t>
        </is>
      </c>
      <c r="K379" s="84" t="n"/>
      <c r="L379" s="84" t="inlineStr">
        <is>
          <t>数据库表未被本系统所维护</t>
        </is>
      </c>
      <c r="M379" s="85">
        <f>IF(OR(Y379="估算法",Y379="算法类",Y379="无法识别"),"",IF(W379="",IF(OR(J379="EI",J379="EO",J379="EQ"),0,""),LEN(W379)-LEN(SUBSTITUTE(W379,"、",""))+1))</f>
        <v/>
      </c>
      <c r="N379" s="85">
        <f>IF(OR(Y379="估算法",Y379="算法类",Y379="无法识别"),"",IF(X379="",IF(OR(J379="ILF",J379="EIF"),0,""),LEN(X379)-LEN(SUBSTITUTE(X379,"、",""))+1))</f>
        <v/>
      </c>
      <c r="O379" s="85">
        <f>IF(OR(Y379="估算法",Y379="算法类",Y379="无法识别"),"",IF(Y379="",IF(OR(J379="ILF",J379="EIF",J379="EI",J379="EO",J379="EQ"),0,""),LEN(Y379)-LEN(SUBSTITUTE(SUBSTITUTE(SUBSTITUTE(SUBSTITUTE(SUBSTITUTE(Y379,"|}","--"),"{|","--"),CHAR(10),""),"、",""),"|",""))+IF(AND(OR(J379="EI",J379="EO",J379="EQ"),$AE$1="NESMA"),2,1)))</f>
        <v/>
      </c>
      <c r="P379" s="86">
        <f>IF(J379="EI",IF(OR(Y379="估算法",Y379="算法类"),"中",IF(Y379="无法识别","低",IF(M379&lt;2,IF(O379&lt;16,"低","中"),IF(M379&lt;3,IF(O379&lt;5,"低",IF(O379&lt;16,"中","高")),IF(O379&lt;5,"中","高"))))),IF(OR(J379="EO",J379="EQ"),IF(OR(Y379="估算法",Y379="算法类"),"中",IF(Y379="无法识别","低",IF(M379&lt;2,IF(O379&lt;20,"低","中"),IF(M379&lt;4,IF(O379&lt;6,"低",IF(O379&lt;20,"中","高")),IF(O379&lt;6,"中","高"))))),IF(OR(J379="ILF",J379="EIF"),IF(OR(Y379="估算法",Y379="算法类",Y379="无法识别"),"低",IF(N379&lt;2,IF(O379&lt;51,"低","中"),IF(N379&lt;6,IF(O379&lt;20,"低",IF(O379&lt;51,"中","高")),IF(O379&lt;20,"中","高")))),"不计算")))</f>
        <v/>
      </c>
      <c r="Q379" s="172">
        <f>IFERROR(IF(J379="EI",IF(P379="低",3,IF(P379="中",4,6)),IF(J379="EO",IF(P379="低",4,IF(P379="中",5,7)),IF(J379="EQ",IF(P379="低",3,IF(P379="中",4,6)),IF(J379="ILF",IF(P379="低",7,IF(P379="中",10,15)),IF(J379="EIF",IF(P379="低",5,IF(P379="中",7,10)),"不计算")))))*R379,"不计算")</f>
        <v/>
      </c>
      <c r="R379" s="172" t="n">
        <v>0</v>
      </c>
      <c r="S379" s="173">
        <f>调整因子!$F$13</f>
        <v/>
      </c>
      <c r="T379" s="92" t="n">
        <v>1</v>
      </c>
      <c r="U379" s="174">
        <f>IFERROR(Q379*S379,0)</f>
        <v/>
      </c>
      <c r="V379" s="174">
        <f>U379*T379</f>
        <v/>
      </c>
      <c r="W379" s="91" t="n"/>
      <c r="X379" s="90" t="inlineStr">
        <is>
          <t>部企接口调用记录表</t>
        </is>
      </c>
      <c r="Y379" s="90" t="inlineStr">
        <is>
          <t>部企接口调用记录表{记录ID、接口名称、调用时间、调用结果}</t>
        </is>
      </c>
      <c r="Z379" s="90">
        <f>IF(COUNTIFS(W:W,"*"&amp;I379&amp;"*")&gt;0,"存在","不存在")</f>
        <v/>
      </c>
      <c r="AA379" s="90">
        <f>IF(COUNTIFS(AB:AB,"*"&amp;I379&amp;"*")&gt;0,"存在","不存在")</f>
        <v/>
      </c>
      <c r="AB379" s="103" t="inlineStr">
        <is>
          <t>推送规则表</t>
        </is>
      </c>
      <c r="AC379" s="66" t="n"/>
    </row>
    <row r="380" s="112">
      <c r="A380" s="72">
        <f>ROW()-1</f>
        <v/>
      </c>
      <c r="B380" s="175" t="n"/>
      <c r="C380" s="80" t="n">
        <v>2025</v>
      </c>
      <c r="D380" s="80" t="inlineStr">
        <is>
          <t>张明峰</t>
        </is>
      </c>
      <c r="E380" s="81">
        <f>VLOOKUP(I380,'25年交付功能（不含废弃）'!A:A,1,FALSE)</f>
        <v/>
      </c>
      <c r="F380" s="175" t="n"/>
      <c r="G380" s="175" t="n"/>
      <c r="H380" s="93" t="inlineStr">
        <is>
          <t>平台接口信息</t>
        </is>
      </c>
      <c r="I380" s="98" t="inlineStr">
        <is>
          <t>查看平台接口列表</t>
        </is>
      </c>
      <c r="J380" s="93" t="inlineStr">
        <is>
          <t>EQ</t>
        </is>
      </c>
      <c r="K380" s="84" t="n"/>
      <c r="L380" s="84" t="n"/>
      <c r="M380" s="85">
        <f>IF(OR(Y380="估算法",Y380="算法类",Y380="无法识别"),"",IF(W380="",IF(OR(J380="EI",J380="EO",J380="EQ"),0,""),LEN(W380)-LEN(SUBSTITUTE(W380,"、",""))+1))</f>
        <v/>
      </c>
      <c r="N380" s="85">
        <f>IF(OR(Y380="估算法",Y380="算法类",Y380="无法识别"),"",IF(X380="",IF(OR(J380="ILF",J380="EIF"),0,""),LEN(X380)-LEN(SUBSTITUTE(X380,"、",""))+1))</f>
        <v/>
      </c>
      <c r="O380" s="85">
        <f>IF(OR(Y380="估算法",Y380="算法类",Y380="无法识别"),"",IF(Y380="",IF(OR(J380="ILF",J380="EIF",J380="EI",J380="EO",J380="EQ"),0,""),LEN(Y380)-LEN(SUBSTITUTE(SUBSTITUTE(SUBSTITUTE(SUBSTITUTE(SUBSTITUTE(Y380,"|}","--"),"{|","--"),CHAR(10),""),"、",""),"|",""))+IF(AND(OR(J380="EI",J380="EO",J380="EQ"),$AE$1="NESMA"),2,1)))</f>
        <v/>
      </c>
      <c r="P380" s="86">
        <f>IF(J380="EI",IF(OR(Y380="估算法",Y380="算法类"),"中",IF(Y380="无法识别","低",IF(M380&lt;2,IF(O380&lt;16,"低","中"),IF(M380&lt;3,IF(O380&lt;5,"低",IF(O380&lt;16,"中","高")),IF(O380&lt;5,"中","高"))))),IF(OR(J380="EO",J380="EQ"),IF(OR(Y380="估算法",Y380="算法类"),"中",IF(Y380="无法识别","低",IF(M380&lt;2,IF(O380&lt;20,"低","中"),IF(M380&lt;4,IF(O380&lt;6,"低",IF(O380&lt;20,"中","高")),IF(O380&lt;6,"中","高"))))),IF(OR(J380="ILF",J380="EIF"),IF(OR(Y380="估算法",Y380="算法类",Y380="无法识别"),"低",IF(N380&lt;2,IF(O380&lt;51,"低","中"),IF(N380&lt;6,IF(O380&lt;20,"低",IF(O380&lt;51,"中","高")),IF(O380&lt;20,"中","高")))),"不计算")))</f>
        <v/>
      </c>
      <c r="Q380" s="172">
        <f>IFERROR(IF(J380="EI",IF(P380="低",3,IF(P380="中",4,6)),IF(J380="EO",IF(P380="低",4,IF(P380="中",5,7)),IF(J380="EQ",IF(P380="低",3,IF(P380="中",4,6)),IF(J380="ILF",IF(P380="低",7,IF(P380="中",10,15)),IF(J380="EIF",IF(P380="低",5,IF(P380="中",7,10)),"不计算")))))*R380,"不计算")</f>
        <v/>
      </c>
      <c r="R380" s="172" t="n">
        <v>1</v>
      </c>
      <c r="S380" s="173">
        <f>调整因子!$F$13</f>
        <v/>
      </c>
      <c r="T380" s="93" t="n">
        <v>1</v>
      </c>
      <c r="U380" s="174">
        <f>IFERROR(Q380*S380,0)</f>
        <v/>
      </c>
      <c r="V380" s="174">
        <f>U380*T380</f>
        <v/>
      </c>
      <c r="W380" s="90" t="inlineStr">
        <is>
          <t>部企接口配置表</t>
        </is>
      </c>
      <c r="X380" s="113" t="n"/>
      <c r="Y380" s="90" t="inlineStr">
        <is>
          <t>部企接口配置表{配置ID、接口名称、配置内容、创建时间}</t>
        </is>
      </c>
      <c r="Z380" s="90" t="n"/>
      <c r="AA380" s="90" t="n"/>
      <c r="AB380" s="103" t="inlineStr">
        <is>
          <t>推送规则表、提醒规则表</t>
        </is>
      </c>
      <c r="AC380" s="66" t="n"/>
    </row>
    <row r="381" s="112">
      <c r="A381" s="72">
        <f>ROW()-1</f>
        <v/>
      </c>
      <c r="B381" s="175" t="n"/>
      <c r="C381" s="80" t="n">
        <v>2025</v>
      </c>
      <c r="D381" s="80" t="inlineStr">
        <is>
          <t>张明峰</t>
        </is>
      </c>
      <c r="E381" s="81">
        <f>VLOOKUP(I381,'25年交付功能（不含废弃）'!A:A,1,FALSE)</f>
        <v/>
      </c>
      <c r="F381" s="175" t="n"/>
      <c r="G381" s="175" t="n"/>
      <c r="H381" s="175" t="n"/>
      <c r="I381" s="98" t="inlineStr">
        <is>
          <t>查看平台接口详情</t>
        </is>
      </c>
      <c r="J381" s="93" t="inlineStr">
        <is>
          <t>EQ</t>
        </is>
      </c>
      <c r="K381" s="84" t="n"/>
      <c r="L381" s="84" t="n"/>
      <c r="M381" s="85">
        <f>IF(OR(Y381="估算法",Y381="算法类",Y381="无法识别"),"",IF(W381="",IF(OR(J381="EI",J381="EO",J381="EQ"),0,""),LEN(W381)-LEN(SUBSTITUTE(W381,"、",""))+1))</f>
        <v/>
      </c>
      <c r="N381" s="85">
        <f>IF(OR(Y381="估算法",Y381="算法类",Y381="无法识别"),"",IF(X381="",IF(OR(J381="ILF",J381="EIF"),0,""),LEN(X381)-LEN(SUBSTITUTE(X381,"、",""))+1))</f>
        <v/>
      </c>
      <c r="O381" s="85">
        <f>IF(OR(Y381="估算法",Y381="算法类",Y381="无法识别"),"",IF(Y381="",IF(OR(J381="ILF",J381="EIF",J381="EI",J381="EO",J381="EQ"),0,""),LEN(Y381)-LEN(SUBSTITUTE(SUBSTITUTE(SUBSTITUTE(SUBSTITUTE(SUBSTITUTE(Y381,"|}","--"),"{|","--"),CHAR(10),""),"、",""),"|",""))+IF(AND(OR(J381="EI",J381="EO",J381="EQ"),$AE$1="NESMA"),2,1)))</f>
        <v/>
      </c>
      <c r="P381" s="86">
        <f>IF(J381="EI",IF(OR(Y381="估算法",Y381="算法类"),"中",IF(Y381="无法识别","低",IF(M381&lt;2,IF(O381&lt;16,"低","中"),IF(M381&lt;3,IF(O381&lt;5,"低",IF(O381&lt;16,"中","高")),IF(O381&lt;5,"中","高"))))),IF(OR(J381="EO",J381="EQ"),IF(OR(Y381="估算法",Y381="算法类"),"中",IF(Y381="无法识别","低",IF(M381&lt;2,IF(O381&lt;20,"低","中"),IF(M381&lt;4,IF(O381&lt;6,"低",IF(O381&lt;20,"中","高")),IF(O381&lt;6,"中","高"))))),IF(OR(J381="ILF",J381="EIF"),IF(OR(Y381="估算法",Y381="算法类",Y381="无法识别"),"低",IF(N381&lt;2,IF(O381&lt;51,"低","中"),IF(N381&lt;6,IF(O381&lt;20,"低",IF(O381&lt;51,"中","高")),IF(O381&lt;20,"中","高")))),"不计算")))</f>
        <v/>
      </c>
      <c r="Q381" s="172">
        <f>IFERROR(IF(J381="EI",IF(P381="低",3,IF(P381="中",4,6)),IF(J381="EO",IF(P381="低",4,IF(P381="中",5,7)),IF(J381="EQ",IF(P381="低",3,IF(P381="中",4,6)),IF(J381="ILF",IF(P381="低",7,IF(P381="中",10,15)),IF(J381="EIF",IF(P381="低",5,IF(P381="中",7,10)),"不计算")))))*R381,"不计算")</f>
        <v/>
      </c>
      <c r="R381" s="172" t="n">
        <v>1</v>
      </c>
      <c r="S381" s="173">
        <f>调整因子!$F$13</f>
        <v/>
      </c>
      <c r="T381" s="92" t="n">
        <v>1</v>
      </c>
      <c r="U381" s="174">
        <f>IFERROR(Q381*S381,0)</f>
        <v/>
      </c>
      <c r="V381" s="174">
        <f>U381*T381</f>
        <v/>
      </c>
      <c r="W381" s="90" t="inlineStr">
        <is>
          <t>部企接口配置表</t>
        </is>
      </c>
      <c r="X381" s="113" t="n"/>
      <c r="Y381" s="90" t="inlineStr">
        <is>
          <t>部企接口配置表{配置ID、接口名称、配置内容、创建时间}</t>
        </is>
      </c>
      <c r="Z381" s="90" t="n"/>
      <c r="AA381" s="90" t="n"/>
      <c r="AB381" s="103" t="inlineStr">
        <is>
          <t>扫描策略模板表</t>
        </is>
      </c>
      <c r="AC381" s="66" t="n"/>
    </row>
    <row r="382" s="112">
      <c r="A382" s="72">
        <f>ROW()-1</f>
        <v/>
      </c>
      <c r="B382" s="175" t="n"/>
      <c r="C382" s="80" t="n">
        <v>2025</v>
      </c>
      <c r="D382" s="80" t="inlineStr">
        <is>
          <t>张明峰</t>
        </is>
      </c>
      <c r="E382" s="81">
        <f>VLOOKUP(I382,'25年交付功能（不含废弃）'!A:A,1,FALSE)</f>
        <v/>
      </c>
      <c r="F382" s="175" t="n"/>
      <c r="G382" s="175" t="n"/>
      <c r="H382" s="175" t="n"/>
      <c r="I382" s="98" t="inlineStr">
        <is>
          <t>查看平台接口调用记录</t>
        </is>
      </c>
      <c r="J382" s="93" t="inlineStr">
        <is>
          <t>EQ</t>
        </is>
      </c>
      <c r="K382" s="84" t="n"/>
      <c r="L382" s="84" t="n"/>
      <c r="M382" s="85">
        <f>IF(OR(Y382="估算法",Y382="算法类",Y382="无法识别"),"",IF(W382="",IF(OR(J382="EI",J382="EO",J382="EQ"),0,""),LEN(W382)-LEN(SUBSTITUTE(W382,"、",""))+1))</f>
        <v/>
      </c>
      <c r="N382" s="85">
        <f>IF(OR(Y382="估算法",Y382="算法类",Y382="无法识别"),"",IF(X382="",IF(OR(J382="ILF",J382="EIF"),0,""),LEN(X382)-LEN(SUBSTITUTE(X382,"、",""))+1))</f>
        <v/>
      </c>
      <c r="O382" s="85">
        <f>IF(OR(Y382="估算法",Y382="算法类",Y382="无法识别"),"",IF(Y382="",IF(OR(J382="ILF",J382="EIF",J382="EI",J382="EO",J382="EQ"),0,""),LEN(Y382)-LEN(SUBSTITUTE(SUBSTITUTE(SUBSTITUTE(SUBSTITUTE(SUBSTITUTE(Y382,"|}","--"),"{|","--"),CHAR(10),""),"、",""),"|",""))+IF(AND(OR(J382="EI",J382="EO",J382="EQ"),$AE$1="NESMA"),2,1)))</f>
        <v/>
      </c>
      <c r="P382" s="86">
        <f>IF(J382="EI",IF(OR(Y382="估算法",Y382="算法类"),"中",IF(Y382="无法识别","低",IF(M382&lt;2,IF(O382&lt;16,"低","中"),IF(M382&lt;3,IF(O382&lt;5,"低",IF(O382&lt;16,"中","高")),IF(O382&lt;5,"中","高"))))),IF(OR(J382="EO",J382="EQ"),IF(OR(Y382="估算法",Y382="算法类"),"中",IF(Y382="无法识别","低",IF(M382&lt;2,IF(O382&lt;20,"低","中"),IF(M382&lt;4,IF(O382&lt;6,"低",IF(O382&lt;20,"中","高")),IF(O382&lt;6,"中","高"))))),IF(OR(J382="ILF",J382="EIF"),IF(OR(Y382="估算法",Y382="算法类",Y382="无法识别"),"低",IF(N382&lt;2,IF(O382&lt;51,"低","中"),IF(N382&lt;6,IF(O382&lt;20,"低",IF(O382&lt;51,"中","高")),IF(O382&lt;20,"中","高")))),"不计算")))</f>
        <v/>
      </c>
      <c r="Q382" s="172">
        <f>IFERROR(IF(J382="EI",IF(P382="低",3,IF(P382="中",4,6)),IF(J382="EO",IF(P382="低",4,IF(P382="中",5,7)),IF(J382="EQ",IF(P382="低",3,IF(P382="中",4,6)),IF(J382="ILF",IF(P382="低",7,IF(P382="中",10,15)),IF(J382="EIF",IF(P382="低",5,IF(P382="中",7,10)),"不计算")))))*R382,"不计算")</f>
        <v/>
      </c>
      <c r="R382" s="172" t="n">
        <v>1</v>
      </c>
      <c r="S382" s="173">
        <f>调整因子!$F$13</f>
        <v/>
      </c>
      <c r="T382" s="92" t="n">
        <v>1</v>
      </c>
      <c r="U382" s="174">
        <f>IFERROR(Q382*S382,0)</f>
        <v/>
      </c>
      <c r="V382" s="174">
        <f>U382*T382</f>
        <v/>
      </c>
      <c r="W382" s="90" t="inlineStr">
        <is>
          <t>部企接口调用记录表</t>
        </is>
      </c>
      <c r="X382" s="113" t="n"/>
      <c r="Y382" s="90" t="inlineStr">
        <is>
          <t>部企接口调用记录表{记录ID、接口名称、调用时间、调用结果}</t>
        </is>
      </c>
      <c r="Z382" s="90" t="n"/>
      <c r="AA382" s="90" t="n"/>
      <c r="AB382" s="103" t="inlineStr">
        <is>
          <t>数据清洗任务表</t>
        </is>
      </c>
      <c r="AC382" s="66" t="n"/>
    </row>
    <row r="383" s="112">
      <c r="A383" s="72">
        <f>ROW()-1</f>
        <v/>
      </c>
      <c r="B383" s="175" t="n"/>
      <c r="C383" s="80" t="n">
        <v>2025</v>
      </c>
      <c r="D383" s="80" t="inlineStr">
        <is>
          <t>张明峰</t>
        </is>
      </c>
      <c r="E383" s="81">
        <f>VLOOKUP(I383,'25年交付功能（不含废弃）'!A:A,1,FALSE)</f>
        <v/>
      </c>
      <c r="F383" s="175" t="n"/>
      <c r="G383" s="175" t="n"/>
      <c r="H383" s="175" t="n"/>
      <c r="I383" s="98" t="inlineStr">
        <is>
          <t>查看平台调用接口过程</t>
        </is>
      </c>
      <c r="J383" s="93" t="inlineStr">
        <is>
          <t>EQ</t>
        </is>
      </c>
      <c r="K383" s="84" t="n"/>
      <c r="L383" s="84" t="n"/>
      <c r="M383" s="85">
        <f>IF(OR(Y383="估算法",Y383="算法类",Y383="无法识别"),"",IF(W383="",IF(OR(J383="EI",J383="EO",J383="EQ"),0,""),LEN(W383)-LEN(SUBSTITUTE(W383,"、",""))+1))</f>
        <v/>
      </c>
      <c r="N383" s="85">
        <f>IF(OR(Y383="估算法",Y383="算法类",Y383="无法识别"),"",IF(X383="",IF(OR(J383="ILF",J383="EIF"),0,""),LEN(X383)-LEN(SUBSTITUTE(X383,"、",""))+1))</f>
        <v/>
      </c>
      <c r="O383" s="85">
        <f>IF(OR(Y383="估算法",Y383="算法类",Y383="无法识别"),"",IF(Y383="",IF(OR(J383="ILF",J383="EIF",J383="EI",J383="EO",J383="EQ"),0,""),LEN(Y383)-LEN(SUBSTITUTE(SUBSTITUTE(SUBSTITUTE(SUBSTITUTE(SUBSTITUTE(Y383,"|}","--"),"{|","--"),CHAR(10),""),"、",""),"|",""))+IF(AND(OR(J383="EI",J383="EO",J383="EQ"),$AE$1="NESMA"),2,1)))</f>
        <v/>
      </c>
      <c r="P383" s="86">
        <f>IF(J383="EI",IF(OR(Y383="估算法",Y383="算法类"),"中",IF(Y383="无法识别","低",IF(M383&lt;2,IF(O383&lt;16,"低","中"),IF(M383&lt;3,IF(O383&lt;5,"低",IF(O383&lt;16,"中","高")),IF(O383&lt;5,"中","高"))))),IF(OR(J383="EO",J383="EQ"),IF(OR(Y383="估算法",Y383="算法类"),"中",IF(Y383="无法识别","低",IF(M383&lt;2,IF(O383&lt;20,"低","中"),IF(M383&lt;4,IF(O383&lt;6,"低",IF(O383&lt;20,"中","高")),IF(O383&lt;6,"中","高"))))),IF(OR(J383="ILF",J383="EIF"),IF(OR(Y383="估算法",Y383="算法类",Y383="无法识别"),"低",IF(N383&lt;2,IF(O383&lt;51,"低","中"),IF(N383&lt;6,IF(O383&lt;20,"低",IF(O383&lt;51,"中","高")),IF(O383&lt;20,"中","高")))),"不计算")))</f>
        <v/>
      </c>
      <c r="Q383" s="172">
        <f>IFERROR(IF(J383="EI",IF(P383="低",3,IF(P383="中",4,6)),IF(J383="EO",IF(P383="低",4,IF(P383="中",5,7)),IF(J383="EQ",IF(P383="低",3,IF(P383="中",4,6)),IF(J383="ILF",IF(P383="低",7,IF(P383="中",10,15)),IF(J383="EIF",IF(P383="低",5,IF(P383="中",7,10)),"不计算")))))*R383,"不计算")</f>
        <v/>
      </c>
      <c r="R383" s="172" t="n">
        <v>1</v>
      </c>
      <c r="S383" s="173">
        <f>调整因子!$F$13</f>
        <v/>
      </c>
      <c r="T383" s="93" t="n">
        <v>1</v>
      </c>
      <c r="U383" s="174">
        <f>IFERROR(Q383*S383,0)</f>
        <v/>
      </c>
      <c r="V383" s="174">
        <f>U383*T383</f>
        <v/>
      </c>
      <c r="W383" s="90" t="inlineStr">
        <is>
          <t>部企接口配置表</t>
        </is>
      </c>
      <c r="X383" s="113" t="n"/>
      <c r="Y383" s="90" t="inlineStr">
        <is>
          <t>部企接口配置表{配置ID、接口名称、配置内容、创建时间}</t>
        </is>
      </c>
      <c r="Z383" s="90" t="n"/>
      <c r="AA383" s="90" t="n"/>
      <c r="AB383" s="103" t="inlineStr">
        <is>
          <t>推送日志表、报告解析结果表</t>
        </is>
      </c>
      <c r="AC383" s="66" t="n"/>
    </row>
    <row r="384" s="112">
      <c r="A384" s="72">
        <f>ROW()-1</f>
        <v/>
      </c>
      <c r="B384" s="175" t="n"/>
      <c r="C384" s="80" t="n">
        <v>2025</v>
      </c>
      <c r="D384" s="80" t="inlineStr">
        <is>
          <t>张明峰</t>
        </is>
      </c>
      <c r="E384" s="81">
        <f>VLOOKUP(I384,'25年交付功能（不含废弃）'!A:A,1,FALSE)</f>
        <v/>
      </c>
      <c r="F384" s="175" t="n"/>
      <c r="G384" s="175" t="n"/>
      <c r="H384" s="175" t="n"/>
      <c r="I384" s="98" t="inlineStr">
        <is>
          <t>修改平台接口配置</t>
        </is>
      </c>
      <c r="J384" s="93" t="inlineStr">
        <is>
          <t>EI</t>
        </is>
      </c>
      <c r="K384" s="84" t="n"/>
      <c r="L384" s="84" t="n"/>
      <c r="M384" s="85">
        <f>IF(OR(Y384="估算法",Y384="算法类",Y384="无法识别"),"",IF(W384="",IF(OR(J384="EI",J384="EO",J384="EQ"),0,""),LEN(W384)-LEN(SUBSTITUTE(W384,"、",""))+1))</f>
        <v/>
      </c>
      <c r="N384" s="85">
        <f>IF(OR(Y384="估算法",Y384="算法类",Y384="无法识别"),"",IF(X384="",IF(OR(J384="ILF",J384="EIF"),0,""),LEN(X384)-LEN(SUBSTITUTE(X384,"、",""))+1))</f>
        <v/>
      </c>
      <c r="O384" s="85">
        <f>IF(OR(Y384="估算法",Y384="算法类",Y384="无法识别"),"",IF(Y384="",IF(OR(J384="ILF",J384="EIF",J384="EI",J384="EO",J384="EQ"),0,""),LEN(Y384)-LEN(SUBSTITUTE(SUBSTITUTE(SUBSTITUTE(SUBSTITUTE(SUBSTITUTE(Y384,"|}","--"),"{|","--"),CHAR(10),""),"、",""),"|",""))+IF(AND(OR(J384="EI",J384="EO",J384="EQ"),$AE$1="NESMA"),2,1)))</f>
        <v/>
      </c>
      <c r="P384" s="86">
        <f>IF(J384="EI",IF(OR(Y384="估算法",Y384="算法类"),"中",IF(Y384="无法识别","低",IF(M384&lt;2,IF(O384&lt;16,"低","中"),IF(M384&lt;3,IF(O384&lt;5,"低",IF(O384&lt;16,"中","高")),IF(O384&lt;5,"中","高"))))),IF(OR(J384="EO",J384="EQ"),IF(OR(Y384="估算法",Y384="算法类"),"中",IF(Y384="无法识别","低",IF(M384&lt;2,IF(O384&lt;20,"低","中"),IF(M384&lt;4,IF(O384&lt;6,"低",IF(O384&lt;20,"中","高")),IF(O384&lt;6,"中","高"))))),IF(OR(J384="ILF",J384="EIF"),IF(OR(Y384="估算法",Y384="算法类",Y384="无法识别"),"低",IF(N384&lt;2,IF(O384&lt;51,"低","中"),IF(N384&lt;6,IF(O384&lt;20,"低",IF(O384&lt;51,"中","高")),IF(O384&lt;20,"中","高")))),"不计算")))</f>
        <v/>
      </c>
      <c r="Q384" s="172">
        <f>IFERROR(IF(J384="EI",IF(P384="低",3,IF(P384="中",4,6)),IF(J384="EO",IF(P384="低",4,IF(P384="中",5,7)),IF(J384="EQ",IF(P384="低",3,IF(P384="中",4,6)),IF(J384="ILF",IF(P384="低",7,IF(P384="中",10,15)),IF(J384="EIF",IF(P384="低",5,IF(P384="中",7,10)),"不计算")))))*R384,"不计算")</f>
        <v/>
      </c>
      <c r="R384" s="172" t="n">
        <v>0.333333333333333</v>
      </c>
      <c r="S384" s="173">
        <f>调整因子!$F$13</f>
        <v/>
      </c>
      <c r="T384" s="92" t="n">
        <v>1</v>
      </c>
      <c r="U384" s="174">
        <f>IFERROR(Q384*S384,0)</f>
        <v/>
      </c>
      <c r="V384" s="174">
        <f>U384*T384</f>
        <v/>
      </c>
      <c r="W384" s="90" t="inlineStr">
        <is>
          <t>部企接口配置表</t>
        </is>
      </c>
      <c r="X384" s="113" t="n"/>
      <c r="Y384" s="90" t="inlineStr">
        <is>
          <t>部企接口配置表{配置ID、接口名称、配置内容、创建时间}</t>
        </is>
      </c>
      <c r="Z384" s="90" t="n"/>
      <c r="AA384" s="90" t="n"/>
      <c r="AB384" s="103" t="inlineStr">
        <is>
          <t>方案审批表</t>
        </is>
      </c>
      <c r="AC384" s="66" t="n"/>
    </row>
    <row r="385" s="112">
      <c r="A385" s="72">
        <f>ROW()-1</f>
        <v/>
      </c>
      <c r="B385" s="175" t="n"/>
      <c r="C385" s="80" t="n">
        <v>2025</v>
      </c>
      <c r="D385" s="80" t="inlineStr">
        <is>
          <t>张明峰</t>
        </is>
      </c>
      <c r="E385" s="81">
        <f>VLOOKUP(I385,'25年交付功能（不含废弃）'!A:A,1,FALSE)</f>
        <v/>
      </c>
      <c r="F385" s="175" t="n"/>
      <c r="G385" s="175" t="n"/>
      <c r="H385" s="175" t="n"/>
      <c r="I385" s="98" t="inlineStr">
        <is>
          <t>部企接口配置表</t>
        </is>
      </c>
      <c r="J385" s="93" t="n"/>
      <c r="K385" s="110" t="inlineStr">
        <is>
          <t>删除</t>
        </is>
      </c>
      <c r="L385" s="84" t="n"/>
      <c r="M385" s="85">
        <f>IF(OR(Y385="估算法",Y385="算法类",Y385="无法识别"),"",IF(W385="",IF(OR(J385="EI",J385="EO",J385="EQ"),0,""),LEN(W385)-LEN(SUBSTITUTE(W385,"、",""))+1))</f>
        <v/>
      </c>
      <c r="N385" s="85">
        <f>IF(OR(Y385="估算法",Y385="算法类",Y385="无法识别"),"",IF(X385="",IF(OR(J385="ILF",J385="EIF"),0,""),LEN(X385)-LEN(SUBSTITUTE(X385,"、",""))+1))</f>
        <v/>
      </c>
      <c r="O385" s="85">
        <f>IF(OR(Y385="估算法",Y385="算法类",Y385="无法识别"),"",IF(Y385="",IF(OR(J385="ILF",J385="EIF",J385="EI",J385="EO",J385="EQ"),0,""),LEN(Y385)-LEN(SUBSTITUTE(SUBSTITUTE(SUBSTITUTE(SUBSTITUTE(SUBSTITUTE(Y385,"|}","--"),"{|","--"),CHAR(10),""),"、",""),"|",""))+IF(AND(OR(J385="EI",J385="EO",J385="EQ"),$AE$1="NESMA"),2,1)))</f>
        <v/>
      </c>
      <c r="P385" s="86">
        <f>IF(J385="EI",IF(OR(Y385="估算法",Y385="算法类"),"中",IF(Y385="无法识别","低",IF(M385&lt;2,IF(O385&lt;16,"低","中"),IF(M385&lt;3,IF(O385&lt;5,"低",IF(O385&lt;16,"中","高")),IF(O385&lt;5,"中","高"))))),IF(OR(J385="EO",J385="EQ"),IF(OR(Y385="估算法",Y385="算法类"),"中",IF(Y385="无法识别","低",IF(M385&lt;2,IF(O385&lt;20,"低","中"),IF(M385&lt;4,IF(O385&lt;6,"低",IF(O385&lt;20,"中","高")),IF(O385&lt;6,"中","高"))))),IF(OR(J385="ILF",J385="EIF"),IF(OR(Y385="估算法",Y385="算法类",Y385="无法识别"),"低",IF(N385&lt;2,IF(O385&lt;51,"低","中"),IF(N385&lt;6,IF(O385&lt;20,"低",IF(O385&lt;51,"中","高")),IF(O385&lt;20,"中","高")))),"不计算")))</f>
        <v/>
      </c>
      <c r="Q385" s="172">
        <f>IFERROR(IF(J385="EI",IF(P385="低",3,IF(P385="中",4,6)),IF(J385="EO",IF(P385="低",4,IF(P385="中",5,7)),IF(J385="EQ",IF(P385="低",3,IF(P385="中",4,6)),IF(J385="ILF",IF(P385="低",7,IF(P385="中",10,15)),IF(J385="EIF",IF(P385="低",5,IF(P385="中",7,10)),"不计算")))))*R385,"不计算")</f>
        <v/>
      </c>
      <c r="R385" s="172" t="n">
        <v>1</v>
      </c>
      <c r="S385" s="173">
        <f>调整因子!$F$13</f>
        <v/>
      </c>
      <c r="T385" s="92" t="n">
        <v>1</v>
      </c>
      <c r="U385" s="174">
        <f>IFERROR(Q385*S385,0)</f>
        <v/>
      </c>
      <c r="V385" s="174">
        <f>U385*T385</f>
        <v/>
      </c>
      <c r="W385" s="91" t="n"/>
      <c r="X385" s="90" t="inlineStr">
        <is>
          <t>部企接口配置表</t>
        </is>
      </c>
      <c r="Y385" s="90" t="inlineStr">
        <is>
          <t>部企接口配置表{配置ID、接口名称、配置内容、创建时间|响应状态码、返回数据信息}</t>
        </is>
      </c>
      <c r="Z385" s="90" t="n"/>
      <c r="AA385" s="90" t="n"/>
      <c r="AB385" s="103" t="inlineStr">
        <is>
          <t>任务日志表、通报配置表</t>
        </is>
      </c>
      <c r="AC385" s="66" t="n"/>
    </row>
    <row r="386" s="112">
      <c r="A386" s="72">
        <f>ROW()-1</f>
        <v/>
      </c>
      <c r="B386" s="175" t="n"/>
      <c r="C386" s="80" t="n">
        <v>2025</v>
      </c>
      <c r="D386" s="80" t="inlineStr">
        <is>
          <t>张明峰</t>
        </is>
      </c>
      <c r="E386" s="81">
        <f>VLOOKUP(I386,'25年交付功能（不含废弃）'!A:A,1,FALSE)</f>
        <v/>
      </c>
      <c r="F386" s="175" t="n"/>
      <c r="G386" s="175" t="n"/>
      <c r="H386" s="176" t="n"/>
      <c r="I386" s="98" t="inlineStr">
        <is>
          <t>部企接口调用记录表</t>
        </is>
      </c>
      <c r="J386" s="93" t="n"/>
      <c r="K386" s="110" t="inlineStr">
        <is>
          <t>删除</t>
        </is>
      </c>
      <c r="L386" s="84" t="n"/>
      <c r="M386" s="85">
        <f>IF(OR(Y386="估算法",Y386="算法类",Y386="无法识别"),"",IF(W386="",IF(OR(J386="EI",J386="EO",J386="EQ"),0,""),LEN(W386)-LEN(SUBSTITUTE(W386,"、",""))+1))</f>
        <v/>
      </c>
      <c r="N386" s="85">
        <f>IF(OR(Y386="估算法",Y386="算法类",Y386="无法识别"),"",IF(X386="",IF(OR(J386="ILF",J386="EIF"),0,""),LEN(X386)-LEN(SUBSTITUTE(X386,"、",""))+1))</f>
        <v/>
      </c>
      <c r="O386" s="85">
        <f>IF(OR(Y386="估算法",Y386="算法类",Y386="无法识别"),"",IF(Y386="",IF(OR(J386="ILF",J386="EIF",J386="EI",J386="EO",J386="EQ"),0,""),LEN(Y386)-LEN(SUBSTITUTE(SUBSTITUTE(SUBSTITUTE(SUBSTITUTE(SUBSTITUTE(Y386,"|}","--"),"{|","--"),CHAR(10),""),"、",""),"|",""))+IF(AND(OR(J386="EI",J386="EO",J386="EQ"),$AE$1="NESMA"),2,1)))</f>
        <v/>
      </c>
      <c r="P386" s="86">
        <f>IF(J386="EI",IF(OR(Y386="估算法",Y386="算法类"),"中",IF(Y386="无法识别","低",IF(M386&lt;2,IF(O386&lt;16,"低","中"),IF(M386&lt;3,IF(O386&lt;5,"低",IF(O386&lt;16,"中","高")),IF(O386&lt;5,"中","高"))))),IF(OR(J386="EO",J386="EQ"),IF(OR(Y386="估算法",Y386="算法类"),"中",IF(Y386="无法识别","低",IF(M386&lt;2,IF(O386&lt;20,"低","中"),IF(M386&lt;4,IF(O386&lt;6,"低",IF(O386&lt;20,"中","高")),IF(O386&lt;6,"中","高"))))),IF(OR(J386="ILF",J386="EIF"),IF(OR(Y386="估算法",Y386="算法类",Y386="无法识别"),"低",IF(N386&lt;2,IF(O386&lt;51,"低","中"),IF(N386&lt;6,IF(O386&lt;20,"低",IF(O386&lt;51,"中","高")),IF(O386&lt;20,"中","高")))),"不计算")))</f>
        <v/>
      </c>
      <c r="Q386" s="172">
        <f>IFERROR(IF(J386="EI",IF(P386="低",3,IF(P386="中",4,6)),IF(J386="EO",IF(P386="低",4,IF(P386="中",5,7)),IF(J386="EQ",IF(P386="低",3,IF(P386="中",4,6)),IF(J386="ILF",IF(P386="低",7,IF(P386="中",10,15)),IF(J386="EIF",IF(P386="低",5,IF(P386="中",7,10)),"不计算")))))*R386,"不计算")</f>
        <v/>
      </c>
      <c r="R386" s="172" t="n">
        <v>1</v>
      </c>
      <c r="S386" s="173">
        <f>调整因子!$F$13</f>
        <v/>
      </c>
      <c r="T386" s="93" t="n">
        <v>1</v>
      </c>
      <c r="U386" s="174">
        <f>IFERROR(Q386*S386,0)</f>
        <v/>
      </c>
      <c r="V386" s="174">
        <f>U386*T386</f>
        <v/>
      </c>
      <c r="W386" s="91" t="n"/>
      <c r="X386" s="90" t="inlineStr">
        <is>
          <t>部企接口调用记录表</t>
        </is>
      </c>
      <c r="Y386" s="90" t="inlineStr">
        <is>
          <t>部企接口调用记录表{记录ID、接口名称、调用时间、调用结果}</t>
        </is>
      </c>
      <c r="Z386" s="90" t="n"/>
      <c r="AA386" s="90" t="n"/>
      <c r="AB386" s="103" t="inlineStr">
        <is>
          <t>审计日志表、复测任务表</t>
        </is>
      </c>
      <c r="AC386" s="66" t="n"/>
    </row>
    <row r="387" s="112">
      <c r="A387" s="72">
        <f>ROW()-1</f>
        <v/>
      </c>
      <c r="B387" s="175" t="n"/>
      <c r="C387" s="80" t="n">
        <v>2025</v>
      </c>
      <c r="D387" s="80" t="inlineStr">
        <is>
          <t>张明峰</t>
        </is>
      </c>
      <c r="E387" s="81">
        <f>VLOOKUP(I387,'25年交付功能（不含废弃）'!A:A,1,FALSE)</f>
        <v/>
      </c>
      <c r="F387" s="175" t="n"/>
      <c r="G387" s="175" t="n"/>
      <c r="H387" s="93" t="inlineStr">
        <is>
          <t>插件验证接口运维</t>
        </is>
      </c>
      <c r="I387" s="98" t="inlineStr">
        <is>
          <t>查看服务内部接口列表</t>
        </is>
      </c>
      <c r="J387" s="93" t="inlineStr">
        <is>
          <t>EQ</t>
        </is>
      </c>
      <c r="K387" s="84" t="n"/>
      <c r="L387" s="84" t="n"/>
      <c r="M387" s="85">
        <f>IF(OR(Y387="估算法",Y387="算法类",Y387="无法识别"),"",IF(W387="",IF(OR(J387="EI",J387="EO",J387="EQ"),0,""),LEN(W387)-LEN(SUBSTITUTE(W387,"、",""))+1))</f>
        <v/>
      </c>
      <c r="N387" s="85">
        <f>IF(OR(Y387="估算法",Y387="算法类",Y387="无法识别"),"",IF(X387="",IF(OR(J387="ILF",J387="EIF"),0,""),LEN(X387)-LEN(SUBSTITUTE(X387,"、",""))+1))</f>
        <v/>
      </c>
      <c r="O387" s="85">
        <f>IF(OR(Y387="估算法",Y387="算法类",Y387="无法识别"),"",IF(Y387="",IF(OR(J387="ILF",J387="EIF",J387="EI",J387="EO",J387="EQ"),0,""),LEN(Y387)-LEN(SUBSTITUTE(SUBSTITUTE(SUBSTITUTE(SUBSTITUTE(SUBSTITUTE(Y387,"|}","--"),"{|","--"),CHAR(10),""),"、",""),"|",""))+IF(AND(OR(J387="EI",J387="EO",J387="EQ"),$AE$1="NESMA"),2,1)))</f>
        <v/>
      </c>
      <c r="P387" s="86">
        <f>IF(J387="EI",IF(OR(Y387="估算法",Y387="算法类"),"中",IF(Y387="无法识别","低",IF(M387&lt;2,IF(O387&lt;16,"低","中"),IF(M387&lt;3,IF(O387&lt;5,"低",IF(O387&lt;16,"中","高")),IF(O387&lt;5,"中","高"))))),IF(OR(J387="EO",J387="EQ"),IF(OR(Y387="估算法",Y387="算法类"),"中",IF(Y387="无法识别","低",IF(M387&lt;2,IF(O387&lt;20,"低","中"),IF(M387&lt;4,IF(O387&lt;6,"低",IF(O387&lt;20,"中","高")),IF(O387&lt;6,"中","高"))))),IF(OR(J387="ILF",J387="EIF"),IF(OR(Y387="估算法",Y387="算法类",Y387="无法识别"),"低",IF(N387&lt;2,IF(O387&lt;51,"低","中"),IF(N387&lt;6,IF(O387&lt;20,"低",IF(O387&lt;51,"中","高")),IF(O387&lt;20,"中","高")))),"不计算")))</f>
        <v/>
      </c>
      <c r="Q387" s="172">
        <f>IFERROR(IF(J387="EI",IF(P387="低",3,IF(P387="中",4,6)),IF(J387="EO",IF(P387="低",4,IF(P387="中",5,7)),IF(J387="EQ",IF(P387="低",3,IF(P387="中",4,6)),IF(J387="ILF",IF(P387="低",7,IF(P387="中",10,15)),IF(J387="EIF",IF(P387="低",5,IF(P387="中",7,10)),"不计算")))))*R387,"不计算")</f>
        <v/>
      </c>
      <c r="R387" s="172" t="n">
        <v>1</v>
      </c>
      <c r="S387" s="173">
        <f>调整因子!$F$13</f>
        <v/>
      </c>
      <c r="T387" s="92" t="n">
        <v>1</v>
      </c>
      <c r="U387" s="174">
        <f>IFERROR(Q387*S387,0)</f>
        <v/>
      </c>
      <c r="V387" s="174">
        <f>U387*T387</f>
        <v/>
      </c>
      <c r="W387" s="90" t="inlineStr">
        <is>
          <t>部企接口配置表</t>
        </is>
      </c>
      <c r="X387" s="113" t="n"/>
      <c r="Y387" s="90" t="inlineStr">
        <is>
          <t>部企接口配置表{配置ID、接口名称、配置内容、创建时间}</t>
        </is>
      </c>
      <c r="Z387" s="90" t="n"/>
      <c r="AA387" s="90" t="n"/>
      <c r="AB387" s="103" t="inlineStr">
        <is>
          <t>推送规则表</t>
        </is>
      </c>
      <c r="AC387" s="66" t="n"/>
    </row>
    <row r="388" s="112">
      <c r="A388" s="72">
        <f>ROW()-1</f>
        <v/>
      </c>
      <c r="B388" s="175" t="n"/>
      <c r="C388" s="80" t="n">
        <v>2025</v>
      </c>
      <c r="D388" s="80" t="inlineStr">
        <is>
          <t>张明峰</t>
        </is>
      </c>
      <c r="E388" s="81">
        <f>VLOOKUP(I388,'25年交付功能（不含废弃）'!A:A,1,FALSE)</f>
        <v/>
      </c>
      <c r="F388" s="175" t="n"/>
      <c r="G388" s="175" t="n"/>
      <c r="H388" s="175" t="n"/>
      <c r="I388" s="98" t="inlineStr">
        <is>
          <t>查看服务内部接口配置内容</t>
        </is>
      </c>
      <c r="J388" s="93" t="inlineStr">
        <is>
          <t>EQ</t>
        </is>
      </c>
      <c r="K388" s="84" t="n"/>
      <c r="L388" s="84" t="n"/>
      <c r="M388" s="85">
        <f>IF(OR(Y388="估算法",Y388="算法类",Y388="无法识别"),"",IF(W388="",IF(OR(J388="EI",J388="EO",J388="EQ"),0,""),LEN(W388)-LEN(SUBSTITUTE(W388,"、",""))+1))</f>
        <v/>
      </c>
      <c r="N388" s="85">
        <f>IF(OR(Y388="估算法",Y388="算法类",Y388="无法识别"),"",IF(X388="",IF(OR(J388="ILF",J388="EIF"),0,""),LEN(X388)-LEN(SUBSTITUTE(X388,"、",""))+1))</f>
        <v/>
      </c>
      <c r="O388" s="85">
        <f>IF(OR(Y388="估算法",Y388="算法类",Y388="无法识别"),"",IF(Y388="",IF(OR(J388="ILF",J388="EIF",J388="EI",J388="EO",J388="EQ"),0,""),LEN(Y388)-LEN(SUBSTITUTE(SUBSTITUTE(SUBSTITUTE(SUBSTITUTE(SUBSTITUTE(Y388,"|}","--"),"{|","--"),CHAR(10),""),"、",""),"|",""))+IF(AND(OR(J388="EI",J388="EO",J388="EQ"),$AE$1="NESMA"),2,1)))</f>
        <v/>
      </c>
      <c r="P388" s="86">
        <f>IF(J388="EI",IF(OR(Y388="估算法",Y388="算法类"),"中",IF(Y388="无法识别","低",IF(M388&lt;2,IF(O388&lt;16,"低","中"),IF(M388&lt;3,IF(O388&lt;5,"低",IF(O388&lt;16,"中","高")),IF(O388&lt;5,"中","高"))))),IF(OR(J388="EO",J388="EQ"),IF(OR(Y388="估算法",Y388="算法类"),"中",IF(Y388="无法识别","低",IF(M388&lt;2,IF(O388&lt;20,"低","中"),IF(M388&lt;4,IF(O388&lt;6,"低",IF(O388&lt;20,"中","高")),IF(O388&lt;6,"中","高"))))),IF(OR(J388="ILF",J388="EIF"),IF(OR(Y388="估算法",Y388="算法类",Y388="无法识别"),"低",IF(N388&lt;2,IF(O388&lt;51,"低","中"),IF(N388&lt;6,IF(O388&lt;20,"低",IF(O388&lt;51,"中","高")),IF(O388&lt;20,"中","高")))),"不计算")))</f>
        <v/>
      </c>
      <c r="Q388" s="172">
        <f>IFERROR(IF(J388="EI",IF(P388="低",3,IF(P388="中",4,6)),IF(J388="EO",IF(P388="低",4,IF(P388="中",5,7)),IF(J388="EQ",IF(P388="低",3,IF(P388="中",4,6)),IF(J388="ILF",IF(P388="低",7,IF(P388="中",10,15)),IF(J388="EIF",IF(P388="低",5,IF(P388="中",7,10)),"不计算")))))*R388,"不计算")</f>
        <v/>
      </c>
      <c r="R388" s="172" t="n">
        <v>1</v>
      </c>
      <c r="S388" s="173">
        <f>调整因子!$F$13</f>
        <v/>
      </c>
      <c r="T388" s="92" t="n">
        <v>1</v>
      </c>
      <c r="U388" s="174">
        <f>IFERROR(Q388*S388,0)</f>
        <v/>
      </c>
      <c r="V388" s="174">
        <f>U388*T388</f>
        <v/>
      </c>
      <c r="W388" s="90" t="inlineStr">
        <is>
          <t>部企接口配置表</t>
        </is>
      </c>
      <c r="X388" s="113" t="n"/>
      <c r="Y388" s="90" t="inlineStr">
        <is>
          <t>部企接口配置表{配置ID、接口名称、配置内容、创建时间}</t>
        </is>
      </c>
      <c r="Z388" s="90" t="n"/>
      <c r="AA388" s="90" t="n"/>
      <c r="AB388" s="103" t="inlineStr">
        <is>
          <t>处置单关联表、修复方案表</t>
        </is>
      </c>
      <c r="AC388" s="66" t="n"/>
    </row>
    <row r="389" s="112">
      <c r="A389" s="72">
        <f>ROW()-1</f>
        <v/>
      </c>
      <c r="B389" s="175" t="n"/>
      <c r="C389" s="80" t="n">
        <v>2025</v>
      </c>
      <c r="D389" s="80" t="inlineStr">
        <is>
          <t>张明峰</t>
        </is>
      </c>
      <c r="E389" s="81">
        <f>VLOOKUP(I389,'25年交付功能（不含废弃）'!A:A,1,FALSE)</f>
        <v/>
      </c>
      <c r="F389" s="175" t="n"/>
      <c r="G389" s="175" t="n"/>
      <c r="H389" s="175" t="n"/>
      <c r="I389" s="98" t="inlineStr">
        <is>
          <t>查看服务内部接口日志</t>
        </is>
      </c>
      <c r="J389" s="93" t="inlineStr">
        <is>
          <t>EQ</t>
        </is>
      </c>
      <c r="K389" s="84" t="n"/>
      <c r="L389" s="84" t="n"/>
      <c r="M389" s="85">
        <f>IF(OR(Y389="估算法",Y389="算法类",Y389="无法识别"),"",IF(W389="",IF(OR(J389="EI",J389="EO",J389="EQ"),0,""),LEN(W389)-LEN(SUBSTITUTE(W389,"、",""))+1))</f>
        <v/>
      </c>
      <c r="N389" s="85">
        <f>IF(OR(Y389="估算法",Y389="算法类",Y389="无法识别"),"",IF(X389="",IF(OR(J389="ILF",J389="EIF"),0,""),LEN(X389)-LEN(SUBSTITUTE(X389,"、",""))+1))</f>
        <v/>
      </c>
      <c r="O389" s="85">
        <f>IF(OR(Y389="估算法",Y389="算法类",Y389="无法识别"),"",IF(Y389="",IF(OR(J389="ILF",J389="EIF",J389="EI",J389="EO",J389="EQ"),0,""),LEN(Y389)-LEN(SUBSTITUTE(SUBSTITUTE(SUBSTITUTE(SUBSTITUTE(SUBSTITUTE(Y389,"|}","--"),"{|","--"),CHAR(10),""),"、",""),"|",""))+IF(AND(OR(J389="EI",J389="EO",J389="EQ"),$AE$1="NESMA"),2,1)))</f>
        <v/>
      </c>
      <c r="P389" s="86">
        <f>IF(J389="EI",IF(OR(Y389="估算法",Y389="算法类"),"中",IF(Y389="无法识别","低",IF(M389&lt;2,IF(O389&lt;16,"低","中"),IF(M389&lt;3,IF(O389&lt;5,"低",IF(O389&lt;16,"中","高")),IF(O389&lt;5,"中","高"))))),IF(OR(J389="EO",J389="EQ"),IF(OR(Y389="估算法",Y389="算法类"),"中",IF(Y389="无法识别","低",IF(M389&lt;2,IF(O389&lt;20,"低","中"),IF(M389&lt;4,IF(O389&lt;6,"低",IF(O389&lt;20,"中","高")),IF(O389&lt;6,"中","高"))))),IF(OR(J389="ILF",J389="EIF"),IF(OR(Y389="估算法",Y389="算法类",Y389="无法识别"),"低",IF(N389&lt;2,IF(O389&lt;51,"低","中"),IF(N389&lt;6,IF(O389&lt;20,"低",IF(O389&lt;51,"中","高")),IF(O389&lt;20,"中","高")))),"不计算")))</f>
        <v/>
      </c>
      <c r="Q389" s="172">
        <f>IFERROR(IF(J389="EI",IF(P389="低",3,IF(P389="中",4,6)),IF(J389="EO",IF(P389="低",4,IF(P389="中",5,7)),IF(J389="EQ",IF(P389="低",3,IF(P389="中",4,6)),IF(J389="ILF",IF(P389="低",7,IF(P389="中",10,15)),IF(J389="EIF",IF(P389="低",5,IF(P389="中",7,10)),"不计算")))))*R389,"不计算")</f>
        <v/>
      </c>
      <c r="R389" s="172" t="n">
        <v>1</v>
      </c>
      <c r="S389" s="173">
        <f>调整因子!$F$13</f>
        <v/>
      </c>
      <c r="T389" s="93" t="n">
        <v>1</v>
      </c>
      <c r="U389" s="174">
        <f>IFERROR(Q389*S389,0)</f>
        <v/>
      </c>
      <c r="V389" s="174">
        <f>U389*T389</f>
        <v/>
      </c>
      <c r="W389" s="90" t="inlineStr">
        <is>
          <t>部企接口调用记录表</t>
        </is>
      </c>
      <c r="X389" s="113" t="n"/>
      <c r="Y389" s="90" t="inlineStr">
        <is>
          <t>部企接口调用记录表{记录ID、接口名称、调用时间、调用结果}</t>
        </is>
      </c>
      <c r="Z389" s="90" t="n"/>
      <c r="AA389" s="90" t="n"/>
      <c r="AB389" s="103" t="inlineStr">
        <is>
          <t>资产同步任务表、资产扫描覆盖表</t>
        </is>
      </c>
      <c r="AC389" s="66" t="n"/>
    </row>
    <row r="390" s="112">
      <c r="A390" s="72">
        <f>ROW()-1</f>
        <v/>
      </c>
      <c r="B390" s="175" t="n"/>
      <c r="C390" s="80" t="n">
        <v>2025</v>
      </c>
      <c r="D390" s="80" t="inlineStr">
        <is>
          <t>张明峰</t>
        </is>
      </c>
      <c r="E390" s="81">
        <f>VLOOKUP(I390,'25年交付功能（不含废弃）'!A:A,1,FALSE)</f>
        <v/>
      </c>
      <c r="F390" s="175" t="n"/>
      <c r="G390" s="175" t="n"/>
      <c r="H390" s="175" t="n"/>
      <c r="I390" s="98" t="inlineStr">
        <is>
          <t>查看服务内部接口调用内容</t>
        </is>
      </c>
      <c r="J390" s="93" t="inlineStr">
        <is>
          <t>EQ</t>
        </is>
      </c>
      <c r="K390" s="84" t="n"/>
      <c r="L390" s="84" t="n"/>
      <c r="M390" s="85">
        <f>IF(OR(Y390="估算法",Y390="算法类",Y390="无法识别"),"",IF(W390="",IF(OR(J390="EI",J390="EO",J390="EQ"),0,""),LEN(W390)-LEN(SUBSTITUTE(W390,"、",""))+1))</f>
        <v/>
      </c>
      <c r="N390" s="85">
        <f>IF(OR(Y390="估算法",Y390="算法类",Y390="无法识别"),"",IF(X390="",IF(OR(J390="ILF",J390="EIF"),0,""),LEN(X390)-LEN(SUBSTITUTE(X390,"、",""))+1))</f>
        <v/>
      </c>
      <c r="O390" s="85">
        <f>IF(OR(Y390="估算法",Y390="算法类",Y390="无法识别"),"",IF(Y390="",IF(OR(J390="ILF",J390="EIF",J390="EI",J390="EO",J390="EQ"),0,""),LEN(Y390)-LEN(SUBSTITUTE(SUBSTITUTE(SUBSTITUTE(SUBSTITUTE(SUBSTITUTE(Y390,"|}","--"),"{|","--"),CHAR(10),""),"、",""),"|",""))+IF(AND(OR(J390="EI",J390="EO",J390="EQ"),$AE$1="NESMA"),2,1)))</f>
        <v/>
      </c>
      <c r="P390" s="86">
        <f>IF(J390="EI",IF(OR(Y390="估算法",Y390="算法类"),"中",IF(Y390="无法识别","低",IF(M390&lt;2,IF(O390&lt;16,"低","中"),IF(M390&lt;3,IF(O390&lt;5,"低",IF(O390&lt;16,"中","高")),IF(O390&lt;5,"中","高"))))),IF(OR(J390="EO",J390="EQ"),IF(OR(Y390="估算法",Y390="算法类"),"中",IF(Y390="无法识别","低",IF(M390&lt;2,IF(O390&lt;20,"低","中"),IF(M390&lt;4,IF(O390&lt;6,"低",IF(O390&lt;20,"中","高")),IF(O390&lt;6,"中","高"))))),IF(OR(J390="ILF",J390="EIF"),IF(OR(Y390="估算法",Y390="算法类",Y390="无法识别"),"低",IF(N390&lt;2,IF(O390&lt;51,"低","中"),IF(N390&lt;6,IF(O390&lt;20,"低",IF(O390&lt;51,"中","高")),IF(O390&lt;20,"中","高")))),"不计算")))</f>
        <v/>
      </c>
      <c r="Q390" s="172">
        <f>IFERROR(IF(J390="EI",IF(P390="低",3,IF(P390="中",4,6)),IF(J390="EO",IF(P390="低",4,IF(P390="中",5,7)),IF(J390="EQ",IF(P390="低",3,IF(P390="中",4,6)),IF(J390="ILF",IF(P390="低",7,IF(P390="中",10,15)),IF(J390="EIF",IF(P390="低",5,IF(P390="中",7,10)),"不计算")))))*R390,"不计算")</f>
        <v/>
      </c>
      <c r="R390" s="172" t="n">
        <v>1</v>
      </c>
      <c r="S390" s="173">
        <f>调整因子!$F$13</f>
        <v/>
      </c>
      <c r="T390" s="92" t="n">
        <v>1</v>
      </c>
      <c r="U390" s="174">
        <f>IFERROR(Q390*S390,0)</f>
        <v/>
      </c>
      <c r="V390" s="174">
        <f>U390*T390</f>
        <v/>
      </c>
      <c r="W390" s="90" t="inlineStr">
        <is>
          <t>部企接口配置表</t>
        </is>
      </c>
      <c r="X390" s="113" t="n"/>
      <c r="Y390" s="90" t="inlineStr">
        <is>
          <t>部企接口配置表{配置ID、接口名称、配置内容、创建时间}</t>
        </is>
      </c>
      <c r="Z390" s="90" t="n"/>
      <c r="AA390" s="90" t="n"/>
      <c r="AB390" s="103" t="inlineStr">
        <is>
          <t>数据清洗任务表、资产同步任务表</t>
        </is>
      </c>
      <c r="AC390" s="66" t="n"/>
    </row>
    <row r="391" s="112">
      <c r="A391" s="72">
        <f>ROW()-1</f>
        <v/>
      </c>
      <c r="B391" s="175" t="n"/>
      <c r="C391" s="80" t="n">
        <v>2025</v>
      </c>
      <c r="D391" s="80" t="inlineStr">
        <is>
          <t>张明峰</t>
        </is>
      </c>
      <c r="E391" s="81">
        <f>VLOOKUP(I391,'25年交付功能（不含废弃）'!A:A,1,FALSE)</f>
        <v/>
      </c>
      <c r="F391" s="175" t="n"/>
      <c r="G391" s="175" t="n"/>
      <c r="H391" s="175" t="n"/>
      <c r="I391" s="98" t="inlineStr">
        <is>
          <t>修改服务内部接口配置</t>
        </is>
      </c>
      <c r="J391" s="93" t="inlineStr">
        <is>
          <t>EI</t>
        </is>
      </c>
      <c r="K391" s="84" t="n"/>
      <c r="L391" s="84" t="n"/>
      <c r="M391" s="85">
        <f>IF(OR(Y391="估算法",Y391="算法类",Y391="无法识别"),"",IF(W391="",IF(OR(J391="EI",J391="EO",J391="EQ"),0,""),LEN(W391)-LEN(SUBSTITUTE(W391,"、",""))+1))</f>
        <v/>
      </c>
      <c r="N391" s="85">
        <f>IF(OR(Y391="估算法",Y391="算法类",Y391="无法识别"),"",IF(X391="",IF(OR(J391="ILF",J391="EIF"),0,""),LEN(X391)-LEN(SUBSTITUTE(X391,"、",""))+1))</f>
        <v/>
      </c>
      <c r="O391" s="85">
        <f>IF(OR(Y391="估算法",Y391="算法类",Y391="无法识别"),"",IF(Y391="",IF(OR(J391="ILF",J391="EIF",J391="EI",J391="EO",J391="EQ"),0,""),LEN(Y391)-LEN(SUBSTITUTE(SUBSTITUTE(SUBSTITUTE(SUBSTITUTE(SUBSTITUTE(Y391,"|}","--"),"{|","--"),CHAR(10),""),"、",""),"|",""))+IF(AND(OR(J391="EI",J391="EO",J391="EQ"),$AE$1="NESMA"),2,1)))</f>
        <v/>
      </c>
      <c r="P391" s="86">
        <f>IF(J391="EI",IF(OR(Y391="估算法",Y391="算法类"),"中",IF(Y391="无法识别","低",IF(M391&lt;2,IF(O391&lt;16,"低","中"),IF(M391&lt;3,IF(O391&lt;5,"低",IF(O391&lt;16,"中","高")),IF(O391&lt;5,"中","高"))))),IF(OR(J391="EO",J391="EQ"),IF(OR(Y391="估算法",Y391="算法类"),"中",IF(Y391="无法识别","低",IF(M391&lt;2,IF(O391&lt;20,"低","中"),IF(M391&lt;4,IF(O391&lt;6,"低",IF(O391&lt;20,"中","高")),IF(O391&lt;6,"中","高"))))),IF(OR(J391="ILF",J391="EIF"),IF(OR(Y391="估算法",Y391="算法类",Y391="无法识别"),"低",IF(N391&lt;2,IF(O391&lt;51,"低","中"),IF(N391&lt;6,IF(O391&lt;20,"低",IF(O391&lt;51,"中","高")),IF(O391&lt;20,"中","高")))),"不计算")))</f>
        <v/>
      </c>
      <c r="Q391" s="172">
        <f>IFERROR(IF(J391="EI",IF(P391="低",3,IF(P391="中",4,6)),IF(J391="EO",IF(P391="低",4,IF(P391="中",5,7)),IF(J391="EQ",IF(P391="低",3,IF(P391="中",4,6)),IF(J391="ILF",IF(P391="低",7,IF(P391="中",10,15)),IF(J391="EIF",IF(P391="低",5,IF(P391="中",7,10)),"不计算")))))*R391,"不计算")</f>
        <v/>
      </c>
      <c r="R391" s="172" t="n">
        <v>0.333333333333333</v>
      </c>
      <c r="S391" s="173">
        <f>调整因子!$F$13</f>
        <v/>
      </c>
      <c r="T391" s="92" t="n">
        <v>1</v>
      </c>
      <c r="U391" s="174">
        <f>IFERROR(Q391*S391,0)</f>
        <v/>
      </c>
      <c r="V391" s="174">
        <f>U391*T391</f>
        <v/>
      </c>
      <c r="W391" s="90" t="inlineStr">
        <is>
          <t>部企接口配置表</t>
        </is>
      </c>
      <c r="X391" s="113" t="n"/>
      <c r="Y391" s="90" t="inlineStr">
        <is>
          <t>部企接口配置表{配置ID、接口名称、配置内容、创建时间}</t>
        </is>
      </c>
      <c r="Z391" s="90" t="n"/>
      <c r="AA391" s="90" t="n"/>
      <c r="AB391" s="103" t="inlineStr">
        <is>
          <t>数据清洗任务表</t>
        </is>
      </c>
      <c r="AC391" s="66" t="n"/>
    </row>
    <row r="392" s="112">
      <c r="A392" s="72">
        <f>ROW()-1</f>
        <v/>
      </c>
      <c r="B392" s="175" t="n"/>
      <c r="C392" s="80" t="n">
        <v>2025</v>
      </c>
      <c r="D392" s="80" t="inlineStr">
        <is>
          <t>张明峰</t>
        </is>
      </c>
      <c r="E392" s="81">
        <f>VLOOKUP(I392,'25年交付功能（不含废弃）'!A:A,1,FALSE)</f>
        <v/>
      </c>
      <c r="F392" s="175" t="n"/>
      <c r="G392" s="175" t="n"/>
      <c r="H392" s="175" t="n"/>
      <c r="I392" s="98" t="inlineStr">
        <is>
          <t>部企接口配置表</t>
        </is>
      </c>
      <c r="J392" s="93" t="n"/>
      <c r="K392" s="110" t="inlineStr">
        <is>
          <t>删除</t>
        </is>
      </c>
      <c r="L392" s="84" t="n"/>
      <c r="M392" s="85">
        <f>IF(OR(Y392="估算法",Y392="算法类",Y392="无法识别"),"",IF(W392="",IF(OR(J392="EI",J392="EO",J392="EQ"),0,""),LEN(W392)-LEN(SUBSTITUTE(W392,"、",""))+1))</f>
        <v/>
      </c>
      <c r="N392" s="85">
        <f>IF(OR(Y392="估算法",Y392="算法类",Y392="无法识别"),"",IF(X392="",IF(OR(J392="ILF",J392="EIF"),0,""),LEN(X392)-LEN(SUBSTITUTE(X392,"、",""))+1))</f>
        <v/>
      </c>
      <c r="O392" s="85">
        <f>IF(OR(Y392="估算法",Y392="算法类",Y392="无法识别"),"",IF(Y392="",IF(OR(J392="ILF",J392="EIF",J392="EI",J392="EO",J392="EQ"),0,""),LEN(Y392)-LEN(SUBSTITUTE(SUBSTITUTE(SUBSTITUTE(SUBSTITUTE(SUBSTITUTE(Y392,"|}","--"),"{|","--"),CHAR(10),""),"、",""),"|",""))+IF(AND(OR(J392="EI",J392="EO",J392="EQ"),$AE$1="NESMA"),2,1)))</f>
        <v/>
      </c>
      <c r="P392" s="86">
        <f>IF(J392="EI",IF(OR(Y392="估算法",Y392="算法类"),"中",IF(Y392="无法识别","低",IF(M392&lt;2,IF(O392&lt;16,"低","中"),IF(M392&lt;3,IF(O392&lt;5,"低",IF(O392&lt;16,"中","高")),IF(O392&lt;5,"中","高"))))),IF(OR(J392="EO",J392="EQ"),IF(OR(Y392="估算法",Y392="算法类"),"中",IF(Y392="无法识别","低",IF(M392&lt;2,IF(O392&lt;20,"低","中"),IF(M392&lt;4,IF(O392&lt;6,"低",IF(O392&lt;20,"中","高")),IF(O392&lt;6,"中","高"))))),IF(OR(J392="ILF",J392="EIF"),IF(OR(Y392="估算法",Y392="算法类",Y392="无法识别"),"低",IF(N392&lt;2,IF(O392&lt;51,"低","中"),IF(N392&lt;6,IF(O392&lt;20,"低",IF(O392&lt;51,"中","高")),IF(O392&lt;20,"中","高")))),"不计算")))</f>
        <v/>
      </c>
      <c r="Q392" s="172">
        <f>IFERROR(IF(J392="EI",IF(P392="低",3,IF(P392="中",4,6)),IF(J392="EO",IF(P392="低",4,IF(P392="中",5,7)),IF(J392="EQ",IF(P392="低",3,IF(P392="中",4,6)),IF(J392="ILF",IF(P392="低",7,IF(P392="中",10,15)),IF(J392="EIF",IF(P392="低",5,IF(P392="中",7,10)),"不计算")))))*R392,"不计算")</f>
        <v/>
      </c>
      <c r="R392" s="172" t="n">
        <v>1</v>
      </c>
      <c r="S392" s="173">
        <f>调整因子!$F$13</f>
        <v/>
      </c>
      <c r="T392" s="93" t="n">
        <v>1</v>
      </c>
      <c r="U392" s="174">
        <f>IFERROR(Q392*S392,0)</f>
        <v/>
      </c>
      <c r="V392" s="174">
        <f>U392*T392</f>
        <v/>
      </c>
      <c r="W392" s="91" t="n"/>
      <c r="X392" s="90" t="inlineStr">
        <is>
          <t>部企接口配置表</t>
        </is>
      </c>
      <c r="Y392" s="90" t="inlineStr">
        <is>
          <t>部企接口配置表{配置ID、接口名称、配置内容、创建时间}</t>
        </is>
      </c>
      <c r="Z392" s="90" t="n"/>
      <c r="AA392" s="90" t="n"/>
      <c r="AB392" s="103" t="inlineStr">
        <is>
          <t>数据清洗任务表、资产同步任务表</t>
        </is>
      </c>
      <c r="AC392" s="66" t="n"/>
    </row>
    <row r="393" s="112">
      <c r="A393" s="72">
        <f>ROW()-1</f>
        <v/>
      </c>
      <c r="B393" s="175" t="n"/>
      <c r="C393" s="80" t="n">
        <v>2025</v>
      </c>
      <c r="D393" s="80" t="inlineStr">
        <is>
          <t>张明峰</t>
        </is>
      </c>
      <c r="E393" s="81">
        <f>VLOOKUP(I393,'25年交付功能（不含废弃）'!A:A,1,FALSE)</f>
        <v/>
      </c>
      <c r="F393" s="176" t="n"/>
      <c r="G393" s="176" t="n"/>
      <c r="H393" s="176" t="n"/>
      <c r="I393" s="98" t="inlineStr">
        <is>
          <t>部企接口调用记录表</t>
        </is>
      </c>
      <c r="J393" s="93" t="n"/>
      <c r="K393" s="110" t="inlineStr">
        <is>
          <t>删除</t>
        </is>
      </c>
      <c r="L393" s="84" t="n"/>
      <c r="M393" s="85">
        <f>IF(OR(Y393="估算法",Y393="算法类",Y393="无法识别"),"",IF(W393="",IF(OR(J393="EI",J393="EO",J393="EQ"),0,""),LEN(W393)-LEN(SUBSTITUTE(W393,"、",""))+1))</f>
        <v/>
      </c>
      <c r="N393" s="85">
        <f>IF(OR(Y393="估算法",Y393="算法类",Y393="无法识别"),"",IF(X393="",IF(OR(J393="ILF",J393="EIF"),0,""),LEN(X393)-LEN(SUBSTITUTE(X393,"、",""))+1))</f>
        <v/>
      </c>
      <c r="O393" s="85">
        <f>IF(OR(Y393="估算法",Y393="算法类",Y393="无法识别"),"",IF(Y393="",IF(OR(J393="ILF",J393="EIF",J393="EI",J393="EO",J393="EQ"),0,""),LEN(Y393)-LEN(SUBSTITUTE(SUBSTITUTE(SUBSTITUTE(SUBSTITUTE(SUBSTITUTE(Y393,"|}","--"),"{|","--"),CHAR(10),""),"、",""),"|",""))+IF(AND(OR(J393="EI",J393="EO",J393="EQ"),$AE$1="NESMA"),2,1)))</f>
        <v/>
      </c>
      <c r="P393" s="86">
        <f>IF(J393="EI",IF(OR(Y393="估算法",Y393="算法类"),"中",IF(Y393="无法识别","低",IF(M393&lt;2,IF(O393&lt;16,"低","中"),IF(M393&lt;3,IF(O393&lt;5,"低",IF(O393&lt;16,"中","高")),IF(O393&lt;5,"中","高"))))),IF(OR(J393="EO",J393="EQ"),IF(OR(Y393="估算法",Y393="算法类"),"中",IF(Y393="无法识别","低",IF(M393&lt;2,IF(O393&lt;20,"低","中"),IF(M393&lt;4,IF(O393&lt;6,"低",IF(O393&lt;20,"中","高")),IF(O393&lt;6,"中","高"))))),IF(OR(J393="ILF",J393="EIF"),IF(OR(Y393="估算法",Y393="算法类",Y393="无法识别"),"低",IF(N393&lt;2,IF(O393&lt;51,"低","中"),IF(N393&lt;6,IF(O393&lt;20,"低",IF(O393&lt;51,"中","高")),IF(O393&lt;20,"中","高")))),"不计算")))</f>
        <v/>
      </c>
      <c r="Q393" s="172">
        <f>IFERROR(IF(J393="EI",IF(P393="低",3,IF(P393="中",4,6)),IF(J393="EO",IF(P393="低",4,IF(P393="中",5,7)),IF(J393="EQ",IF(P393="低",3,IF(P393="中",4,6)),IF(J393="ILF",IF(P393="低",7,IF(P393="中",10,15)),IF(J393="EIF",IF(P393="低",5,IF(P393="中",7,10)),"不计算")))))*R393,"不计算")</f>
        <v/>
      </c>
      <c r="R393" s="172" t="n">
        <v>1</v>
      </c>
      <c r="S393" s="173">
        <f>调整因子!$F$13</f>
        <v/>
      </c>
      <c r="T393" s="92" t="n">
        <v>1</v>
      </c>
      <c r="U393" s="174">
        <f>IFERROR(Q393*S393,0)</f>
        <v/>
      </c>
      <c r="V393" s="174">
        <f>U393*T393</f>
        <v/>
      </c>
      <c r="W393" s="91" t="n"/>
      <c r="X393" s="90" t="inlineStr">
        <is>
          <t>部企接口调用记录表</t>
        </is>
      </c>
      <c r="Y393" s="90" t="inlineStr">
        <is>
          <t>部企接口调用记录表{记录ID、接口名称、调用时间、调用结果}</t>
        </is>
      </c>
      <c r="Z393" s="90" t="n"/>
      <c r="AA393" s="90" t="n"/>
      <c r="AB393" s="103" t="inlineStr">
        <is>
          <t>资产扫描覆盖表</t>
        </is>
      </c>
      <c r="AC393" s="66" t="n"/>
    </row>
    <row r="394" s="112">
      <c r="A394" s="72">
        <f>ROW()-1</f>
        <v/>
      </c>
      <c r="B394" s="175" t="n"/>
      <c r="C394" s="80" t="n">
        <v>2025</v>
      </c>
      <c r="D394" s="80" t="inlineStr">
        <is>
          <t>窦鹏岐</t>
        </is>
      </c>
      <c r="E394" s="81">
        <f>VLOOKUP(I394,'25年交付功能（不含废弃）'!A:A,1,FALSE)</f>
        <v/>
      </c>
      <c r="F394" s="82" t="inlineStr">
        <is>
          <t>生产、靶标及实验资产管理</t>
        </is>
      </c>
      <c r="G394" s="82" t="inlineStr">
        <is>
          <t>漏洞归属管理</t>
        </is>
      </c>
      <c r="H394" s="82" t="inlineStr">
        <is>
          <t>归属规则设定</t>
        </is>
      </c>
      <c r="I394" s="81" t="inlineStr">
        <is>
          <t>修改判定规则</t>
        </is>
      </c>
      <c r="J394" s="93" t="inlineStr">
        <is>
          <t>EI</t>
        </is>
      </c>
      <c r="K394" s="84" t="n"/>
      <c r="L394" s="84" t="n"/>
      <c r="M394" s="85">
        <f>IF(OR(Y394="估算法",Y394="算法类",Y394="无法识别"),"",IF(W394="",IF(OR(J394="EI",J394="EO",J394="EQ"),0,""),LEN(W394)-LEN(SUBSTITUTE(W394,"、",""))+1))</f>
        <v/>
      </c>
      <c r="N394" s="85">
        <f>IF(OR(Y394="估算法",Y394="算法类",Y394="无法识别"),"",IF(X394="",IF(OR(J394="ILF",J394="EIF"),0,""),LEN(X394)-LEN(SUBSTITUTE(X394,"、",""))+1))</f>
        <v/>
      </c>
      <c r="O394" s="85">
        <f>IF(OR(Y394="估算法",Y394="算法类",Y394="无法识别"),"",IF(Y394="",IF(OR(J394="ILF",J394="EIF",J394="EI",J394="EO",J394="EQ"),0,""),LEN(Y394)-LEN(SUBSTITUTE(SUBSTITUTE(SUBSTITUTE(SUBSTITUTE(SUBSTITUTE(Y394,"|}","--"),"{|","--"),CHAR(10),""),"、",""),"|",""))+IF(AND(OR(J394="EI",J394="EO",J394="EQ"),$AE$1="NESMA"),2,1)))</f>
        <v/>
      </c>
      <c r="P394" s="86">
        <f>IF(J394="EI",IF(OR(Y394="估算法",Y394="算法类"),"中",IF(Y394="无法识别","低",IF(M394&lt;2,IF(O394&lt;16,"低","中"),IF(M394&lt;3,IF(O394&lt;5,"低",IF(O394&lt;16,"中","高")),IF(O394&lt;5,"中","高"))))),IF(OR(J394="EO",J394="EQ"),IF(OR(Y394="估算法",Y394="算法类"),"中",IF(Y394="无法识别","低",IF(M394&lt;2,IF(O394&lt;20,"低","中"),IF(M394&lt;4,IF(O394&lt;6,"低",IF(O394&lt;20,"中","高")),IF(O394&lt;6,"中","高"))))),IF(OR(J394="ILF",J394="EIF"),IF(OR(Y394="估算法",Y394="算法类",Y394="无法识别"),"低",IF(N394&lt;2,IF(O394&lt;51,"低","中"),IF(N394&lt;6,IF(O394&lt;20,"低",IF(O394&lt;51,"中","高")),IF(O394&lt;20,"中","高")))),"不计算")))</f>
        <v/>
      </c>
      <c r="Q394" s="172">
        <f>IFERROR(IF(J394="EI",IF(P394="低",3,IF(P394="中",4,6)),IF(J394="EO",IF(P394="低",4,IF(P394="中",5,7)),IF(J394="EQ",IF(P394="低",3,IF(P394="中",4,6)),IF(J394="ILF",IF(P394="低",7,IF(P394="中",10,15)),IF(J394="EIF",IF(P394="低",5,IF(P394="中",7,10)),"不计算")))))*R394,"不计算")</f>
        <v/>
      </c>
      <c r="R394" s="172" t="n">
        <v>0.333333333333333</v>
      </c>
      <c r="S394" s="173">
        <f>调整因子!$F$13</f>
        <v/>
      </c>
      <c r="T394" s="92" t="n">
        <v>1</v>
      </c>
      <c r="U394" s="174">
        <f>IFERROR(Q394*S394,0)</f>
        <v/>
      </c>
      <c r="V394" s="174">
        <f>U394*T394</f>
        <v/>
      </c>
      <c r="W394" s="93" t="inlineStr">
        <is>
          <t>归属规则设定表</t>
        </is>
      </c>
      <c r="X394" s="98" t="n"/>
      <c r="Y394" s="93" t="inlineStr">
        <is>
          <t>归属规则设定表{主键 id 、规则名称、规则描述、规则条件、规则状态 （如启用、禁用等）、创建时间、更新时间}</t>
        </is>
      </c>
      <c r="Z394" s="90" t="n"/>
      <c r="AA394" s="90" t="n"/>
      <c r="AB394" s="103" t="inlineStr">
        <is>
          <t>资产扫描覆盖表</t>
        </is>
      </c>
      <c r="AC394" s="66" t="n"/>
    </row>
    <row r="395" s="112">
      <c r="A395" s="72">
        <f>ROW()-1</f>
        <v/>
      </c>
      <c r="B395" s="175" t="n"/>
      <c r="C395" s="80" t="n">
        <v>2025</v>
      </c>
      <c r="D395" s="80" t="inlineStr">
        <is>
          <t>窦鹏岐</t>
        </is>
      </c>
      <c r="E395" s="81">
        <f>VLOOKUP(I395,'25年交付功能（不含废弃）'!A:A,1,FALSE)</f>
        <v/>
      </c>
      <c r="F395" s="175" t="n"/>
      <c r="G395" s="175" t="n"/>
      <c r="H395" s="175" t="n"/>
      <c r="I395" s="81" t="inlineStr">
        <is>
          <t>分页展示规则</t>
        </is>
      </c>
      <c r="J395" s="93" t="inlineStr">
        <is>
          <t>EQ</t>
        </is>
      </c>
      <c r="K395" s="84" t="n"/>
      <c r="L395" s="84" t="n"/>
      <c r="M395" s="85">
        <f>IF(OR(Y395="估算法",Y395="算法类",Y395="无法识别"),"",IF(W395="",IF(OR(J395="EI",J395="EO",J395="EQ"),0,""),LEN(W395)-LEN(SUBSTITUTE(W395,"、",""))+1))</f>
        <v/>
      </c>
      <c r="N395" s="85">
        <f>IF(OR(Y395="估算法",Y395="算法类",Y395="无法识别"),"",IF(X395="",IF(OR(J395="ILF",J395="EIF"),0,""),LEN(X395)-LEN(SUBSTITUTE(X395,"、",""))+1))</f>
        <v/>
      </c>
      <c r="O395" s="85">
        <f>IF(OR(Y395="估算法",Y395="算法类",Y395="无法识别"),"",IF(Y395="",IF(OR(J395="ILF",J395="EIF",J395="EI",J395="EO",J395="EQ"),0,""),LEN(Y395)-LEN(SUBSTITUTE(SUBSTITUTE(SUBSTITUTE(SUBSTITUTE(SUBSTITUTE(Y395,"|}","--"),"{|","--"),CHAR(10),""),"、",""),"|",""))+IF(AND(OR(J395="EI",J395="EO",J395="EQ"),$AE$1="NESMA"),2,1)))</f>
        <v/>
      </c>
      <c r="P395" s="86">
        <f>IF(J395="EI",IF(OR(Y395="估算法",Y395="算法类"),"中",IF(Y395="无法识别","低",IF(M395&lt;2,IF(O395&lt;16,"低","中"),IF(M395&lt;3,IF(O395&lt;5,"低",IF(O395&lt;16,"中","高")),IF(O395&lt;5,"中","高"))))),IF(OR(J395="EO",J395="EQ"),IF(OR(Y395="估算法",Y395="算法类"),"中",IF(Y395="无法识别","低",IF(M395&lt;2,IF(O395&lt;20,"低","中"),IF(M395&lt;4,IF(O395&lt;6,"低",IF(O395&lt;20,"中","高")),IF(O395&lt;6,"中","高"))))),IF(OR(J395="ILF",J395="EIF"),IF(OR(Y395="估算法",Y395="算法类",Y395="无法识别"),"低",IF(N395&lt;2,IF(O395&lt;51,"低","中"),IF(N395&lt;6,IF(O395&lt;20,"低",IF(O395&lt;51,"中","高")),IF(O395&lt;20,"中","高")))),"不计算")))</f>
        <v/>
      </c>
      <c r="Q395" s="172">
        <f>IFERROR(IF(J395="EI",IF(P395="低",3,IF(P395="中",4,6)),IF(J395="EO",IF(P395="低",4,IF(P395="中",5,7)),IF(J395="EQ",IF(P395="低",3,IF(P395="中",4,6)),IF(J395="ILF",IF(P395="低",7,IF(P395="中",10,15)),IF(J395="EIF",IF(P395="低",5,IF(P395="中",7,10)),"不计算")))))*R395,"不计算")</f>
        <v/>
      </c>
      <c r="R395" s="172" t="n">
        <v>1</v>
      </c>
      <c r="S395" s="173">
        <f>调整因子!$F$13</f>
        <v/>
      </c>
      <c r="T395" s="93" t="n">
        <v>1</v>
      </c>
      <c r="U395" s="174">
        <f>IFERROR(Q395*S395,0)</f>
        <v/>
      </c>
      <c r="V395" s="174">
        <f>U395*T395</f>
        <v/>
      </c>
      <c r="W395" s="93" t="inlineStr">
        <is>
          <t>归属规则设定表</t>
        </is>
      </c>
      <c r="X395" s="98" t="n"/>
      <c r="Y395" s="93" t="inlineStr">
        <is>
          <t>归属规则设定表{主键 id 、规则名称、规则描述、规则条件、规则状态 （如启用、禁用等）、创建时间、更新时间}</t>
        </is>
      </c>
      <c r="Z395" s="90" t="n"/>
      <c r="AA395" s="90" t="n"/>
      <c r="AB395" s="103" t="inlineStr">
        <is>
          <t>资产扫描覆盖表</t>
        </is>
      </c>
      <c r="AC395" s="66" t="n"/>
    </row>
    <row r="396" s="112">
      <c r="A396" s="72">
        <f>ROW()-1</f>
        <v/>
      </c>
      <c r="B396" s="175" t="n"/>
      <c r="C396" s="80" t="n">
        <v>2025</v>
      </c>
      <c r="D396" s="80" t="inlineStr">
        <is>
          <t>窦鹏岐</t>
        </is>
      </c>
      <c r="E396" s="81">
        <f>VLOOKUP(I396,'25年交付功能（不含废弃）'!A:A,1,FALSE)</f>
        <v/>
      </c>
      <c r="F396" s="175" t="n"/>
      <c r="G396" s="175" t="n"/>
      <c r="H396" s="175" t="n"/>
      <c r="I396" s="81" t="inlineStr">
        <is>
          <t>删除判定规则</t>
        </is>
      </c>
      <c r="J396" s="93" t="inlineStr">
        <is>
          <t>EI</t>
        </is>
      </c>
      <c r="K396" s="84" t="n"/>
      <c r="L396" s="84" t="n"/>
      <c r="M396" s="85">
        <f>IF(OR(Y396="估算法",Y396="算法类",Y396="无法识别"),"",IF(W396="",IF(OR(J396="EI",J396="EO",J396="EQ"),0,""),LEN(W396)-LEN(SUBSTITUTE(W396,"、",""))+1))</f>
        <v/>
      </c>
      <c r="N396" s="85">
        <f>IF(OR(Y396="估算法",Y396="算法类",Y396="无法识别"),"",IF(X396="",IF(OR(J396="ILF",J396="EIF"),0,""),LEN(X396)-LEN(SUBSTITUTE(X396,"、",""))+1))</f>
        <v/>
      </c>
      <c r="O396" s="85">
        <f>IF(OR(Y396="估算法",Y396="算法类",Y396="无法识别"),"",IF(Y396="",IF(OR(J396="ILF",J396="EIF",J396="EI",J396="EO",J396="EQ"),0,""),LEN(Y396)-LEN(SUBSTITUTE(SUBSTITUTE(SUBSTITUTE(SUBSTITUTE(SUBSTITUTE(Y396,"|}","--"),"{|","--"),CHAR(10),""),"、",""),"|",""))+IF(AND(OR(J396="EI",J396="EO",J396="EQ"),$AE$1="NESMA"),2,1)))</f>
        <v/>
      </c>
      <c r="P396" s="86">
        <f>IF(J396="EI",IF(OR(Y396="估算法",Y396="算法类"),"中",IF(Y396="无法识别","低",IF(M396&lt;2,IF(O396&lt;16,"低","中"),IF(M396&lt;3,IF(O396&lt;5,"低",IF(O396&lt;16,"中","高")),IF(O396&lt;5,"中","高"))))),IF(OR(J396="EO",J396="EQ"),IF(OR(Y396="估算法",Y396="算法类"),"中",IF(Y396="无法识别","低",IF(M396&lt;2,IF(O396&lt;20,"低","中"),IF(M396&lt;4,IF(O396&lt;6,"低",IF(O396&lt;20,"中","高")),IF(O396&lt;6,"中","高"))))),IF(OR(J396="ILF",J396="EIF"),IF(OR(Y396="估算法",Y396="算法类",Y396="无法识别"),"低",IF(N396&lt;2,IF(O396&lt;51,"低","中"),IF(N396&lt;6,IF(O396&lt;20,"低",IF(O396&lt;51,"中","高")),IF(O396&lt;20,"中","高")))),"不计算")))</f>
        <v/>
      </c>
      <c r="Q396" s="172">
        <f>IFERROR(IF(J396="EI",IF(P396="低",3,IF(P396="中",4,6)),IF(J396="EO",IF(P396="低",4,IF(P396="中",5,7)),IF(J396="EQ",IF(P396="低",3,IF(P396="中",4,6)),IF(J396="ILF",IF(P396="低",7,IF(P396="中",10,15)),IF(J396="EIF",IF(P396="低",5,IF(P396="中",7,10)),"不计算")))))*R396,"不计算")</f>
        <v/>
      </c>
      <c r="R396" s="172" t="n">
        <v>0.333333333333333</v>
      </c>
      <c r="S396" s="173">
        <f>调整因子!$F$13</f>
        <v/>
      </c>
      <c r="T396" s="92" t="n">
        <v>1</v>
      </c>
      <c r="U396" s="174">
        <f>IFERROR(Q396*S396,0)</f>
        <v/>
      </c>
      <c r="V396" s="174">
        <f>U396*T396</f>
        <v/>
      </c>
      <c r="W396" s="93" t="inlineStr">
        <is>
          <t>归属规则设定表</t>
        </is>
      </c>
      <c r="X396" s="98" t="n"/>
      <c r="Y396" s="93" t="inlineStr">
        <is>
          <t>归属规则设定表{主键 id 、规则名称、规则描述、规则条件、规则状态 （如启用、禁用等）、创建时间、更新时间}</t>
        </is>
      </c>
      <c r="Z396" s="90" t="n"/>
      <c r="AA396" s="90" t="n"/>
      <c r="AB396" s="103" t="inlineStr">
        <is>
          <t>任务优先级配置表</t>
        </is>
      </c>
      <c r="AC396" s="66" t="n"/>
    </row>
    <row r="397" s="112">
      <c r="A397" s="72">
        <f>ROW()-1</f>
        <v/>
      </c>
      <c r="B397" s="175" t="n"/>
      <c r="C397" s="80" t="n">
        <v>2025</v>
      </c>
      <c r="D397" s="80" t="inlineStr">
        <is>
          <t>窦鹏岐</t>
        </is>
      </c>
      <c r="E397" s="81">
        <f>VLOOKUP(I397,'25年交付功能（不含废弃）'!A:A,1,FALSE)</f>
        <v/>
      </c>
      <c r="F397" s="175" t="n"/>
      <c r="G397" s="175" t="n"/>
      <c r="H397" s="175" t="n"/>
      <c r="I397" s="81" t="inlineStr">
        <is>
          <t>导入判定规则</t>
        </is>
      </c>
      <c r="J397" s="93" t="inlineStr">
        <is>
          <t>EI</t>
        </is>
      </c>
      <c r="K397" s="84" t="n"/>
      <c r="L397" s="84" t="n"/>
      <c r="M397" s="85">
        <f>IF(OR(Y397="估算法",Y397="算法类",Y397="无法识别"),"",IF(W397="",IF(OR(J397="EI",J397="EO",J397="EQ"),0,""),LEN(W397)-LEN(SUBSTITUTE(W397,"、",""))+1))</f>
        <v/>
      </c>
      <c r="N397" s="85">
        <f>IF(OR(Y397="估算法",Y397="算法类",Y397="无法识别"),"",IF(X397="",IF(OR(J397="ILF",J397="EIF"),0,""),LEN(X397)-LEN(SUBSTITUTE(X397,"、",""))+1))</f>
        <v/>
      </c>
      <c r="O397" s="85">
        <f>IF(OR(Y397="估算法",Y397="算法类",Y397="无法识别"),"",IF(Y397="",IF(OR(J397="ILF",J397="EIF",J397="EI",J397="EO",J397="EQ"),0,""),LEN(Y397)-LEN(SUBSTITUTE(SUBSTITUTE(SUBSTITUTE(SUBSTITUTE(SUBSTITUTE(Y397,"|}","--"),"{|","--"),CHAR(10),""),"、",""),"|",""))+IF(AND(OR(J397="EI",J397="EO",J397="EQ"),$AE$1="NESMA"),2,1)))</f>
        <v/>
      </c>
      <c r="P397" s="86">
        <f>IF(J397="EI",IF(OR(Y397="估算法",Y397="算法类"),"中",IF(Y397="无法识别","低",IF(M397&lt;2,IF(O397&lt;16,"低","中"),IF(M397&lt;3,IF(O397&lt;5,"低",IF(O397&lt;16,"中","高")),IF(O397&lt;5,"中","高"))))),IF(OR(J397="EO",J397="EQ"),IF(OR(Y397="估算法",Y397="算法类"),"中",IF(Y397="无法识别","低",IF(M397&lt;2,IF(O397&lt;20,"低","中"),IF(M397&lt;4,IF(O397&lt;6,"低",IF(O397&lt;20,"中","高")),IF(O397&lt;6,"中","高"))))),IF(OR(J397="ILF",J397="EIF"),IF(OR(Y397="估算法",Y397="算法类",Y397="无法识别"),"低",IF(N397&lt;2,IF(O397&lt;51,"低","中"),IF(N397&lt;6,IF(O397&lt;20,"低",IF(O397&lt;51,"中","高")),IF(O397&lt;20,"中","高")))),"不计算")))</f>
        <v/>
      </c>
      <c r="Q397" s="172">
        <f>IFERROR(IF(J397="EI",IF(P397="低",3,IF(P397="中",4,6)),IF(J397="EO",IF(P397="低",4,IF(P397="中",5,7)),IF(J397="EQ",IF(P397="低",3,IF(P397="中",4,6)),IF(J397="ILF",IF(P397="低",7,IF(P397="中",10,15)),IF(J397="EIF",IF(P397="低",5,IF(P397="中",7,10)),"不计算")))))*R397,"不计算")</f>
        <v/>
      </c>
      <c r="R397" s="172" t="n">
        <v>1</v>
      </c>
      <c r="S397" s="173">
        <f>调整因子!$F$13</f>
        <v/>
      </c>
      <c r="T397" s="92" t="n">
        <v>1</v>
      </c>
      <c r="U397" s="174">
        <f>IFERROR(Q397*S397,0)</f>
        <v/>
      </c>
      <c r="V397" s="174">
        <f>U397*T397</f>
        <v/>
      </c>
      <c r="W397" s="93" t="inlineStr">
        <is>
          <t>归属规则设定表</t>
        </is>
      </c>
      <c r="X397" s="98" t="n"/>
      <c r="Y397" s="93" t="inlineStr">
        <is>
          <t>归属规则设定表{主键 id 、规则名称、规则描述、规则条件、规则状态 （如启用、禁用等）、创建时间、更新时间}</t>
        </is>
      </c>
      <c r="Z397" s="90" t="n"/>
      <c r="AA397" s="90" t="n"/>
      <c r="AB397" s="103" t="inlineStr">
        <is>
          <t>漏洞处置单表、漏洞统计数据表</t>
        </is>
      </c>
      <c r="AC397" s="66" t="n"/>
    </row>
    <row r="398" s="112">
      <c r="A398" s="72">
        <f>ROW()-1</f>
        <v/>
      </c>
      <c r="B398" s="175" t="n"/>
      <c r="C398" s="80" t="n">
        <v>2025</v>
      </c>
      <c r="D398" s="80" t="inlineStr">
        <is>
          <t>窦鹏岐</t>
        </is>
      </c>
      <c r="E398" s="81">
        <f>VLOOKUP(I398,'25年交付功能（不含废弃）'!A:A,1,FALSE)</f>
        <v/>
      </c>
      <c r="F398" s="175" t="n"/>
      <c r="G398" s="175" t="n"/>
      <c r="H398" s="175" t="n"/>
      <c r="I398" s="81" t="inlineStr">
        <is>
          <t>导出判定规则</t>
        </is>
      </c>
      <c r="J398" s="93" t="inlineStr">
        <is>
          <t>EO</t>
        </is>
      </c>
      <c r="K398" s="84" t="n"/>
      <c r="L398" s="84" t="n"/>
      <c r="M398" s="85">
        <f>IF(OR(Y398="估算法",Y398="算法类",Y398="无法识别"),"",IF(W398="",IF(OR(J398="EI",J398="EO",J398="EQ"),0,""),LEN(W398)-LEN(SUBSTITUTE(W398,"、",""))+1))</f>
        <v/>
      </c>
      <c r="N398" s="85">
        <f>IF(OR(Y398="估算法",Y398="算法类",Y398="无法识别"),"",IF(X398="",IF(OR(J398="ILF",J398="EIF"),0,""),LEN(X398)-LEN(SUBSTITUTE(X398,"、",""))+1))</f>
        <v/>
      </c>
      <c r="O398" s="85">
        <f>IF(OR(Y398="估算法",Y398="算法类",Y398="无法识别"),"",IF(Y398="",IF(OR(J398="ILF",J398="EIF",J398="EI",J398="EO",J398="EQ"),0,""),LEN(Y398)-LEN(SUBSTITUTE(SUBSTITUTE(SUBSTITUTE(SUBSTITUTE(SUBSTITUTE(Y398,"|}","--"),"{|","--"),CHAR(10),""),"、",""),"|",""))+IF(AND(OR(J398="EI",J398="EO",J398="EQ"),$AE$1="NESMA"),2,1)))</f>
        <v/>
      </c>
      <c r="P398" s="86">
        <f>IF(J398="EI",IF(OR(Y398="估算法",Y398="算法类"),"中",IF(Y398="无法识别","低",IF(M398&lt;2,IF(O398&lt;16,"低","中"),IF(M398&lt;3,IF(O398&lt;5,"低",IF(O398&lt;16,"中","高")),IF(O398&lt;5,"中","高"))))),IF(OR(J398="EO",J398="EQ"),IF(OR(Y398="估算法",Y398="算法类"),"中",IF(Y398="无法识别","低",IF(M398&lt;2,IF(O398&lt;20,"低","中"),IF(M398&lt;4,IF(O398&lt;6,"低",IF(O398&lt;20,"中","高")),IF(O398&lt;6,"中","高"))))),IF(OR(J398="ILF",J398="EIF"),IF(OR(Y398="估算法",Y398="算法类",Y398="无法识别"),"低",IF(N398&lt;2,IF(O398&lt;51,"低","中"),IF(N398&lt;6,IF(O398&lt;20,"低",IF(O398&lt;51,"中","高")),IF(O398&lt;20,"中","高")))),"不计算")))</f>
        <v/>
      </c>
      <c r="Q398" s="172">
        <f>IFERROR(IF(J398="EI",IF(P398="低",3,IF(P398="中",4,6)),IF(J398="EO",IF(P398="低",4,IF(P398="中",5,7)),IF(J398="EQ",IF(P398="低",3,IF(P398="中",4,6)),IF(J398="ILF",IF(P398="低",7,IF(P398="中",10,15)),IF(J398="EIF",IF(P398="低",5,IF(P398="中",7,10)),"不计算")))))*R398,"不计算")</f>
        <v/>
      </c>
      <c r="R398" s="172" t="n">
        <v>1</v>
      </c>
      <c r="S398" s="173">
        <f>调整因子!$F$13</f>
        <v/>
      </c>
      <c r="T398" s="93" t="n">
        <v>1</v>
      </c>
      <c r="U398" s="174">
        <f>IFERROR(Q398*S398,0)</f>
        <v/>
      </c>
      <c r="V398" s="174">
        <f>U398*T398</f>
        <v/>
      </c>
      <c r="W398" s="93" t="inlineStr">
        <is>
          <t>归属规则设定表</t>
        </is>
      </c>
      <c r="X398" s="98" t="n"/>
      <c r="Y398" s="93" t="inlineStr">
        <is>
          <t>归属规则设定表{主键 id 、规则名称、规则描述、规则条件、规则状态 （如启用、禁用等）、创建时间、更新时间}</t>
        </is>
      </c>
      <c r="Z398" s="90" t="n"/>
      <c r="AA398" s="90" t="n"/>
      <c r="AB398" s="103" t="inlineStr">
        <is>
          <t>漏洞处置单表</t>
        </is>
      </c>
      <c r="AC398" s="66" t="n"/>
    </row>
    <row r="399" s="112">
      <c r="A399" s="72">
        <f>ROW()-1</f>
        <v/>
      </c>
      <c r="B399" s="175" t="n"/>
      <c r="C399" s="80" t="n">
        <v>2025</v>
      </c>
      <c r="D399" s="80" t="inlineStr">
        <is>
          <t>窦鹏岐</t>
        </is>
      </c>
      <c r="E399" s="81">
        <f>VLOOKUP(I399,'25年交付功能（不含废弃）'!A:A,1,FALSE)</f>
        <v/>
      </c>
      <c r="F399" s="175" t="n"/>
      <c r="G399" s="175" t="n"/>
      <c r="H399" s="175" t="n"/>
      <c r="I399" s="81" t="inlineStr">
        <is>
          <t>新建判定规则</t>
        </is>
      </c>
      <c r="J399" s="93" t="inlineStr">
        <is>
          <t>EI</t>
        </is>
      </c>
      <c r="K399" s="84" t="n"/>
      <c r="L399" s="84" t="n"/>
      <c r="M399" s="85">
        <f>IF(OR(Y399="估算法",Y399="算法类",Y399="无法识别"),"",IF(W399="",IF(OR(J399="EI",J399="EO",J399="EQ"),0,""),LEN(W399)-LEN(SUBSTITUTE(W399,"、",""))+1))</f>
        <v/>
      </c>
      <c r="N399" s="85">
        <f>IF(OR(Y399="估算法",Y399="算法类",Y399="无法识别"),"",IF(X399="",IF(OR(J399="ILF",J399="EIF"),0,""),LEN(X399)-LEN(SUBSTITUTE(X399,"、",""))+1))</f>
        <v/>
      </c>
      <c r="O399" s="85">
        <f>IF(OR(Y399="估算法",Y399="算法类",Y399="无法识别"),"",IF(Y399="",IF(OR(J399="ILF",J399="EIF",J399="EI",J399="EO",J399="EQ"),0,""),LEN(Y399)-LEN(SUBSTITUTE(SUBSTITUTE(SUBSTITUTE(SUBSTITUTE(SUBSTITUTE(Y399,"|}","--"),"{|","--"),CHAR(10),""),"、",""),"|",""))+IF(AND(OR(J399="EI",J399="EO",J399="EQ"),$AE$1="NESMA"),2,1)))</f>
        <v/>
      </c>
      <c r="P399" s="86">
        <f>IF(J399="EI",IF(OR(Y399="估算法",Y399="算法类"),"中",IF(Y399="无法识别","低",IF(M399&lt;2,IF(O399&lt;16,"低","中"),IF(M399&lt;3,IF(O399&lt;5,"低",IF(O399&lt;16,"中","高")),IF(O399&lt;5,"中","高"))))),IF(OR(J399="EO",J399="EQ"),IF(OR(Y399="估算法",Y399="算法类"),"中",IF(Y399="无法识别","低",IF(M399&lt;2,IF(O399&lt;20,"低","中"),IF(M399&lt;4,IF(O399&lt;6,"低",IF(O399&lt;20,"中","高")),IF(O399&lt;6,"中","高"))))),IF(OR(J399="ILF",J399="EIF"),IF(OR(Y399="估算法",Y399="算法类",Y399="无法识别"),"低",IF(N399&lt;2,IF(O399&lt;51,"低","中"),IF(N399&lt;6,IF(O399&lt;20,"低",IF(O399&lt;51,"中","高")),IF(O399&lt;20,"中","高")))),"不计算")))</f>
        <v/>
      </c>
      <c r="Q399" s="172">
        <f>IFERROR(IF(J399="EI",IF(P399="低",3,IF(P399="中",4,6)),IF(J399="EO",IF(P399="低",4,IF(P399="中",5,7)),IF(J399="EQ",IF(P399="低",3,IF(P399="中",4,6)),IF(J399="ILF",IF(P399="低",7,IF(P399="中",10,15)),IF(J399="EIF",IF(P399="低",5,IF(P399="中",7,10)),"不计算")))))*R399,"不计算")</f>
        <v/>
      </c>
      <c r="R399" s="172" t="n">
        <v>1</v>
      </c>
      <c r="S399" s="173">
        <f>调整因子!$F$13</f>
        <v/>
      </c>
      <c r="T399" s="92" t="n">
        <v>1</v>
      </c>
      <c r="U399" s="174">
        <f>IFERROR(Q399*S399,0)</f>
        <v/>
      </c>
      <c r="V399" s="174">
        <f>U399*T399</f>
        <v/>
      </c>
      <c r="W399" s="93" t="inlineStr">
        <is>
          <t>归属规则设定表</t>
        </is>
      </c>
      <c r="X399" s="98" t="n"/>
      <c r="Y399" s="93" t="inlineStr">
        <is>
          <t>归属规则设定表{主键 id 、规则名称、规则描述、规则条件、规则状态 （如启用、禁用等）、创建时间、更新时间}</t>
        </is>
      </c>
      <c r="Z399" s="90" t="n"/>
      <c r="AA399" s="90" t="n"/>
      <c r="AB399" s="103" t="inlineStr">
        <is>
          <t>漏洞处置单表、漏洞统计数据表</t>
        </is>
      </c>
      <c r="AC399" s="66" t="n"/>
    </row>
    <row r="400" s="112">
      <c r="A400" s="72">
        <f>ROW()-1</f>
        <v/>
      </c>
      <c r="B400" s="175" t="n"/>
      <c r="C400" s="80" t="n">
        <v>2025</v>
      </c>
      <c r="D400" s="80" t="inlineStr">
        <is>
          <t>窦鹏岐</t>
        </is>
      </c>
      <c r="E400" s="81">
        <f>VLOOKUP(I400,'25年交付功能（不含废弃）'!A:A,1,FALSE)</f>
        <v/>
      </c>
      <c r="F400" s="175" t="n"/>
      <c r="G400" s="175" t="n"/>
      <c r="H400" s="176" t="n"/>
      <c r="I400" s="81" t="inlineStr">
        <is>
          <t>条件搜索规则</t>
        </is>
      </c>
      <c r="J400" s="93" t="inlineStr">
        <is>
          <t>EQ</t>
        </is>
      </c>
      <c r="K400" s="84" t="n"/>
      <c r="L400" s="84" t="n"/>
      <c r="M400" s="85">
        <f>IF(OR(Y400="估算法",Y400="算法类",Y400="无法识别"),"",IF(W400="",IF(OR(J400="EI",J400="EO",J400="EQ"),0,""),LEN(W400)-LEN(SUBSTITUTE(W400,"、",""))+1))</f>
        <v/>
      </c>
      <c r="N400" s="85">
        <f>IF(OR(Y400="估算法",Y400="算法类",Y400="无法识别"),"",IF(X400="",IF(OR(J400="ILF",J400="EIF"),0,""),LEN(X400)-LEN(SUBSTITUTE(X400,"、",""))+1))</f>
        <v/>
      </c>
      <c r="O400" s="85">
        <f>IF(OR(Y400="估算法",Y400="算法类",Y400="无法识别"),"",IF(Y400="",IF(OR(J400="ILF",J400="EIF",J400="EI",J400="EO",J400="EQ"),0,""),LEN(Y400)-LEN(SUBSTITUTE(SUBSTITUTE(SUBSTITUTE(SUBSTITUTE(SUBSTITUTE(Y400,"|}","--"),"{|","--"),CHAR(10),""),"、",""),"|",""))+IF(AND(OR(J400="EI",J400="EO",J400="EQ"),$AE$1="NESMA"),2,1)))</f>
        <v/>
      </c>
      <c r="P400" s="86">
        <f>IF(J400="EI",IF(OR(Y400="估算法",Y400="算法类"),"中",IF(Y400="无法识别","低",IF(M400&lt;2,IF(O400&lt;16,"低","中"),IF(M400&lt;3,IF(O400&lt;5,"低",IF(O400&lt;16,"中","高")),IF(O400&lt;5,"中","高"))))),IF(OR(J400="EO",J400="EQ"),IF(OR(Y400="估算法",Y400="算法类"),"中",IF(Y400="无法识别","低",IF(M400&lt;2,IF(O400&lt;20,"低","中"),IF(M400&lt;4,IF(O400&lt;6,"低",IF(O400&lt;20,"中","高")),IF(O400&lt;6,"中","高"))))),IF(OR(J400="ILF",J400="EIF"),IF(OR(Y400="估算法",Y400="算法类",Y400="无法识别"),"低",IF(N400&lt;2,IF(O400&lt;51,"低","中"),IF(N400&lt;6,IF(O400&lt;20,"低",IF(O400&lt;51,"中","高")),IF(O400&lt;20,"中","高")))),"不计算")))</f>
        <v/>
      </c>
      <c r="Q400" s="172">
        <f>IFERROR(IF(J400="EI",IF(P400="低",3,IF(P400="中",4,6)),IF(J400="EO",IF(P400="低",4,IF(P400="中",5,7)),IF(J400="EQ",IF(P400="低",3,IF(P400="中",4,6)),IF(J400="ILF",IF(P400="低",7,IF(P400="中",10,15)),IF(J400="EIF",IF(P400="低",5,IF(P400="中",7,10)),"不计算")))))*R400,"不计算")</f>
        <v/>
      </c>
      <c r="R400" s="172" t="n">
        <v>1</v>
      </c>
      <c r="S400" s="173">
        <f>调整因子!$F$13</f>
        <v/>
      </c>
      <c r="T400" s="92" t="n">
        <v>1</v>
      </c>
      <c r="U400" s="174">
        <f>IFERROR(Q400*S400,0)</f>
        <v/>
      </c>
      <c r="V400" s="174">
        <f>U400*T400</f>
        <v/>
      </c>
      <c r="W400" s="93" t="inlineStr">
        <is>
          <t>归属规则设定表</t>
        </is>
      </c>
      <c r="X400" s="98" t="n"/>
      <c r="Y400" s="93" t="inlineStr">
        <is>
          <t>归属规则设定表{主键 id 、规则名称、规则描述、规则条件、规则状态 （如启用、禁用等）、创建时间、更新时间}</t>
        </is>
      </c>
      <c r="Z400" s="90" t="n"/>
      <c r="AA400" s="90" t="n"/>
      <c r="AB400" s="103" t="inlineStr">
        <is>
          <t>任务优先级配置表、模板参数配置表</t>
        </is>
      </c>
      <c r="AC400" s="66" t="n"/>
    </row>
    <row r="401" s="112">
      <c r="A401" s="72">
        <f>ROW()-1</f>
        <v/>
      </c>
      <c r="B401" s="175" t="n"/>
      <c r="C401" s="80" t="n">
        <v>2025</v>
      </c>
      <c r="D401" s="80" t="inlineStr">
        <is>
          <t>窦鹏岐</t>
        </is>
      </c>
      <c r="E401" s="81">
        <f>VLOOKUP(I401,'25年交付功能（不含废弃）'!A:A,1,FALSE)</f>
        <v/>
      </c>
      <c r="F401" s="175" t="n"/>
      <c r="G401" s="175" t="n"/>
      <c r="H401" s="93" t="inlineStr">
        <is>
          <t>自动归属判定</t>
        </is>
      </c>
      <c r="I401" s="81" t="inlineStr">
        <is>
          <t>漏洞归属划分</t>
        </is>
      </c>
      <c r="J401" s="93" t="inlineStr">
        <is>
          <t>EI</t>
        </is>
      </c>
      <c r="K401" s="84" t="n"/>
      <c r="L401" s="84" t="n"/>
      <c r="M401" s="85">
        <f>IF(OR(Y401="估算法",Y401="算法类",Y401="无法识别"),"",IF(W401="",IF(OR(J401="EI",J401="EO",J401="EQ"),0,""),LEN(W401)-LEN(SUBSTITUTE(W401,"、",""))+1))</f>
        <v/>
      </c>
      <c r="N401" s="85">
        <f>IF(OR(Y401="估算法",Y401="算法类",Y401="无法识别"),"",IF(X401="",IF(OR(J401="ILF",J401="EIF"),0,""),LEN(X401)-LEN(SUBSTITUTE(X401,"、",""))+1))</f>
        <v/>
      </c>
      <c r="O401" s="85">
        <f>IF(OR(Y401="估算法",Y401="算法类",Y401="无法识别"),"",IF(Y401="",IF(OR(J401="ILF",J401="EIF",J401="EI",J401="EO",J401="EQ"),0,""),LEN(Y401)-LEN(SUBSTITUTE(SUBSTITUTE(SUBSTITUTE(SUBSTITUTE(SUBSTITUTE(Y401,"|}","--"),"{|","--"),CHAR(10),""),"、",""),"|",""))+IF(AND(OR(J401="EI",J401="EO",J401="EQ"),$AE$1="NESMA"),2,1)))</f>
        <v/>
      </c>
      <c r="P401" s="86">
        <f>IF(J401="EI",IF(OR(Y401="估算法",Y401="算法类"),"中",IF(Y401="无法识别","低",IF(M401&lt;2,IF(O401&lt;16,"低","中"),IF(M401&lt;3,IF(O401&lt;5,"低",IF(O401&lt;16,"中","高")),IF(O401&lt;5,"中","高"))))),IF(OR(J401="EO",J401="EQ"),IF(OR(Y401="估算法",Y401="算法类"),"中",IF(Y401="无法识别","低",IF(M401&lt;2,IF(O401&lt;20,"低","中"),IF(M401&lt;4,IF(O401&lt;6,"低",IF(O401&lt;20,"中","高")),IF(O401&lt;6,"中","高"))))),IF(OR(J401="ILF",J401="EIF"),IF(OR(Y401="估算法",Y401="算法类",Y401="无法识别"),"低",IF(N401&lt;2,IF(O401&lt;51,"低","中"),IF(N401&lt;6,IF(O401&lt;20,"低",IF(O401&lt;51,"中","高")),IF(O401&lt;20,"中","高")))),"不计算")))</f>
        <v/>
      </c>
      <c r="Q401" s="172">
        <f>IFERROR(IF(J401="EI",IF(P401="低",3,IF(P401="中",4,6)),IF(J401="EO",IF(P401="低",4,IF(P401="中",5,7)),IF(J401="EQ",IF(P401="低",3,IF(P401="中",4,6)),IF(J401="ILF",IF(P401="低",7,IF(P401="中",10,15)),IF(J401="EIF",IF(P401="低",5,IF(P401="中",7,10)),"不计算")))))*R401,"不计算")</f>
        <v/>
      </c>
      <c r="R401" s="172" t="n">
        <v>1</v>
      </c>
      <c r="S401" s="173">
        <f>调整因子!$F$13</f>
        <v/>
      </c>
      <c r="T401" s="93" t="n">
        <v>1</v>
      </c>
      <c r="U401" s="174">
        <f>IFERROR(Q401*S401,0)</f>
        <v/>
      </c>
      <c r="V401" s="174">
        <f>U401*T401</f>
        <v/>
      </c>
      <c r="W401" s="93" t="inlineStr">
        <is>
          <t>自动归属判定表</t>
        </is>
      </c>
      <c r="X401" s="98" t="n"/>
      <c r="Y401" s="93" t="inlineStr">
        <is>
          <t>自动归属判定表{主键 id 、漏洞 id 、归属判定结果、判定时间}</t>
        </is>
      </c>
      <c r="Z401" s="90" t="n"/>
      <c r="AA401" s="90" t="n"/>
      <c r="AB401" s="103" t="inlineStr">
        <is>
          <t>采集任务配置表</t>
        </is>
      </c>
      <c r="AC401" s="66" t="n"/>
    </row>
    <row r="402" s="112">
      <c r="A402" s="72">
        <f>ROW()-1</f>
        <v/>
      </c>
      <c r="B402" s="175" t="n"/>
      <c r="C402" s="80" t="n">
        <v>2025</v>
      </c>
      <c r="D402" s="80" t="inlineStr">
        <is>
          <t>窦鹏岐</t>
        </is>
      </c>
      <c r="E402" s="81">
        <f>VLOOKUP(I402,'25年交付功能（不含废弃）'!A:A,1,FALSE)</f>
        <v/>
      </c>
      <c r="F402" s="175" t="n"/>
      <c r="G402" s="175" t="n"/>
      <c r="H402" s="82" t="inlineStr">
        <is>
          <t>归属手动设定</t>
        </is>
      </c>
      <c r="I402" s="81" t="inlineStr">
        <is>
          <t>手动修改漏洞归属</t>
        </is>
      </c>
      <c r="J402" s="93" t="inlineStr">
        <is>
          <t>EI</t>
        </is>
      </c>
      <c r="K402" s="84" t="n"/>
      <c r="L402" s="84" t="n"/>
      <c r="M402" s="85">
        <f>IF(OR(Y402="估算法",Y402="算法类",Y402="无法识别"),"",IF(W402="",IF(OR(J402="EI",J402="EO",J402="EQ"),0,""),LEN(W402)-LEN(SUBSTITUTE(W402,"、",""))+1))</f>
        <v/>
      </c>
      <c r="N402" s="85">
        <f>IF(OR(Y402="估算法",Y402="算法类",Y402="无法识别"),"",IF(X402="",IF(OR(J402="ILF",J402="EIF"),0,""),LEN(X402)-LEN(SUBSTITUTE(X402,"、",""))+1))</f>
        <v/>
      </c>
      <c r="O402" s="85">
        <f>IF(OR(Y402="估算法",Y402="算法类",Y402="无法识别"),"",IF(Y402="",IF(OR(J402="ILF",J402="EIF",J402="EI",J402="EO",J402="EQ"),0,""),LEN(Y402)-LEN(SUBSTITUTE(SUBSTITUTE(SUBSTITUTE(SUBSTITUTE(SUBSTITUTE(Y402,"|}","--"),"{|","--"),CHAR(10),""),"、",""),"|",""))+IF(AND(OR(J402="EI",J402="EO",J402="EQ"),$AE$1="NESMA"),2,1)))</f>
        <v/>
      </c>
      <c r="P402" s="86">
        <f>IF(J402="EI",IF(OR(Y402="估算法",Y402="算法类"),"中",IF(Y402="无法识别","低",IF(M402&lt;2,IF(O402&lt;16,"低","中"),IF(M402&lt;3,IF(O402&lt;5,"低",IF(O402&lt;16,"中","高")),IF(O402&lt;5,"中","高"))))),IF(OR(J402="EO",J402="EQ"),IF(OR(Y402="估算法",Y402="算法类"),"中",IF(Y402="无法识别","低",IF(M402&lt;2,IF(O402&lt;20,"低","中"),IF(M402&lt;4,IF(O402&lt;6,"低",IF(O402&lt;20,"中","高")),IF(O402&lt;6,"中","高"))))),IF(OR(J402="ILF",J402="EIF"),IF(OR(Y402="估算法",Y402="算法类",Y402="无法识别"),"低",IF(N402&lt;2,IF(O402&lt;51,"低","中"),IF(N402&lt;6,IF(O402&lt;20,"低",IF(O402&lt;51,"中","高")),IF(O402&lt;20,"中","高")))),"不计算")))</f>
        <v/>
      </c>
      <c r="Q402" s="172">
        <f>IFERROR(IF(J402="EI",IF(P402="低",3,IF(P402="中",4,6)),IF(J402="EO",IF(P402="低",4,IF(P402="中",5,7)),IF(J402="EQ",IF(P402="低",3,IF(P402="中",4,6)),IF(J402="ILF",IF(P402="低",7,IF(P402="中",10,15)),IF(J402="EIF",IF(P402="低",5,IF(P402="中",7,10)),"不计算")))))*R402,"不计算")</f>
        <v/>
      </c>
      <c r="R402" s="172" t="n">
        <v>0.333333333333333</v>
      </c>
      <c r="S402" s="173">
        <f>调整因子!$F$13</f>
        <v/>
      </c>
      <c r="T402" s="92" t="n">
        <v>1</v>
      </c>
      <c r="U402" s="174">
        <f>IFERROR(Q402*S402,0)</f>
        <v/>
      </c>
      <c r="V402" s="174">
        <f>U402*T402</f>
        <v/>
      </c>
      <c r="W402" s="82" t="inlineStr">
        <is>
          <t>归属手动设定表</t>
        </is>
      </c>
      <c r="X402" s="98" t="n"/>
      <c r="Y402" s="93" t="inlineStr">
        <is>
          <t>归属手动设定表{主键 id 、漏洞 id 、原归属信息、修改后归属信息、修改时间、修改人、确认提交状态 （如已提交、未提交等}</t>
        </is>
      </c>
      <c r="Z402" s="90" t="n"/>
      <c r="AA402" s="90" t="n"/>
      <c r="AB402" s="103" t="inlineStr">
        <is>
          <t>漏洞统计数据表</t>
        </is>
      </c>
      <c r="AC402" s="66" t="n"/>
    </row>
    <row r="403" s="112">
      <c r="A403" s="72">
        <f>ROW()-1</f>
        <v/>
      </c>
      <c r="B403" s="175" t="n"/>
      <c r="C403" s="80" t="n">
        <v>2025</v>
      </c>
      <c r="D403" s="80" t="inlineStr">
        <is>
          <t>窦鹏岐</t>
        </is>
      </c>
      <c r="E403" s="81">
        <f>VLOOKUP(I403,'25年交付功能（不含废弃）'!A:A,1,FALSE)</f>
        <v/>
      </c>
      <c r="F403" s="175" t="n"/>
      <c r="G403" s="175" t="n"/>
      <c r="H403" s="175" t="n"/>
      <c r="I403" s="81" t="inlineStr">
        <is>
          <t>确认并提交修改</t>
        </is>
      </c>
      <c r="J403" s="93" t="n"/>
      <c r="K403" s="84" t="n"/>
      <c r="L403" s="84" t="inlineStr">
        <is>
          <t>和上行合并，为相同功能的分支</t>
        </is>
      </c>
      <c r="M403" s="85">
        <f>IF(OR(Y403="估算法",Y403="算法类",Y403="无法识别"),"",IF(W403="",IF(OR(J403="EI",J403="EO",J403="EQ"),0,""),LEN(W403)-LEN(SUBSTITUTE(W403,"、",""))+1))</f>
        <v/>
      </c>
      <c r="N403" s="85">
        <f>IF(OR(Y403="估算法",Y403="算法类",Y403="无法识别"),"",IF(X403="",IF(OR(J403="ILF",J403="EIF"),0,""),LEN(X403)-LEN(SUBSTITUTE(X403,"、",""))+1))</f>
        <v/>
      </c>
      <c r="O403" s="85">
        <f>IF(OR(Y403="估算法",Y403="算法类",Y403="无法识别"),"",IF(Y403="",IF(OR(J403="ILF",J403="EIF",J403="EI",J403="EO",J403="EQ"),0,""),LEN(Y403)-LEN(SUBSTITUTE(SUBSTITUTE(SUBSTITUTE(SUBSTITUTE(SUBSTITUTE(Y403,"|}","--"),"{|","--"),CHAR(10),""),"、",""),"|",""))+IF(AND(OR(J403="EI",J403="EO",J403="EQ"),$AE$1="NESMA"),2,1)))</f>
        <v/>
      </c>
      <c r="P403" s="86">
        <f>IF(J403="EI",IF(OR(Y403="估算法",Y403="算法类"),"中",IF(Y403="无法识别","低",IF(M403&lt;2,IF(O403&lt;16,"低","中"),IF(M403&lt;3,IF(O403&lt;5,"低",IF(O403&lt;16,"中","高")),IF(O403&lt;5,"中","高"))))),IF(OR(J403="EO",J403="EQ"),IF(OR(Y403="估算法",Y403="算法类"),"中",IF(Y403="无法识别","低",IF(M403&lt;2,IF(O403&lt;20,"低","中"),IF(M403&lt;4,IF(O403&lt;6,"低",IF(O403&lt;20,"中","高")),IF(O403&lt;6,"中","高"))))),IF(OR(J403="ILF",J403="EIF"),IF(OR(Y403="估算法",Y403="算法类",Y403="无法识别"),"低",IF(N403&lt;2,IF(O403&lt;51,"低","中"),IF(N403&lt;6,IF(O403&lt;20,"低",IF(O403&lt;51,"中","高")),IF(O403&lt;20,"中","高")))),"不计算")))</f>
        <v/>
      </c>
      <c r="Q403" s="172">
        <f>IFERROR(IF(J403="EI",IF(P403="低",3,IF(P403="中",4,6)),IF(J403="EO",IF(P403="低",4,IF(P403="中",5,7)),IF(J403="EQ",IF(P403="低",3,IF(P403="中",4,6)),IF(J403="ILF",IF(P403="低",7,IF(P403="中",10,15)),IF(J403="EIF",IF(P403="低",5,IF(P403="中",7,10)),"不计算")))))*R403,"不计算")</f>
        <v/>
      </c>
      <c r="R403" s="172" t="n">
        <v>0.333333333333333</v>
      </c>
      <c r="S403" s="173">
        <f>调整因子!$F$13</f>
        <v/>
      </c>
      <c r="T403" s="92" t="n">
        <v>1</v>
      </c>
      <c r="U403" s="174">
        <f>IFERROR(Q403*S403,0)</f>
        <v/>
      </c>
      <c r="V403" s="174">
        <f>U403*T403</f>
        <v/>
      </c>
      <c r="W403" s="82" t="inlineStr">
        <is>
          <t>归属手动设定表</t>
        </is>
      </c>
      <c r="X403" s="98" t="n"/>
      <c r="Y403" s="93" t="inlineStr">
        <is>
          <t>归属手动设定表{主键 id 、漏洞 id 、原归属信息、修改后归属信息、修改时间、修改人、确认提交状态 （如已提交、未提交等}</t>
        </is>
      </c>
      <c r="Z403" s="90" t="n"/>
      <c r="AA403" s="90" t="n"/>
      <c r="AB403" s="103" t="inlineStr">
        <is>
          <t>日志查询记录表</t>
        </is>
      </c>
      <c r="AC403" s="66" t="n"/>
    </row>
    <row r="404" s="112">
      <c r="A404" s="72">
        <f>ROW()-1</f>
        <v/>
      </c>
      <c r="B404" s="175" t="n"/>
      <c r="C404" s="80" t="n">
        <v>2025</v>
      </c>
      <c r="D404" s="80" t="inlineStr">
        <is>
          <t>窦鹏岐</t>
        </is>
      </c>
      <c r="E404" s="81">
        <f>VLOOKUP(I404,'25年交付功能（不含废弃）'!A:A,1,FALSE)</f>
        <v/>
      </c>
      <c r="F404" s="175" t="n"/>
      <c r="G404" s="175" t="n"/>
      <c r="H404" s="176" t="n"/>
      <c r="I404" s="81" t="inlineStr">
        <is>
          <t>选择待调整漏洞</t>
        </is>
      </c>
      <c r="J404" s="93" t="inlineStr">
        <is>
          <t>EI</t>
        </is>
      </c>
      <c r="K404" s="84" t="n"/>
      <c r="L404" s="84" t="n"/>
      <c r="M404" s="85">
        <f>IF(OR(Y404="估算法",Y404="算法类",Y404="无法识别"),"",IF(W404="",IF(OR(J404="EI",J404="EO",J404="EQ"),0,""),LEN(W404)-LEN(SUBSTITUTE(W404,"、",""))+1))</f>
        <v/>
      </c>
      <c r="N404" s="85">
        <f>IF(OR(Y404="估算法",Y404="算法类",Y404="无法识别"),"",IF(X404="",IF(OR(J404="ILF",J404="EIF"),0,""),LEN(X404)-LEN(SUBSTITUTE(X404,"、",""))+1))</f>
        <v/>
      </c>
      <c r="O404" s="85">
        <f>IF(OR(Y404="估算法",Y404="算法类",Y404="无法识别"),"",IF(Y404="",IF(OR(J404="ILF",J404="EIF",J404="EI",J404="EO",J404="EQ"),0,""),LEN(Y404)-LEN(SUBSTITUTE(SUBSTITUTE(SUBSTITUTE(SUBSTITUTE(SUBSTITUTE(Y404,"|}","--"),"{|","--"),CHAR(10),""),"、",""),"|",""))+IF(AND(OR(J404="EI",J404="EO",J404="EQ"),$AE$1="NESMA"),2,1)))</f>
        <v/>
      </c>
      <c r="P404" s="86">
        <f>IF(J404="EI",IF(OR(Y404="估算法",Y404="算法类"),"中",IF(Y404="无法识别","低",IF(M404&lt;2,IF(O404&lt;16,"低","中"),IF(M404&lt;3,IF(O404&lt;5,"低",IF(O404&lt;16,"中","高")),IF(O404&lt;5,"中","高"))))),IF(OR(J404="EO",J404="EQ"),IF(OR(Y404="估算法",Y404="算法类"),"中",IF(Y404="无法识别","低",IF(M404&lt;2,IF(O404&lt;20,"低","中"),IF(M404&lt;4,IF(O404&lt;6,"低",IF(O404&lt;20,"中","高")),IF(O404&lt;6,"中","高"))))),IF(OR(J404="ILF",J404="EIF"),IF(OR(Y404="估算法",Y404="算法类",Y404="无法识别"),"低",IF(N404&lt;2,IF(O404&lt;51,"低","中"),IF(N404&lt;6,IF(O404&lt;20,"低",IF(O404&lt;51,"中","高")),IF(O404&lt;20,"中","高")))),"不计算")))</f>
        <v/>
      </c>
      <c r="Q404" s="172">
        <f>IFERROR(IF(J404="EI",IF(P404="低",3,IF(P404="中",4,6)),IF(J404="EO",IF(P404="低",4,IF(P404="中",5,7)),IF(J404="EQ",IF(P404="低",3,IF(P404="中",4,6)),IF(J404="ILF",IF(P404="低",7,IF(P404="中",10,15)),IF(J404="EIF",IF(P404="低",5,IF(P404="中",7,10)),"不计算")))))*R404,"不计算")</f>
        <v/>
      </c>
      <c r="R404" s="172" t="n">
        <v>1</v>
      </c>
      <c r="S404" s="173">
        <f>调整因子!$F$13</f>
        <v/>
      </c>
      <c r="T404" s="93" t="n">
        <v>1</v>
      </c>
      <c r="U404" s="174">
        <f>IFERROR(Q404*S404,0)</f>
        <v/>
      </c>
      <c r="V404" s="174">
        <f>U404*T404</f>
        <v/>
      </c>
      <c r="W404" s="93" t="inlineStr">
        <is>
          <t>漏洞信息详情表、归属手动设定表</t>
        </is>
      </c>
      <c r="X404" s="98" t="n"/>
      <c r="Y404" s="93" t="inlineStr">
        <is>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is>
      </c>
      <c r="Z404" s="90" t="n"/>
      <c r="AA404" s="90" t="n"/>
      <c r="AB404" s="103" t="inlineStr">
        <is>
          <t>任务优先级配置表、扫描策略模板表</t>
        </is>
      </c>
      <c r="AC404" s="66" t="n"/>
    </row>
    <row r="405" s="112">
      <c r="A405" s="72">
        <f>ROW()-1</f>
        <v/>
      </c>
      <c r="B405" s="175" t="n"/>
      <c r="C405" s="80" t="n">
        <v>2025</v>
      </c>
      <c r="D405" s="80" t="inlineStr">
        <is>
          <t>窦鹏岐</t>
        </is>
      </c>
      <c r="E405" s="81">
        <f>VLOOKUP(I405,'25年交付功能（不含废弃）'!A:A,1,FALSE)</f>
        <v/>
      </c>
      <c r="F405" s="175" t="n"/>
      <c r="G405" s="175" t="n"/>
      <c r="H405" s="82" t="inlineStr">
        <is>
          <t>归属统计分析</t>
        </is>
      </c>
      <c r="I405" s="81" t="inlineStr">
        <is>
          <t>业务系统风险统计</t>
        </is>
      </c>
      <c r="J405" s="93" t="inlineStr">
        <is>
          <t>EO</t>
        </is>
      </c>
      <c r="K405" s="84" t="n"/>
      <c r="L405" s="84" t="n"/>
      <c r="M405" s="85">
        <f>IF(OR(Y405="估算法",Y405="算法类",Y405="无法识别"),"",IF(W405="",IF(OR(J405="EI",J405="EO",J405="EQ"),0,""),LEN(W405)-LEN(SUBSTITUTE(W405,"、",""))+1))</f>
        <v/>
      </c>
      <c r="N405" s="85">
        <f>IF(OR(Y405="估算法",Y405="算法类",Y405="无法识别"),"",IF(X405="",IF(OR(J405="ILF",J405="EIF"),0,""),LEN(X405)-LEN(SUBSTITUTE(X405,"、",""))+1))</f>
        <v/>
      </c>
      <c r="O405" s="85">
        <f>IF(OR(Y405="估算法",Y405="算法类",Y405="无法识别"),"",IF(Y405="",IF(OR(J405="ILF",J405="EIF",J405="EI",J405="EO",J405="EQ"),0,""),LEN(Y405)-LEN(SUBSTITUTE(SUBSTITUTE(SUBSTITUTE(SUBSTITUTE(SUBSTITUTE(Y405,"|}","--"),"{|","--"),CHAR(10),""),"、",""),"|",""))+IF(AND(OR(J405="EI",J405="EO",J405="EQ"),$AE$1="NESMA"),2,1)))</f>
        <v/>
      </c>
      <c r="P405" s="86">
        <f>IF(J405="EI",IF(OR(Y405="估算法",Y405="算法类"),"中",IF(Y405="无法识别","低",IF(M405&lt;2,IF(O405&lt;16,"低","中"),IF(M405&lt;3,IF(O405&lt;5,"低",IF(O405&lt;16,"中","高")),IF(O405&lt;5,"中","高"))))),IF(OR(J405="EO",J405="EQ"),IF(OR(Y405="估算法",Y405="算法类"),"中",IF(Y405="无法识别","低",IF(M405&lt;2,IF(O405&lt;20,"低","中"),IF(M405&lt;4,IF(O405&lt;6,"低",IF(O405&lt;20,"中","高")),IF(O405&lt;6,"中","高"))))),IF(OR(J405="ILF",J405="EIF"),IF(OR(Y405="估算法",Y405="算法类",Y405="无法识别"),"低",IF(N405&lt;2,IF(O405&lt;51,"低","中"),IF(N405&lt;6,IF(O405&lt;20,"低",IF(O405&lt;51,"中","高")),IF(O405&lt;20,"中","高")))),"不计算")))</f>
        <v/>
      </c>
      <c r="Q405" s="172">
        <f>IFERROR(IF(J405="EI",IF(P405="低",3,IF(P405="中",4,6)),IF(J405="EO",IF(P405="低",4,IF(P405="中",5,7)),IF(J405="EQ",IF(P405="低",3,IF(P405="中",4,6)),IF(J405="ILF",IF(P405="低",7,IF(P405="中",10,15)),IF(J405="EIF",IF(P405="低",5,IF(P405="中",7,10)),"不计算")))))*R405,"不计算")</f>
        <v/>
      </c>
      <c r="R405" s="172" t="n">
        <v>1</v>
      </c>
      <c r="S405" s="173">
        <f>调整因子!$F$13</f>
        <v/>
      </c>
      <c r="T405" s="92" t="n">
        <v>1</v>
      </c>
      <c r="U405" s="174">
        <f>IFERROR(Q405*S405,0)</f>
        <v/>
      </c>
      <c r="V405" s="174">
        <f>U405*T405</f>
        <v/>
      </c>
      <c r="W405" s="82" t="inlineStr">
        <is>
          <t>业务系统风险统计表</t>
        </is>
      </c>
      <c r="X405" s="98" t="n"/>
      <c r="Y405" s="93" t="inlineStr">
        <is>
          <t>业务系统风险统计表{主键 id 、业务系统名称、高风险漏洞数量、中风险漏洞数量、低风险漏洞数量、统计时间}</t>
        </is>
      </c>
      <c r="Z405" s="90" t="n"/>
      <c r="AA405" s="90" t="n"/>
      <c r="AB405" s="103" t="inlineStr">
        <is>
          <t>扫描策略模板表</t>
        </is>
      </c>
      <c r="AC405" s="66" t="n"/>
    </row>
    <row r="406" s="112">
      <c r="A406" s="72">
        <f>ROW()-1</f>
        <v/>
      </c>
      <c r="B406" s="175" t="n"/>
      <c r="C406" s="80" t="n">
        <v>2025</v>
      </c>
      <c r="D406" s="80" t="inlineStr">
        <is>
          <t>窦鹏岐</t>
        </is>
      </c>
      <c r="E406" s="81">
        <f>VLOOKUP(I406,'25年交付功能（不含废弃）'!A:A,1,FALSE)</f>
        <v/>
      </c>
      <c r="F406" s="175" t="n"/>
      <c r="G406" s="175" t="n"/>
      <c r="H406" s="175" t="n"/>
      <c r="I406" s="81" t="inlineStr">
        <is>
          <t>内外网分类统计</t>
        </is>
      </c>
      <c r="J406" s="93" t="inlineStr">
        <is>
          <t>EO</t>
        </is>
      </c>
      <c r="K406" s="84" t="n"/>
      <c r="L406" s="84" t="inlineStr">
        <is>
          <t>需明确在不同界面，否则存在复用</t>
        </is>
      </c>
      <c r="M406" s="85">
        <f>IF(OR(Y406="估算法",Y406="算法类",Y406="无法识别"),"",IF(W406="",IF(OR(J406="EI",J406="EO",J406="EQ"),0,""),LEN(W406)-LEN(SUBSTITUTE(W406,"、",""))+1))</f>
        <v/>
      </c>
      <c r="N406" s="85">
        <f>IF(OR(Y406="估算法",Y406="算法类",Y406="无法识别"),"",IF(X406="",IF(OR(J406="ILF",J406="EIF"),0,""),LEN(X406)-LEN(SUBSTITUTE(X406,"、",""))+1))</f>
        <v/>
      </c>
      <c r="O406" s="85">
        <f>IF(OR(Y406="估算法",Y406="算法类",Y406="无法识别"),"",IF(Y406="",IF(OR(J406="ILF",J406="EIF",J406="EI",J406="EO",J406="EQ"),0,""),LEN(Y406)-LEN(SUBSTITUTE(SUBSTITUTE(SUBSTITUTE(SUBSTITUTE(SUBSTITUTE(Y406,"|}","--"),"{|","--"),CHAR(10),""),"、",""),"|",""))+IF(AND(OR(J406="EI",J406="EO",J406="EQ"),$AE$1="NESMA"),2,1)))</f>
        <v/>
      </c>
      <c r="P406" s="86">
        <f>IF(J406="EI",IF(OR(Y406="估算法",Y406="算法类"),"中",IF(Y406="无法识别","低",IF(M406&lt;2,IF(O406&lt;16,"低","中"),IF(M406&lt;3,IF(O406&lt;5,"低",IF(O406&lt;16,"中","高")),IF(O406&lt;5,"中","高"))))),IF(OR(J406="EO",J406="EQ"),IF(OR(Y406="估算法",Y406="算法类"),"中",IF(Y406="无法识别","低",IF(M406&lt;2,IF(O406&lt;20,"低","中"),IF(M406&lt;4,IF(O406&lt;6,"低",IF(O406&lt;20,"中","高")),IF(O406&lt;6,"中","高"))))),IF(OR(J406="ILF",J406="EIF"),IF(OR(Y406="估算法",Y406="算法类",Y406="无法识别"),"低",IF(N406&lt;2,IF(O406&lt;51,"低","中"),IF(N406&lt;6,IF(O406&lt;20,"低",IF(O406&lt;51,"中","高")),IF(O406&lt;20,"中","高")))),"不计算")))</f>
        <v/>
      </c>
      <c r="Q406" s="172">
        <f>IFERROR(IF(J406="EI",IF(P406="低",3,IF(P406="中",4,6)),IF(J406="EO",IF(P406="低",4,IF(P406="中",5,7)),IF(J406="EQ",IF(P406="低",3,IF(P406="中",4,6)),IF(J406="ILF",IF(P406="低",7,IF(P406="中",10,15)),IF(J406="EIF",IF(P406="低",5,IF(P406="中",7,10)),"不计算")))))*R406,"不计算")</f>
        <v/>
      </c>
      <c r="R406" s="172" t="n">
        <v>0.666666666666667</v>
      </c>
      <c r="S406" s="173">
        <f>调整因子!$F$13</f>
        <v/>
      </c>
      <c r="T406" s="92" t="n">
        <v>1</v>
      </c>
      <c r="U406" s="174">
        <f>IFERROR(Q406*S406,0)</f>
        <v/>
      </c>
      <c r="V406" s="174">
        <f>U406*T406</f>
        <v/>
      </c>
      <c r="W406" s="82" t="inlineStr">
        <is>
          <t>内外网分类统计表</t>
        </is>
      </c>
      <c r="X406" s="98" t="n"/>
      <c r="Y406" s="93" t="inlineStr">
        <is>
          <t>内外网分类统计表{主键 id 、业务系统名称、内外网标识 （内网/外网）、高风险漏洞数量、中风险漏洞数量、低风险漏洞数量、统计时间}</t>
        </is>
      </c>
      <c r="Z406" s="90" t="n"/>
      <c r="AA406" s="90" t="n"/>
      <c r="AB406" s="103" t="inlineStr">
        <is>
          <t>扫描策略模板表、提醒策略配置表</t>
        </is>
      </c>
      <c r="AC406" s="66" t="n"/>
    </row>
    <row r="407" s="112">
      <c r="A407" s="72">
        <f>ROW()-1</f>
        <v/>
      </c>
      <c r="B407" s="175" t="n"/>
      <c r="C407" s="80" t="n">
        <v>2025</v>
      </c>
      <c r="D407" s="80" t="inlineStr">
        <is>
          <t>窦鹏岐</t>
        </is>
      </c>
      <c r="E407" s="81">
        <f>VLOOKUP(I407,'25年交付功能（不含废弃）'!A:A,1,FALSE)</f>
        <v/>
      </c>
      <c r="F407" s="175" t="n"/>
      <c r="G407" s="175" t="n"/>
      <c r="H407" s="175" t="n"/>
      <c r="I407" s="81" t="inlineStr">
        <is>
          <t>组织机构分析</t>
        </is>
      </c>
      <c r="J407" s="93" t="inlineStr">
        <is>
          <t>EO</t>
        </is>
      </c>
      <c r="K407" s="84" t="n"/>
      <c r="L407" s="84" t="inlineStr">
        <is>
          <t>需明确在不同界面，否则存在复用</t>
        </is>
      </c>
      <c r="M407" s="85">
        <f>IF(OR(Y407="估算法",Y407="算法类",Y407="无法识别"),"",IF(W407="",IF(OR(J407="EI",J407="EO",J407="EQ"),0,""),LEN(W407)-LEN(SUBSTITUTE(W407,"、",""))+1))</f>
        <v/>
      </c>
      <c r="N407" s="85">
        <f>IF(OR(Y407="估算法",Y407="算法类",Y407="无法识别"),"",IF(X407="",IF(OR(J407="ILF",J407="EIF"),0,""),LEN(X407)-LEN(SUBSTITUTE(X407,"、",""))+1))</f>
        <v/>
      </c>
      <c r="O407" s="85">
        <f>IF(OR(Y407="估算法",Y407="算法类",Y407="无法识别"),"",IF(Y407="",IF(OR(J407="ILF",J407="EIF",J407="EI",J407="EO",J407="EQ"),0,""),LEN(Y407)-LEN(SUBSTITUTE(SUBSTITUTE(SUBSTITUTE(SUBSTITUTE(SUBSTITUTE(Y407,"|}","--"),"{|","--"),CHAR(10),""),"、",""),"|",""))+IF(AND(OR(J407="EI",J407="EO",J407="EQ"),$AE$1="NESMA"),2,1)))</f>
        <v/>
      </c>
      <c r="P407" s="86">
        <f>IF(J407="EI",IF(OR(Y407="估算法",Y407="算法类"),"中",IF(Y407="无法识别","低",IF(M407&lt;2,IF(O407&lt;16,"低","中"),IF(M407&lt;3,IF(O407&lt;5,"低",IF(O407&lt;16,"中","高")),IF(O407&lt;5,"中","高"))))),IF(OR(J407="EO",J407="EQ"),IF(OR(Y407="估算法",Y407="算法类"),"中",IF(Y407="无法识别","低",IF(M407&lt;2,IF(O407&lt;20,"低","中"),IF(M407&lt;4,IF(O407&lt;6,"低",IF(O407&lt;20,"中","高")),IF(O407&lt;6,"中","高"))))),IF(OR(J407="ILF",J407="EIF"),IF(OR(Y407="估算法",Y407="算法类",Y407="无法识别"),"低",IF(N407&lt;2,IF(O407&lt;51,"低","中"),IF(N407&lt;6,IF(O407&lt;20,"低",IF(O407&lt;51,"中","高")),IF(O407&lt;20,"中","高")))),"不计算")))</f>
        <v/>
      </c>
      <c r="Q407" s="172">
        <f>IFERROR(IF(J407="EI",IF(P407="低",3,IF(P407="中",4,6)),IF(J407="EO",IF(P407="低",4,IF(P407="中",5,7)),IF(J407="EQ",IF(P407="低",3,IF(P407="中",4,6)),IF(J407="ILF",IF(P407="低",7,IF(P407="中",10,15)),IF(J407="EIF",IF(P407="低",5,IF(P407="中",7,10)),"不计算")))))*R407,"不计算")</f>
        <v/>
      </c>
      <c r="R407" s="172" t="n">
        <v>0.666666666666667</v>
      </c>
      <c r="S407" s="173">
        <f>调整因子!$F$13</f>
        <v/>
      </c>
      <c r="T407" s="93" t="n">
        <v>1</v>
      </c>
      <c r="U407" s="174">
        <f>IFERROR(Q407*S407,0)</f>
        <v/>
      </c>
      <c r="V407" s="174">
        <f>U407*T407</f>
        <v/>
      </c>
      <c r="W407" s="82" t="inlineStr">
        <is>
          <t>组织机构分析表</t>
        </is>
      </c>
      <c r="X407" s="98" t="n"/>
      <c r="Y407" s="93" t="inlineStr">
        <is>
          <t>组织机构分析表{主键 id 、组织机构名称、关联业务系统数量、高风险漏洞总数、中风险漏洞总数、低风险漏洞总数}</t>
        </is>
      </c>
      <c r="Z407" s="90" t="n"/>
      <c r="AA407" s="90" t="n"/>
      <c r="AB407" s="103" t="inlineStr">
        <is>
          <t>扫描策略模板表</t>
        </is>
      </c>
      <c r="AC407" s="66" t="n"/>
    </row>
    <row r="408" s="112">
      <c r="A408" s="72">
        <f>ROW()-1</f>
        <v/>
      </c>
      <c r="B408" s="175" t="n"/>
      <c r="C408" s="80" t="n">
        <v>2025</v>
      </c>
      <c r="D408" s="80" t="inlineStr">
        <is>
          <t>窦鹏岐</t>
        </is>
      </c>
      <c r="E408" s="81">
        <f>VLOOKUP(I408,'25年交付功能（不含废弃）'!A:A,1,FALSE)</f>
        <v/>
      </c>
      <c r="F408" s="175" t="n"/>
      <c r="G408" s="175" t="n"/>
      <c r="H408" s="175" t="n"/>
      <c r="I408" s="81" t="inlineStr">
        <is>
          <t>统计报表生成</t>
        </is>
      </c>
      <c r="J408" s="93" t="inlineStr">
        <is>
          <t>EO</t>
        </is>
      </c>
      <c r="K408" s="84" t="n"/>
      <c r="L408" s="84" t="inlineStr">
        <is>
          <t>需明确在不同界面，否则存在复用</t>
        </is>
      </c>
      <c r="M408" s="85">
        <f>IF(OR(Y408="估算法",Y408="算法类",Y408="无法识别"),"",IF(W408="",IF(OR(J408="EI",J408="EO",J408="EQ"),0,""),LEN(W408)-LEN(SUBSTITUTE(W408,"、",""))+1))</f>
        <v/>
      </c>
      <c r="N408" s="85">
        <f>IF(OR(Y408="估算法",Y408="算法类",Y408="无法识别"),"",IF(X408="",IF(OR(J408="ILF",J408="EIF"),0,""),LEN(X408)-LEN(SUBSTITUTE(X408,"、",""))+1))</f>
        <v/>
      </c>
      <c r="O408" s="85">
        <f>IF(OR(Y408="估算法",Y408="算法类",Y408="无法识别"),"",IF(Y408="",IF(OR(J408="ILF",J408="EIF",J408="EI",J408="EO",J408="EQ"),0,""),LEN(Y408)-LEN(SUBSTITUTE(SUBSTITUTE(SUBSTITUTE(SUBSTITUTE(SUBSTITUTE(Y408,"|}","--"),"{|","--"),CHAR(10),""),"、",""),"|",""))+IF(AND(OR(J408="EI",J408="EO",J408="EQ"),$AE$1="NESMA"),2,1)))</f>
        <v/>
      </c>
      <c r="P408" s="86">
        <f>IF(J408="EI",IF(OR(Y408="估算法",Y408="算法类"),"中",IF(Y408="无法识别","低",IF(M408&lt;2,IF(O408&lt;16,"低","中"),IF(M408&lt;3,IF(O408&lt;5,"低",IF(O408&lt;16,"中","高")),IF(O408&lt;5,"中","高"))))),IF(OR(J408="EO",J408="EQ"),IF(OR(Y408="估算法",Y408="算法类"),"中",IF(Y408="无法识别","低",IF(M408&lt;2,IF(O408&lt;20,"低","中"),IF(M408&lt;4,IF(O408&lt;6,"低",IF(O408&lt;20,"中","高")),IF(O408&lt;6,"中","高"))))),IF(OR(J408="ILF",J408="EIF"),IF(OR(Y408="估算法",Y408="算法类",Y408="无法识别"),"低",IF(N408&lt;2,IF(O408&lt;51,"低","中"),IF(N408&lt;6,IF(O408&lt;20,"低",IF(O408&lt;51,"中","高")),IF(O408&lt;20,"中","高")))),"不计算")))</f>
        <v/>
      </c>
      <c r="Q408" s="172">
        <f>IFERROR(IF(J408="EI",IF(P408="低",3,IF(P408="中",4,6)),IF(J408="EO",IF(P408="低",4,IF(P408="中",5,7)),IF(J408="EQ",IF(P408="低",3,IF(P408="中",4,6)),IF(J408="ILF",IF(P408="低",7,IF(P408="中",10,15)),IF(J408="EIF",IF(P408="低",5,IF(P408="中",7,10)),"不计算")))))*R408,"不计算")</f>
        <v/>
      </c>
      <c r="R408" s="172" t="n">
        <v>0.666666666666667</v>
      </c>
      <c r="S408" s="173">
        <f>调整因子!$F$13</f>
        <v/>
      </c>
      <c r="T408" s="92" t="n">
        <v>1</v>
      </c>
      <c r="U408" s="174">
        <f>IFERROR(Q408*S408,0)</f>
        <v/>
      </c>
      <c r="V408" s="174">
        <f>U408*T408</f>
        <v/>
      </c>
      <c r="W408" s="82" t="inlineStr">
        <is>
          <t>业务系统风险统计表</t>
        </is>
      </c>
      <c r="X408" s="98" t="n"/>
      <c r="Y408" s="93" t="inlineStr">
        <is>
          <t>业务系统风险统计表{主键 id 、业务系统名称、高风险漏洞数量、中风险漏洞数量、低风险漏洞数量、统计时间}</t>
        </is>
      </c>
      <c r="Z408" s="90" t="n"/>
      <c r="AA408" s="90" t="n"/>
      <c r="AB408" s="103" t="inlineStr">
        <is>
          <t>任务优先级配置表、模板参数配置表</t>
        </is>
      </c>
      <c r="AC408" s="66" t="n"/>
    </row>
    <row r="409" s="112">
      <c r="A409" s="72">
        <f>ROW()-1</f>
        <v/>
      </c>
      <c r="B409" s="175" t="n"/>
      <c r="C409" s="80" t="n">
        <v>2025</v>
      </c>
      <c r="D409" s="80" t="inlineStr">
        <is>
          <t>窦鹏岐</t>
        </is>
      </c>
      <c r="E409" s="81">
        <f>VLOOKUP(I409,'25年交付功能（不含废弃）'!A:A,1,FALSE)</f>
        <v/>
      </c>
      <c r="F409" s="175" t="n"/>
      <c r="G409" s="175" t="n"/>
      <c r="H409" s="175" t="n"/>
      <c r="I409" s="81" t="inlineStr">
        <is>
          <t>责任人统计分析</t>
        </is>
      </c>
      <c r="J409" s="93" t="inlineStr">
        <is>
          <t>EO</t>
        </is>
      </c>
      <c r="K409" s="84" t="n"/>
      <c r="L409" s="84" t="inlineStr">
        <is>
          <t>需明确在不同界面，否则存在复用</t>
        </is>
      </c>
      <c r="M409" s="85">
        <f>IF(OR(Y409="估算法",Y409="算法类",Y409="无法识别"),"",IF(W409="",IF(OR(J409="EI",J409="EO",J409="EQ"),0,""),LEN(W409)-LEN(SUBSTITUTE(W409,"、",""))+1))</f>
        <v/>
      </c>
      <c r="N409" s="85">
        <f>IF(OR(Y409="估算法",Y409="算法类",Y409="无法识别"),"",IF(X409="",IF(OR(J409="ILF",J409="EIF"),0,""),LEN(X409)-LEN(SUBSTITUTE(X409,"、",""))+1))</f>
        <v/>
      </c>
      <c r="O409" s="85">
        <f>IF(OR(Y409="估算法",Y409="算法类",Y409="无法识别"),"",IF(Y409="",IF(OR(J409="ILF",J409="EIF",J409="EI",J409="EO",J409="EQ"),0,""),LEN(Y409)-LEN(SUBSTITUTE(SUBSTITUTE(SUBSTITUTE(SUBSTITUTE(SUBSTITUTE(Y409,"|}","--"),"{|","--"),CHAR(10),""),"、",""),"|",""))+IF(AND(OR(J409="EI",J409="EO",J409="EQ"),$AE$1="NESMA"),2,1)))</f>
        <v/>
      </c>
      <c r="P409" s="86">
        <f>IF(J409="EI",IF(OR(Y409="估算法",Y409="算法类"),"中",IF(Y409="无法识别","低",IF(M409&lt;2,IF(O409&lt;16,"低","中"),IF(M409&lt;3,IF(O409&lt;5,"低",IF(O409&lt;16,"中","高")),IF(O409&lt;5,"中","高"))))),IF(OR(J409="EO",J409="EQ"),IF(OR(Y409="估算法",Y409="算法类"),"中",IF(Y409="无法识别","低",IF(M409&lt;2,IF(O409&lt;20,"低","中"),IF(M409&lt;4,IF(O409&lt;6,"低",IF(O409&lt;20,"中","高")),IF(O409&lt;6,"中","高"))))),IF(OR(J409="ILF",J409="EIF"),IF(OR(Y409="估算法",Y409="算法类",Y409="无法识别"),"低",IF(N409&lt;2,IF(O409&lt;51,"低","中"),IF(N409&lt;6,IF(O409&lt;20,"低",IF(O409&lt;51,"中","高")),IF(O409&lt;20,"中","高")))),"不计算")))</f>
        <v/>
      </c>
      <c r="Q409" s="172">
        <f>IFERROR(IF(J409="EI",IF(P409="低",3,IF(P409="中",4,6)),IF(J409="EO",IF(P409="低",4,IF(P409="中",5,7)),IF(J409="EQ",IF(P409="低",3,IF(P409="中",4,6)),IF(J409="ILF",IF(P409="低",7,IF(P409="中",10,15)),IF(J409="EIF",IF(P409="低",5,IF(P409="中",7,10)),"不计算")))))*R409,"不计算")</f>
        <v/>
      </c>
      <c r="R409" s="172" t="n">
        <v>0.666666666666667</v>
      </c>
      <c r="S409" s="173">
        <f>调整因子!$F$13</f>
        <v/>
      </c>
      <c r="T409" s="92" t="n">
        <v>1</v>
      </c>
      <c r="U409" s="174">
        <f>IFERROR(Q409*S409,0)</f>
        <v/>
      </c>
      <c r="V409" s="174">
        <f>U409*T409</f>
        <v/>
      </c>
      <c r="W409" s="82" t="inlineStr">
        <is>
          <t>责任人统计分析表</t>
        </is>
      </c>
      <c r="X409" s="98" t="n"/>
      <c r="Y409" s="93" t="inlineStr">
        <is>
          <t>责任人统计分析表{主键 id 、责任人名称、负责业务系统数量、关联高风险漏洞数量、关联中风险漏洞数量、关联低风险漏洞数量、统计时间}</t>
        </is>
      </c>
      <c r="Z409" s="90" t="n"/>
      <c r="AA409" s="90" t="n"/>
      <c r="AB409" s="103" t="inlineStr">
        <is>
          <t>数据清洗任务表、资产同步任务表</t>
        </is>
      </c>
      <c r="AC409" s="66" t="n"/>
    </row>
    <row r="410" s="112">
      <c r="A410" s="72">
        <f>ROW()-1</f>
        <v/>
      </c>
      <c r="B410" s="175" t="n"/>
      <c r="C410" s="80" t="n">
        <v>2025</v>
      </c>
      <c r="D410" s="80" t="inlineStr">
        <is>
          <t>窦鹏岐</t>
        </is>
      </c>
      <c r="E410" s="81">
        <f>VLOOKUP(I410,'25年交付功能（不含废弃）'!A:A,1,FALSE)</f>
        <v/>
      </c>
      <c r="F410" s="175" t="n"/>
      <c r="G410" s="175" t="n"/>
      <c r="H410" s="175" t="n"/>
      <c r="I410" s="81" t="inlineStr">
        <is>
          <t>风险分布图</t>
        </is>
      </c>
      <c r="J410" s="93" t="n"/>
      <c r="K410" s="84" t="n"/>
      <c r="L410" s="84" t="inlineStr">
        <is>
          <t>和统计合并</t>
        </is>
      </c>
      <c r="M410" s="85">
        <f>IF(OR(Y410="估算法",Y410="算法类",Y410="无法识别"),"",IF(W410="",IF(OR(J410="EI",J410="EO",J410="EQ"),0,""),LEN(W410)-LEN(SUBSTITUTE(W410,"、",""))+1))</f>
        <v/>
      </c>
      <c r="N410" s="85">
        <f>IF(OR(Y410="估算法",Y410="算法类",Y410="无法识别"),"",IF(X410="",IF(OR(J410="ILF",J410="EIF"),0,""),LEN(X410)-LEN(SUBSTITUTE(X410,"、",""))+1))</f>
        <v/>
      </c>
      <c r="O410" s="85">
        <f>IF(OR(Y410="估算法",Y410="算法类",Y410="无法识别"),"",IF(Y410="",IF(OR(J410="ILF",J410="EIF",J410="EI",J410="EO",J410="EQ"),0,""),LEN(Y410)-LEN(SUBSTITUTE(SUBSTITUTE(SUBSTITUTE(SUBSTITUTE(SUBSTITUTE(Y410,"|}","--"),"{|","--"),CHAR(10),""),"、",""),"|",""))+IF(AND(OR(J410="EI",J410="EO",J410="EQ"),$AE$1="NESMA"),2,1)))</f>
        <v/>
      </c>
      <c r="P410" s="86">
        <f>IF(J410="EI",IF(OR(Y410="估算法",Y410="算法类"),"中",IF(Y410="无法识别","低",IF(M410&lt;2,IF(O410&lt;16,"低","中"),IF(M410&lt;3,IF(O410&lt;5,"低",IF(O410&lt;16,"中","高")),IF(O410&lt;5,"中","高"))))),IF(OR(J410="EO",J410="EQ"),IF(OR(Y410="估算法",Y410="算法类"),"中",IF(Y410="无法识别","低",IF(M410&lt;2,IF(O410&lt;20,"低","中"),IF(M410&lt;4,IF(O410&lt;6,"低",IF(O410&lt;20,"中","高")),IF(O410&lt;6,"中","高"))))),IF(OR(J410="ILF",J410="EIF"),IF(OR(Y410="估算法",Y410="算法类",Y410="无法识别"),"低",IF(N410&lt;2,IF(O410&lt;51,"低","中"),IF(N410&lt;6,IF(O410&lt;20,"低",IF(O410&lt;51,"中","高")),IF(O410&lt;20,"中","高")))),"不计算")))</f>
        <v/>
      </c>
      <c r="Q410" s="172">
        <f>IFERROR(IF(J410="EI",IF(P410="低",3,IF(P410="中",4,6)),IF(J410="EO",IF(P410="低",4,IF(P410="中",5,7)),IF(J410="EQ",IF(P410="低",3,IF(P410="中",4,6)),IF(J410="ILF",IF(P410="低",7,IF(P410="中",10,15)),IF(J410="EIF",IF(P410="低",5,IF(P410="中",7,10)),"不计算")))))*R410,"不计算")</f>
        <v/>
      </c>
      <c r="R410" s="172" t="n">
        <v>1</v>
      </c>
      <c r="S410" s="173">
        <f>调整因子!$F$13</f>
        <v/>
      </c>
      <c r="T410" s="93" t="n">
        <v>1</v>
      </c>
      <c r="U410" s="174">
        <f>IFERROR(Q410*S410,0)</f>
        <v/>
      </c>
      <c r="V410" s="174">
        <f>U410*T410</f>
        <v/>
      </c>
      <c r="W410" s="82" t="inlineStr">
        <is>
          <t>业务系统风险统计表</t>
        </is>
      </c>
      <c r="X410" s="98" t="n"/>
      <c r="Y410" s="93" t="inlineStr">
        <is>
          <t>业务系统风险统计表{主键 id 、业务系统名称、高风险漏洞数量、中风险漏洞数量、低风险漏洞数量、统计时间}</t>
        </is>
      </c>
      <c r="Z410" s="90" t="n"/>
      <c r="AA410" s="90" t="n"/>
      <c r="AB410" s="103" t="inlineStr">
        <is>
          <t>数据清洗任务表</t>
        </is>
      </c>
      <c r="AC410" s="66" t="n"/>
    </row>
    <row r="411" s="112">
      <c r="A411" s="72">
        <f>ROW()-1</f>
        <v/>
      </c>
      <c r="B411" s="175" t="n"/>
      <c r="C411" s="80" t="n">
        <v>2025</v>
      </c>
      <c r="D411" s="80" t="inlineStr">
        <is>
          <t>窦鹏岐</t>
        </is>
      </c>
      <c r="E411" s="81">
        <f>VLOOKUP(I411,'25年交付功能（不含废弃）'!A:A,1,FALSE)</f>
        <v/>
      </c>
      <c r="F411" s="175" t="n"/>
      <c r="G411" s="175" t="n"/>
      <c r="H411" s="175" t="n"/>
      <c r="I411" s="81" t="inlineStr">
        <is>
          <t>高中低危统计</t>
        </is>
      </c>
      <c r="J411" s="93" t="inlineStr">
        <is>
          <t>EO</t>
        </is>
      </c>
      <c r="K411" s="84" t="n"/>
      <c r="L411" s="84" t="inlineStr">
        <is>
          <t>需明确在不同界面，否则存在复用</t>
        </is>
      </c>
      <c r="M411" s="85">
        <f>IF(OR(Y411="估算法",Y411="算法类",Y411="无法识别"),"",IF(W411="",IF(OR(J411="EI",J411="EO",J411="EQ"),0,""),LEN(W411)-LEN(SUBSTITUTE(W411,"、",""))+1))</f>
        <v/>
      </c>
      <c r="N411" s="85">
        <f>IF(OR(Y411="估算法",Y411="算法类",Y411="无法识别"),"",IF(X411="",IF(OR(J411="ILF",J411="EIF"),0,""),LEN(X411)-LEN(SUBSTITUTE(X411,"、",""))+1))</f>
        <v/>
      </c>
      <c r="O411" s="85">
        <f>IF(OR(Y411="估算法",Y411="算法类",Y411="无法识别"),"",IF(Y411="",IF(OR(J411="ILF",J411="EIF",J411="EI",J411="EO",J411="EQ"),0,""),LEN(Y411)-LEN(SUBSTITUTE(SUBSTITUTE(SUBSTITUTE(SUBSTITUTE(SUBSTITUTE(Y411,"|}","--"),"{|","--"),CHAR(10),""),"、",""),"|",""))+IF(AND(OR(J411="EI",J411="EO",J411="EQ"),$AE$1="NESMA"),2,1)))</f>
        <v/>
      </c>
      <c r="P411" s="86">
        <f>IF(J411="EI",IF(OR(Y411="估算法",Y411="算法类"),"中",IF(Y411="无法识别","低",IF(M411&lt;2,IF(O411&lt;16,"低","中"),IF(M411&lt;3,IF(O411&lt;5,"低",IF(O411&lt;16,"中","高")),IF(O411&lt;5,"中","高"))))),IF(OR(J411="EO",J411="EQ"),IF(OR(Y411="估算法",Y411="算法类"),"中",IF(Y411="无法识别","低",IF(M411&lt;2,IF(O411&lt;20,"低","中"),IF(M411&lt;4,IF(O411&lt;6,"低",IF(O411&lt;20,"中","高")),IF(O411&lt;6,"中","高"))))),IF(OR(J411="ILF",J411="EIF"),IF(OR(Y411="估算法",Y411="算法类",Y411="无法识别"),"低",IF(N411&lt;2,IF(O411&lt;51,"低","中"),IF(N411&lt;6,IF(O411&lt;20,"低",IF(O411&lt;51,"中","高")),IF(O411&lt;20,"中","高")))),"不计算")))</f>
        <v/>
      </c>
      <c r="Q411" s="172">
        <f>IFERROR(IF(J411="EI",IF(P411="低",3,IF(P411="中",4,6)),IF(J411="EO",IF(P411="低",4,IF(P411="中",5,7)),IF(J411="EQ",IF(P411="低",3,IF(P411="中",4,6)),IF(J411="ILF",IF(P411="低",7,IF(P411="中",10,15)),IF(J411="EIF",IF(P411="低",5,IF(P411="中",7,10)),"不计算")))))*R411,"不计算")</f>
        <v/>
      </c>
      <c r="R411" s="172" t="n">
        <v>0.666666666666667</v>
      </c>
      <c r="S411" s="173">
        <f>调整因子!$F$13</f>
        <v/>
      </c>
      <c r="T411" s="92" t="n">
        <v>1</v>
      </c>
      <c r="U411" s="174">
        <f>IFERROR(Q411*S411,0)</f>
        <v/>
      </c>
      <c r="V411" s="174">
        <f>U411*T411</f>
        <v/>
      </c>
      <c r="W411" s="82" t="inlineStr">
        <is>
          <t>高中低危统计表</t>
        </is>
      </c>
      <c r="X411" s="98" t="n"/>
      <c r="Y411" s="93" t="inlineStr">
        <is>
          <t>高中低危统计表{主键 id 、统计项名称、统计项类型 （业务系统/组织机构等）、高风险漏洞数量、中风险漏洞数量、低风险漏洞数量、统计时间}</t>
        </is>
      </c>
      <c r="Z411" s="90" t="n"/>
      <c r="AA411" s="90" t="n"/>
      <c r="AB411" s="103" t="inlineStr">
        <is>
          <t>推送对象表、通报配置表</t>
        </is>
      </c>
      <c r="AC411" s="66" t="n"/>
    </row>
    <row r="412" s="112">
      <c r="A412" s="72">
        <f>ROW()-1</f>
        <v/>
      </c>
      <c r="B412" s="175" t="n"/>
      <c r="C412" s="80" t="n">
        <v>2025</v>
      </c>
      <c r="D412" s="80" t="inlineStr">
        <is>
          <t>窦鹏岐</t>
        </is>
      </c>
      <c r="E412" s="81">
        <f>VLOOKUP(I412,'25年交付功能（不含废弃）'!A:A,1,FALSE)</f>
        <v/>
      </c>
      <c r="F412" s="175" t="n"/>
      <c r="G412" s="175" t="n"/>
      <c r="H412" s="175" t="n"/>
      <c r="I412" s="81" t="inlineStr">
        <is>
          <t>归属规则设定表</t>
        </is>
      </c>
      <c r="J412" s="98" t="inlineStr">
        <is>
          <t>ILF</t>
        </is>
      </c>
      <c r="K412" s="84" t="n"/>
      <c r="L412" s="84" t="n"/>
      <c r="M412" s="85">
        <f>IF(OR(Y412="估算法",Y412="算法类",Y412="无法识别"),"",IF(W412="",IF(OR(J412="EI",J412="EO",J412="EQ"),0,""),LEN(W412)-LEN(SUBSTITUTE(W412,"、",""))+1))</f>
        <v/>
      </c>
      <c r="N412" s="85">
        <f>IF(OR(Y412="估算法",Y412="算法类",Y412="无法识别"),"",IF(X412="",IF(OR(J412="ILF",J412="EIF"),0,""),LEN(X412)-LEN(SUBSTITUTE(X412,"、",""))+1))</f>
        <v/>
      </c>
      <c r="O412" s="85">
        <f>IF(OR(Y412="估算法",Y412="算法类",Y412="无法识别"),"",IF(Y412="",IF(OR(J412="ILF",J412="EIF",J412="EI",J412="EO",J412="EQ"),0,""),LEN(Y412)-LEN(SUBSTITUTE(SUBSTITUTE(SUBSTITUTE(SUBSTITUTE(SUBSTITUTE(Y412,"|}","--"),"{|","--"),CHAR(10),""),"、",""),"|",""))+IF(AND(OR(J412="EI",J412="EO",J412="EQ"),$AE$1="NESMA"),2,1)))</f>
        <v/>
      </c>
      <c r="P412" s="86">
        <f>IF(J412="EI",IF(OR(Y412="估算法",Y412="算法类"),"中",IF(Y412="无法识别","低",IF(M412&lt;2,IF(O412&lt;16,"低","中"),IF(M412&lt;3,IF(O412&lt;5,"低",IF(O412&lt;16,"中","高")),IF(O412&lt;5,"中","高"))))),IF(OR(J412="EO",J412="EQ"),IF(OR(Y412="估算法",Y412="算法类"),"中",IF(Y412="无法识别","低",IF(M412&lt;2,IF(O412&lt;20,"低","中"),IF(M412&lt;4,IF(O412&lt;6,"低",IF(O412&lt;20,"中","高")),IF(O412&lt;6,"中","高"))))),IF(OR(J412="ILF",J412="EIF"),IF(OR(Y412="估算法",Y412="算法类",Y412="无法识别"),"低",IF(N412&lt;2,IF(O412&lt;51,"低","中"),IF(N412&lt;6,IF(O412&lt;20,"低",IF(O412&lt;51,"中","高")),IF(O412&lt;20,"中","高")))),"不计算")))</f>
        <v/>
      </c>
      <c r="Q412" s="172">
        <f>IFERROR(IF(J412="EI",IF(P412="低",3,IF(P412="中",4,6)),IF(J412="EO",IF(P412="低",4,IF(P412="中",5,7)),IF(J412="EQ",IF(P412="低",3,IF(P412="中",4,6)),IF(J412="ILF",IF(P412="低",7,IF(P412="中",10,15)),IF(J412="EIF",IF(P412="低",5,IF(P412="中",7,10)),"不计算")))))*R412,"不计算")</f>
        <v/>
      </c>
      <c r="R412" s="172" t="n">
        <v>1</v>
      </c>
      <c r="S412" s="173">
        <f>调整因子!$F$13</f>
        <v/>
      </c>
      <c r="T412" s="92" t="n">
        <v>1</v>
      </c>
      <c r="U412" s="174">
        <f>IFERROR(Q412*S412,0)</f>
        <v/>
      </c>
      <c r="V412" s="174">
        <f>U412*T412</f>
        <v/>
      </c>
      <c r="W412" s="98" t="n"/>
      <c r="X412" s="82" t="inlineStr">
        <is>
          <t>归属规则设定表</t>
        </is>
      </c>
      <c r="Y412" s="93" t="inlineStr">
        <is>
          <t>归属规则设定表{主键 id 、规则名称、规则描述、规则条件、规则状态 （如启用、禁用等）、创建时间、更新时间}</t>
        </is>
      </c>
      <c r="Z412" s="90">
        <f>IF(COUNTIFS(W:W,"*"&amp;I412&amp;"*")&gt;0,"存在","不存在")</f>
        <v/>
      </c>
      <c r="AA412" s="90">
        <f>IF(COUNTIFS(AB:AB,"*"&amp;I412&amp;"*")&gt;0,"存在","不存在")</f>
        <v/>
      </c>
      <c r="AB412" s="103" t="inlineStr">
        <is>
          <t>指标阈值表、同步失败重试记录表</t>
        </is>
      </c>
      <c r="AC412" s="66" t="n"/>
    </row>
    <row r="413" s="112">
      <c r="A413" s="72">
        <f>ROW()-1</f>
        <v/>
      </c>
      <c r="B413" s="175" t="n"/>
      <c r="C413" s="80" t="n">
        <v>2025</v>
      </c>
      <c r="D413" s="80" t="inlineStr">
        <is>
          <t>窦鹏岐</t>
        </is>
      </c>
      <c r="E413" s="81">
        <f>VLOOKUP(I413,'25年交付功能（不含废弃）'!A:A,1,FALSE)</f>
        <v/>
      </c>
      <c r="F413" s="175" t="n"/>
      <c r="G413" s="175" t="n"/>
      <c r="H413" s="175" t="n"/>
      <c r="I413" s="81" t="inlineStr">
        <is>
          <t>自动归属判定表</t>
        </is>
      </c>
      <c r="J413" s="98" t="inlineStr">
        <is>
          <t>ILF</t>
        </is>
      </c>
      <c r="K413" s="84" t="n"/>
      <c r="L413" s="84" t="n"/>
      <c r="M413" s="85">
        <f>IF(OR(Y413="估算法",Y413="算法类",Y413="无法识别"),"",IF(W413="",IF(OR(J413="EI",J413="EO",J413="EQ"),0,""),LEN(W413)-LEN(SUBSTITUTE(W413,"、",""))+1))</f>
        <v/>
      </c>
      <c r="N413" s="85">
        <f>IF(OR(Y413="估算法",Y413="算法类",Y413="无法识别"),"",IF(X413="",IF(OR(J413="ILF",J413="EIF"),0,""),LEN(X413)-LEN(SUBSTITUTE(X413,"、",""))+1))</f>
        <v/>
      </c>
      <c r="O413" s="85">
        <f>IF(OR(Y413="估算法",Y413="算法类",Y413="无法识别"),"",IF(Y413="",IF(OR(J413="ILF",J413="EIF",J413="EI",J413="EO",J413="EQ"),0,""),LEN(Y413)-LEN(SUBSTITUTE(SUBSTITUTE(SUBSTITUTE(SUBSTITUTE(SUBSTITUTE(Y413,"|}","--"),"{|","--"),CHAR(10),""),"、",""),"|",""))+IF(AND(OR(J413="EI",J413="EO",J413="EQ"),$AE$1="NESMA"),2,1)))</f>
        <v/>
      </c>
      <c r="P413" s="86">
        <f>IF(J413="EI",IF(OR(Y413="估算法",Y413="算法类"),"中",IF(Y413="无法识别","低",IF(M413&lt;2,IF(O413&lt;16,"低","中"),IF(M413&lt;3,IF(O413&lt;5,"低",IF(O413&lt;16,"中","高")),IF(O413&lt;5,"中","高"))))),IF(OR(J413="EO",J413="EQ"),IF(OR(Y413="估算法",Y413="算法类"),"中",IF(Y413="无法识别","低",IF(M413&lt;2,IF(O413&lt;20,"低","中"),IF(M413&lt;4,IF(O413&lt;6,"低",IF(O413&lt;20,"中","高")),IF(O413&lt;6,"中","高"))))),IF(OR(J413="ILF",J413="EIF"),IF(OR(Y413="估算法",Y413="算法类",Y413="无法识别"),"低",IF(N413&lt;2,IF(O413&lt;51,"低","中"),IF(N413&lt;6,IF(O413&lt;20,"低",IF(O413&lt;51,"中","高")),IF(O413&lt;20,"中","高")))),"不计算")))</f>
        <v/>
      </c>
      <c r="Q413" s="172">
        <f>IFERROR(IF(J413="EI",IF(P413="低",3,IF(P413="中",4,6)),IF(J413="EO",IF(P413="低",4,IF(P413="中",5,7)),IF(J413="EQ",IF(P413="低",3,IF(P413="中",4,6)),IF(J413="ILF",IF(P413="低",7,IF(P413="中",10,15)),IF(J413="EIF",IF(P413="低",5,IF(P413="中",7,10)),"不计算")))))*R413,"不计算")</f>
        <v/>
      </c>
      <c r="R413" s="172" t="n">
        <v>1</v>
      </c>
      <c r="S413" s="173">
        <f>调整因子!$F$13</f>
        <v/>
      </c>
      <c r="T413" s="93" t="n">
        <v>1</v>
      </c>
      <c r="U413" s="174">
        <f>IFERROR(Q413*S413,0)</f>
        <v/>
      </c>
      <c r="V413" s="174">
        <f>U413*T413</f>
        <v/>
      </c>
      <c r="W413" s="98" t="n"/>
      <c r="X413" s="93" t="inlineStr">
        <is>
          <t>自动归属判定表</t>
        </is>
      </c>
      <c r="Y413" s="93" t="inlineStr">
        <is>
          <t>自动归属判定表{主键 id 、漏洞 id 、归属判定结果、判定时间}</t>
        </is>
      </c>
      <c r="Z413" s="90">
        <f>IF(COUNTIFS(W:W,"*"&amp;I413&amp;"*")&gt;0,"存在","不存在")</f>
        <v/>
      </c>
      <c r="AA413" s="90">
        <f>IF(COUNTIFS(AB:AB,"*"&amp;I413&amp;"*")&gt;0,"存在","不存在")</f>
        <v/>
      </c>
      <c r="AB413" s="103" t="inlineStr">
        <is>
          <t>推送规则表、考核指标配置表</t>
        </is>
      </c>
      <c r="AC413" s="66" t="n"/>
    </row>
    <row r="414" s="112">
      <c r="A414" s="72">
        <f>ROW()-1</f>
        <v/>
      </c>
      <c r="B414" s="175" t="n"/>
      <c r="C414" s="80" t="n">
        <v>2025</v>
      </c>
      <c r="D414" s="80" t="inlineStr">
        <is>
          <t>窦鹏岐</t>
        </is>
      </c>
      <c r="E414" s="81">
        <f>VLOOKUP(I414,'25年交付功能（不含废弃）'!A:A,1,FALSE)</f>
        <v/>
      </c>
      <c r="F414" s="175" t="n"/>
      <c r="G414" s="175" t="n"/>
      <c r="H414" s="175" t="n"/>
      <c r="I414" s="98" t="inlineStr">
        <is>
          <t>漏洞信息详情表</t>
        </is>
      </c>
      <c r="J414" s="98" t="inlineStr">
        <is>
          <t>ILF</t>
        </is>
      </c>
      <c r="K414" s="84" t="n"/>
      <c r="L414" s="84" t="n"/>
      <c r="M414" s="85">
        <f>IF(OR(Y414="估算法",Y414="算法类",Y414="无法识别"),"",IF(W414="",IF(OR(J414="EI",J414="EO",J414="EQ"),0,""),LEN(W414)-LEN(SUBSTITUTE(W414,"、",""))+1))</f>
        <v/>
      </c>
      <c r="N414" s="85">
        <f>IF(OR(Y414="估算法",Y414="算法类",Y414="无法识别"),"",IF(X414="",IF(OR(J414="ILF",J414="EIF"),0,""),LEN(X414)-LEN(SUBSTITUTE(X414,"、",""))+1))</f>
        <v/>
      </c>
      <c r="O414" s="85">
        <f>IF(OR(Y414="估算法",Y414="算法类",Y414="无法识别"),"",IF(Y414="",IF(OR(J414="ILF",J414="EIF",J414="EI",J414="EO",J414="EQ"),0,""),LEN(Y414)-LEN(SUBSTITUTE(SUBSTITUTE(SUBSTITUTE(SUBSTITUTE(SUBSTITUTE(Y414,"|}","--"),"{|","--"),CHAR(10),""),"、",""),"|",""))+IF(AND(OR(J414="EI",J414="EO",J414="EQ"),$AE$1="NESMA"),2,1)))</f>
        <v/>
      </c>
      <c r="P414" s="86">
        <f>IF(J414="EI",IF(OR(Y414="估算法",Y414="算法类"),"中",IF(Y414="无法识别","低",IF(M414&lt;2,IF(O414&lt;16,"低","中"),IF(M414&lt;3,IF(O414&lt;5,"低",IF(O414&lt;16,"中","高")),IF(O414&lt;5,"中","高"))))),IF(OR(J414="EO",J414="EQ"),IF(OR(Y414="估算法",Y414="算法类"),"中",IF(Y414="无法识别","低",IF(M414&lt;2,IF(O414&lt;20,"低","中"),IF(M414&lt;4,IF(O414&lt;6,"低",IF(O414&lt;20,"中","高")),IF(O414&lt;6,"中","高"))))),IF(OR(J414="ILF",J414="EIF"),IF(OR(Y414="估算法",Y414="算法类",Y414="无法识别"),"低",IF(N414&lt;2,IF(O414&lt;51,"低","中"),IF(N414&lt;6,IF(O414&lt;20,"低",IF(O414&lt;51,"中","高")),IF(O414&lt;20,"中","高")))),"不计算")))</f>
        <v/>
      </c>
      <c r="Q414" s="172">
        <f>IFERROR(IF(J414="EI",IF(P414="低",3,IF(P414="中",4,6)),IF(J414="EO",IF(P414="低",4,IF(P414="中",5,7)),IF(J414="EQ",IF(P414="低",3,IF(P414="中",4,6)),IF(J414="ILF",IF(P414="低",7,IF(P414="中",10,15)),IF(J414="EIF",IF(P414="低",5,IF(P414="中",7,10)),"不计算")))))*R414,"不计算")</f>
        <v/>
      </c>
      <c r="R414" s="172" t="n">
        <v>1</v>
      </c>
      <c r="S414" s="173">
        <f>调整因子!$F$13</f>
        <v/>
      </c>
      <c r="T414" s="92" t="n">
        <v>1</v>
      </c>
      <c r="U414" s="174">
        <f>IFERROR(Q414*S414,0)</f>
        <v/>
      </c>
      <c r="V414" s="174">
        <f>U414*T414</f>
        <v/>
      </c>
      <c r="W414" s="98" t="n"/>
      <c r="X414" s="93" t="inlineStr">
        <is>
          <t>漏洞信息详情表</t>
        </is>
      </c>
      <c r="Y414" s="93" t="inlineStr">
        <is>
          <t>漏洞信息详情表{漏洞id、归属人、归属业务系统、归属科室、漏洞描述、漏洞详情、CVE编号、创建时间、更新时间、更新人、更新方式}</t>
        </is>
      </c>
      <c r="Z414" s="90">
        <f>IF(COUNTIFS(W:W,"*"&amp;I414&amp;"*")&gt;0,"存在","不存在")</f>
        <v/>
      </c>
      <c r="AA414" s="90">
        <f>IF(COUNTIFS(AB:AB,"*"&amp;I414&amp;"*")&gt;0,"存在","不存在")</f>
        <v/>
      </c>
      <c r="AB414" s="103" t="inlineStr">
        <is>
          <t>扫描策略模板表</t>
        </is>
      </c>
      <c r="AC414" s="66" t="n"/>
    </row>
    <row r="415" s="112">
      <c r="A415" s="72">
        <f>ROW()-1</f>
        <v/>
      </c>
      <c r="B415" s="175" t="n"/>
      <c r="C415" s="80" t="n">
        <v>2025</v>
      </c>
      <c r="D415" s="80" t="inlineStr">
        <is>
          <t>窦鹏岐</t>
        </is>
      </c>
      <c r="E415" s="81">
        <f>VLOOKUP(I415,'25年交付功能（不含废弃）'!A:A,1,FALSE)</f>
        <v/>
      </c>
      <c r="F415" s="175" t="n"/>
      <c r="G415" s="175" t="n"/>
      <c r="H415" s="175" t="n"/>
      <c r="I415" s="81" t="inlineStr">
        <is>
          <t>归属手动设定表</t>
        </is>
      </c>
      <c r="J415" s="98" t="inlineStr">
        <is>
          <t>ILF</t>
        </is>
      </c>
      <c r="K415" s="84" t="n"/>
      <c r="L415" s="84" t="n"/>
      <c r="M415" s="85">
        <f>IF(OR(Y415="估算法",Y415="算法类",Y415="无法识别"),"",IF(W415="",IF(OR(J415="EI",J415="EO",J415="EQ"),0,""),LEN(W415)-LEN(SUBSTITUTE(W415,"、",""))+1))</f>
        <v/>
      </c>
      <c r="N415" s="85">
        <f>IF(OR(Y415="估算法",Y415="算法类",Y415="无法识别"),"",IF(X415="",IF(OR(J415="ILF",J415="EIF"),0,""),LEN(X415)-LEN(SUBSTITUTE(X415,"、",""))+1))</f>
        <v/>
      </c>
      <c r="O415" s="85">
        <f>IF(OR(Y415="估算法",Y415="算法类",Y415="无法识别"),"",IF(Y415="",IF(OR(J415="ILF",J415="EIF",J415="EI",J415="EO",J415="EQ"),0,""),LEN(Y415)-LEN(SUBSTITUTE(SUBSTITUTE(SUBSTITUTE(SUBSTITUTE(SUBSTITUTE(Y415,"|}","--"),"{|","--"),CHAR(10),""),"、",""),"|",""))+IF(AND(OR(J415="EI",J415="EO",J415="EQ"),$AE$1="NESMA"),2,1)))</f>
        <v/>
      </c>
      <c r="P415" s="86">
        <f>IF(J415="EI",IF(OR(Y415="估算法",Y415="算法类"),"中",IF(Y415="无法识别","低",IF(M415&lt;2,IF(O415&lt;16,"低","中"),IF(M415&lt;3,IF(O415&lt;5,"低",IF(O415&lt;16,"中","高")),IF(O415&lt;5,"中","高"))))),IF(OR(J415="EO",J415="EQ"),IF(OR(Y415="估算法",Y415="算法类"),"中",IF(Y415="无法识别","低",IF(M415&lt;2,IF(O415&lt;20,"低","中"),IF(M415&lt;4,IF(O415&lt;6,"低",IF(O415&lt;20,"中","高")),IF(O415&lt;6,"中","高"))))),IF(OR(J415="ILF",J415="EIF"),IF(OR(Y415="估算法",Y415="算法类",Y415="无法识别"),"低",IF(N415&lt;2,IF(O415&lt;51,"低","中"),IF(N415&lt;6,IF(O415&lt;20,"低",IF(O415&lt;51,"中","高")),IF(O415&lt;20,"中","高")))),"不计算")))</f>
        <v/>
      </c>
      <c r="Q415" s="172">
        <f>IFERROR(IF(J415="EI",IF(P415="低",3,IF(P415="中",4,6)),IF(J415="EO",IF(P415="低",4,IF(P415="中",5,7)),IF(J415="EQ",IF(P415="低",3,IF(P415="中",4,6)),IF(J415="ILF",IF(P415="低",7,IF(P415="中",10,15)),IF(J415="EIF",IF(P415="低",5,IF(P415="中",7,10)),"不计算")))))*R415,"不计算")</f>
        <v/>
      </c>
      <c r="R415" s="172" t="n">
        <v>1</v>
      </c>
      <c r="S415" s="173">
        <f>调整因子!$F$13</f>
        <v/>
      </c>
      <c r="T415" s="92" t="n">
        <v>1</v>
      </c>
      <c r="U415" s="174">
        <f>IFERROR(Q415*S415,0)</f>
        <v/>
      </c>
      <c r="V415" s="174">
        <f>U415*T415</f>
        <v/>
      </c>
      <c r="W415" s="98" t="n"/>
      <c r="X415" s="82" t="inlineStr">
        <is>
          <t>归属手动设定表</t>
        </is>
      </c>
      <c r="Y415" s="93" t="inlineStr">
        <is>
          <t>归属手动设定表{主键 id 、漏洞 id 、原归属信息、修改后归属信息、修改时间、修改人、确认提交状态 （如已提交、未提交等}</t>
        </is>
      </c>
      <c r="Z415" s="90">
        <f>IF(COUNTIFS(W:W,"*"&amp;I415&amp;"*")&gt;0,"存在","不存在")</f>
        <v/>
      </c>
      <c r="AA415" s="90">
        <f>IF(COUNTIFS(AB:AB,"*"&amp;I415&amp;"*")&gt;0,"存在","不存在")</f>
        <v/>
      </c>
      <c r="AB415" s="103" t="inlineStr">
        <is>
          <t>任务优先级配置表</t>
        </is>
      </c>
      <c r="AC415" s="66" t="n"/>
    </row>
    <row r="416" s="112">
      <c r="A416" s="72">
        <f>ROW()-1</f>
        <v/>
      </c>
      <c r="B416" s="175" t="n"/>
      <c r="C416" s="80" t="n">
        <v>2025</v>
      </c>
      <c r="D416" s="80" t="inlineStr">
        <is>
          <t>窦鹏岐</t>
        </is>
      </c>
      <c r="E416" s="81">
        <f>VLOOKUP(I416,'25年交付功能（不含废弃）'!A:A,1,FALSE)</f>
        <v/>
      </c>
      <c r="F416" s="175" t="n"/>
      <c r="G416" s="175" t="n"/>
      <c r="H416" s="175" t="n"/>
      <c r="I416" s="81" t="inlineStr">
        <is>
          <t>业务系统风险统计表</t>
        </is>
      </c>
      <c r="J416" s="98" t="inlineStr">
        <is>
          <t>ILF</t>
        </is>
      </c>
      <c r="K416" s="84" t="n"/>
      <c r="L416" s="84" t="inlineStr">
        <is>
          <t>数据库表未被本系统所维护</t>
        </is>
      </c>
      <c r="M416" s="85">
        <f>IF(OR(Y416="估算法",Y416="算法类",Y416="无法识别"),"",IF(W416="",IF(OR(J416="EI",J416="EO",J416="EQ"),0,""),LEN(W416)-LEN(SUBSTITUTE(W416,"、",""))+1))</f>
        <v/>
      </c>
      <c r="N416" s="85">
        <f>IF(OR(Y416="估算法",Y416="算法类",Y416="无法识别"),"",IF(X416="",IF(OR(J416="ILF",J416="EIF"),0,""),LEN(X416)-LEN(SUBSTITUTE(X416,"、",""))+1))</f>
        <v/>
      </c>
      <c r="O416" s="85">
        <f>IF(OR(Y416="估算法",Y416="算法类",Y416="无法识别"),"",IF(Y416="",IF(OR(J416="ILF",J416="EIF",J416="EI",J416="EO",J416="EQ"),0,""),LEN(Y416)-LEN(SUBSTITUTE(SUBSTITUTE(SUBSTITUTE(SUBSTITUTE(SUBSTITUTE(Y416,"|}","--"),"{|","--"),CHAR(10),""),"、",""),"|",""))+IF(AND(OR(J416="EI",J416="EO",J416="EQ"),$AE$1="NESMA"),2,1)))</f>
        <v/>
      </c>
      <c r="P416" s="86">
        <f>IF(J416="EI",IF(OR(Y416="估算法",Y416="算法类"),"中",IF(Y416="无法识别","低",IF(M416&lt;2,IF(O416&lt;16,"低","中"),IF(M416&lt;3,IF(O416&lt;5,"低",IF(O416&lt;16,"中","高")),IF(O416&lt;5,"中","高"))))),IF(OR(J416="EO",J416="EQ"),IF(OR(Y416="估算法",Y416="算法类"),"中",IF(Y416="无法识别","低",IF(M416&lt;2,IF(O416&lt;20,"低","中"),IF(M416&lt;4,IF(O416&lt;6,"低",IF(O416&lt;20,"中","高")),IF(O416&lt;6,"中","高"))))),IF(OR(J416="ILF",J416="EIF"),IF(OR(Y416="估算法",Y416="算法类",Y416="无法识别"),"低",IF(N416&lt;2,IF(O416&lt;51,"低","中"),IF(N416&lt;6,IF(O416&lt;20,"低",IF(O416&lt;51,"中","高")),IF(O416&lt;20,"中","高")))),"不计算")))</f>
        <v/>
      </c>
      <c r="Q416" s="172">
        <f>IFERROR(IF(J416="EI",IF(P416="低",3,IF(P416="中",4,6)),IF(J416="EO",IF(P416="低",4,IF(P416="中",5,7)),IF(J416="EQ",IF(P416="低",3,IF(P416="中",4,6)),IF(J416="ILF",IF(P416="低",7,IF(P416="中",10,15)),IF(J416="EIF",IF(P416="低",5,IF(P416="中",7,10)),"不计算")))))*R416,"不计算")</f>
        <v/>
      </c>
      <c r="R416" s="172" t="n">
        <v>0</v>
      </c>
      <c r="S416" s="173">
        <f>调整因子!$F$13</f>
        <v/>
      </c>
      <c r="T416" s="93" t="n">
        <v>1</v>
      </c>
      <c r="U416" s="174">
        <f>IFERROR(Q416*S416,0)</f>
        <v/>
      </c>
      <c r="V416" s="174">
        <f>U416*T416</f>
        <v/>
      </c>
      <c r="W416" s="98" t="n"/>
      <c r="X416" s="82" t="inlineStr">
        <is>
          <t>业务系统风险统计表</t>
        </is>
      </c>
      <c r="Y416" s="93" t="inlineStr">
        <is>
          <t>业务系统风险统计表{主键 id 、业务系统名称、高风险漏洞数量、中风险漏洞数量、低风险漏洞数量、统计时间}</t>
        </is>
      </c>
      <c r="Z416" s="90">
        <f>IF(COUNTIFS(W:W,"*"&amp;I416&amp;"*")&gt;0,"存在","不存在")</f>
        <v/>
      </c>
      <c r="AA416" s="90">
        <f>IF(COUNTIFS(AB:AB,"*"&amp;I416&amp;"*")&gt;0,"存在","不存在")</f>
        <v/>
      </c>
      <c r="AB416" s="103" t="inlineStr">
        <is>
          <t>扫描策略模板表</t>
        </is>
      </c>
      <c r="AC416" s="66" t="n"/>
    </row>
    <row r="417" s="112">
      <c r="A417" s="72">
        <f>ROW()-1</f>
        <v/>
      </c>
      <c r="B417" s="175" t="n"/>
      <c r="C417" s="80" t="n">
        <v>2025</v>
      </c>
      <c r="D417" s="80" t="inlineStr">
        <is>
          <t>窦鹏岐</t>
        </is>
      </c>
      <c r="E417" s="81">
        <f>VLOOKUP(I417,'25年交付功能（不含废弃）'!A:A,1,FALSE)</f>
        <v/>
      </c>
      <c r="F417" s="175" t="n"/>
      <c r="G417" s="175" t="n"/>
      <c r="H417" s="175" t="n"/>
      <c r="I417" s="81" t="inlineStr">
        <is>
          <t>内外网分类统计表</t>
        </is>
      </c>
      <c r="J417" s="98" t="inlineStr">
        <is>
          <t>ILF</t>
        </is>
      </c>
      <c r="K417" s="84" t="n"/>
      <c r="L417" s="84" t="inlineStr">
        <is>
          <t>数据库表未被本系统所维护</t>
        </is>
      </c>
      <c r="M417" s="85">
        <f>IF(OR(Y417="估算法",Y417="算法类",Y417="无法识别"),"",IF(W417="",IF(OR(J417="EI",J417="EO",J417="EQ"),0,""),LEN(W417)-LEN(SUBSTITUTE(W417,"、",""))+1))</f>
        <v/>
      </c>
      <c r="N417" s="85">
        <f>IF(OR(Y417="估算法",Y417="算法类",Y417="无法识别"),"",IF(X417="",IF(OR(J417="ILF",J417="EIF"),0,""),LEN(X417)-LEN(SUBSTITUTE(X417,"、",""))+1))</f>
        <v/>
      </c>
      <c r="O417" s="85">
        <f>IF(OR(Y417="估算法",Y417="算法类",Y417="无法识别"),"",IF(Y417="",IF(OR(J417="ILF",J417="EIF",J417="EI",J417="EO",J417="EQ"),0,""),LEN(Y417)-LEN(SUBSTITUTE(SUBSTITUTE(SUBSTITUTE(SUBSTITUTE(SUBSTITUTE(Y417,"|}","--"),"{|","--"),CHAR(10),""),"、",""),"|",""))+IF(AND(OR(J417="EI",J417="EO",J417="EQ"),$AE$1="NESMA"),2,1)))</f>
        <v/>
      </c>
      <c r="P417" s="86">
        <f>IF(J417="EI",IF(OR(Y417="估算法",Y417="算法类"),"中",IF(Y417="无法识别","低",IF(M417&lt;2,IF(O417&lt;16,"低","中"),IF(M417&lt;3,IF(O417&lt;5,"低",IF(O417&lt;16,"中","高")),IF(O417&lt;5,"中","高"))))),IF(OR(J417="EO",J417="EQ"),IF(OR(Y417="估算法",Y417="算法类"),"中",IF(Y417="无法识别","低",IF(M417&lt;2,IF(O417&lt;20,"低","中"),IF(M417&lt;4,IF(O417&lt;6,"低",IF(O417&lt;20,"中","高")),IF(O417&lt;6,"中","高"))))),IF(OR(J417="ILF",J417="EIF"),IF(OR(Y417="估算法",Y417="算法类",Y417="无法识别"),"低",IF(N417&lt;2,IF(O417&lt;51,"低","中"),IF(N417&lt;6,IF(O417&lt;20,"低",IF(O417&lt;51,"中","高")),IF(O417&lt;20,"中","高")))),"不计算")))</f>
        <v/>
      </c>
      <c r="Q417" s="172">
        <f>IFERROR(IF(J417="EI",IF(P417="低",3,IF(P417="中",4,6)),IF(J417="EO",IF(P417="低",4,IF(P417="中",5,7)),IF(J417="EQ",IF(P417="低",3,IF(P417="中",4,6)),IF(J417="ILF",IF(P417="低",7,IF(P417="中",10,15)),IF(J417="EIF",IF(P417="低",5,IF(P417="中",7,10)),"不计算")))))*R417,"不计算")</f>
        <v/>
      </c>
      <c r="R417" s="172" t="n">
        <v>0</v>
      </c>
      <c r="S417" s="173">
        <f>调整因子!$F$13</f>
        <v/>
      </c>
      <c r="T417" s="92" t="n">
        <v>1</v>
      </c>
      <c r="U417" s="174">
        <f>IFERROR(Q417*S417,0)</f>
        <v/>
      </c>
      <c r="V417" s="174">
        <f>U417*T417</f>
        <v/>
      </c>
      <c r="W417" s="98" t="n"/>
      <c r="X417" s="82" t="inlineStr">
        <is>
          <t>内外网分类统计表</t>
        </is>
      </c>
      <c r="Y417" s="93" t="inlineStr">
        <is>
          <t>内外网分类统计表{主键 id 、业务系统名称、内外网标识 （内网/外网）、高风险漏洞数量、中风险漏洞数量、低风险漏洞数量、统计时间}</t>
        </is>
      </c>
      <c r="Z417" s="90">
        <f>IF(COUNTIFS(W:W,"*"&amp;I417&amp;"*")&gt;0,"存在","不存在")</f>
        <v/>
      </c>
      <c r="AA417" s="90">
        <f>IF(COUNTIFS(AB:AB,"*"&amp;I417&amp;"*")&gt;0,"存在","不存在")</f>
        <v/>
      </c>
      <c r="AB417" s="103" t="inlineStr">
        <is>
          <t>扫描策略模板表、提醒策略配置表</t>
        </is>
      </c>
      <c r="AC417" s="66" t="n"/>
    </row>
    <row r="418" s="112">
      <c r="A418" s="72">
        <f>ROW()-1</f>
        <v/>
      </c>
      <c r="B418" s="175" t="n"/>
      <c r="C418" s="80" t="n">
        <v>2025</v>
      </c>
      <c r="D418" s="80" t="inlineStr">
        <is>
          <t>窦鹏岐</t>
        </is>
      </c>
      <c r="E418" s="81">
        <f>VLOOKUP(I418,'25年交付功能（不含废弃）'!A:A,1,FALSE)</f>
        <v/>
      </c>
      <c r="F418" s="175" t="n"/>
      <c r="G418" s="175" t="n"/>
      <c r="H418" s="175" t="n"/>
      <c r="I418" s="81" t="inlineStr">
        <is>
          <t>组织机构分析表</t>
        </is>
      </c>
      <c r="J418" s="98" t="inlineStr">
        <is>
          <t>ILF</t>
        </is>
      </c>
      <c r="K418" s="84" t="n"/>
      <c r="L418" s="84" t="inlineStr">
        <is>
          <t>数据库表未被本系统所维护</t>
        </is>
      </c>
      <c r="M418" s="85">
        <f>IF(OR(Y418="估算法",Y418="算法类",Y418="无法识别"),"",IF(W418="",IF(OR(J418="EI",J418="EO",J418="EQ"),0,""),LEN(W418)-LEN(SUBSTITUTE(W418,"、",""))+1))</f>
        <v/>
      </c>
      <c r="N418" s="85">
        <f>IF(OR(Y418="估算法",Y418="算法类",Y418="无法识别"),"",IF(X418="",IF(OR(J418="ILF",J418="EIF"),0,""),LEN(X418)-LEN(SUBSTITUTE(X418,"、",""))+1))</f>
        <v/>
      </c>
      <c r="O418" s="85">
        <f>IF(OR(Y418="估算法",Y418="算法类",Y418="无法识别"),"",IF(Y418="",IF(OR(J418="ILF",J418="EIF",J418="EI",J418="EO",J418="EQ"),0,""),LEN(Y418)-LEN(SUBSTITUTE(SUBSTITUTE(SUBSTITUTE(SUBSTITUTE(SUBSTITUTE(Y418,"|}","--"),"{|","--"),CHAR(10),""),"、",""),"|",""))+IF(AND(OR(J418="EI",J418="EO",J418="EQ"),$AE$1="NESMA"),2,1)))</f>
        <v/>
      </c>
      <c r="P418" s="86">
        <f>IF(J418="EI",IF(OR(Y418="估算法",Y418="算法类"),"中",IF(Y418="无法识别","低",IF(M418&lt;2,IF(O418&lt;16,"低","中"),IF(M418&lt;3,IF(O418&lt;5,"低",IF(O418&lt;16,"中","高")),IF(O418&lt;5,"中","高"))))),IF(OR(J418="EO",J418="EQ"),IF(OR(Y418="估算法",Y418="算法类"),"中",IF(Y418="无法识别","低",IF(M418&lt;2,IF(O418&lt;20,"低","中"),IF(M418&lt;4,IF(O418&lt;6,"低",IF(O418&lt;20,"中","高")),IF(O418&lt;6,"中","高"))))),IF(OR(J418="ILF",J418="EIF"),IF(OR(Y418="估算法",Y418="算法类",Y418="无法识别"),"低",IF(N418&lt;2,IF(O418&lt;51,"低","中"),IF(N418&lt;6,IF(O418&lt;20,"低",IF(O418&lt;51,"中","高")),IF(O418&lt;20,"中","高")))),"不计算")))</f>
        <v/>
      </c>
      <c r="Q418" s="172">
        <f>IFERROR(IF(J418="EI",IF(P418="低",3,IF(P418="中",4,6)),IF(J418="EO",IF(P418="低",4,IF(P418="中",5,7)),IF(J418="EQ",IF(P418="低",3,IF(P418="中",4,6)),IF(J418="ILF",IF(P418="低",7,IF(P418="中",10,15)),IF(J418="EIF",IF(P418="低",5,IF(P418="中",7,10)),"不计算")))))*R418,"不计算")</f>
        <v/>
      </c>
      <c r="R418" s="172" t="n">
        <v>0</v>
      </c>
      <c r="S418" s="173">
        <f>调整因子!$F$13</f>
        <v/>
      </c>
      <c r="T418" s="92" t="n">
        <v>1</v>
      </c>
      <c r="U418" s="174">
        <f>IFERROR(Q418*S418,0)</f>
        <v/>
      </c>
      <c r="V418" s="174">
        <f>U418*T418</f>
        <v/>
      </c>
      <c r="W418" s="98" t="n"/>
      <c r="X418" s="82" t="inlineStr">
        <is>
          <t>组织机构分析表</t>
        </is>
      </c>
      <c r="Y418" s="93" t="inlineStr">
        <is>
          <t>组织机构分析表{主键 id 、组织机构名称、关联业务系统数量、高风险漏洞总数、中风险漏洞总数、低风险漏洞总数}</t>
        </is>
      </c>
      <c r="Z418" s="90">
        <f>IF(COUNTIFS(W:W,"*"&amp;I418&amp;"*")&gt;0,"存在","不存在")</f>
        <v/>
      </c>
      <c r="AA418" s="90">
        <f>IF(COUNTIFS(AB:AB,"*"&amp;I418&amp;"*")&gt;0,"存在","不存在")</f>
        <v/>
      </c>
      <c r="AB418" s="103" t="inlineStr">
        <is>
          <t>提醒规则表、报告解析结果表</t>
        </is>
      </c>
      <c r="AC418" s="66" t="n"/>
    </row>
    <row r="419" s="112">
      <c r="A419" s="72">
        <f>ROW()-1</f>
        <v/>
      </c>
      <c r="B419" s="175" t="n"/>
      <c r="C419" s="80" t="n">
        <v>2025</v>
      </c>
      <c r="D419" s="80" t="inlineStr">
        <is>
          <t>窦鹏岐</t>
        </is>
      </c>
      <c r="E419" s="81">
        <f>VLOOKUP(I419,'25年交付功能（不含废弃）'!A:A,1,FALSE)</f>
        <v/>
      </c>
      <c r="F419" s="175" t="n"/>
      <c r="G419" s="175" t="n"/>
      <c r="H419" s="175" t="n"/>
      <c r="I419" s="81" t="inlineStr">
        <is>
          <t>责任人统计分析表</t>
        </is>
      </c>
      <c r="J419" s="98" t="inlineStr">
        <is>
          <t>ILF</t>
        </is>
      </c>
      <c r="K419" s="84" t="n"/>
      <c r="L419" s="84" t="inlineStr">
        <is>
          <t>数据库表未被本系统所维护</t>
        </is>
      </c>
      <c r="M419" s="85">
        <f>IF(OR(Y419="估算法",Y419="算法类",Y419="无法识别"),"",IF(W419="",IF(OR(J419="EI",J419="EO",J419="EQ"),0,""),LEN(W419)-LEN(SUBSTITUTE(W419,"、",""))+1))</f>
        <v/>
      </c>
      <c r="N419" s="85">
        <f>IF(OR(Y419="估算法",Y419="算法类",Y419="无法识别"),"",IF(X419="",IF(OR(J419="ILF",J419="EIF"),0,""),LEN(X419)-LEN(SUBSTITUTE(X419,"、",""))+1))</f>
        <v/>
      </c>
      <c r="O419" s="85">
        <f>IF(OR(Y419="估算法",Y419="算法类",Y419="无法识别"),"",IF(Y419="",IF(OR(J419="ILF",J419="EIF",J419="EI",J419="EO",J419="EQ"),0,""),LEN(Y419)-LEN(SUBSTITUTE(SUBSTITUTE(SUBSTITUTE(SUBSTITUTE(SUBSTITUTE(Y419,"|}","--"),"{|","--"),CHAR(10),""),"、",""),"|",""))+IF(AND(OR(J419="EI",J419="EO",J419="EQ"),$AE$1="NESMA"),2,1)))</f>
        <v/>
      </c>
      <c r="P419" s="86">
        <f>IF(J419="EI",IF(OR(Y419="估算法",Y419="算法类"),"中",IF(Y419="无法识别","低",IF(M419&lt;2,IF(O419&lt;16,"低","中"),IF(M419&lt;3,IF(O419&lt;5,"低",IF(O419&lt;16,"中","高")),IF(O419&lt;5,"中","高"))))),IF(OR(J419="EO",J419="EQ"),IF(OR(Y419="估算法",Y419="算法类"),"中",IF(Y419="无法识别","低",IF(M419&lt;2,IF(O419&lt;20,"低","中"),IF(M419&lt;4,IF(O419&lt;6,"低",IF(O419&lt;20,"中","高")),IF(O419&lt;6,"中","高"))))),IF(OR(J419="ILF",J419="EIF"),IF(OR(Y419="估算法",Y419="算法类",Y419="无法识别"),"低",IF(N419&lt;2,IF(O419&lt;51,"低","中"),IF(N419&lt;6,IF(O419&lt;20,"低",IF(O419&lt;51,"中","高")),IF(O419&lt;20,"中","高")))),"不计算")))</f>
        <v/>
      </c>
      <c r="Q419" s="172">
        <f>IFERROR(IF(J419="EI",IF(P419="低",3,IF(P419="中",4,6)),IF(J419="EO",IF(P419="低",4,IF(P419="中",5,7)),IF(J419="EQ",IF(P419="低",3,IF(P419="中",4,6)),IF(J419="ILF",IF(P419="低",7,IF(P419="中",10,15)),IF(J419="EIF",IF(P419="低",5,IF(P419="中",7,10)),"不计算")))))*R419,"不计算")</f>
        <v/>
      </c>
      <c r="R419" s="172" t="n">
        <v>0</v>
      </c>
      <c r="S419" s="173">
        <f>调整因子!$F$13</f>
        <v/>
      </c>
      <c r="T419" s="93" t="n">
        <v>1</v>
      </c>
      <c r="U419" s="174">
        <f>IFERROR(Q419*S419,0)</f>
        <v/>
      </c>
      <c r="V419" s="174">
        <f>U419*T419</f>
        <v/>
      </c>
      <c r="W419" s="98" t="n"/>
      <c r="X419" s="82" t="inlineStr">
        <is>
          <t>责任人统计分析表</t>
        </is>
      </c>
      <c r="Y419" s="93" t="inlineStr">
        <is>
          <t>责任人统计分析表{主键 id 、责任人名称、负责业务系统数量、关联高风险漏洞数量、关联中风险漏洞数量、关联低风险漏洞数量、统计时间}</t>
        </is>
      </c>
      <c r="Z419" s="90">
        <f>IF(COUNTIFS(W:W,"*"&amp;I419&amp;"*")&gt;0,"存在","不存在")</f>
        <v/>
      </c>
      <c r="AA419" s="90">
        <f>IF(COUNTIFS(AB:AB,"*"&amp;I419&amp;"*")&gt;0,"存在","不存在")</f>
        <v/>
      </c>
      <c r="AB419" s="103" t="inlineStr">
        <is>
          <t>推送规则表</t>
        </is>
      </c>
      <c r="AC419" s="66" t="n"/>
    </row>
    <row r="420" s="112">
      <c r="A420" s="72">
        <f>ROW()-1</f>
        <v/>
      </c>
      <c r="B420" s="175" t="n"/>
      <c r="C420" s="80" t="n">
        <v>2025</v>
      </c>
      <c r="D420" s="80" t="inlineStr">
        <is>
          <t>窦鹏岐</t>
        </is>
      </c>
      <c r="E420" s="81">
        <f>VLOOKUP(I420,'25年交付功能（不含废弃）'!A:A,1,FALSE)</f>
        <v/>
      </c>
      <c r="F420" s="175" t="n"/>
      <c r="G420" s="176" t="n"/>
      <c r="H420" s="176" t="n"/>
      <c r="I420" s="81" t="inlineStr">
        <is>
          <t>高中低危统计表</t>
        </is>
      </c>
      <c r="J420" s="98" t="inlineStr">
        <is>
          <t>ILF</t>
        </is>
      </c>
      <c r="K420" s="84" t="n"/>
      <c r="L420" s="84" t="inlineStr">
        <is>
          <t>数据库表未被本系统所维护</t>
        </is>
      </c>
      <c r="M420" s="85">
        <f>IF(OR(Y420="估算法",Y420="算法类",Y420="无法识别"),"",IF(W420="",IF(OR(J420="EI",J420="EO",J420="EQ"),0,""),LEN(W420)-LEN(SUBSTITUTE(W420,"、",""))+1))</f>
        <v/>
      </c>
      <c r="N420" s="85">
        <f>IF(OR(Y420="估算法",Y420="算法类",Y420="无法识别"),"",IF(X420="",IF(OR(J420="ILF",J420="EIF"),0,""),LEN(X420)-LEN(SUBSTITUTE(X420,"、",""))+1))</f>
        <v/>
      </c>
      <c r="O420" s="85">
        <f>IF(OR(Y420="估算法",Y420="算法类",Y420="无法识别"),"",IF(Y420="",IF(OR(J420="ILF",J420="EIF",J420="EI",J420="EO",J420="EQ"),0,""),LEN(Y420)-LEN(SUBSTITUTE(SUBSTITUTE(SUBSTITUTE(SUBSTITUTE(SUBSTITUTE(Y420,"|}","--"),"{|","--"),CHAR(10),""),"、",""),"|",""))+IF(AND(OR(J420="EI",J420="EO",J420="EQ"),$AE$1="NESMA"),2,1)))</f>
        <v/>
      </c>
      <c r="P420" s="86">
        <f>IF(J420="EI",IF(OR(Y420="估算法",Y420="算法类"),"中",IF(Y420="无法识别","低",IF(M420&lt;2,IF(O420&lt;16,"低","中"),IF(M420&lt;3,IF(O420&lt;5,"低",IF(O420&lt;16,"中","高")),IF(O420&lt;5,"中","高"))))),IF(OR(J420="EO",J420="EQ"),IF(OR(Y420="估算法",Y420="算法类"),"中",IF(Y420="无法识别","低",IF(M420&lt;2,IF(O420&lt;20,"低","中"),IF(M420&lt;4,IF(O420&lt;6,"低",IF(O420&lt;20,"中","高")),IF(O420&lt;6,"中","高"))))),IF(OR(J420="ILF",J420="EIF"),IF(OR(Y420="估算法",Y420="算法类",Y420="无法识别"),"低",IF(N420&lt;2,IF(O420&lt;51,"低","中"),IF(N420&lt;6,IF(O420&lt;20,"低",IF(O420&lt;51,"中","高")),IF(O420&lt;20,"中","高")))),"不计算")))</f>
        <v/>
      </c>
      <c r="Q420" s="172">
        <f>IFERROR(IF(J420="EI",IF(P420="低",3,IF(P420="中",4,6)),IF(J420="EO",IF(P420="低",4,IF(P420="中",5,7)),IF(J420="EQ",IF(P420="低",3,IF(P420="中",4,6)),IF(J420="ILF",IF(P420="低",7,IF(P420="中",10,15)),IF(J420="EIF",IF(P420="低",5,IF(P420="中",7,10)),"不计算")))))*R420,"不计算")</f>
        <v/>
      </c>
      <c r="R420" s="172" t="n">
        <v>0</v>
      </c>
      <c r="S420" s="173">
        <f>调整因子!$F$13</f>
        <v/>
      </c>
      <c r="T420" s="92" t="n">
        <v>1</v>
      </c>
      <c r="U420" s="174">
        <f>IFERROR(Q420*S420,0)</f>
        <v/>
      </c>
      <c r="V420" s="174">
        <f>U420*T420</f>
        <v/>
      </c>
      <c r="W420" s="98" t="n"/>
      <c r="X420" s="82" t="inlineStr">
        <is>
          <t>高中低危统计表</t>
        </is>
      </c>
      <c r="Y420" s="93" t="inlineStr">
        <is>
          <t>高中低危统计表{主键 id 、统计项名称、统计项类型 （业务系统/组织机构等）、高风险漏洞数量、中风险漏洞数量、低风险漏洞数量、统计时间}</t>
        </is>
      </c>
      <c r="Z420" s="90">
        <f>IF(COUNTIFS(W:W,"*"&amp;I420&amp;"*")&gt;0,"存在","不存在")</f>
        <v/>
      </c>
      <c r="AA420" s="90">
        <f>IF(COUNTIFS(AB:AB,"*"&amp;I420&amp;"*")&gt;0,"存在","不存在")</f>
        <v/>
      </c>
      <c r="AB420" s="103" t="inlineStr">
        <is>
          <t>推送规则表、提醒规则表</t>
        </is>
      </c>
      <c r="AC420" s="66" t="n"/>
    </row>
    <row r="421" s="112">
      <c r="A421" s="72">
        <f>ROW()-1</f>
        <v/>
      </c>
      <c r="B421" s="175" t="n"/>
      <c r="C421" s="80" t="n">
        <v>2025</v>
      </c>
      <c r="D421" s="80" t="inlineStr">
        <is>
          <t>窦鹏岐</t>
        </is>
      </c>
      <c r="E421" s="81">
        <f>VLOOKUP(I421,'25年交付功能（不含废弃）'!A:A,1,FALSE)</f>
        <v/>
      </c>
      <c r="F421" s="175" t="n"/>
      <c r="G421" s="82" t="inlineStr">
        <is>
          <t>动态更新机制</t>
        </is>
      </c>
      <c r="H421" s="82" t="inlineStr">
        <is>
          <t>资产变更触发机制</t>
        </is>
      </c>
      <c r="I421" s="81" t="inlineStr">
        <is>
          <t>关联关系评定</t>
        </is>
      </c>
      <c r="J421" s="93" t="n"/>
      <c r="K421" s="84" t="n"/>
      <c r="L421" s="84" t="inlineStr">
        <is>
          <t>未穿越系统边界，非事务功能，明确无输出内容</t>
        </is>
      </c>
      <c r="M421" s="85">
        <f>IF(OR(Y421="估算法",Y421="算法类",Y421="无法识别"),"",IF(W421="",IF(OR(J421="EI",J421="EO",J421="EQ"),0,""),LEN(W421)-LEN(SUBSTITUTE(W421,"、",""))+1))</f>
        <v/>
      </c>
      <c r="N421" s="85">
        <f>IF(OR(Y421="估算法",Y421="算法类",Y421="无法识别"),"",IF(X421="",IF(OR(J421="ILF",J421="EIF"),0,""),LEN(X421)-LEN(SUBSTITUTE(X421,"、",""))+1))</f>
        <v/>
      </c>
      <c r="O421" s="85">
        <f>IF(OR(Y421="估算法",Y421="算法类",Y421="无法识别"),"",IF(Y421="",IF(OR(J421="ILF",J421="EIF",J421="EI",J421="EO",J421="EQ"),0,""),LEN(Y421)-LEN(SUBSTITUTE(SUBSTITUTE(SUBSTITUTE(SUBSTITUTE(SUBSTITUTE(Y421,"|}","--"),"{|","--"),CHAR(10),""),"、",""),"|",""))+IF(AND(OR(J421="EI",J421="EO",J421="EQ"),$AE$1="NESMA"),2,1)))</f>
        <v/>
      </c>
      <c r="P421" s="86">
        <f>IF(J421="EI",IF(OR(Y421="估算法",Y421="算法类"),"中",IF(Y421="无法识别","低",IF(M421&lt;2,IF(O421&lt;16,"低","中"),IF(M421&lt;3,IF(O421&lt;5,"低",IF(O421&lt;16,"中","高")),IF(O421&lt;5,"中","高"))))),IF(OR(J421="EO",J421="EQ"),IF(OR(Y421="估算法",Y421="算法类"),"中",IF(Y421="无法识别","低",IF(M421&lt;2,IF(O421&lt;20,"低","中"),IF(M421&lt;4,IF(O421&lt;6,"低",IF(O421&lt;20,"中","高")),IF(O421&lt;6,"中","高"))))),IF(OR(J421="ILF",J421="EIF"),IF(OR(Y421="估算法",Y421="算法类",Y421="无法识别"),"低",IF(N421&lt;2,IF(O421&lt;51,"低","中"),IF(N421&lt;6,IF(O421&lt;20,"低",IF(O421&lt;51,"中","高")),IF(O421&lt;20,"中","高")))),"不计算")))</f>
        <v/>
      </c>
      <c r="Q421" s="172">
        <f>IFERROR(IF(J421="EI",IF(P421="低",3,IF(P421="中",4,6)),IF(J421="EO",IF(P421="低",4,IF(P421="中",5,7)),IF(J421="EQ",IF(P421="低",3,IF(P421="中",4,6)),IF(J421="ILF",IF(P421="低",7,IF(P421="中",10,15)),IF(J421="EIF",IF(P421="低",5,IF(P421="中",7,10)),"不计算")))))*R421,"不计算")</f>
        <v/>
      </c>
      <c r="R421" s="172" t="n">
        <v>1</v>
      </c>
      <c r="S421" s="173">
        <f>调整因子!$F$13</f>
        <v/>
      </c>
      <c r="T421" s="92" t="n">
        <v>1</v>
      </c>
      <c r="U421" s="174">
        <f>IFERROR(Q421*S421,0)</f>
        <v/>
      </c>
      <c r="V421" s="174">
        <f>U421*T421</f>
        <v/>
      </c>
      <c r="W421" s="93" t="inlineStr">
        <is>
          <t>资产变更触发机制表</t>
        </is>
      </c>
      <c r="X421" s="98" t="n"/>
      <c r="Y421" s="93" t="inlineStr">
        <is>
          <t>资产变更触发机制表{主键 id 、资产 id 、变更类型、变更时间、触发源（如用户操作、系统自动检测等）、关联关系评定（评定资产变更对关联关系的影响程度）}</t>
        </is>
      </c>
      <c r="Z421" s="90" t="n"/>
      <c r="AA421" s="90" t="n"/>
      <c r="AB421" s="103" t="inlineStr">
        <is>
          <t>推送规则表</t>
        </is>
      </c>
      <c r="AC421" s="66" t="n"/>
    </row>
    <row r="422" s="112">
      <c r="A422" s="72">
        <f>ROW()-1</f>
        <v/>
      </c>
      <c r="B422" s="175" t="n"/>
      <c r="C422" s="80" t="n">
        <v>2025</v>
      </c>
      <c r="D422" s="80" t="inlineStr">
        <is>
          <t>窦鹏岐</t>
        </is>
      </c>
      <c r="E422" s="81">
        <f>VLOOKUP(I422,'25年交付功能（不含废弃）'!A:A,1,FALSE)</f>
        <v/>
      </c>
      <c r="F422" s="175" t="n"/>
      <c r="G422" s="175" t="n"/>
      <c r="H422" s="175" t="n"/>
      <c r="I422" s="81" t="inlineStr">
        <is>
          <t>漏洞关联关系自动更新</t>
        </is>
      </c>
      <c r="J422" s="93" t="n"/>
      <c r="K422" s="84" t="n"/>
      <c r="L422" s="84" t="inlineStr">
        <is>
          <t>未穿越系统边界，非事务功能，明确无输出内容</t>
        </is>
      </c>
      <c r="M422" s="85">
        <f>IF(OR(Y422="估算法",Y422="算法类",Y422="无法识别"),"",IF(W422="",IF(OR(J422="EI",J422="EO",J422="EQ"),0,""),LEN(W422)-LEN(SUBSTITUTE(W422,"、",""))+1))</f>
        <v/>
      </c>
      <c r="N422" s="85">
        <f>IF(OR(Y422="估算法",Y422="算法类",Y422="无法识别"),"",IF(X422="",IF(OR(J422="ILF",J422="EIF"),0,""),LEN(X422)-LEN(SUBSTITUTE(X422,"、",""))+1))</f>
        <v/>
      </c>
      <c r="O422" s="85">
        <f>IF(OR(Y422="估算法",Y422="算法类",Y422="无法识别"),"",IF(Y422="",IF(OR(J422="ILF",J422="EIF",J422="EI",J422="EO",J422="EQ"),0,""),LEN(Y422)-LEN(SUBSTITUTE(SUBSTITUTE(SUBSTITUTE(SUBSTITUTE(SUBSTITUTE(Y422,"|}","--"),"{|","--"),CHAR(10),""),"、",""),"|",""))+IF(AND(OR(J422="EI",J422="EO",J422="EQ"),$AE$1="NESMA"),2,1)))</f>
        <v/>
      </c>
      <c r="P422" s="86">
        <f>IF(J422="EI",IF(OR(Y422="估算法",Y422="算法类"),"中",IF(Y422="无法识别","低",IF(M422&lt;2,IF(O422&lt;16,"低","中"),IF(M422&lt;3,IF(O422&lt;5,"低",IF(O422&lt;16,"中","高")),IF(O422&lt;5,"中","高"))))),IF(OR(J422="EO",J422="EQ"),IF(OR(Y422="估算法",Y422="算法类"),"中",IF(Y422="无法识别","低",IF(M422&lt;2,IF(O422&lt;20,"低","中"),IF(M422&lt;4,IF(O422&lt;6,"低",IF(O422&lt;20,"中","高")),IF(O422&lt;6,"中","高"))))),IF(OR(J422="ILF",J422="EIF"),IF(OR(Y422="估算法",Y422="算法类",Y422="无法识别"),"低",IF(N422&lt;2,IF(O422&lt;51,"低","中"),IF(N422&lt;6,IF(O422&lt;20,"低",IF(O422&lt;51,"中","高")),IF(O422&lt;20,"中","高")))),"不计算")))</f>
        <v/>
      </c>
      <c r="Q422" s="172">
        <f>IFERROR(IF(J422="EI",IF(P422="低",3,IF(P422="中",4,6)),IF(J422="EO",IF(P422="低",4,IF(P422="中",5,7)),IF(J422="EQ",IF(P422="低",3,IF(P422="中",4,6)),IF(J422="ILF",IF(P422="低",7,IF(P422="中",10,15)),IF(J422="EIF",IF(P422="低",5,IF(P422="中",7,10)),"不计算")))))*R422,"不计算")</f>
        <v/>
      </c>
      <c r="R422" s="172" t="n">
        <v>1</v>
      </c>
      <c r="S422" s="173">
        <f>调整因子!$F$13</f>
        <v/>
      </c>
      <c r="T422" s="93" t="n">
        <v>1</v>
      </c>
      <c r="U422" s="174">
        <f>IFERROR(Q422*S422,0)</f>
        <v/>
      </c>
      <c r="V422" s="174">
        <f>U422*T422</f>
        <v/>
      </c>
      <c r="W422" s="93" t="inlineStr">
        <is>
          <t>资产变更触发机制表、变更记录管理表</t>
        </is>
      </c>
      <c r="X422" s="98" t="n"/>
      <c r="Y422" s="93" t="inlineStr">
        <is>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is>
      </c>
      <c r="Z422" s="90" t="n"/>
      <c r="AA422" s="90" t="n"/>
      <c r="AB422" s="103" t="inlineStr">
        <is>
          <t>数据清洗任务表、接口监控配置表</t>
        </is>
      </c>
      <c r="AC422" s="66" t="n"/>
    </row>
    <row r="423" s="112">
      <c r="A423" s="72">
        <f>ROW()-1</f>
        <v/>
      </c>
      <c r="B423" s="175" t="n"/>
      <c r="C423" s="80" t="n">
        <v>2025</v>
      </c>
      <c r="D423" s="80" t="inlineStr">
        <is>
          <t>窦鹏岐</t>
        </is>
      </c>
      <c r="E423" s="81">
        <f>VLOOKUP(I423,'25年交付功能（不含废弃）'!A:A,1,FALSE)</f>
        <v/>
      </c>
      <c r="F423" s="175" t="n"/>
      <c r="G423" s="175" t="n"/>
      <c r="H423" s="176" t="n"/>
      <c r="I423" s="81" t="inlineStr">
        <is>
          <t>资产变更监控</t>
        </is>
      </c>
      <c r="J423" s="93" t="n"/>
      <c r="K423" s="84" t="n"/>
      <c r="L423" s="84" t="inlineStr">
        <is>
          <t>未穿越系统边界，非事务功能，明确无输出内容</t>
        </is>
      </c>
      <c r="M423" s="85">
        <f>IF(OR(Y423="估算法",Y423="算法类",Y423="无法识别"),"",IF(W423="",IF(OR(J423="EI",J423="EO",J423="EQ"),0,""),LEN(W423)-LEN(SUBSTITUTE(W423,"、",""))+1))</f>
        <v/>
      </c>
      <c r="N423" s="85">
        <f>IF(OR(Y423="估算法",Y423="算法类",Y423="无法识别"),"",IF(X423="",IF(OR(J423="ILF",J423="EIF"),0,""),LEN(X423)-LEN(SUBSTITUTE(X423,"、",""))+1))</f>
        <v/>
      </c>
      <c r="O423" s="85">
        <f>IF(OR(Y423="估算法",Y423="算法类",Y423="无法识别"),"",IF(Y423="",IF(OR(J423="ILF",J423="EIF",J423="EI",J423="EO",J423="EQ"),0,""),LEN(Y423)-LEN(SUBSTITUTE(SUBSTITUTE(SUBSTITUTE(SUBSTITUTE(SUBSTITUTE(Y423,"|}","--"),"{|","--"),CHAR(10),""),"、",""),"|",""))+IF(AND(OR(J423="EI",J423="EO",J423="EQ"),$AE$1="NESMA"),2,1)))</f>
        <v/>
      </c>
      <c r="P423" s="86">
        <f>IF(J423="EI",IF(OR(Y423="估算法",Y423="算法类"),"中",IF(Y423="无法识别","低",IF(M423&lt;2,IF(O423&lt;16,"低","中"),IF(M423&lt;3,IF(O423&lt;5,"低",IF(O423&lt;16,"中","高")),IF(O423&lt;5,"中","高"))))),IF(OR(J423="EO",J423="EQ"),IF(OR(Y423="估算法",Y423="算法类"),"中",IF(Y423="无法识别","低",IF(M423&lt;2,IF(O423&lt;20,"低","中"),IF(M423&lt;4,IF(O423&lt;6,"低",IF(O423&lt;20,"中","高")),IF(O423&lt;6,"中","高"))))),IF(OR(J423="ILF",J423="EIF"),IF(OR(Y423="估算法",Y423="算法类",Y423="无法识别"),"低",IF(N423&lt;2,IF(O423&lt;51,"低","中"),IF(N423&lt;6,IF(O423&lt;20,"低",IF(O423&lt;51,"中","高")),IF(O423&lt;20,"中","高")))),"不计算")))</f>
        <v/>
      </c>
      <c r="Q423" s="172">
        <f>IFERROR(IF(J423="EI",IF(P423="低",3,IF(P423="中",4,6)),IF(J423="EO",IF(P423="低",4,IF(P423="中",5,7)),IF(J423="EQ",IF(P423="低",3,IF(P423="中",4,6)),IF(J423="ILF",IF(P423="低",7,IF(P423="中",10,15)),IF(J423="EIF",IF(P423="低",5,IF(P423="中",7,10)),"不计算")))))*R423,"不计算")</f>
        <v/>
      </c>
      <c r="R423" s="172" t="n">
        <v>1</v>
      </c>
      <c r="S423" s="173">
        <f>调整因子!$F$13</f>
        <v/>
      </c>
      <c r="T423" s="92" t="n">
        <v>1</v>
      </c>
      <c r="U423" s="174">
        <f>IFERROR(Q423*S423,0)</f>
        <v/>
      </c>
      <c r="V423" s="174">
        <f>U423*T423</f>
        <v/>
      </c>
      <c r="W423" s="93" t="inlineStr">
        <is>
          <t>资产变更监控表</t>
        </is>
      </c>
      <c r="X423" s="98" t="n"/>
      <c r="Y423" s="93" t="inlineStr">
        <is>
          <t>资产变更监控表{主键 id 、资产 id 、监控时间、变更状态（如已监控、未处理等）、变更详情}</t>
        </is>
      </c>
      <c r="Z423" s="90" t="n"/>
      <c r="AA423" s="90" t="n"/>
      <c r="AB423" s="103" t="inlineStr">
        <is>
          <t>任务优先级配置表、模板参数配置表</t>
        </is>
      </c>
      <c r="AC423" s="66" t="n"/>
    </row>
    <row r="424" s="112">
      <c r="A424" s="72">
        <f>ROW()-1</f>
        <v/>
      </c>
      <c r="B424" s="175" t="n"/>
      <c r="C424" s="80" t="n">
        <v>2025</v>
      </c>
      <c r="D424" s="80" t="inlineStr">
        <is>
          <t>窦鹏岐</t>
        </is>
      </c>
      <c r="E424" s="81">
        <f>VLOOKUP(I424,'25年交付功能（不含废弃）'!A:A,1,FALSE)</f>
        <v/>
      </c>
      <c r="F424" s="175" t="n"/>
      <c r="G424" s="175" t="n"/>
      <c r="H424" s="82" t="inlineStr">
        <is>
          <t>变更记录管理</t>
        </is>
      </c>
      <c r="I424" s="81" t="inlineStr">
        <is>
          <t>新增资产变更日志</t>
        </is>
      </c>
      <c r="J424" s="93" t="n"/>
      <c r="K424" s="84" t="n"/>
      <c r="L424" s="84" t="inlineStr">
        <is>
          <t>日志记录和下行合并</t>
        </is>
      </c>
      <c r="M424" s="85">
        <f>IF(OR(Y424="估算法",Y424="算法类",Y424="无法识别"),"",IF(W424="",IF(OR(J424="EI",J424="EO",J424="EQ"),0,""),LEN(W424)-LEN(SUBSTITUTE(W424,"、",""))+1))</f>
        <v/>
      </c>
      <c r="N424" s="85">
        <f>IF(OR(Y424="估算法",Y424="算法类",Y424="无法识别"),"",IF(X424="",IF(OR(J424="ILF",J424="EIF"),0,""),LEN(X424)-LEN(SUBSTITUTE(X424,"、",""))+1))</f>
        <v/>
      </c>
      <c r="O424" s="85">
        <f>IF(OR(Y424="估算法",Y424="算法类",Y424="无法识别"),"",IF(Y424="",IF(OR(J424="ILF",J424="EIF",J424="EI",J424="EO",J424="EQ"),0,""),LEN(Y424)-LEN(SUBSTITUTE(SUBSTITUTE(SUBSTITUTE(SUBSTITUTE(SUBSTITUTE(Y424,"|}","--"),"{|","--"),CHAR(10),""),"、",""),"|",""))+IF(AND(OR(J424="EI",J424="EO",J424="EQ"),$AE$1="NESMA"),2,1)))</f>
        <v/>
      </c>
      <c r="P424" s="86">
        <f>IF(J424="EI",IF(OR(Y424="估算法",Y424="算法类"),"中",IF(Y424="无法识别","低",IF(M424&lt;2,IF(O424&lt;16,"低","中"),IF(M424&lt;3,IF(O424&lt;5,"低",IF(O424&lt;16,"中","高")),IF(O424&lt;5,"中","高"))))),IF(OR(J424="EO",J424="EQ"),IF(OR(Y424="估算法",Y424="算法类"),"中",IF(Y424="无法识别","低",IF(M424&lt;2,IF(O424&lt;20,"低","中"),IF(M424&lt;4,IF(O424&lt;6,"低",IF(O424&lt;20,"中","高")),IF(O424&lt;6,"中","高"))))),IF(OR(J424="ILF",J424="EIF"),IF(OR(Y424="估算法",Y424="算法类",Y424="无法识别"),"低",IF(N424&lt;2,IF(O424&lt;51,"低","中"),IF(N424&lt;6,IF(O424&lt;20,"低",IF(O424&lt;51,"中","高")),IF(O424&lt;20,"中","高")))),"不计算")))</f>
        <v/>
      </c>
      <c r="Q424" s="172">
        <f>IFERROR(IF(J424="EI",IF(P424="低",3,IF(P424="中",4,6)),IF(J424="EO",IF(P424="低",4,IF(P424="中",5,7)),IF(J424="EQ",IF(P424="低",3,IF(P424="中",4,6)),IF(J424="ILF",IF(P424="低",7,IF(P424="中",10,15)),IF(J424="EIF",IF(P424="低",5,IF(P424="中",7,10)),"不计算")))))*R424,"不计算")</f>
        <v/>
      </c>
      <c r="R424" s="172" t="n">
        <v>1</v>
      </c>
      <c r="S424" s="173">
        <f>调整因子!$F$13</f>
        <v/>
      </c>
      <c r="T424" s="92" t="n">
        <v>1</v>
      </c>
      <c r="U424" s="174">
        <f>IFERROR(Q424*S424,0)</f>
        <v/>
      </c>
      <c r="V424" s="174">
        <f>U424*T424</f>
        <v/>
      </c>
      <c r="W424" s="82" t="inlineStr">
        <is>
          <t>变更日志历史记录表、变更记录管理表</t>
        </is>
      </c>
      <c r="X424" s="98" t="n"/>
      <c r="Y424" s="93" t="inlineStr">
        <is>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is>
      </c>
      <c r="Z424" s="90" t="n"/>
      <c r="AA424" s="90" t="n"/>
      <c r="AB424" s="103" t="inlineStr">
        <is>
          <t>性能数据表、接口参数配置表</t>
        </is>
      </c>
      <c r="AC424" s="66" t="n"/>
    </row>
    <row r="425" s="112">
      <c r="A425" s="72">
        <f>ROW()-1</f>
        <v/>
      </c>
      <c r="B425" s="175" t="n"/>
      <c r="C425" s="80" t="n">
        <v>2025</v>
      </c>
      <c r="D425" s="80" t="inlineStr">
        <is>
          <t>窦鹏岐</t>
        </is>
      </c>
      <c r="E425" s="81">
        <f>VLOOKUP(I425,'25年交付功能（不含废弃）'!A:A,1,FALSE)</f>
        <v/>
      </c>
      <c r="F425" s="175" t="n"/>
      <c r="G425" s="175" t="n"/>
      <c r="H425" s="175" t="n"/>
      <c r="I425" s="81" t="inlineStr">
        <is>
          <t>查看历史日志</t>
        </is>
      </c>
      <c r="J425" s="93" t="inlineStr">
        <is>
          <t>EQ</t>
        </is>
      </c>
      <c r="K425" s="84" t="n"/>
      <c r="L425" s="84" t="n"/>
      <c r="M425" s="85">
        <f>IF(OR(Y425="估算法",Y425="算法类",Y425="无法识别"),"",IF(W425="",IF(OR(J425="EI",J425="EO",J425="EQ"),0,""),LEN(W425)-LEN(SUBSTITUTE(W425,"、",""))+1))</f>
        <v/>
      </c>
      <c r="N425" s="85">
        <f>IF(OR(Y425="估算法",Y425="算法类",Y425="无法识别"),"",IF(X425="",IF(OR(J425="ILF",J425="EIF"),0,""),LEN(X425)-LEN(SUBSTITUTE(X425,"、",""))+1))</f>
        <v/>
      </c>
      <c r="O425" s="85">
        <f>IF(OR(Y425="估算法",Y425="算法类",Y425="无法识别"),"",IF(Y425="",IF(OR(J425="ILF",J425="EIF",J425="EI",J425="EO",J425="EQ"),0,""),LEN(Y425)-LEN(SUBSTITUTE(SUBSTITUTE(SUBSTITUTE(SUBSTITUTE(SUBSTITUTE(Y425,"|}","--"),"{|","--"),CHAR(10),""),"、",""),"|",""))+IF(AND(OR(J425="EI",J425="EO",J425="EQ"),$AE$1="NESMA"),2,1)))</f>
        <v/>
      </c>
      <c r="P425" s="86">
        <f>IF(J425="EI",IF(OR(Y425="估算法",Y425="算法类"),"中",IF(Y425="无法识别","低",IF(M425&lt;2,IF(O425&lt;16,"低","中"),IF(M425&lt;3,IF(O425&lt;5,"低",IF(O425&lt;16,"中","高")),IF(O425&lt;5,"中","高"))))),IF(OR(J425="EO",J425="EQ"),IF(OR(Y425="估算法",Y425="算法类"),"中",IF(Y425="无法识别","低",IF(M425&lt;2,IF(O425&lt;20,"低","中"),IF(M425&lt;4,IF(O425&lt;6,"低",IF(O425&lt;20,"中","高")),IF(O425&lt;6,"中","高"))))),IF(OR(J425="ILF",J425="EIF"),IF(OR(Y425="估算法",Y425="算法类",Y425="无法识别"),"低",IF(N425&lt;2,IF(O425&lt;51,"低","中"),IF(N425&lt;6,IF(O425&lt;20,"低",IF(O425&lt;51,"中","高")),IF(O425&lt;20,"中","高")))),"不计算")))</f>
        <v/>
      </c>
      <c r="Q425" s="172">
        <f>IFERROR(IF(J425="EI",IF(P425="低",3,IF(P425="中",4,6)),IF(J425="EO",IF(P425="低",4,IF(P425="中",5,7)),IF(J425="EQ",IF(P425="低",3,IF(P425="中",4,6)),IF(J425="ILF",IF(P425="低",7,IF(P425="中",10,15)),IF(J425="EIF",IF(P425="低",5,IF(P425="中",7,10)),"不计算")))))*R425,"不计算")</f>
        <v/>
      </c>
      <c r="R425" s="172" t="n">
        <v>1</v>
      </c>
      <c r="S425" s="173">
        <f>调整因子!$F$13</f>
        <v/>
      </c>
      <c r="T425" s="93" t="n">
        <v>1</v>
      </c>
      <c r="U425" s="174">
        <f>IFERROR(Q425*S425,0)</f>
        <v/>
      </c>
      <c r="V425" s="174">
        <f>U425*T425</f>
        <v/>
      </c>
      <c r="W425" s="82" t="inlineStr">
        <is>
          <t>变更日志历史记录表</t>
        </is>
      </c>
      <c r="X425" s="98" t="n"/>
      <c r="Y425" s="93" t="inlineStr">
        <is>
          <t>变更日志历史记录表{主键 id 、原数据、变更数据、日志记录时间、日志详情、创建时间、创建人}</t>
        </is>
      </c>
      <c r="Z425" s="90" t="n"/>
      <c r="AA425" s="90" t="n"/>
      <c r="AB425" s="103" t="inlineStr">
        <is>
          <t>任务优先级配置表</t>
        </is>
      </c>
      <c r="AC425" s="66" t="n"/>
    </row>
    <row r="426" s="112">
      <c r="A426" s="72">
        <f>ROW()-1</f>
        <v/>
      </c>
      <c r="B426" s="175" t="n"/>
      <c r="C426" s="80" t="n">
        <v>2025</v>
      </c>
      <c r="D426" s="80" t="inlineStr">
        <is>
          <t>窦鹏岐</t>
        </is>
      </c>
      <c r="E426" s="81">
        <f>VLOOKUP(I426,'25年交付功能（不含废弃）'!A:A,1,FALSE)</f>
        <v/>
      </c>
      <c r="F426" s="175" t="n"/>
      <c r="G426" s="175" t="n"/>
      <c r="H426" s="175" t="n"/>
      <c r="I426" s="81" t="inlineStr">
        <is>
          <t>资产变更触发机制表</t>
        </is>
      </c>
      <c r="J426" s="98" t="inlineStr">
        <is>
          <t>ILF</t>
        </is>
      </c>
      <c r="K426" s="84" t="n"/>
      <c r="L426" s="84" t="inlineStr">
        <is>
          <t>数据库表未被本系统所维护</t>
        </is>
      </c>
      <c r="M426" s="85">
        <f>IF(OR(Y426="估算法",Y426="算法类",Y426="无法识别"),"",IF(W426="",IF(OR(J426="EI",J426="EO",J426="EQ"),0,""),LEN(W426)-LEN(SUBSTITUTE(W426,"、",""))+1))</f>
        <v/>
      </c>
      <c r="N426" s="85">
        <f>IF(OR(Y426="估算法",Y426="算法类",Y426="无法识别"),"",IF(X426="",IF(OR(J426="ILF",J426="EIF"),0,""),LEN(X426)-LEN(SUBSTITUTE(X426,"、",""))+1))</f>
        <v/>
      </c>
      <c r="O426" s="85">
        <f>IF(OR(Y426="估算法",Y426="算法类",Y426="无法识别"),"",IF(Y426="",IF(OR(J426="ILF",J426="EIF",J426="EI",J426="EO",J426="EQ"),0,""),LEN(Y426)-LEN(SUBSTITUTE(SUBSTITUTE(SUBSTITUTE(SUBSTITUTE(SUBSTITUTE(Y426,"|}","--"),"{|","--"),CHAR(10),""),"、",""),"|",""))+IF(AND(OR(J426="EI",J426="EO",J426="EQ"),$AE$1="NESMA"),2,1)))</f>
        <v/>
      </c>
      <c r="P426" s="86">
        <f>IF(J426="EI",IF(OR(Y426="估算法",Y426="算法类"),"中",IF(Y426="无法识别","低",IF(M426&lt;2,IF(O426&lt;16,"低","中"),IF(M426&lt;3,IF(O426&lt;5,"低",IF(O426&lt;16,"中","高")),IF(O426&lt;5,"中","高"))))),IF(OR(J426="EO",J426="EQ"),IF(OR(Y426="估算法",Y426="算法类"),"中",IF(Y426="无法识别","低",IF(M426&lt;2,IF(O426&lt;20,"低","中"),IF(M426&lt;4,IF(O426&lt;6,"低",IF(O426&lt;20,"中","高")),IF(O426&lt;6,"中","高"))))),IF(OR(J426="ILF",J426="EIF"),IF(OR(Y426="估算法",Y426="算法类",Y426="无法识别"),"低",IF(N426&lt;2,IF(O426&lt;51,"低","中"),IF(N426&lt;6,IF(O426&lt;20,"低",IF(O426&lt;51,"中","高")),IF(O426&lt;20,"中","高")))),"不计算")))</f>
        <v/>
      </c>
      <c r="Q426" s="172">
        <f>IFERROR(IF(J426="EI",IF(P426="低",3,IF(P426="中",4,6)),IF(J426="EO",IF(P426="低",4,IF(P426="中",5,7)),IF(J426="EQ",IF(P426="低",3,IF(P426="中",4,6)),IF(J426="ILF",IF(P426="低",7,IF(P426="中",10,15)),IF(J426="EIF",IF(P426="低",5,IF(P426="中",7,10)),"不计算")))))*R426,"不计算")</f>
        <v/>
      </c>
      <c r="R426" s="172" t="n">
        <v>0</v>
      </c>
      <c r="S426" s="173">
        <f>调整因子!$F$13</f>
        <v/>
      </c>
      <c r="T426" s="92" t="n">
        <v>1</v>
      </c>
      <c r="U426" s="174">
        <f>IFERROR(Q426*S426,0)</f>
        <v/>
      </c>
      <c r="V426" s="174">
        <f>U426*T426</f>
        <v/>
      </c>
      <c r="W426" s="98" t="n"/>
      <c r="X426" s="82" t="inlineStr">
        <is>
          <t>资产变更触发机制表</t>
        </is>
      </c>
      <c r="Y426" s="93" t="inlineStr">
        <is>
          <t>资产变更触发机制表{主键 id 、资产 id 、变更类型、变更时间、触发源（如用户操作、系统自动检测等）、关联关系评定（评定资产变更对关联关系的影响程度）}</t>
        </is>
      </c>
      <c r="Z426" s="90">
        <f>IF(COUNTIFS(W:W,"*"&amp;I426&amp;"*")&gt;0,"存在","不存在")</f>
        <v/>
      </c>
      <c r="AA426" s="90">
        <f>IF(COUNTIFS(AB:AB,"*"&amp;I426&amp;"*")&gt;0,"存在","不存在")</f>
        <v/>
      </c>
      <c r="AB426" s="103" t="inlineStr">
        <is>
          <t>态势大屏配置表</t>
        </is>
      </c>
      <c r="AC426" s="66" t="n"/>
    </row>
    <row r="427" s="112">
      <c r="A427" s="72">
        <f>ROW()-1</f>
        <v/>
      </c>
      <c r="B427" s="175" t="n"/>
      <c r="C427" s="80" t="n">
        <v>2025</v>
      </c>
      <c r="D427" s="80" t="inlineStr">
        <is>
          <t>窦鹏岐</t>
        </is>
      </c>
      <c r="E427" s="81">
        <f>VLOOKUP(I427,'25年交付功能（不含废弃）'!A:A,1,FALSE)</f>
        <v/>
      </c>
      <c r="F427" s="175" t="n"/>
      <c r="G427" s="175" t="n"/>
      <c r="H427" s="175" t="n"/>
      <c r="I427" s="81" t="inlineStr">
        <is>
          <t>资产变更监控表</t>
        </is>
      </c>
      <c r="J427" s="98" t="inlineStr">
        <is>
          <t>ILF</t>
        </is>
      </c>
      <c r="K427" s="84" t="n"/>
      <c r="L427" s="84" t="inlineStr">
        <is>
          <t>数据库表未被本系统所维护</t>
        </is>
      </c>
      <c r="M427" s="85">
        <f>IF(OR(Y427="估算法",Y427="算法类",Y427="无法识别"),"",IF(W427="",IF(OR(J427="EI",J427="EO",J427="EQ"),0,""),LEN(W427)-LEN(SUBSTITUTE(W427,"、",""))+1))</f>
        <v/>
      </c>
      <c r="N427" s="85">
        <f>IF(OR(Y427="估算法",Y427="算法类",Y427="无法识别"),"",IF(X427="",IF(OR(J427="ILF",J427="EIF"),0,""),LEN(X427)-LEN(SUBSTITUTE(X427,"、",""))+1))</f>
        <v/>
      </c>
      <c r="O427" s="85">
        <f>IF(OR(Y427="估算法",Y427="算法类",Y427="无法识别"),"",IF(Y427="",IF(OR(J427="ILF",J427="EIF",J427="EI",J427="EO",J427="EQ"),0,""),LEN(Y427)-LEN(SUBSTITUTE(SUBSTITUTE(SUBSTITUTE(SUBSTITUTE(SUBSTITUTE(Y427,"|}","--"),"{|","--"),CHAR(10),""),"、",""),"|",""))+IF(AND(OR(J427="EI",J427="EO",J427="EQ"),$AE$1="NESMA"),2,1)))</f>
        <v/>
      </c>
      <c r="P427" s="86">
        <f>IF(J427="EI",IF(OR(Y427="估算法",Y427="算法类"),"中",IF(Y427="无法识别","低",IF(M427&lt;2,IF(O427&lt;16,"低","中"),IF(M427&lt;3,IF(O427&lt;5,"低",IF(O427&lt;16,"中","高")),IF(O427&lt;5,"中","高"))))),IF(OR(J427="EO",J427="EQ"),IF(OR(Y427="估算法",Y427="算法类"),"中",IF(Y427="无法识别","低",IF(M427&lt;2,IF(O427&lt;20,"低","中"),IF(M427&lt;4,IF(O427&lt;6,"低",IF(O427&lt;20,"中","高")),IF(O427&lt;6,"中","高"))))),IF(OR(J427="ILF",J427="EIF"),IF(OR(Y427="估算法",Y427="算法类",Y427="无法识别"),"低",IF(N427&lt;2,IF(O427&lt;51,"低","中"),IF(N427&lt;6,IF(O427&lt;20,"低",IF(O427&lt;51,"中","高")),IF(O427&lt;20,"中","高")))),"不计算")))</f>
        <v/>
      </c>
      <c r="Q427" s="172">
        <f>IFERROR(IF(J427="EI",IF(P427="低",3,IF(P427="中",4,6)),IF(J427="EO",IF(P427="低",4,IF(P427="中",5,7)),IF(J427="EQ",IF(P427="低",3,IF(P427="中",4,6)),IF(J427="ILF",IF(P427="低",7,IF(P427="中",10,15)),IF(J427="EIF",IF(P427="低",5,IF(P427="中",7,10)),"不计算")))))*R427,"不计算")</f>
        <v/>
      </c>
      <c r="R427" s="172" t="n">
        <v>0</v>
      </c>
      <c r="S427" s="173">
        <f>调整因子!$F$13</f>
        <v/>
      </c>
      <c r="T427" s="92" t="n">
        <v>1</v>
      </c>
      <c r="U427" s="174">
        <f>IFERROR(Q427*S427,0)</f>
        <v/>
      </c>
      <c r="V427" s="174">
        <f>U427*T427</f>
        <v/>
      </c>
      <c r="W427" s="98" t="n"/>
      <c r="X427" s="82" t="inlineStr">
        <is>
          <t>资产变更监控表</t>
        </is>
      </c>
      <c r="Y427" s="93" t="inlineStr">
        <is>
          <t>资产变更监控表{主键 id 、资产 id 、监控时间、变更状态（如已监控、未处理等）、变更详情}</t>
        </is>
      </c>
      <c r="Z427" s="90">
        <f>IF(COUNTIFS(W:W,"*"&amp;I427&amp;"*")&gt;0,"存在","不存在")</f>
        <v/>
      </c>
      <c r="AA427" s="90">
        <f>IF(COUNTIFS(AB:AB,"*"&amp;I427&amp;"*")&gt;0,"存在","不存在")</f>
        <v/>
      </c>
      <c r="AB427" s="103" t="inlineStr">
        <is>
          <t>任务优先级配置表、模板参数配置表</t>
        </is>
      </c>
      <c r="AC427" s="66" t="n"/>
    </row>
    <row r="428" s="112">
      <c r="A428" s="72">
        <f>ROW()-1</f>
        <v/>
      </c>
      <c r="B428" s="175" t="n"/>
      <c r="C428" s="80" t="n">
        <v>2025</v>
      </c>
      <c r="D428" s="80" t="inlineStr">
        <is>
          <t>窦鹏岐</t>
        </is>
      </c>
      <c r="E428" s="81">
        <f>VLOOKUP(I428,'25年交付功能（不含废弃）'!A:A,1,FALSE)</f>
        <v/>
      </c>
      <c r="F428" s="175" t="n"/>
      <c r="G428" s="175" t="n"/>
      <c r="H428" s="175" t="n"/>
      <c r="I428" s="81" t="inlineStr">
        <is>
          <t>变更记录管理表</t>
        </is>
      </c>
      <c r="J428" s="98" t="inlineStr">
        <is>
          <t>ILF</t>
        </is>
      </c>
      <c r="K428" s="84" t="n"/>
      <c r="L428" s="84" t="inlineStr">
        <is>
          <t>数据库表未被本系统所维护</t>
        </is>
      </c>
      <c r="M428" s="85">
        <f>IF(OR(Y428="估算法",Y428="算法类",Y428="无法识别"),"",IF(W428="",IF(OR(J428="EI",J428="EO",J428="EQ"),0,""),LEN(W428)-LEN(SUBSTITUTE(W428,"、",""))+1))</f>
        <v/>
      </c>
      <c r="N428" s="85">
        <f>IF(OR(Y428="估算法",Y428="算法类",Y428="无法识别"),"",IF(X428="",IF(OR(J428="ILF",J428="EIF"),0,""),LEN(X428)-LEN(SUBSTITUTE(X428,"、",""))+1))</f>
        <v/>
      </c>
      <c r="O428" s="85">
        <f>IF(OR(Y428="估算法",Y428="算法类",Y428="无法识别"),"",IF(Y428="",IF(OR(J428="ILF",J428="EIF",J428="EI",J428="EO",J428="EQ"),0,""),LEN(Y428)-LEN(SUBSTITUTE(SUBSTITUTE(SUBSTITUTE(SUBSTITUTE(SUBSTITUTE(Y428,"|}","--"),"{|","--"),CHAR(10),""),"、",""),"|",""))+IF(AND(OR(J428="EI",J428="EO",J428="EQ"),$AE$1="NESMA"),2,1)))</f>
        <v/>
      </c>
      <c r="P428" s="86">
        <f>IF(J428="EI",IF(OR(Y428="估算法",Y428="算法类"),"中",IF(Y428="无法识别","低",IF(M428&lt;2,IF(O428&lt;16,"低","中"),IF(M428&lt;3,IF(O428&lt;5,"低",IF(O428&lt;16,"中","高")),IF(O428&lt;5,"中","高"))))),IF(OR(J428="EO",J428="EQ"),IF(OR(Y428="估算法",Y428="算法类"),"中",IF(Y428="无法识别","低",IF(M428&lt;2,IF(O428&lt;20,"低","中"),IF(M428&lt;4,IF(O428&lt;6,"低",IF(O428&lt;20,"中","高")),IF(O428&lt;6,"中","高"))))),IF(OR(J428="ILF",J428="EIF"),IF(OR(Y428="估算法",Y428="算法类",Y428="无法识别"),"低",IF(N428&lt;2,IF(O428&lt;51,"低","中"),IF(N428&lt;6,IF(O428&lt;20,"低",IF(O428&lt;51,"中","高")),IF(O428&lt;20,"中","高")))),"不计算")))</f>
        <v/>
      </c>
      <c r="Q428" s="172">
        <f>IFERROR(IF(J428="EI",IF(P428="低",3,IF(P428="中",4,6)),IF(J428="EO",IF(P428="低",4,IF(P428="中",5,7)),IF(J428="EQ",IF(P428="低",3,IF(P428="中",4,6)),IF(J428="ILF",IF(P428="低",7,IF(P428="中",10,15)),IF(J428="EIF",IF(P428="低",5,IF(P428="中",7,10)),"不计算")))))*R428,"不计算")</f>
        <v/>
      </c>
      <c r="R428" s="172" t="n">
        <v>0</v>
      </c>
      <c r="S428" s="173">
        <f>调整因子!$F$13</f>
        <v/>
      </c>
      <c r="T428" s="93" t="n">
        <v>1</v>
      </c>
      <c r="U428" s="174">
        <f>IFERROR(Q428*S428,0)</f>
        <v/>
      </c>
      <c r="V428" s="174">
        <f>U428*T428</f>
        <v/>
      </c>
      <c r="W428" s="98" t="n"/>
      <c r="X428" s="82" t="inlineStr">
        <is>
          <t>变更记录管理表</t>
        </is>
      </c>
      <c r="Y428" s="93" t="inlineStr">
        <is>
          <t>变更记录管理表{主键 id 、资产 id 、变更类型（如新增、删除、修改等）、变更时间、变更人、变更详情、关联资产、变更触发机制表 id（与资产变更触发机制表关联）}</t>
        </is>
      </c>
      <c r="Z428" s="90">
        <f>IF(COUNTIFS(W:W,"*"&amp;I428&amp;"*")&gt;0,"存在","不存在")</f>
        <v/>
      </c>
      <c r="AA428" s="90">
        <f>IF(COUNTIFS(AB:AB,"*"&amp;I428&amp;"*")&gt;0,"存在","不存在")</f>
        <v/>
      </c>
      <c r="AB428" s="103" t="inlineStr">
        <is>
          <t>报表模板表、推送失败重试表</t>
        </is>
      </c>
      <c r="AC428" s="66" t="n"/>
    </row>
    <row r="429" s="112">
      <c r="A429" s="72">
        <f>ROW()-1</f>
        <v/>
      </c>
      <c r="B429" s="175" t="n"/>
      <c r="C429" s="80" t="n">
        <v>2025</v>
      </c>
      <c r="D429" s="80" t="inlineStr">
        <is>
          <t>窦鹏岐</t>
        </is>
      </c>
      <c r="E429" s="81">
        <f>VLOOKUP(I429,'25年交付功能（不含废弃）'!A:A,1,FALSE)</f>
        <v/>
      </c>
      <c r="F429" s="175" t="n"/>
      <c r="G429" s="176" t="n"/>
      <c r="H429" s="176" t="n"/>
      <c r="I429" s="81" t="inlineStr">
        <is>
          <t>变更日志历史记录表</t>
        </is>
      </c>
      <c r="J429" s="98" t="inlineStr">
        <is>
          <t>ILF</t>
        </is>
      </c>
      <c r="K429" s="84" t="n"/>
      <c r="L429" s="84" t="inlineStr">
        <is>
          <t>数据库表未被本系统所维护</t>
        </is>
      </c>
      <c r="M429" s="85">
        <f>IF(OR(Y429="估算法",Y429="算法类",Y429="无法识别"),"",IF(W429="",IF(OR(J429="EI",J429="EO",J429="EQ"),0,""),LEN(W429)-LEN(SUBSTITUTE(W429,"、",""))+1))</f>
        <v/>
      </c>
      <c r="N429" s="85">
        <f>IF(OR(Y429="估算法",Y429="算法类",Y429="无法识别"),"",IF(X429="",IF(OR(J429="ILF",J429="EIF"),0,""),LEN(X429)-LEN(SUBSTITUTE(X429,"、",""))+1))</f>
        <v/>
      </c>
      <c r="O429" s="85">
        <f>IF(OR(Y429="估算法",Y429="算法类",Y429="无法识别"),"",IF(Y429="",IF(OR(J429="ILF",J429="EIF",J429="EI",J429="EO",J429="EQ"),0,""),LEN(Y429)-LEN(SUBSTITUTE(SUBSTITUTE(SUBSTITUTE(SUBSTITUTE(SUBSTITUTE(Y429,"|}","--"),"{|","--"),CHAR(10),""),"、",""),"|",""))+IF(AND(OR(J429="EI",J429="EO",J429="EQ"),$AE$1="NESMA"),2,1)))</f>
        <v/>
      </c>
      <c r="P429" s="86">
        <f>IF(J429="EI",IF(OR(Y429="估算法",Y429="算法类"),"中",IF(Y429="无法识别","低",IF(M429&lt;2,IF(O429&lt;16,"低","中"),IF(M429&lt;3,IF(O429&lt;5,"低",IF(O429&lt;16,"中","高")),IF(O429&lt;5,"中","高"))))),IF(OR(J429="EO",J429="EQ"),IF(OR(Y429="估算法",Y429="算法类"),"中",IF(Y429="无法识别","低",IF(M429&lt;2,IF(O429&lt;20,"低","中"),IF(M429&lt;4,IF(O429&lt;6,"低",IF(O429&lt;20,"中","高")),IF(O429&lt;6,"中","高"))))),IF(OR(J429="ILF",J429="EIF"),IF(OR(Y429="估算法",Y429="算法类",Y429="无法识别"),"低",IF(N429&lt;2,IF(O429&lt;51,"低","中"),IF(N429&lt;6,IF(O429&lt;20,"低",IF(O429&lt;51,"中","高")),IF(O429&lt;20,"中","高")))),"不计算")))</f>
        <v/>
      </c>
      <c r="Q429" s="172">
        <f>IFERROR(IF(J429="EI",IF(P429="低",3,IF(P429="中",4,6)),IF(J429="EO",IF(P429="低",4,IF(P429="中",5,7)),IF(J429="EQ",IF(P429="低",3,IF(P429="中",4,6)),IF(J429="ILF",IF(P429="低",7,IF(P429="中",10,15)),IF(J429="EIF",IF(P429="低",5,IF(P429="中",7,10)),"不计算")))))*R429,"不计算")</f>
        <v/>
      </c>
      <c r="R429" s="172" t="n">
        <v>0</v>
      </c>
      <c r="S429" s="173">
        <f>调整因子!$F$13</f>
        <v/>
      </c>
      <c r="T429" s="92" t="n">
        <v>1</v>
      </c>
      <c r="U429" s="174">
        <f>IFERROR(Q429*S429,0)</f>
        <v/>
      </c>
      <c r="V429" s="174">
        <f>U429*T429</f>
        <v/>
      </c>
      <c r="W429" s="98" t="n"/>
      <c r="X429" s="82" t="inlineStr">
        <is>
          <t>变更日志历史记录表</t>
        </is>
      </c>
      <c r="Y429" s="93" t="inlineStr">
        <is>
          <t>变更日志历史记录表{主键 id 、原数据、变更数据、日志记录时间、日志详情、创建时间、创建人}</t>
        </is>
      </c>
      <c r="Z429" s="90">
        <f>IF(COUNTIFS(W:W,"*"&amp;I429&amp;"*")&gt;0,"存在","不存在")</f>
        <v/>
      </c>
      <c r="AA429" s="90">
        <f>IF(COUNTIFS(AB:AB,"*"&amp;I429&amp;"*")&gt;0,"存在","不存在")</f>
        <v/>
      </c>
      <c r="AB429" s="103" t="inlineStr">
        <is>
          <t>报表模板表、漏洞处置推送接口配置表</t>
        </is>
      </c>
      <c r="AC429" s="66" t="n"/>
    </row>
    <row r="430" s="112">
      <c r="A430" s="72">
        <f>ROW()-1</f>
        <v/>
      </c>
      <c r="B430" s="175" t="n"/>
      <c r="C430" s="80" t="n">
        <v>2025</v>
      </c>
      <c r="D430" s="80" t="inlineStr">
        <is>
          <t>窦鹏岐</t>
        </is>
      </c>
      <c r="E430" s="81">
        <f>VLOOKUP(I430,'25年交付功能（不含废弃）'!A:A,1,FALSE)</f>
        <v/>
      </c>
      <c r="F430" s="175" t="n"/>
      <c r="G430" s="82" t="inlineStr">
        <is>
          <t>资产建模</t>
        </is>
      </c>
      <c r="H430" s="82" t="inlineStr">
        <is>
          <t>自动同步与手动补录</t>
        </is>
      </c>
      <c r="I430" s="81" t="inlineStr">
        <is>
          <t>手动补录数据</t>
        </is>
      </c>
      <c r="J430" s="93" t="inlineStr">
        <is>
          <t>EI</t>
        </is>
      </c>
      <c r="K430" s="84" t="n"/>
      <c r="L430" s="84" t="n"/>
      <c r="M430" s="85">
        <f>IF(OR(Y430="估算法",Y430="算法类",Y430="无法识别"),"",IF(W430="",IF(OR(J430="EI",J430="EO",J430="EQ"),0,""),LEN(W430)-LEN(SUBSTITUTE(W430,"、",""))+1))</f>
        <v/>
      </c>
      <c r="N430" s="85">
        <f>IF(OR(Y430="估算法",Y430="算法类",Y430="无法识别"),"",IF(X430="",IF(OR(J430="ILF",J430="EIF"),0,""),LEN(X430)-LEN(SUBSTITUTE(X430,"、",""))+1))</f>
        <v/>
      </c>
      <c r="O430" s="85">
        <f>IF(OR(Y430="估算法",Y430="算法类",Y430="无法识别"),"",IF(Y430="",IF(OR(J430="ILF",J430="EIF",J430="EI",J430="EO",J430="EQ"),0,""),LEN(Y430)-LEN(SUBSTITUTE(SUBSTITUTE(SUBSTITUTE(SUBSTITUTE(SUBSTITUTE(Y430,"|}","--"),"{|","--"),CHAR(10),""),"、",""),"|",""))+IF(AND(OR(J430="EI",J430="EO",J430="EQ"),$AE$1="NESMA"),2,1)))</f>
        <v/>
      </c>
      <c r="P430" s="86">
        <f>IF(J430="EI",IF(OR(Y430="估算法",Y430="算法类"),"中",IF(Y430="无法识别","低",IF(M430&lt;2,IF(O430&lt;16,"低","中"),IF(M430&lt;3,IF(O430&lt;5,"低",IF(O430&lt;16,"中","高")),IF(O430&lt;5,"中","高"))))),IF(OR(J430="EO",J430="EQ"),IF(OR(Y430="估算法",Y430="算法类"),"中",IF(Y430="无法识别","低",IF(M430&lt;2,IF(O430&lt;20,"低","中"),IF(M430&lt;4,IF(O430&lt;6,"低",IF(O430&lt;20,"中","高")),IF(O430&lt;6,"中","高"))))),IF(OR(J430="ILF",J430="EIF"),IF(OR(Y430="估算法",Y430="算法类",Y430="无法识别"),"低",IF(N430&lt;2,IF(O430&lt;51,"低","中"),IF(N430&lt;6,IF(O430&lt;20,"低",IF(O430&lt;51,"中","高")),IF(O430&lt;20,"中","高")))),"不计算")))</f>
        <v/>
      </c>
      <c r="Q430" s="172">
        <f>IFERROR(IF(J430="EI",IF(P430="低",3,IF(P430="中",4,6)),IF(J430="EO",IF(P430="低",4,IF(P430="中",5,7)),IF(J430="EQ",IF(P430="低",3,IF(P430="中",4,6)),IF(J430="ILF",IF(P430="低",7,IF(P430="中",10,15)),IF(J430="EIF",IF(P430="低",5,IF(P430="中",7,10)),"不计算")))))*R430,"不计算")</f>
        <v/>
      </c>
      <c r="R430" s="172" t="n">
        <v>1</v>
      </c>
      <c r="S430" s="173">
        <f>调整因子!$F$13</f>
        <v/>
      </c>
      <c r="T430" s="92" t="n">
        <v>1</v>
      </c>
      <c r="U430" s="174">
        <f>IFERROR(Q430*S430,0)</f>
        <v/>
      </c>
      <c r="V430" s="174">
        <f>U430*T430</f>
        <v/>
      </c>
      <c r="W430" s="93" t="inlineStr">
        <is>
          <t>手动补录数据表</t>
        </is>
      </c>
      <c r="X430" s="98" t="n"/>
      <c r="Y430" s="93" t="inlineStr">
        <is>
          <t>手动补录数据表{主键 id 、资产名称、资产类型 、IP 地址、网站域名、资产描述、补录时间、补录人}</t>
        </is>
      </c>
      <c r="Z430" s="90" t="n"/>
      <c r="AA430" s="90" t="n"/>
      <c r="AB430" s="103" t="inlineStr">
        <is>
          <t>报表模板表</t>
        </is>
      </c>
      <c r="AC430" s="66" t="n"/>
    </row>
    <row r="431" s="112">
      <c r="A431" s="72">
        <f>ROW()-1</f>
        <v/>
      </c>
      <c r="B431" s="175" t="n"/>
      <c r="C431" s="80" t="n">
        <v>2025</v>
      </c>
      <c r="D431" s="80" t="inlineStr">
        <is>
          <t>窦鹏岐</t>
        </is>
      </c>
      <c r="E431" s="81">
        <f>VLOOKUP(I431,'25年交付功能（不含废弃）'!A:A,1,FALSE)</f>
        <v/>
      </c>
      <c r="F431" s="175" t="n"/>
      <c r="G431" s="175" t="n"/>
      <c r="H431" s="175" t="n"/>
      <c r="I431" s="81" t="inlineStr">
        <is>
          <t>数据校验反馈</t>
        </is>
      </c>
      <c r="J431" s="93" t="n"/>
      <c r="K431" s="84" t="n"/>
      <c r="L431" s="84" t="inlineStr">
        <is>
          <t>校验，非事务功能，和上行合并</t>
        </is>
      </c>
      <c r="M431" s="85">
        <f>IF(OR(Y431="估算法",Y431="算法类",Y431="无法识别"),"",IF(W431="",IF(OR(J431="EI",J431="EO",J431="EQ"),0,""),LEN(W431)-LEN(SUBSTITUTE(W431,"、",""))+1))</f>
        <v/>
      </c>
      <c r="N431" s="85">
        <f>IF(OR(Y431="估算法",Y431="算法类",Y431="无法识别"),"",IF(X431="",IF(OR(J431="ILF",J431="EIF"),0,""),LEN(X431)-LEN(SUBSTITUTE(X431,"、",""))+1))</f>
        <v/>
      </c>
      <c r="O431" s="85">
        <f>IF(OR(Y431="估算法",Y431="算法类",Y431="无法识别"),"",IF(Y431="",IF(OR(J431="ILF",J431="EIF",J431="EI",J431="EO",J431="EQ"),0,""),LEN(Y431)-LEN(SUBSTITUTE(SUBSTITUTE(SUBSTITUTE(SUBSTITUTE(SUBSTITUTE(Y431,"|}","--"),"{|","--"),CHAR(10),""),"、",""),"|",""))+IF(AND(OR(J431="EI",J431="EO",J431="EQ"),$AE$1="NESMA"),2,1)))</f>
        <v/>
      </c>
      <c r="P431" s="86">
        <f>IF(J431="EI",IF(OR(Y431="估算法",Y431="算法类"),"中",IF(Y431="无法识别","低",IF(M431&lt;2,IF(O431&lt;16,"低","中"),IF(M431&lt;3,IF(O431&lt;5,"低",IF(O431&lt;16,"中","高")),IF(O431&lt;5,"中","高"))))),IF(OR(J431="EO",J431="EQ"),IF(OR(Y431="估算法",Y431="算法类"),"中",IF(Y431="无法识别","低",IF(M431&lt;2,IF(O431&lt;20,"低","中"),IF(M431&lt;4,IF(O431&lt;6,"低",IF(O431&lt;20,"中","高")),IF(O431&lt;6,"中","高"))))),IF(OR(J431="ILF",J431="EIF"),IF(OR(Y431="估算法",Y431="算法类",Y431="无法识别"),"低",IF(N431&lt;2,IF(O431&lt;51,"低","中"),IF(N431&lt;6,IF(O431&lt;20,"低",IF(O431&lt;51,"中","高")),IF(O431&lt;20,"中","高")))),"不计算")))</f>
        <v/>
      </c>
      <c r="Q431" s="172">
        <f>IFERROR(IF(J431="EI",IF(P431="低",3,IF(P431="中",4,6)),IF(J431="EO",IF(P431="低",4,IF(P431="中",5,7)),IF(J431="EQ",IF(P431="低",3,IF(P431="中",4,6)),IF(J431="ILF",IF(P431="低",7,IF(P431="中",10,15)),IF(J431="EIF",IF(P431="低",5,IF(P431="中",7,10)),"不计算")))))*R431,"不计算")</f>
        <v/>
      </c>
      <c r="R431" s="172" t="n">
        <v>1</v>
      </c>
      <c r="S431" s="173">
        <f>调整因子!$F$13</f>
        <v/>
      </c>
      <c r="T431" s="93" t="n">
        <v>1</v>
      </c>
      <c r="U431" s="174">
        <f>IFERROR(Q431*S431,0)</f>
        <v/>
      </c>
      <c r="V431" s="174">
        <f>U431*T431</f>
        <v/>
      </c>
      <c r="W431" s="93" t="inlineStr">
        <is>
          <t>数据校验反馈表</t>
        </is>
      </c>
      <c r="X431" s="98" t="n"/>
      <c r="Y431" s="93" t="inlineStr">
        <is>
          <t>数据校验反馈表{主键 id 、手动补录数据表 id 、校验规则名称、校验结果、反馈信息、校验时间}</t>
        </is>
      </c>
      <c r="Z431" s="90" t="n"/>
      <c r="AA431" s="90" t="n"/>
      <c r="AB431" s="103" t="inlineStr">
        <is>
          <t>报表模板表</t>
        </is>
      </c>
      <c r="AC431" s="66" t="n"/>
    </row>
    <row r="432" s="112">
      <c r="A432" s="72">
        <f>ROW()-1</f>
        <v/>
      </c>
      <c r="B432" s="175" t="n"/>
      <c r="C432" s="80" t="n">
        <v>2025</v>
      </c>
      <c r="D432" s="80" t="inlineStr">
        <is>
          <t>窦鹏岐</t>
        </is>
      </c>
      <c r="E432" s="81">
        <f>VLOOKUP(I432,'25年交付功能（不含废弃）'!A:A,1,FALSE)</f>
        <v/>
      </c>
      <c r="F432" s="175" t="n"/>
      <c r="G432" s="175" t="n"/>
      <c r="H432" s="175" t="n"/>
      <c r="I432" s="81" t="inlineStr">
        <is>
          <t>自动同步数据</t>
        </is>
      </c>
      <c r="J432" s="93" t="inlineStr">
        <is>
          <t>EI</t>
        </is>
      </c>
      <c r="K432" s="84" t="n"/>
      <c r="L432" s="84" t="n"/>
      <c r="M432" s="85">
        <f>IF(OR(Y432="估算法",Y432="算法类",Y432="无法识别"),"",IF(W432="",IF(OR(J432="EI",J432="EO",J432="EQ"),0,""),LEN(W432)-LEN(SUBSTITUTE(W432,"、",""))+1))</f>
        <v/>
      </c>
      <c r="N432" s="85">
        <f>IF(OR(Y432="估算法",Y432="算法类",Y432="无法识别"),"",IF(X432="",IF(OR(J432="ILF",J432="EIF"),0,""),LEN(X432)-LEN(SUBSTITUTE(X432,"、",""))+1))</f>
        <v/>
      </c>
      <c r="O432" s="85">
        <f>IF(OR(Y432="估算法",Y432="算法类",Y432="无法识别"),"",IF(Y432="",IF(OR(J432="ILF",J432="EIF",J432="EI",J432="EO",J432="EQ"),0,""),LEN(Y432)-LEN(SUBSTITUTE(SUBSTITUTE(SUBSTITUTE(SUBSTITUTE(SUBSTITUTE(Y432,"|}","--"),"{|","--"),CHAR(10),""),"、",""),"|",""))+IF(AND(OR(J432="EI",J432="EO",J432="EQ"),$AE$1="NESMA"),2,1)))</f>
        <v/>
      </c>
      <c r="P432" s="86">
        <f>IF(J432="EI",IF(OR(Y432="估算法",Y432="算法类"),"中",IF(Y432="无法识别","低",IF(M432&lt;2,IF(O432&lt;16,"低","中"),IF(M432&lt;3,IF(O432&lt;5,"低",IF(O432&lt;16,"中","高")),IF(O432&lt;5,"中","高"))))),IF(OR(J432="EO",J432="EQ"),IF(OR(Y432="估算法",Y432="算法类"),"中",IF(Y432="无法识别","低",IF(M432&lt;2,IF(O432&lt;20,"低","中"),IF(M432&lt;4,IF(O432&lt;6,"低",IF(O432&lt;20,"中","高")),IF(O432&lt;6,"中","高"))))),IF(OR(J432="ILF",J432="EIF"),IF(OR(Y432="估算法",Y432="算法类",Y432="无法识别"),"低",IF(N432&lt;2,IF(O432&lt;51,"低","中"),IF(N432&lt;6,IF(O432&lt;20,"低",IF(O432&lt;51,"中","高")),IF(O432&lt;20,"中","高")))),"不计算")))</f>
        <v/>
      </c>
      <c r="Q432" s="172">
        <f>IFERROR(IF(J432="EI",IF(P432="低",3,IF(P432="中",4,6)),IF(J432="EO",IF(P432="低",4,IF(P432="中",5,7)),IF(J432="EQ",IF(P432="低",3,IF(P432="中",4,6)),IF(J432="ILF",IF(P432="低",7,IF(P432="中",10,15)),IF(J432="EIF",IF(P432="低",5,IF(P432="中",7,10)),"不计算")))))*R432,"不计算")</f>
        <v/>
      </c>
      <c r="R432" s="172" t="n">
        <v>1</v>
      </c>
      <c r="S432" s="173">
        <f>调整因子!$F$13</f>
        <v/>
      </c>
      <c r="T432" s="92" t="n">
        <v>1</v>
      </c>
      <c r="U432" s="174">
        <f>IFERROR(Q432*S432,0)</f>
        <v/>
      </c>
      <c r="V432" s="174">
        <f>U432*T432</f>
        <v/>
      </c>
      <c r="W432" s="93" t="inlineStr">
        <is>
          <t>资产同步数据表</t>
        </is>
      </c>
      <c r="X432" s="98" t="n"/>
      <c r="Y432" s="93" t="inlineStr">
        <is>
          <t>资产同步数据表{主键 id 、资产名称、资产类型 、IP 地址（可选）、网站域名（可选）、资产描述、同步时间、同步源}</t>
        </is>
      </c>
      <c r="Z432" s="90" t="n"/>
      <c r="AA432" s="90" t="n"/>
      <c r="AB432" s="103" t="inlineStr">
        <is>
          <t>报表模板表、加密规则表</t>
        </is>
      </c>
      <c r="AC432" s="66" t="n"/>
    </row>
    <row r="433" s="112">
      <c r="A433" s="72">
        <f>ROW()-1</f>
        <v/>
      </c>
      <c r="B433" s="175" t="n"/>
      <c r="C433" s="80" t="n">
        <v>2025</v>
      </c>
      <c r="D433" s="80" t="inlineStr">
        <is>
          <t>窦鹏岐</t>
        </is>
      </c>
      <c r="E433" s="81">
        <f>VLOOKUP(I433,'25年交付功能（不含废弃）'!A:A,1,FALSE)</f>
        <v/>
      </c>
      <c r="F433" s="175" t="n"/>
      <c r="G433" s="175" t="n"/>
      <c r="H433" s="175" t="n"/>
      <c r="I433" s="81" t="inlineStr">
        <is>
          <t>资产建模构建</t>
        </is>
      </c>
      <c r="J433" s="93" t="inlineStr">
        <is>
          <t>EI</t>
        </is>
      </c>
      <c r="K433" s="84" t="n"/>
      <c r="L433" s="84" t="n"/>
      <c r="M433" s="85">
        <f>IF(OR(Y433="估算法",Y433="算法类",Y433="无法识别"),"",IF(W433="",IF(OR(J433="EI",J433="EO",J433="EQ"),0,""),LEN(W433)-LEN(SUBSTITUTE(W433,"、",""))+1))</f>
        <v/>
      </c>
      <c r="N433" s="85">
        <f>IF(OR(Y433="估算法",Y433="算法类",Y433="无法识别"),"",IF(X433="",IF(OR(J433="ILF",J433="EIF"),0,""),LEN(X433)-LEN(SUBSTITUTE(X433,"、",""))+1))</f>
        <v/>
      </c>
      <c r="O433" s="85">
        <f>IF(OR(Y433="估算法",Y433="算法类",Y433="无法识别"),"",IF(Y433="",IF(OR(J433="ILF",J433="EIF",J433="EI",J433="EO",J433="EQ"),0,""),LEN(Y433)-LEN(SUBSTITUTE(SUBSTITUTE(SUBSTITUTE(SUBSTITUTE(SUBSTITUTE(Y433,"|}","--"),"{|","--"),CHAR(10),""),"、",""),"|",""))+IF(AND(OR(J433="EI",J433="EO",J433="EQ"),$AE$1="NESMA"),2,1)))</f>
        <v/>
      </c>
      <c r="P433" s="86">
        <f>IF(J433="EI",IF(OR(Y433="估算法",Y433="算法类"),"中",IF(Y433="无法识别","低",IF(M433&lt;2,IF(O433&lt;16,"低","中"),IF(M433&lt;3,IF(O433&lt;5,"低",IF(O433&lt;16,"中","高")),IF(O433&lt;5,"中","高"))))),IF(OR(J433="EO",J433="EQ"),IF(OR(Y433="估算法",Y433="算法类"),"中",IF(Y433="无法识别","低",IF(M433&lt;2,IF(O433&lt;20,"低","中"),IF(M433&lt;4,IF(O433&lt;6,"低",IF(O433&lt;20,"中","高")),IF(O433&lt;6,"中","高"))))),IF(OR(J433="ILF",J433="EIF"),IF(OR(Y433="估算法",Y433="算法类",Y433="无法识别"),"低",IF(N433&lt;2,IF(O433&lt;51,"低","中"),IF(N433&lt;6,IF(O433&lt;20,"低",IF(O433&lt;51,"中","高")),IF(O433&lt;20,"中","高")))),"不计算")))</f>
        <v/>
      </c>
      <c r="Q433" s="172">
        <f>IFERROR(IF(J433="EI",IF(P433="低",3,IF(P433="中",4,6)),IF(J433="EO",IF(P433="低",4,IF(P433="中",5,7)),IF(J433="EQ",IF(P433="低",3,IF(P433="中",4,6)),IF(J433="ILF",IF(P433="低",7,IF(P433="中",10,15)),IF(J433="EIF",IF(P433="低",5,IF(P433="中",7,10)),"不计算")))))*R433,"不计算")</f>
        <v/>
      </c>
      <c r="R433" s="172" t="n">
        <v>1</v>
      </c>
      <c r="S433" s="173">
        <f>调整因子!$F$13</f>
        <v/>
      </c>
      <c r="T433" s="92" t="n">
        <v>1</v>
      </c>
      <c r="U433" s="174">
        <f>IFERROR(Q433*S433,0)</f>
        <v/>
      </c>
      <c r="V433" s="174">
        <f>U433*T433</f>
        <v/>
      </c>
      <c r="W433" s="93" t="inlineStr">
        <is>
          <t>资产模型属性表</t>
        </is>
      </c>
      <c r="X433" s="98" t="n"/>
      <c r="Y433" s="93" t="inlineStr">
        <is>
          <t>资产模型属性表{主键 id 、资产建模构建表 id、 属性名称、属性值、最后更新时间}</t>
        </is>
      </c>
      <c r="Z433" s="90" t="n"/>
      <c r="AA433" s="90" t="n"/>
      <c r="AB433" s="103" t="inlineStr">
        <is>
          <t>任务优先级配置表、模板参数配置表</t>
        </is>
      </c>
      <c r="AC433" s="66" t="n"/>
    </row>
    <row r="434" s="112">
      <c r="A434" s="72">
        <f>ROW()-1</f>
        <v/>
      </c>
      <c r="B434" s="175" t="n"/>
      <c r="C434" s="80" t="n">
        <v>2025</v>
      </c>
      <c r="D434" s="80" t="inlineStr">
        <is>
          <t>窦鹏岐</t>
        </is>
      </c>
      <c r="E434" s="81">
        <f>VLOOKUP(I434,'25年交付功能（不含废弃）'!A:A,1,FALSE)</f>
        <v/>
      </c>
      <c r="F434" s="175" t="n"/>
      <c r="G434" s="175" t="n"/>
      <c r="H434" s="175" t="n"/>
      <c r="I434" s="81" t="inlineStr">
        <is>
          <t>手动补录数据表</t>
        </is>
      </c>
      <c r="J434" s="98" t="inlineStr">
        <is>
          <t>ILF</t>
        </is>
      </c>
      <c r="K434" s="84" t="n"/>
      <c r="L434" s="84" t="n"/>
      <c r="M434" s="85">
        <f>IF(OR(Y434="估算法",Y434="算法类",Y434="无法识别"),"",IF(W434="",IF(OR(J434="EI",J434="EO",J434="EQ"),0,""),LEN(W434)-LEN(SUBSTITUTE(W434,"、",""))+1))</f>
        <v/>
      </c>
      <c r="N434" s="85">
        <f>IF(OR(Y434="估算法",Y434="算法类",Y434="无法识别"),"",IF(X434="",IF(OR(J434="ILF",J434="EIF"),0,""),LEN(X434)-LEN(SUBSTITUTE(X434,"、",""))+1))</f>
        <v/>
      </c>
      <c r="O434" s="85">
        <f>IF(OR(Y434="估算法",Y434="算法类",Y434="无法识别"),"",IF(Y434="",IF(OR(J434="ILF",J434="EIF",J434="EI",J434="EO",J434="EQ"),0,""),LEN(Y434)-LEN(SUBSTITUTE(SUBSTITUTE(SUBSTITUTE(SUBSTITUTE(SUBSTITUTE(Y434,"|}","--"),"{|","--"),CHAR(10),""),"、",""),"|",""))+IF(AND(OR(J434="EI",J434="EO",J434="EQ"),$AE$1="NESMA"),2,1)))</f>
        <v/>
      </c>
      <c r="P434" s="86">
        <f>IF(J434="EI",IF(OR(Y434="估算法",Y434="算法类"),"中",IF(Y434="无法识别","低",IF(M434&lt;2,IF(O434&lt;16,"低","中"),IF(M434&lt;3,IF(O434&lt;5,"低",IF(O434&lt;16,"中","高")),IF(O434&lt;5,"中","高"))))),IF(OR(J434="EO",J434="EQ"),IF(OR(Y434="估算法",Y434="算法类"),"中",IF(Y434="无法识别","低",IF(M434&lt;2,IF(O434&lt;20,"低","中"),IF(M434&lt;4,IF(O434&lt;6,"低",IF(O434&lt;20,"中","高")),IF(O434&lt;6,"中","高"))))),IF(OR(J434="ILF",J434="EIF"),IF(OR(Y434="估算法",Y434="算法类",Y434="无法识别"),"低",IF(N434&lt;2,IF(O434&lt;51,"低","中"),IF(N434&lt;6,IF(O434&lt;20,"低",IF(O434&lt;51,"中","高")),IF(O434&lt;20,"中","高")))),"不计算")))</f>
        <v/>
      </c>
      <c r="Q434" s="172">
        <f>IFERROR(IF(J434="EI",IF(P434="低",3,IF(P434="中",4,6)),IF(J434="EO",IF(P434="低",4,IF(P434="中",5,7)),IF(J434="EQ",IF(P434="低",3,IF(P434="中",4,6)),IF(J434="ILF",IF(P434="低",7,IF(P434="中",10,15)),IF(J434="EIF",IF(P434="低",5,IF(P434="中",7,10)),"不计算")))))*R434,"不计算")</f>
        <v/>
      </c>
      <c r="R434" s="172" t="n">
        <v>1</v>
      </c>
      <c r="S434" s="173">
        <f>调整因子!$F$13</f>
        <v/>
      </c>
      <c r="T434" s="93" t="n">
        <v>1</v>
      </c>
      <c r="U434" s="174">
        <f>IFERROR(Q434*S434,0)</f>
        <v/>
      </c>
      <c r="V434" s="174">
        <f>U434*T434</f>
        <v/>
      </c>
      <c r="W434" s="98" t="n"/>
      <c r="X434" s="93" t="inlineStr">
        <is>
          <t>手动补录数据表</t>
        </is>
      </c>
      <c r="Y434" s="93" t="inlineStr">
        <is>
          <t>手动补录数据表{主键 id 、资产名称、资产类型 、IP 地址、网站域名、资产描述、补录时间、补录人}</t>
        </is>
      </c>
      <c r="Z434" s="90">
        <f>IF(COUNTIFS(W:W,"*"&amp;I434&amp;"*")&gt;0,"存在","不存在")</f>
        <v/>
      </c>
      <c r="AA434" s="90">
        <f>IF(COUNTIFS(AB:AB,"*"&amp;I434&amp;"*")&gt;0,"存在","不存在")</f>
        <v/>
      </c>
      <c r="AB434" s="103" t="inlineStr">
        <is>
          <t>任务队列表</t>
        </is>
      </c>
      <c r="AC434" s="66" t="n"/>
    </row>
    <row r="435" s="112">
      <c r="A435" s="72">
        <f>ROW()-1</f>
        <v/>
      </c>
      <c r="B435" s="175" t="n"/>
      <c r="C435" s="80" t="n">
        <v>2025</v>
      </c>
      <c r="D435" s="80" t="inlineStr">
        <is>
          <t>窦鹏岐</t>
        </is>
      </c>
      <c r="E435" s="81">
        <f>VLOOKUP(I435,'25年交付功能（不含废弃）'!A:A,1,FALSE)</f>
        <v/>
      </c>
      <c r="F435" s="175" t="n"/>
      <c r="G435" s="175" t="n"/>
      <c r="H435" s="175" t="n"/>
      <c r="I435" s="81" t="inlineStr">
        <is>
          <t>数据校验反馈表</t>
        </is>
      </c>
      <c r="J435" s="98" t="inlineStr">
        <is>
          <t>ILF</t>
        </is>
      </c>
      <c r="K435" s="84" t="n"/>
      <c r="L435" s="84" t="inlineStr">
        <is>
          <t>数据库表未被本系统所维护</t>
        </is>
      </c>
      <c r="M435" s="85">
        <f>IF(OR(Y435="估算法",Y435="算法类",Y435="无法识别"),"",IF(W435="",IF(OR(J435="EI",J435="EO",J435="EQ"),0,""),LEN(W435)-LEN(SUBSTITUTE(W435,"、",""))+1))</f>
        <v/>
      </c>
      <c r="N435" s="85">
        <f>IF(OR(Y435="估算法",Y435="算法类",Y435="无法识别"),"",IF(X435="",IF(OR(J435="ILF",J435="EIF"),0,""),LEN(X435)-LEN(SUBSTITUTE(X435,"、",""))+1))</f>
        <v/>
      </c>
      <c r="O435" s="85">
        <f>IF(OR(Y435="估算法",Y435="算法类",Y435="无法识别"),"",IF(Y435="",IF(OR(J435="ILF",J435="EIF",J435="EI",J435="EO",J435="EQ"),0,""),LEN(Y435)-LEN(SUBSTITUTE(SUBSTITUTE(SUBSTITUTE(SUBSTITUTE(SUBSTITUTE(Y435,"|}","--"),"{|","--"),CHAR(10),""),"、",""),"|",""))+IF(AND(OR(J435="EI",J435="EO",J435="EQ"),$AE$1="NESMA"),2,1)))</f>
        <v/>
      </c>
      <c r="P435" s="86">
        <f>IF(J435="EI",IF(OR(Y435="估算法",Y435="算法类"),"中",IF(Y435="无法识别","低",IF(M435&lt;2,IF(O435&lt;16,"低","中"),IF(M435&lt;3,IF(O435&lt;5,"低",IF(O435&lt;16,"中","高")),IF(O435&lt;5,"中","高"))))),IF(OR(J435="EO",J435="EQ"),IF(OR(Y435="估算法",Y435="算法类"),"中",IF(Y435="无法识别","低",IF(M435&lt;2,IF(O435&lt;20,"低","中"),IF(M435&lt;4,IF(O435&lt;6,"低",IF(O435&lt;20,"中","高")),IF(O435&lt;6,"中","高"))))),IF(OR(J435="ILF",J435="EIF"),IF(OR(Y435="估算法",Y435="算法类",Y435="无法识别"),"低",IF(N435&lt;2,IF(O435&lt;51,"低","中"),IF(N435&lt;6,IF(O435&lt;20,"低",IF(O435&lt;51,"中","高")),IF(O435&lt;20,"中","高")))),"不计算")))</f>
        <v/>
      </c>
      <c r="Q435" s="172">
        <f>IFERROR(IF(J435="EI",IF(P435="低",3,IF(P435="中",4,6)),IF(J435="EO",IF(P435="低",4,IF(P435="中",5,7)),IF(J435="EQ",IF(P435="低",3,IF(P435="中",4,6)),IF(J435="ILF",IF(P435="低",7,IF(P435="中",10,15)),IF(J435="EIF",IF(P435="低",5,IF(P435="中",7,10)),"不计算")))))*R435,"不计算")</f>
        <v/>
      </c>
      <c r="R435" s="172" t="n">
        <v>0</v>
      </c>
      <c r="S435" s="173">
        <f>调整因子!$F$13</f>
        <v/>
      </c>
      <c r="T435" s="92" t="n">
        <v>1</v>
      </c>
      <c r="U435" s="174">
        <f>IFERROR(Q435*S435,0)</f>
        <v/>
      </c>
      <c r="V435" s="174">
        <f>U435*T435</f>
        <v/>
      </c>
      <c r="W435" s="98" t="n"/>
      <c r="X435" s="93" t="inlineStr">
        <is>
          <t>数据校验反馈表</t>
        </is>
      </c>
      <c r="Y435" s="93" t="inlineStr">
        <is>
          <t>数据校验反馈表{主键 id 、手动补录数据表 id 、校验规则名称、校验结果、反馈信息、校验时间}</t>
        </is>
      </c>
      <c r="Z435" s="90">
        <f>IF(COUNTIFS(W:W,"*"&amp;I435&amp;"*")&gt;0,"存在","不存在")</f>
        <v/>
      </c>
      <c r="AA435" s="90">
        <f>IF(COUNTIFS(AB:AB,"*"&amp;I435&amp;"*")&gt;0,"存在","不存在")</f>
        <v/>
      </c>
      <c r="AB435" s="103" t="inlineStr">
        <is>
          <t>报告模板表</t>
        </is>
      </c>
      <c r="AC435" s="66" t="n"/>
    </row>
    <row r="436" s="112">
      <c r="A436" s="72">
        <f>ROW()-1</f>
        <v/>
      </c>
      <c r="B436" s="175" t="n"/>
      <c r="C436" s="80" t="n">
        <v>2025</v>
      </c>
      <c r="D436" s="80" t="inlineStr">
        <is>
          <t>窦鹏岐</t>
        </is>
      </c>
      <c r="E436" s="81">
        <f>VLOOKUP(I436,'25年交付功能（不含废弃）'!A:A,1,FALSE)</f>
        <v/>
      </c>
      <c r="F436" s="175" t="n"/>
      <c r="G436" s="175" t="n"/>
      <c r="H436" s="175" t="n"/>
      <c r="I436" s="81" t="inlineStr">
        <is>
          <t>资产同步数据表</t>
        </is>
      </c>
      <c r="J436" s="98" t="inlineStr">
        <is>
          <t>ILF</t>
        </is>
      </c>
      <c r="K436" s="84" t="n"/>
      <c r="L436" s="84" t="n"/>
      <c r="M436" s="85">
        <f>IF(OR(Y436="估算法",Y436="算法类",Y436="无法识别"),"",IF(W436="",IF(OR(J436="EI",J436="EO",J436="EQ"),0,""),LEN(W436)-LEN(SUBSTITUTE(W436,"、",""))+1))</f>
        <v/>
      </c>
      <c r="N436" s="85">
        <f>IF(OR(Y436="估算法",Y436="算法类",Y436="无法识别"),"",IF(X436="",IF(OR(J436="ILF",J436="EIF"),0,""),LEN(X436)-LEN(SUBSTITUTE(X436,"、",""))+1))</f>
        <v/>
      </c>
      <c r="O436" s="85">
        <f>IF(OR(Y436="估算法",Y436="算法类",Y436="无法识别"),"",IF(Y436="",IF(OR(J436="ILF",J436="EIF",J436="EI",J436="EO",J436="EQ"),0,""),LEN(Y436)-LEN(SUBSTITUTE(SUBSTITUTE(SUBSTITUTE(SUBSTITUTE(SUBSTITUTE(Y436,"|}","--"),"{|","--"),CHAR(10),""),"、",""),"|",""))+IF(AND(OR(J436="EI",J436="EO",J436="EQ"),$AE$1="NESMA"),2,1)))</f>
        <v/>
      </c>
      <c r="P436" s="86">
        <f>IF(J436="EI",IF(OR(Y436="估算法",Y436="算法类"),"中",IF(Y436="无法识别","低",IF(M436&lt;2,IF(O436&lt;16,"低","中"),IF(M436&lt;3,IF(O436&lt;5,"低",IF(O436&lt;16,"中","高")),IF(O436&lt;5,"中","高"))))),IF(OR(J436="EO",J436="EQ"),IF(OR(Y436="估算法",Y436="算法类"),"中",IF(Y436="无法识别","低",IF(M436&lt;2,IF(O436&lt;20,"低","中"),IF(M436&lt;4,IF(O436&lt;6,"低",IF(O436&lt;20,"中","高")),IF(O436&lt;6,"中","高"))))),IF(OR(J436="ILF",J436="EIF"),IF(OR(Y436="估算法",Y436="算法类",Y436="无法识别"),"低",IF(N436&lt;2,IF(O436&lt;51,"低","中"),IF(N436&lt;6,IF(O436&lt;20,"低",IF(O436&lt;51,"中","高")),IF(O436&lt;20,"中","高")))),"不计算")))</f>
        <v/>
      </c>
      <c r="Q436" s="172">
        <f>IFERROR(IF(J436="EI",IF(P436="低",3,IF(P436="中",4,6)),IF(J436="EO",IF(P436="低",4,IF(P436="中",5,7)),IF(J436="EQ",IF(P436="低",3,IF(P436="中",4,6)),IF(J436="ILF",IF(P436="低",7,IF(P436="中",10,15)),IF(J436="EIF",IF(P436="低",5,IF(P436="中",7,10)),"不计算")))))*R436,"不计算")</f>
        <v/>
      </c>
      <c r="R436" s="172" t="n">
        <v>1</v>
      </c>
      <c r="S436" s="173">
        <f>调整因子!$F$13</f>
        <v/>
      </c>
      <c r="T436" s="92" t="n">
        <v>1</v>
      </c>
      <c r="U436" s="174">
        <f>IFERROR(Q436*S436,0)</f>
        <v/>
      </c>
      <c r="V436" s="174">
        <f>U436*T436</f>
        <v/>
      </c>
      <c r="W436" s="98" t="n"/>
      <c r="X436" s="93" t="inlineStr">
        <is>
          <t>资产同步数据表</t>
        </is>
      </c>
      <c r="Y436" s="93" t="inlineStr">
        <is>
          <t>资产同步数据表{主键 id 、资产名称、资产类型 、IP 地址（可选）、网站域名（可选）、资产描述、同步时间、同步源}</t>
        </is>
      </c>
      <c r="Z436" s="90">
        <f>IF(COUNTIFS(W:W,"*"&amp;I436&amp;"*")&gt;0,"存在","不存在")</f>
        <v/>
      </c>
      <c r="AA436" s="90">
        <f>IF(COUNTIFS(AB:AB,"*"&amp;I436&amp;"*")&gt;0,"存在","不存在")</f>
        <v/>
      </c>
      <c r="AB436" s="103" t="inlineStr">
        <is>
          <t>任务趋势分析表</t>
        </is>
      </c>
      <c r="AC436" s="66" t="n"/>
    </row>
    <row r="437" s="112">
      <c r="A437" s="72">
        <f>ROW()-1</f>
        <v/>
      </c>
      <c r="B437" s="175" t="n"/>
      <c r="C437" s="80" t="n">
        <v>2025</v>
      </c>
      <c r="D437" s="80" t="inlineStr">
        <is>
          <t>窦鹏岐</t>
        </is>
      </c>
      <c r="E437" s="81">
        <f>VLOOKUP(I437,'25年交付功能（不含废弃）'!A:A,1,FALSE)</f>
        <v/>
      </c>
      <c r="F437" s="175" t="n"/>
      <c r="G437" s="175" t="n"/>
      <c r="H437" s="176" t="n"/>
      <c r="I437" s="81" t="inlineStr">
        <is>
          <t>资产模型属性表</t>
        </is>
      </c>
      <c r="J437" s="98" t="inlineStr">
        <is>
          <t>ILF</t>
        </is>
      </c>
      <c r="K437" s="84" t="n"/>
      <c r="L437" s="84" t="n"/>
      <c r="M437" s="85">
        <f>IF(OR(Y437="估算法",Y437="算法类",Y437="无法识别"),"",IF(W437="",IF(OR(J437="EI",J437="EO",J437="EQ"),0,""),LEN(W437)-LEN(SUBSTITUTE(W437,"、",""))+1))</f>
        <v/>
      </c>
      <c r="N437" s="85">
        <f>IF(OR(Y437="估算法",Y437="算法类",Y437="无法识别"),"",IF(X437="",IF(OR(J437="ILF",J437="EIF"),0,""),LEN(X437)-LEN(SUBSTITUTE(X437,"、",""))+1))</f>
        <v/>
      </c>
      <c r="O437" s="85">
        <f>IF(OR(Y437="估算法",Y437="算法类",Y437="无法识别"),"",IF(Y437="",IF(OR(J437="ILF",J437="EIF",J437="EI",J437="EO",J437="EQ"),0,""),LEN(Y437)-LEN(SUBSTITUTE(SUBSTITUTE(SUBSTITUTE(SUBSTITUTE(SUBSTITUTE(Y437,"|}","--"),"{|","--"),CHAR(10),""),"、",""),"|",""))+IF(AND(OR(J437="EI",J437="EO",J437="EQ"),$AE$1="NESMA"),2,1)))</f>
        <v/>
      </c>
      <c r="P437" s="86">
        <f>IF(J437="EI",IF(OR(Y437="估算法",Y437="算法类"),"中",IF(Y437="无法识别","低",IF(M437&lt;2,IF(O437&lt;16,"低","中"),IF(M437&lt;3,IF(O437&lt;5,"低",IF(O437&lt;16,"中","高")),IF(O437&lt;5,"中","高"))))),IF(OR(J437="EO",J437="EQ"),IF(OR(Y437="估算法",Y437="算法类"),"中",IF(Y437="无法识别","低",IF(M437&lt;2,IF(O437&lt;20,"低","中"),IF(M437&lt;4,IF(O437&lt;6,"低",IF(O437&lt;20,"中","高")),IF(O437&lt;6,"中","高"))))),IF(OR(J437="ILF",J437="EIF"),IF(OR(Y437="估算法",Y437="算法类",Y437="无法识别"),"低",IF(N437&lt;2,IF(O437&lt;51,"低","中"),IF(N437&lt;6,IF(O437&lt;20,"低",IF(O437&lt;51,"中","高")),IF(O437&lt;20,"中","高")))),"不计算")))</f>
        <v/>
      </c>
      <c r="Q437" s="172">
        <f>IFERROR(IF(J437="EI",IF(P437="低",3,IF(P437="中",4,6)),IF(J437="EO",IF(P437="低",4,IF(P437="中",5,7)),IF(J437="EQ",IF(P437="低",3,IF(P437="中",4,6)),IF(J437="ILF",IF(P437="低",7,IF(P437="中",10,15)),IF(J437="EIF",IF(P437="低",5,IF(P437="中",7,10)),"不计算")))))*R437,"不计算")</f>
        <v/>
      </c>
      <c r="R437" s="172" t="n">
        <v>1</v>
      </c>
      <c r="S437" s="173">
        <f>调整因子!$F$13</f>
        <v/>
      </c>
      <c r="T437" s="93" t="n">
        <v>1</v>
      </c>
      <c r="U437" s="174">
        <f>IFERROR(Q437*S437,0)</f>
        <v/>
      </c>
      <c r="V437" s="174">
        <f>U437*T437</f>
        <v/>
      </c>
      <c r="W437" s="98" t="n"/>
      <c r="X437" s="93" t="inlineStr">
        <is>
          <t>资产模型属性表</t>
        </is>
      </c>
      <c r="Y437" s="93" t="inlineStr">
        <is>
          <t>资产模型属性表{主键 id 、资产建模构建表 id、 属性名称、属性值、最后更新时间}</t>
        </is>
      </c>
      <c r="Z437" s="90">
        <f>IF(COUNTIFS(W:W,"*"&amp;I437&amp;"*")&gt;0,"存在","不存在")</f>
        <v/>
      </c>
      <c r="AA437" s="90">
        <f>IF(COUNTIFS(AB:AB,"*"&amp;I437&amp;"*")&gt;0,"存在","不存在")</f>
        <v/>
      </c>
      <c r="AB437" s="103" t="inlineStr">
        <is>
          <t>任务优先级配置表</t>
        </is>
      </c>
      <c r="AC437" s="66" t="n"/>
    </row>
    <row r="438" s="112">
      <c r="A438" s="72">
        <f>ROW()-1</f>
        <v/>
      </c>
      <c r="B438" s="175" t="n"/>
      <c r="C438" s="80" t="n">
        <v>2025</v>
      </c>
      <c r="D438" s="80" t="inlineStr">
        <is>
          <t>窦鹏岐</t>
        </is>
      </c>
      <c r="E438" s="81">
        <f>VLOOKUP(I438,'25年交付功能（不含废弃）'!A:A,1,FALSE)</f>
        <v/>
      </c>
      <c r="F438" s="175" t="n"/>
      <c r="G438" s="175" t="n"/>
      <c r="H438" s="93" t="inlineStr">
        <is>
          <t>知识库构建</t>
        </is>
      </c>
      <c r="I438" s="81" t="inlineStr">
        <is>
          <t>用户查看资产总数</t>
        </is>
      </c>
      <c r="J438" s="93" t="inlineStr">
        <is>
          <t>EO</t>
        </is>
      </c>
      <c r="K438" s="84" t="n"/>
      <c r="L438" s="84" t="n"/>
      <c r="M438" s="85">
        <f>IF(OR(Y438="估算法",Y438="算法类",Y438="无法识别"),"",IF(W438="",IF(OR(J438="EI",J438="EO",J438="EQ"),0,""),LEN(W438)-LEN(SUBSTITUTE(W438,"、",""))+1))</f>
        <v/>
      </c>
      <c r="N438" s="85">
        <f>IF(OR(Y438="估算法",Y438="算法类",Y438="无法识别"),"",IF(X438="",IF(OR(J438="ILF",J438="EIF"),0,""),LEN(X438)-LEN(SUBSTITUTE(X438,"、",""))+1))</f>
        <v/>
      </c>
      <c r="O438" s="85">
        <f>IF(OR(Y438="估算法",Y438="算法类",Y438="无法识别"),"",IF(Y438="",IF(OR(J438="ILF",J438="EIF",J438="EI",J438="EO",J438="EQ"),0,""),LEN(Y438)-LEN(SUBSTITUTE(SUBSTITUTE(SUBSTITUTE(SUBSTITUTE(SUBSTITUTE(Y438,"|}","--"),"{|","--"),CHAR(10),""),"、",""),"|",""))+IF(AND(OR(J438="EI",J438="EO",J438="EQ"),$AE$1="NESMA"),2,1)))</f>
        <v/>
      </c>
      <c r="P438" s="86">
        <f>IF(J438="EI",IF(OR(Y438="估算法",Y438="算法类"),"中",IF(Y438="无法识别","低",IF(M438&lt;2,IF(O438&lt;16,"低","中"),IF(M438&lt;3,IF(O438&lt;5,"低",IF(O438&lt;16,"中","高")),IF(O438&lt;5,"中","高"))))),IF(OR(J438="EO",J438="EQ"),IF(OR(Y438="估算法",Y438="算法类"),"中",IF(Y438="无法识别","低",IF(M438&lt;2,IF(O438&lt;20,"低","中"),IF(M438&lt;4,IF(O438&lt;6,"低",IF(O438&lt;20,"中","高")),IF(O438&lt;6,"中","高"))))),IF(OR(J438="ILF",J438="EIF"),IF(OR(Y438="估算法",Y438="算法类",Y438="无法识别"),"低",IF(N438&lt;2,IF(O438&lt;51,"低","中"),IF(N438&lt;6,IF(O438&lt;20,"低",IF(O438&lt;51,"中","高")),IF(O438&lt;20,"中","高")))),"不计算")))</f>
        <v/>
      </c>
      <c r="Q438" s="172">
        <f>IFERROR(IF(J438="EI",IF(P438="低",3,IF(P438="中",4,6)),IF(J438="EO",IF(P438="低",4,IF(P438="中",5,7)),IF(J438="EQ",IF(P438="低",3,IF(P438="中",4,6)),IF(J438="ILF",IF(P438="低",7,IF(P438="中",10,15)),IF(J438="EIF",IF(P438="低",5,IF(P438="中",7,10)),"不计算")))))*R438,"不计算")</f>
        <v/>
      </c>
      <c r="R438" s="172" t="n">
        <v>1</v>
      </c>
      <c r="S438" s="173">
        <f>调整因子!$F$13</f>
        <v/>
      </c>
      <c r="T438" s="92" t="n">
        <v>1</v>
      </c>
      <c r="U438" s="174">
        <f>IFERROR(Q438*S438,0)</f>
        <v/>
      </c>
      <c r="V438" s="174">
        <f>U438*T438</f>
        <v/>
      </c>
      <c r="W438" s="93" t="inlineStr">
        <is>
          <t>用户偏好设置表、资产属性表</t>
        </is>
      </c>
      <c r="X438" s="98" t="n"/>
      <c r="Y438" s="93" t="inlineStr">
        <is>
          <t>用户偏好设置表{主键 id 、用户 id 、偏好设置名称、偏好设置值、最后更新时间}
资产属性表{主键 id 、资产 id 、资产类型（IP/网站等）、属性名称、属性值、最后更新时间}</t>
        </is>
      </c>
      <c r="Z438" s="90" t="n"/>
      <c r="AA438" s="90" t="n"/>
      <c r="AB438" s="103" t="inlineStr">
        <is>
          <t>采集任务配置表</t>
        </is>
      </c>
      <c r="AC438" s="66" t="n"/>
    </row>
    <row r="439" s="112">
      <c r="A439" s="72">
        <f>ROW()-1</f>
        <v/>
      </c>
      <c r="B439" s="175" t="n"/>
      <c r="C439" s="80" t="n">
        <v>2025</v>
      </c>
      <c r="D439" s="80" t="inlineStr">
        <is>
          <t>窦鹏岐</t>
        </is>
      </c>
      <c r="E439" s="81">
        <f>VLOOKUP(I439,'25年交付功能（不含废弃）'!A:A,1,FALSE)</f>
        <v/>
      </c>
      <c r="F439" s="175" t="n"/>
      <c r="G439" s="175" t="n"/>
      <c r="H439" s="175" t="n"/>
      <c r="I439" s="81" t="inlineStr">
        <is>
          <t>用户查看IP资产总数</t>
        </is>
      </c>
      <c r="J439" s="93" t="inlineStr">
        <is>
          <t>EO</t>
        </is>
      </c>
      <c r="K439" s="84" t="n"/>
      <c r="L439" s="84" t="inlineStr">
        <is>
          <t>未明确是否同界面</t>
        </is>
      </c>
      <c r="M439" s="85">
        <f>IF(OR(Y439="估算法",Y439="算法类",Y439="无法识别"),"",IF(W439="",IF(OR(J439="EI",J439="EO",J439="EQ"),0,""),LEN(W439)-LEN(SUBSTITUTE(W439,"、",""))+1))</f>
        <v/>
      </c>
      <c r="N439" s="85">
        <f>IF(OR(Y439="估算法",Y439="算法类",Y439="无法识别"),"",IF(X439="",IF(OR(J439="ILF",J439="EIF"),0,""),LEN(X439)-LEN(SUBSTITUTE(X439,"、",""))+1))</f>
        <v/>
      </c>
      <c r="O439" s="85">
        <f>IF(OR(Y439="估算法",Y439="算法类",Y439="无法识别"),"",IF(Y439="",IF(OR(J439="ILF",J439="EIF",J439="EI",J439="EO",J439="EQ"),0,""),LEN(Y439)-LEN(SUBSTITUTE(SUBSTITUTE(SUBSTITUTE(SUBSTITUTE(SUBSTITUTE(Y439,"|}","--"),"{|","--"),CHAR(10),""),"、",""),"|",""))+IF(AND(OR(J439="EI",J439="EO",J439="EQ"),$AE$1="NESMA"),2,1)))</f>
        <v/>
      </c>
      <c r="P439" s="86">
        <f>IF(J439="EI",IF(OR(Y439="估算法",Y439="算法类"),"中",IF(Y439="无法识别","低",IF(M439&lt;2,IF(O439&lt;16,"低","中"),IF(M439&lt;3,IF(O439&lt;5,"低",IF(O439&lt;16,"中","高")),IF(O439&lt;5,"中","高"))))),IF(OR(J439="EO",J439="EQ"),IF(OR(Y439="估算法",Y439="算法类"),"中",IF(Y439="无法识别","低",IF(M439&lt;2,IF(O439&lt;20,"低","中"),IF(M439&lt;4,IF(O439&lt;6,"低",IF(O439&lt;20,"中","高")),IF(O439&lt;6,"中","高"))))),IF(OR(J439="ILF",J439="EIF"),IF(OR(Y439="估算法",Y439="算法类",Y439="无法识别"),"低",IF(N439&lt;2,IF(O439&lt;51,"低","中"),IF(N439&lt;6,IF(O439&lt;20,"低",IF(O439&lt;51,"中","高")),IF(O439&lt;20,"中","高")))),"不计算")))</f>
        <v/>
      </c>
      <c r="Q439" s="172">
        <f>IFERROR(IF(J439="EI",IF(P439="低",3,IF(P439="中",4,6)),IF(J439="EO",IF(P439="低",4,IF(P439="中",5,7)),IF(J439="EQ",IF(P439="低",3,IF(P439="中",4,6)),IF(J439="ILF",IF(P439="低",7,IF(P439="中",10,15)),IF(J439="EIF",IF(P439="低",5,IF(P439="中",7,10)),"不计算")))))*R439,"不计算")</f>
        <v/>
      </c>
      <c r="R439" s="172" t="n">
        <v>0.333333333333333</v>
      </c>
      <c r="S439" s="173">
        <f>调整因子!$F$13</f>
        <v/>
      </c>
      <c r="T439" s="92" t="n">
        <v>1</v>
      </c>
      <c r="U439" s="174">
        <f>IFERROR(Q439*S439,0)</f>
        <v/>
      </c>
      <c r="V439" s="174">
        <f>U439*T439</f>
        <v/>
      </c>
      <c r="W439" s="93" t="inlineStr">
        <is>
          <t>用户偏好设置表、IP资产表</t>
        </is>
      </c>
      <c r="X439" s="98" t="n"/>
      <c r="Y439" s="93" t="inlineStr">
        <is>
          <t>用户偏好设置表{主键 id 、用户 id 、偏好设置名称、偏好设置值、最后更新时间}
IP资产表{主键id、用户id、IP地址、资产名称、资产描述、创建时间、最后更新时间}</t>
        </is>
      </c>
      <c r="Z439" s="90" t="n"/>
      <c r="AA439" s="90" t="n"/>
      <c r="AB439" s="103" t="inlineStr">
        <is>
          <t>任务优先级配置表</t>
        </is>
      </c>
      <c r="AC439" s="66" t="n"/>
    </row>
    <row r="440" s="112">
      <c r="A440" s="72">
        <f>ROW()-1</f>
        <v/>
      </c>
      <c r="B440" s="175" t="n"/>
      <c r="C440" s="80" t="n">
        <v>2025</v>
      </c>
      <c r="D440" s="80" t="inlineStr">
        <is>
          <t>窦鹏岐</t>
        </is>
      </c>
      <c r="E440" s="81">
        <f>VLOOKUP(I440,'25年交付功能（不含废弃）'!A:A,1,FALSE)</f>
        <v/>
      </c>
      <c r="F440" s="175" t="n"/>
      <c r="G440" s="175" t="n"/>
      <c r="H440" s="175" t="n"/>
      <c r="I440" s="81" t="inlineStr">
        <is>
          <t>用户查看网站资产总数</t>
        </is>
      </c>
      <c r="J440" s="93" t="inlineStr">
        <is>
          <t>EO</t>
        </is>
      </c>
      <c r="K440" s="84" t="n"/>
      <c r="L440" s="84" t="inlineStr">
        <is>
          <t>未明确是否同界面</t>
        </is>
      </c>
      <c r="M440" s="85">
        <f>IF(OR(Y440="估算法",Y440="算法类",Y440="无法识别"),"",IF(W440="",IF(OR(J440="EI",J440="EO",J440="EQ"),0,""),LEN(W440)-LEN(SUBSTITUTE(W440,"、",""))+1))</f>
        <v/>
      </c>
      <c r="N440" s="85">
        <f>IF(OR(Y440="估算法",Y440="算法类",Y440="无法识别"),"",IF(X440="",IF(OR(J440="ILF",J440="EIF"),0,""),LEN(X440)-LEN(SUBSTITUTE(X440,"、",""))+1))</f>
        <v/>
      </c>
      <c r="O440" s="85">
        <f>IF(OR(Y440="估算法",Y440="算法类",Y440="无法识别"),"",IF(Y440="",IF(OR(J440="ILF",J440="EIF",J440="EI",J440="EO",J440="EQ"),0,""),LEN(Y440)-LEN(SUBSTITUTE(SUBSTITUTE(SUBSTITUTE(SUBSTITUTE(SUBSTITUTE(Y440,"|}","--"),"{|","--"),CHAR(10),""),"、",""),"|",""))+IF(AND(OR(J440="EI",J440="EO",J440="EQ"),$AE$1="NESMA"),2,1)))</f>
        <v/>
      </c>
      <c r="P440" s="86">
        <f>IF(J440="EI",IF(OR(Y440="估算法",Y440="算法类"),"中",IF(Y440="无法识别","低",IF(M440&lt;2,IF(O440&lt;16,"低","中"),IF(M440&lt;3,IF(O440&lt;5,"低",IF(O440&lt;16,"中","高")),IF(O440&lt;5,"中","高"))))),IF(OR(J440="EO",J440="EQ"),IF(OR(Y440="估算法",Y440="算法类"),"中",IF(Y440="无法识别","低",IF(M440&lt;2,IF(O440&lt;20,"低","中"),IF(M440&lt;4,IF(O440&lt;6,"低",IF(O440&lt;20,"中","高")),IF(O440&lt;6,"中","高"))))),IF(OR(J440="ILF",J440="EIF"),IF(OR(Y440="估算法",Y440="算法类",Y440="无法识别"),"低",IF(N440&lt;2,IF(O440&lt;51,"低","中"),IF(N440&lt;6,IF(O440&lt;20,"低",IF(O440&lt;51,"中","高")),IF(O440&lt;20,"中","高")))),"不计算")))</f>
        <v/>
      </c>
      <c r="Q440" s="172">
        <f>IFERROR(IF(J440="EI",IF(P440="低",3,IF(P440="中",4,6)),IF(J440="EO",IF(P440="低",4,IF(P440="中",5,7)),IF(J440="EQ",IF(P440="低",3,IF(P440="中",4,6)),IF(J440="ILF",IF(P440="低",7,IF(P440="中",10,15)),IF(J440="EIF",IF(P440="低",5,IF(P440="中",7,10)),"不计算")))))*R440,"不计算")</f>
        <v/>
      </c>
      <c r="R440" s="172" t="n">
        <v>0.333333333333333</v>
      </c>
      <c r="S440" s="173">
        <f>调整因子!$F$13</f>
        <v/>
      </c>
      <c r="T440" s="93" t="n">
        <v>1</v>
      </c>
      <c r="U440" s="174">
        <f>IFERROR(Q440*S440,0)</f>
        <v/>
      </c>
      <c r="V440" s="174">
        <f>U440*T440</f>
        <v/>
      </c>
      <c r="W440" s="93" t="inlineStr">
        <is>
          <t>用户偏好设置表、网站资产表</t>
        </is>
      </c>
      <c r="X440" s="98" t="n"/>
      <c r="Y440" s="93" t="inlineStr">
        <is>
          <t>用户偏好设置表{主键 id 、用户 id 、偏好设置名称、偏好设置值、最后更新时间}
网站资产表{主键id、用户id、网站域名、资产名称、资产描述、创建时间、最后更新时间}</t>
        </is>
      </c>
      <c r="Z440" s="90" t="n"/>
      <c r="AA440" s="90" t="n"/>
      <c r="AB440" s="103" t="inlineStr">
        <is>
          <t>扫描策略模板表</t>
        </is>
      </c>
      <c r="AC440" s="66" t="n"/>
    </row>
    <row r="441" s="112">
      <c r="A441" s="72">
        <f>ROW()-1</f>
        <v/>
      </c>
      <c r="B441" s="175" t="n"/>
      <c r="C441" s="80" t="n">
        <v>2025</v>
      </c>
      <c r="D441" s="80" t="inlineStr">
        <is>
          <t>窦鹏岐</t>
        </is>
      </c>
      <c r="E441" s="81">
        <f>VLOOKUP(I441,'25年交付功能（不含废弃）'!A:A,1,FALSE)</f>
        <v/>
      </c>
      <c r="F441" s="175" t="n"/>
      <c r="G441" s="175" t="n"/>
      <c r="H441" s="175" t="n"/>
      <c r="I441" s="81" t="inlineStr">
        <is>
          <t>用户查看新增IP资产总数</t>
        </is>
      </c>
      <c r="J441" s="93" t="inlineStr">
        <is>
          <t>EO</t>
        </is>
      </c>
      <c r="K441" s="84" t="n"/>
      <c r="L441" s="84" t="inlineStr">
        <is>
          <t>未明确是否同界面</t>
        </is>
      </c>
      <c r="M441" s="85">
        <f>IF(OR(Y441="估算法",Y441="算法类",Y441="无法识别"),"",IF(W441="",IF(OR(J441="EI",J441="EO",J441="EQ"),0,""),LEN(W441)-LEN(SUBSTITUTE(W441,"、",""))+1))</f>
        <v/>
      </c>
      <c r="N441" s="85">
        <f>IF(OR(Y441="估算法",Y441="算法类",Y441="无法识别"),"",IF(X441="",IF(OR(J441="ILF",J441="EIF"),0,""),LEN(X441)-LEN(SUBSTITUTE(X441,"、",""))+1))</f>
        <v/>
      </c>
      <c r="O441" s="85">
        <f>IF(OR(Y441="估算法",Y441="算法类",Y441="无法识别"),"",IF(Y441="",IF(OR(J441="ILF",J441="EIF",J441="EI",J441="EO",J441="EQ"),0,""),LEN(Y441)-LEN(SUBSTITUTE(SUBSTITUTE(SUBSTITUTE(SUBSTITUTE(SUBSTITUTE(Y441,"|}","--"),"{|","--"),CHAR(10),""),"、",""),"|",""))+IF(AND(OR(J441="EI",J441="EO",J441="EQ"),$AE$1="NESMA"),2,1)))</f>
        <v/>
      </c>
      <c r="P441" s="86">
        <f>IF(J441="EI",IF(OR(Y441="估算法",Y441="算法类"),"中",IF(Y441="无法识别","低",IF(M441&lt;2,IF(O441&lt;16,"低","中"),IF(M441&lt;3,IF(O441&lt;5,"低",IF(O441&lt;16,"中","高")),IF(O441&lt;5,"中","高"))))),IF(OR(J441="EO",J441="EQ"),IF(OR(Y441="估算法",Y441="算法类"),"中",IF(Y441="无法识别","低",IF(M441&lt;2,IF(O441&lt;20,"低","中"),IF(M441&lt;4,IF(O441&lt;6,"低",IF(O441&lt;20,"中","高")),IF(O441&lt;6,"中","高"))))),IF(OR(J441="ILF",J441="EIF"),IF(OR(Y441="估算法",Y441="算法类",Y441="无法识别"),"低",IF(N441&lt;2,IF(O441&lt;51,"低","中"),IF(N441&lt;6,IF(O441&lt;20,"低",IF(O441&lt;51,"中","高")),IF(O441&lt;20,"中","高")))),"不计算")))</f>
        <v/>
      </c>
      <c r="Q441" s="172">
        <f>IFERROR(IF(J441="EI",IF(P441="低",3,IF(P441="中",4,6)),IF(J441="EO",IF(P441="低",4,IF(P441="中",5,7)),IF(J441="EQ",IF(P441="低",3,IF(P441="中",4,6)),IF(J441="ILF",IF(P441="低",7,IF(P441="中",10,15)),IF(J441="EIF",IF(P441="低",5,IF(P441="中",7,10)),"不计算")))))*R441,"不计算")</f>
        <v/>
      </c>
      <c r="R441" s="172" t="n">
        <v>0.333333333333333</v>
      </c>
      <c r="S441" s="173">
        <f>调整因子!$F$13</f>
        <v/>
      </c>
      <c r="T441" s="92" t="n">
        <v>1</v>
      </c>
      <c r="U441" s="174">
        <f>IFERROR(Q441*S441,0)</f>
        <v/>
      </c>
      <c r="V441" s="174">
        <f>U441*T441</f>
        <v/>
      </c>
      <c r="W441" s="93" t="inlineStr">
        <is>
          <t>用户偏好设置表、IP资产表</t>
        </is>
      </c>
      <c r="X441" s="98" t="n"/>
      <c r="Y441" s="93" t="inlineStr">
        <is>
          <t>用户偏好设置表{主键 id 、用户 id 、偏好设置名称、偏好设置值、最后更新时间}
IP资产表{主键id、用户id、IP地址、资产名称、资产描述、创建时间、最后更新时间}</t>
        </is>
      </c>
      <c r="Z441" s="90" t="n"/>
      <c r="AA441" s="90" t="n"/>
      <c r="AB441" s="103" t="inlineStr">
        <is>
          <t>扫描策略模板表、提醒策略配置表</t>
        </is>
      </c>
      <c r="AC441" s="66" t="n"/>
    </row>
    <row r="442" s="112">
      <c r="A442" s="72">
        <f>ROW()-1</f>
        <v/>
      </c>
      <c r="B442" s="175" t="n"/>
      <c r="C442" s="80" t="n">
        <v>2025</v>
      </c>
      <c r="D442" s="80" t="inlineStr">
        <is>
          <t>窦鹏岐</t>
        </is>
      </c>
      <c r="E442" s="81">
        <f>VLOOKUP(I442,'25年交付功能（不含废弃）'!A:A,1,FALSE)</f>
        <v/>
      </c>
      <c r="F442" s="175" t="n"/>
      <c r="G442" s="175" t="n"/>
      <c r="H442" s="175" t="n"/>
      <c r="I442" s="81" t="inlineStr">
        <is>
          <t>用户查看新增网站资产总数</t>
        </is>
      </c>
      <c r="J442" s="93" t="inlineStr">
        <is>
          <t>EO</t>
        </is>
      </c>
      <c r="K442" s="84" t="n"/>
      <c r="L442" s="84" t="inlineStr">
        <is>
          <t>未明确是否同界面</t>
        </is>
      </c>
      <c r="M442" s="85">
        <f>IF(OR(Y442="估算法",Y442="算法类",Y442="无法识别"),"",IF(W442="",IF(OR(J442="EI",J442="EO",J442="EQ"),0,""),LEN(W442)-LEN(SUBSTITUTE(W442,"、",""))+1))</f>
        <v/>
      </c>
      <c r="N442" s="85">
        <f>IF(OR(Y442="估算法",Y442="算法类",Y442="无法识别"),"",IF(X442="",IF(OR(J442="ILF",J442="EIF"),0,""),LEN(X442)-LEN(SUBSTITUTE(X442,"、",""))+1))</f>
        <v/>
      </c>
      <c r="O442" s="85">
        <f>IF(OR(Y442="估算法",Y442="算法类",Y442="无法识别"),"",IF(Y442="",IF(OR(J442="ILF",J442="EIF",J442="EI",J442="EO",J442="EQ"),0,""),LEN(Y442)-LEN(SUBSTITUTE(SUBSTITUTE(SUBSTITUTE(SUBSTITUTE(SUBSTITUTE(Y442,"|}","--"),"{|","--"),CHAR(10),""),"、",""),"|",""))+IF(AND(OR(J442="EI",J442="EO",J442="EQ"),$AE$1="NESMA"),2,1)))</f>
        <v/>
      </c>
      <c r="P442" s="86">
        <f>IF(J442="EI",IF(OR(Y442="估算法",Y442="算法类"),"中",IF(Y442="无法识别","低",IF(M442&lt;2,IF(O442&lt;16,"低","中"),IF(M442&lt;3,IF(O442&lt;5,"低",IF(O442&lt;16,"中","高")),IF(O442&lt;5,"中","高"))))),IF(OR(J442="EO",J442="EQ"),IF(OR(Y442="估算法",Y442="算法类"),"中",IF(Y442="无法识别","低",IF(M442&lt;2,IF(O442&lt;20,"低","中"),IF(M442&lt;4,IF(O442&lt;6,"低",IF(O442&lt;20,"中","高")),IF(O442&lt;6,"中","高"))))),IF(OR(J442="ILF",J442="EIF"),IF(OR(Y442="估算法",Y442="算法类",Y442="无法识别"),"低",IF(N442&lt;2,IF(O442&lt;51,"低","中"),IF(N442&lt;6,IF(O442&lt;20,"低",IF(O442&lt;51,"中","高")),IF(O442&lt;20,"中","高")))),"不计算")))</f>
        <v/>
      </c>
      <c r="Q442" s="172">
        <f>IFERROR(IF(J442="EI",IF(P442="低",3,IF(P442="中",4,6)),IF(J442="EO",IF(P442="低",4,IF(P442="中",5,7)),IF(J442="EQ",IF(P442="低",3,IF(P442="中",4,6)),IF(J442="ILF",IF(P442="低",7,IF(P442="中",10,15)),IF(J442="EIF",IF(P442="低",5,IF(P442="中",7,10)),"不计算")))))*R442,"不计算")</f>
        <v/>
      </c>
      <c r="R442" s="172" t="n">
        <v>0.333333333333333</v>
      </c>
      <c r="S442" s="173">
        <f>调整因子!$F$13</f>
        <v/>
      </c>
      <c r="T442" s="92" t="n">
        <v>1</v>
      </c>
      <c r="U442" s="174">
        <f>IFERROR(Q442*S442,0)</f>
        <v/>
      </c>
      <c r="V442" s="174">
        <f>U442*T442</f>
        <v/>
      </c>
      <c r="W442" s="93" t="inlineStr">
        <is>
          <t>用户偏好设置表、网站资产表</t>
        </is>
      </c>
      <c r="X442" s="98" t="n"/>
      <c r="Y442" s="93" t="inlineStr">
        <is>
          <t>用户偏好设置表{主键 id 、用户 id 、偏好设置名称、偏好设置值、最后更新时间}
网站资产表{主键id、用户id、网站域名、资产名称、资产描述、创建时间、最后更新时间}</t>
        </is>
      </c>
      <c r="Z442" s="90" t="n"/>
      <c r="AA442" s="90" t="n"/>
      <c r="AB442" s="103" t="inlineStr">
        <is>
          <t>扫描策略模板表、提醒策略配置表</t>
        </is>
      </c>
      <c r="AC442" s="66" t="n"/>
    </row>
    <row r="443" s="112">
      <c r="A443" s="72">
        <f>ROW()-1</f>
        <v/>
      </c>
      <c r="B443" s="175" t="n"/>
      <c r="C443" s="80" t="n">
        <v>2025</v>
      </c>
      <c r="D443" s="80" t="inlineStr">
        <is>
          <t>窦鹏岐</t>
        </is>
      </c>
      <c r="E443" s="81">
        <f>VLOOKUP(I443,'25年交付功能（不含废弃）'!A:A,1,FALSE)</f>
        <v/>
      </c>
      <c r="F443" s="175" t="n"/>
      <c r="G443" s="175" t="n"/>
      <c r="H443" s="175" t="n"/>
      <c r="I443" s="81" t="inlineStr">
        <is>
          <t>用户查看开放端口总数</t>
        </is>
      </c>
      <c r="J443" s="93" t="inlineStr">
        <is>
          <t>EO</t>
        </is>
      </c>
      <c r="K443" s="84" t="n"/>
      <c r="L443" s="84" t="inlineStr">
        <is>
          <t>未明确是否同界面</t>
        </is>
      </c>
      <c r="M443" s="85">
        <f>IF(OR(Y443="估算法",Y443="算法类",Y443="无法识别"),"",IF(W443="",IF(OR(J443="EI",J443="EO",J443="EQ"),0,""),LEN(W443)-LEN(SUBSTITUTE(W443,"、",""))+1))</f>
        <v/>
      </c>
      <c r="N443" s="85">
        <f>IF(OR(Y443="估算法",Y443="算法类",Y443="无法识别"),"",IF(X443="",IF(OR(J443="ILF",J443="EIF"),0,""),LEN(X443)-LEN(SUBSTITUTE(X443,"、",""))+1))</f>
        <v/>
      </c>
      <c r="O443" s="85">
        <f>IF(OR(Y443="估算法",Y443="算法类",Y443="无法识别"),"",IF(Y443="",IF(OR(J443="ILF",J443="EIF",J443="EI",J443="EO",J443="EQ"),0,""),LEN(Y443)-LEN(SUBSTITUTE(SUBSTITUTE(SUBSTITUTE(SUBSTITUTE(SUBSTITUTE(Y443,"|}","--"),"{|","--"),CHAR(10),""),"、",""),"|",""))+IF(AND(OR(J443="EI",J443="EO",J443="EQ"),$AE$1="NESMA"),2,1)))</f>
        <v/>
      </c>
      <c r="P443" s="86">
        <f>IF(J443="EI",IF(OR(Y443="估算法",Y443="算法类"),"中",IF(Y443="无法识别","低",IF(M443&lt;2,IF(O443&lt;16,"低","中"),IF(M443&lt;3,IF(O443&lt;5,"低",IF(O443&lt;16,"中","高")),IF(O443&lt;5,"中","高"))))),IF(OR(J443="EO",J443="EQ"),IF(OR(Y443="估算法",Y443="算法类"),"中",IF(Y443="无法识别","低",IF(M443&lt;2,IF(O443&lt;20,"低","中"),IF(M443&lt;4,IF(O443&lt;6,"低",IF(O443&lt;20,"中","高")),IF(O443&lt;6,"中","高"))))),IF(OR(J443="ILF",J443="EIF"),IF(OR(Y443="估算法",Y443="算法类",Y443="无法识别"),"低",IF(N443&lt;2,IF(O443&lt;51,"低","中"),IF(N443&lt;6,IF(O443&lt;20,"低",IF(O443&lt;51,"中","高")),IF(O443&lt;20,"中","高")))),"不计算")))</f>
        <v/>
      </c>
      <c r="Q443" s="172">
        <f>IFERROR(IF(J443="EI",IF(P443="低",3,IF(P443="中",4,6)),IF(J443="EO",IF(P443="低",4,IF(P443="中",5,7)),IF(J443="EQ",IF(P443="低",3,IF(P443="中",4,6)),IF(J443="ILF",IF(P443="低",7,IF(P443="中",10,15)),IF(J443="EIF",IF(P443="低",5,IF(P443="中",7,10)),"不计算")))))*R443,"不计算")</f>
        <v/>
      </c>
      <c r="R443" s="172" t="n">
        <v>0.333333333333333</v>
      </c>
      <c r="S443" s="173">
        <f>调整因子!$F$13</f>
        <v/>
      </c>
      <c r="T443" s="93" t="n">
        <v>1</v>
      </c>
      <c r="U443" s="174">
        <f>IFERROR(Q443*S443,0)</f>
        <v/>
      </c>
      <c r="V443" s="174">
        <f>U443*T443</f>
        <v/>
      </c>
      <c r="W443" s="93" t="inlineStr">
        <is>
          <t>用户偏好设置表、开放端口表</t>
        </is>
      </c>
      <c r="X443" s="98" t="n"/>
      <c r="Y443" s="93" t="inlineStr">
        <is>
          <t>用户偏好设置表{主键 id 、用户 id 、偏好设置名称、偏好设置值、最后更新时间}
开放端口表{主键id、资产id、端口号、协议、服务名称、状态、创建时间}</t>
        </is>
      </c>
      <c r="Z443" s="90" t="n"/>
      <c r="AA443" s="90" t="n"/>
      <c r="AB443" s="103" t="inlineStr">
        <is>
          <t>任务优先级配置表</t>
        </is>
      </c>
      <c r="AC443" s="66" t="n"/>
    </row>
    <row r="444" s="112">
      <c r="A444" s="72">
        <f>ROW()-1</f>
        <v/>
      </c>
      <c r="B444" s="175" t="n"/>
      <c r="C444" s="80" t="n">
        <v>2025</v>
      </c>
      <c r="D444" s="80" t="inlineStr">
        <is>
          <t>窦鹏岐</t>
        </is>
      </c>
      <c r="E444" s="81">
        <f>VLOOKUP(I444,'25年交付功能（不含废弃）'!A:A,1,FALSE)</f>
        <v/>
      </c>
      <c r="F444" s="175" t="n"/>
      <c r="G444" s="175" t="n"/>
      <c r="H444" s="175" t="n"/>
      <c r="I444" s="81" t="inlineStr">
        <is>
          <t>用户查看存在漏洞端口总数</t>
        </is>
      </c>
      <c r="J444" s="93" t="inlineStr">
        <is>
          <t>EO</t>
        </is>
      </c>
      <c r="K444" s="84" t="n"/>
      <c r="L444" s="84" t="inlineStr">
        <is>
          <t>未明确是否同界面</t>
        </is>
      </c>
      <c r="M444" s="85">
        <f>IF(OR(Y444="估算法",Y444="算法类",Y444="无法识别"),"",IF(W444="",IF(OR(J444="EI",J444="EO",J444="EQ"),0,""),LEN(W444)-LEN(SUBSTITUTE(W444,"、",""))+1))</f>
        <v/>
      </c>
      <c r="N444" s="85">
        <f>IF(OR(Y444="估算法",Y444="算法类",Y444="无法识别"),"",IF(X444="",IF(OR(J444="ILF",J444="EIF"),0,""),LEN(X444)-LEN(SUBSTITUTE(X444,"、",""))+1))</f>
        <v/>
      </c>
      <c r="O444" s="85">
        <f>IF(OR(Y444="估算法",Y444="算法类",Y444="无法识别"),"",IF(Y444="",IF(OR(J444="ILF",J444="EIF",J444="EI",J444="EO",J444="EQ"),0,""),LEN(Y444)-LEN(SUBSTITUTE(SUBSTITUTE(SUBSTITUTE(SUBSTITUTE(SUBSTITUTE(Y444,"|}","--"),"{|","--"),CHAR(10),""),"、",""),"|",""))+IF(AND(OR(J444="EI",J444="EO",J444="EQ"),$AE$1="NESMA"),2,1)))</f>
        <v/>
      </c>
      <c r="P444" s="86">
        <f>IF(J444="EI",IF(OR(Y444="估算法",Y444="算法类"),"中",IF(Y444="无法识别","低",IF(M444&lt;2,IF(O444&lt;16,"低","中"),IF(M444&lt;3,IF(O444&lt;5,"低",IF(O444&lt;16,"中","高")),IF(O444&lt;5,"中","高"))))),IF(OR(J444="EO",J444="EQ"),IF(OR(Y444="估算法",Y444="算法类"),"中",IF(Y444="无法识别","低",IF(M444&lt;2,IF(O444&lt;20,"低","中"),IF(M444&lt;4,IF(O444&lt;6,"低",IF(O444&lt;20,"中","高")),IF(O444&lt;6,"中","高"))))),IF(OR(J444="ILF",J444="EIF"),IF(OR(Y444="估算法",Y444="算法类",Y444="无法识别"),"低",IF(N444&lt;2,IF(O444&lt;51,"低","中"),IF(N444&lt;6,IF(O444&lt;20,"低",IF(O444&lt;51,"中","高")),IF(O444&lt;20,"中","高")))),"不计算")))</f>
        <v/>
      </c>
      <c r="Q444" s="172">
        <f>IFERROR(IF(J444="EI",IF(P444="低",3,IF(P444="中",4,6)),IF(J444="EO",IF(P444="低",4,IF(P444="中",5,7)),IF(J444="EQ",IF(P444="低",3,IF(P444="中",4,6)),IF(J444="ILF",IF(P444="低",7,IF(P444="中",10,15)),IF(J444="EIF",IF(P444="低",5,IF(P444="中",7,10)),"不计算")))))*R444,"不计算")</f>
        <v/>
      </c>
      <c r="R444" s="172" t="n">
        <v>0.2</v>
      </c>
      <c r="S444" s="173">
        <f>调整因子!$F$13</f>
        <v/>
      </c>
      <c r="T444" s="92" t="n">
        <v>1</v>
      </c>
      <c r="U444" s="174">
        <f>IFERROR(Q444*S444,0)</f>
        <v/>
      </c>
      <c r="V444" s="174">
        <f>U444*T444</f>
        <v/>
      </c>
      <c r="W444" s="93" t="inlineStr">
        <is>
          <t>用户偏好设置表、漏洞端口表</t>
        </is>
      </c>
      <c r="X444" s="98" t="n"/>
      <c r="Y444" s="93" t="inlineStr">
        <is>
          <t>用户偏好设置表{主键 id 、用户 id 、偏好设置名称、偏好设置值、最后更新时间}
漏洞端口表{主键id、资产id、端口号、协议、服务名称、漏洞描述、风险等级、创建时间}</t>
        </is>
      </c>
      <c r="Z444" s="90" t="n"/>
      <c r="AA444" s="90" t="n"/>
      <c r="AB444" s="103" t="inlineStr">
        <is>
          <t>漏洞查询接口配置表、处置单关联表</t>
        </is>
      </c>
      <c r="AC444" s="66" t="n"/>
    </row>
    <row r="445" s="112">
      <c r="A445" s="72">
        <f>ROW()-1</f>
        <v/>
      </c>
      <c r="B445" s="175" t="n"/>
      <c r="C445" s="80" t="n">
        <v>2025</v>
      </c>
      <c r="D445" s="80" t="inlineStr">
        <is>
          <t>窦鹏岐</t>
        </is>
      </c>
      <c r="E445" s="81">
        <f>VLOOKUP(I445,'25年交付功能（不含废弃）'!A:A,1,FALSE)</f>
        <v/>
      </c>
      <c r="F445" s="175" t="n"/>
      <c r="G445" s="175" t="n"/>
      <c r="H445" s="175" t="n"/>
      <c r="I445" s="81" t="inlineStr">
        <is>
          <t>用户查看主机资产列表</t>
        </is>
      </c>
      <c r="J445" s="93" t="inlineStr">
        <is>
          <t>EQ</t>
        </is>
      </c>
      <c r="K445" s="84" t="n"/>
      <c r="L445" s="84" t="n"/>
      <c r="M445" s="85">
        <f>IF(OR(Y445="估算法",Y445="算法类",Y445="无法识别"),"",IF(W445="",IF(OR(J445="EI",J445="EO",J445="EQ"),0,""),LEN(W445)-LEN(SUBSTITUTE(W445,"、",""))+1))</f>
        <v/>
      </c>
      <c r="N445" s="85">
        <f>IF(OR(Y445="估算法",Y445="算法类",Y445="无法识别"),"",IF(X445="",IF(OR(J445="ILF",J445="EIF"),0,""),LEN(X445)-LEN(SUBSTITUTE(X445,"、",""))+1))</f>
        <v/>
      </c>
      <c r="O445" s="85">
        <f>IF(OR(Y445="估算法",Y445="算法类",Y445="无法识别"),"",IF(Y445="",IF(OR(J445="ILF",J445="EIF",J445="EI",J445="EO",J445="EQ"),0,""),LEN(Y445)-LEN(SUBSTITUTE(SUBSTITUTE(SUBSTITUTE(SUBSTITUTE(SUBSTITUTE(Y445,"|}","--"),"{|","--"),CHAR(10),""),"、",""),"|",""))+IF(AND(OR(J445="EI",J445="EO",J445="EQ"),$AE$1="NESMA"),2,1)))</f>
        <v/>
      </c>
      <c r="P445" s="86">
        <f>IF(J445="EI",IF(OR(Y445="估算法",Y445="算法类"),"中",IF(Y445="无法识别","低",IF(M445&lt;2,IF(O445&lt;16,"低","中"),IF(M445&lt;3,IF(O445&lt;5,"低",IF(O445&lt;16,"中","高")),IF(O445&lt;5,"中","高"))))),IF(OR(J445="EO",J445="EQ"),IF(OR(Y445="估算法",Y445="算法类"),"中",IF(Y445="无法识别","低",IF(M445&lt;2,IF(O445&lt;20,"低","中"),IF(M445&lt;4,IF(O445&lt;6,"低",IF(O445&lt;20,"中","高")),IF(O445&lt;6,"中","高"))))),IF(OR(J445="ILF",J445="EIF"),IF(OR(Y445="估算法",Y445="算法类",Y445="无法识别"),"低",IF(N445&lt;2,IF(O445&lt;51,"低","中"),IF(N445&lt;6,IF(O445&lt;20,"低",IF(O445&lt;51,"中","高")),IF(O445&lt;20,"中","高")))),"不计算")))</f>
        <v/>
      </c>
      <c r="Q445" s="172">
        <f>IFERROR(IF(J445="EI",IF(P445="低",3,IF(P445="中",4,6)),IF(J445="EO",IF(P445="低",4,IF(P445="中",5,7)),IF(J445="EQ",IF(P445="低",3,IF(P445="中",4,6)),IF(J445="ILF",IF(P445="低",7,IF(P445="中",10,15)),IF(J445="EIF",IF(P445="低",5,IF(P445="中",7,10)),"不计算")))))*R445,"不计算")</f>
        <v/>
      </c>
      <c r="R445" s="172" t="n">
        <v>1</v>
      </c>
      <c r="S445" s="173">
        <f>调整因子!$F$13</f>
        <v/>
      </c>
      <c r="T445" s="92" t="n">
        <v>1</v>
      </c>
      <c r="U445" s="174">
        <f>IFERROR(Q445*S445,0)</f>
        <v/>
      </c>
      <c r="V445" s="174">
        <f>U445*T445</f>
        <v/>
      </c>
      <c r="W445" s="93" t="inlineStr">
        <is>
          <t>用户偏好设置表、主机资产列表表</t>
        </is>
      </c>
      <c r="X445" s="98" t="n"/>
      <c r="Y445" s="93" t="inlineStr">
        <is>
          <t>用户偏好设置表{主键 id 、用户 id 、偏好设置名称、偏好设置值、最后更新时间}
主机资产列表表{主键id、用户id、主机名称、IP地址、操作系统、设备类型、状态、创建时间、最后更新时间}</t>
        </is>
      </c>
      <c r="Z445" s="90" t="n"/>
      <c r="AA445" s="90" t="n"/>
      <c r="AB445" s="103" t="inlineStr">
        <is>
          <t>推送规则表</t>
        </is>
      </c>
      <c r="AC445" s="66" t="n"/>
    </row>
    <row r="446" s="112">
      <c r="A446" s="72">
        <f>ROW()-1</f>
        <v/>
      </c>
      <c r="B446" s="175" t="n"/>
      <c r="C446" s="80" t="n">
        <v>2025</v>
      </c>
      <c r="D446" s="80" t="inlineStr">
        <is>
          <t>窦鹏岐</t>
        </is>
      </c>
      <c r="E446" s="81">
        <f>VLOOKUP(I446,'25年交付功能（不含废弃）'!A:A,1,FALSE)</f>
        <v/>
      </c>
      <c r="F446" s="175" t="n"/>
      <c r="G446" s="175" t="n"/>
      <c r="H446" s="175" t="n"/>
      <c r="I446" s="81" t="inlineStr">
        <is>
          <t>用户查看web资产列表</t>
        </is>
      </c>
      <c r="J446" s="93" t="inlineStr">
        <is>
          <t>EQ</t>
        </is>
      </c>
      <c r="K446" s="84" t="n"/>
      <c r="L446" s="84" t="n"/>
      <c r="M446" s="85">
        <f>IF(OR(Y446="估算法",Y446="算法类",Y446="无法识别"),"",IF(W446="",IF(OR(J446="EI",J446="EO",J446="EQ"),0,""),LEN(W446)-LEN(SUBSTITUTE(W446,"、",""))+1))</f>
        <v/>
      </c>
      <c r="N446" s="85">
        <f>IF(OR(Y446="估算法",Y446="算法类",Y446="无法识别"),"",IF(X446="",IF(OR(J446="ILF",J446="EIF"),0,""),LEN(X446)-LEN(SUBSTITUTE(X446,"、",""))+1))</f>
        <v/>
      </c>
      <c r="O446" s="85">
        <f>IF(OR(Y446="估算法",Y446="算法类",Y446="无法识别"),"",IF(Y446="",IF(OR(J446="ILF",J446="EIF",J446="EI",J446="EO",J446="EQ"),0,""),LEN(Y446)-LEN(SUBSTITUTE(SUBSTITUTE(SUBSTITUTE(SUBSTITUTE(SUBSTITUTE(Y446,"|}","--"),"{|","--"),CHAR(10),""),"、",""),"|",""))+IF(AND(OR(J446="EI",J446="EO",J446="EQ"),$AE$1="NESMA"),2,1)))</f>
        <v/>
      </c>
      <c r="P446" s="86">
        <f>IF(J446="EI",IF(OR(Y446="估算法",Y446="算法类"),"中",IF(Y446="无法识别","低",IF(M446&lt;2,IF(O446&lt;16,"低","中"),IF(M446&lt;3,IF(O446&lt;5,"低",IF(O446&lt;16,"中","高")),IF(O446&lt;5,"中","高"))))),IF(OR(J446="EO",J446="EQ"),IF(OR(Y446="估算法",Y446="算法类"),"中",IF(Y446="无法识别","低",IF(M446&lt;2,IF(O446&lt;20,"低","中"),IF(M446&lt;4,IF(O446&lt;6,"低",IF(O446&lt;20,"中","高")),IF(O446&lt;6,"中","高"))))),IF(OR(J446="ILF",J446="EIF"),IF(OR(Y446="估算法",Y446="算法类",Y446="无法识别"),"低",IF(N446&lt;2,IF(O446&lt;51,"低","中"),IF(N446&lt;6,IF(O446&lt;20,"低",IF(O446&lt;51,"中","高")),IF(O446&lt;20,"中","高")))),"不计算")))</f>
        <v/>
      </c>
      <c r="Q446" s="172">
        <f>IFERROR(IF(J446="EI",IF(P446="低",3,IF(P446="中",4,6)),IF(J446="EO",IF(P446="低",4,IF(P446="中",5,7)),IF(J446="EQ",IF(P446="低",3,IF(P446="中",4,6)),IF(J446="ILF",IF(P446="低",7,IF(P446="中",10,15)),IF(J446="EIF",IF(P446="低",5,IF(P446="中",7,10)),"不计算")))))*R446,"不计算")</f>
        <v/>
      </c>
      <c r="R446" s="172" t="n">
        <v>0.333333333333333</v>
      </c>
      <c r="S446" s="173">
        <f>调整因子!$F$13</f>
        <v/>
      </c>
      <c r="T446" s="93" t="n">
        <v>1</v>
      </c>
      <c r="U446" s="174">
        <f>IFERROR(Q446*S446,0)</f>
        <v/>
      </c>
      <c r="V446" s="174">
        <f>U446*T446</f>
        <v/>
      </c>
      <c r="W446" s="93" t="inlineStr">
        <is>
          <t>用户偏好设置表、Web资产列表表</t>
        </is>
      </c>
      <c r="X446" s="98" t="n"/>
      <c r="Y446" s="93" t="inlineStr">
        <is>
          <t>用户偏好设置表{主键 id 、用户 id 、偏好设置名称、偏好设置值、最后更新时间}
Web资产列表表{主键id、用户id、网站名称、域名、服务器类型、状态、创建时间、最后更新时间}</t>
        </is>
      </c>
      <c r="Z446" s="90" t="n"/>
      <c r="AA446" s="90" t="n"/>
      <c r="AB446" s="103" t="inlineStr">
        <is>
          <t>推送规则表</t>
        </is>
      </c>
      <c r="AC446" s="66" t="n"/>
    </row>
    <row r="447" s="112">
      <c r="A447" s="72">
        <f>ROW()-1</f>
        <v/>
      </c>
      <c r="B447" s="175" t="n"/>
      <c r="C447" s="80" t="n">
        <v>2025</v>
      </c>
      <c r="D447" s="80" t="inlineStr">
        <is>
          <t>窦鹏岐</t>
        </is>
      </c>
      <c r="E447" s="81">
        <f>VLOOKUP(I447,'25年交付功能（不含废弃）'!A:A,1,FALSE)</f>
        <v/>
      </c>
      <c r="F447" s="175" t="n"/>
      <c r="G447" s="175" t="n"/>
      <c r="H447" s="175" t="n"/>
      <c r="I447" s="81" t="inlineStr">
        <is>
          <t>用户查看节点风险等级信息</t>
        </is>
      </c>
      <c r="J447" s="93" t="inlineStr">
        <is>
          <t>EQ</t>
        </is>
      </c>
      <c r="K447" s="84" t="n"/>
      <c r="L447" s="84" t="n"/>
      <c r="M447" s="85">
        <f>IF(OR(Y447="估算法",Y447="算法类",Y447="无法识别"),"",IF(W447="",IF(OR(J447="EI",J447="EO",J447="EQ"),0,""),LEN(W447)-LEN(SUBSTITUTE(W447,"、",""))+1))</f>
        <v/>
      </c>
      <c r="N447" s="85">
        <f>IF(OR(Y447="估算法",Y447="算法类",Y447="无法识别"),"",IF(X447="",IF(OR(J447="ILF",J447="EIF"),0,""),LEN(X447)-LEN(SUBSTITUTE(X447,"、",""))+1))</f>
        <v/>
      </c>
      <c r="O447" s="85">
        <f>IF(OR(Y447="估算法",Y447="算法类",Y447="无法识别"),"",IF(Y447="",IF(OR(J447="ILF",J447="EIF",J447="EI",J447="EO",J447="EQ"),0,""),LEN(Y447)-LEN(SUBSTITUTE(SUBSTITUTE(SUBSTITUTE(SUBSTITUTE(SUBSTITUTE(Y447,"|}","--"),"{|","--"),CHAR(10),""),"、",""),"|",""))+IF(AND(OR(J447="EI",J447="EO",J447="EQ"),$AE$1="NESMA"),2,1)))</f>
        <v/>
      </c>
      <c r="P447" s="86">
        <f>IF(J447="EI",IF(OR(Y447="估算法",Y447="算法类"),"中",IF(Y447="无法识别","低",IF(M447&lt;2,IF(O447&lt;16,"低","中"),IF(M447&lt;3,IF(O447&lt;5,"低",IF(O447&lt;16,"中","高")),IF(O447&lt;5,"中","高"))))),IF(OR(J447="EO",J447="EQ"),IF(OR(Y447="估算法",Y447="算法类"),"中",IF(Y447="无法识别","低",IF(M447&lt;2,IF(O447&lt;20,"低","中"),IF(M447&lt;4,IF(O447&lt;6,"低",IF(O447&lt;20,"中","高")),IF(O447&lt;6,"中","高"))))),IF(OR(J447="ILF",J447="EIF"),IF(OR(Y447="估算法",Y447="算法类",Y447="无法识别"),"低",IF(N447&lt;2,IF(O447&lt;51,"低","中"),IF(N447&lt;6,IF(O447&lt;20,"低",IF(O447&lt;51,"中","高")),IF(O447&lt;20,"中","高")))),"不计算")))</f>
        <v/>
      </c>
      <c r="Q447" s="172">
        <f>IFERROR(IF(J447="EI",IF(P447="低",3,IF(P447="中",4,6)),IF(J447="EO",IF(P447="低",4,IF(P447="中",5,7)),IF(J447="EQ",IF(P447="低",3,IF(P447="中",4,6)),IF(J447="ILF",IF(P447="低",7,IF(P447="中",10,15)),IF(J447="EIF",IF(P447="低",5,IF(P447="中",7,10)),"不计算")))))*R447,"不计算")</f>
        <v/>
      </c>
      <c r="R447" s="172" t="n">
        <v>1</v>
      </c>
      <c r="S447" s="173">
        <f>调整因子!$F$13</f>
        <v/>
      </c>
      <c r="T447" s="92" t="n">
        <v>1</v>
      </c>
      <c r="U447" s="174">
        <f>IFERROR(Q447*S447,0)</f>
        <v/>
      </c>
      <c r="V447" s="174">
        <f>U447*T447</f>
        <v/>
      </c>
      <c r="W447" s="93" t="inlineStr">
        <is>
          <t>用户偏好设置表、节点风险等级表</t>
        </is>
      </c>
      <c r="X447" s="98" t="n"/>
      <c r="Y447" s="93" t="inlineStr">
        <is>
          <t>用户偏好设置表{主键 id 、用户 id 、偏好设置名称、偏好设置值、最后更新时间}
节点风险等级表{主键id、节点id、风险等级、评估时间、评估描述}</t>
        </is>
      </c>
      <c r="Z447" s="90" t="n"/>
      <c r="AA447" s="90" t="n"/>
      <c r="AB447" s="103" t="inlineStr">
        <is>
          <t>推送规则表</t>
        </is>
      </c>
      <c r="AC447" s="66" t="n"/>
    </row>
    <row r="448" s="112">
      <c r="A448" s="72">
        <f>ROW()-1</f>
        <v/>
      </c>
      <c r="B448" s="175" t="n"/>
      <c r="C448" s="80" t="n">
        <v>2025</v>
      </c>
      <c r="D448" s="80" t="inlineStr">
        <is>
          <t>窦鹏岐</t>
        </is>
      </c>
      <c r="E448" s="81">
        <f>VLOOKUP(I448,'25年交付功能（不含废弃）'!A:A,1,FALSE)</f>
        <v/>
      </c>
      <c r="F448" s="175" t="n"/>
      <c r="G448" s="175" t="n"/>
      <c r="H448" s="175" t="n"/>
      <c r="I448" s="81" t="inlineStr">
        <is>
          <t>用户查看节点主机整体风险等级分布</t>
        </is>
      </c>
      <c r="J448" s="93" t="inlineStr">
        <is>
          <t>EQ</t>
        </is>
      </c>
      <c r="K448" s="84" t="n"/>
      <c r="L448" s="84" t="n"/>
      <c r="M448" s="85">
        <f>IF(OR(Y448="估算法",Y448="算法类",Y448="无法识别"),"",IF(W448="",IF(OR(J448="EI",J448="EO",J448="EQ"),0,""),LEN(W448)-LEN(SUBSTITUTE(W448,"、",""))+1))</f>
        <v/>
      </c>
      <c r="N448" s="85">
        <f>IF(OR(Y448="估算法",Y448="算法类",Y448="无法识别"),"",IF(X448="",IF(OR(J448="ILF",J448="EIF"),0,""),LEN(X448)-LEN(SUBSTITUTE(X448,"、",""))+1))</f>
        <v/>
      </c>
      <c r="O448" s="85">
        <f>IF(OR(Y448="估算法",Y448="算法类",Y448="无法识别"),"",IF(Y448="",IF(OR(J448="ILF",J448="EIF",J448="EI",J448="EO",J448="EQ"),0,""),LEN(Y448)-LEN(SUBSTITUTE(SUBSTITUTE(SUBSTITUTE(SUBSTITUTE(SUBSTITUTE(Y448,"|}","--"),"{|","--"),CHAR(10),""),"、",""),"|",""))+IF(AND(OR(J448="EI",J448="EO",J448="EQ"),$AE$1="NESMA"),2,1)))</f>
        <v/>
      </c>
      <c r="P448" s="86">
        <f>IF(J448="EI",IF(OR(Y448="估算法",Y448="算法类"),"中",IF(Y448="无法识别","低",IF(M448&lt;2,IF(O448&lt;16,"低","中"),IF(M448&lt;3,IF(O448&lt;5,"低",IF(O448&lt;16,"中","高")),IF(O448&lt;5,"中","高"))))),IF(OR(J448="EO",J448="EQ"),IF(OR(Y448="估算法",Y448="算法类"),"中",IF(Y448="无法识别","低",IF(M448&lt;2,IF(O448&lt;20,"低","中"),IF(M448&lt;4,IF(O448&lt;6,"低",IF(O448&lt;20,"中","高")),IF(O448&lt;6,"中","高"))))),IF(OR(J448="ILF",J448="EIF"),IF(OR(Y448="估算法",Y448="算法类",Y448="无法识别"),"低",IF(N448&lt;2,IF(O448&lt;51,"低","中"),IF(N448&lt;6,IF(O448&lt;20,"低",IF(O448&lt;51,"中","高")),IF(O448&lt;20,"中","高")))),"不计算")))</f>
        <v/>
      </c>
      <c r="Q448" s="172">
        <f>IFERROR(IF(J448="EI",IF(P448="低",3,IF(P448="中",4,6)),IF(J448="EO",IF(P448="低",4,IF(P448="中",5,7)),IF(J448="EQ",IF(P448="低",3,IF(P448="中",4,6)),IF(J448="ILF",IF(P448="低",7,IF(P448="中",10,15)),IF(J448="EIF",IF(P448="低",5,IF(P448="中",7,10)),"不计算")))))*R448,"不计算")</f>
        <v/>
      </c>
      <c r="R448" s="172" t="n">
        <v>0.333333333333333</v>
      </c>
      <c r="S448" s="173">
        <f>调整因子!$F$13</f>
        <v/>
      </c>
      <c r="T448" s="92" t="n">
        <v>1</v>
      </c>
      <c r="U448" s="174">
        <f>IFERROR(Q448*S448,0)</f>
        <v/>
      </c>
      <c r="V448" s="174">
        <f>U448*T448</f>
        <v/>
      </c>
      <c r="W448" s="93" t="inlineStr">
        <is>
          <t>用户偏好设置表、主机风险评估表</t>
        </is>
      </c>
      <c r="X448" s="98" t="n"/>
      <c r="Y448" s="93" t="inlineStr">
        <is>
          <t>用户偏好设置表{主键 id 、用户 id 、偏好设置名称、偏好设置值、最后更新时间}
主机风险评估表</t>
        </is>
      </c>
      <c r="Z448" s="90" t="n"/>
      <c r="AA448" s="90" t="n"/>
      <c r="AB448" s="103" t="inlineStr">
        <is>
          <t>报告导入记录表</t>
        </is>
      </c>
      <c r="AC448" s="66" t="n"/>
    </row>
    <row r="449" customFormat="1" s="66">
      <c r="A449" s="72">
        <f>ROW()-1</f>
        <v/>
      </c>
      <c r="B449" s="175" t="n"/>
      <c r="C449" s="80" t="n">
        <v>2025</v>
      </c>
      <c r="D449" s="80" t="inlineStr">
        <is>
          <t>窦鹏岐</t>
        </is>
      </c>
      <c r="E449" s="81">
        <f>VLOOKUP(I449,'25年交付功能（不含废弃）'!A:A,1,FALSE)</f>
        <v/>
      </c>
      <c r="F449" s="175" t="n"/>
      <c r="G449" s="175" t="n"/>
      <c r="H449" s="175" t="n"/>
      <c r="I449" s="81" t="inlineStr">
        <is>
          <t>用户查看节点主机漏洞风险非常危险主机数量</t>
        </is>
      </c>
      <c r="J449" s="93" t="n"/>
      <c r="K449" s="84" t="n"/>
      <c r="L449" s="84" t="inlineStr">
        <is>
          <t>和上行合并，输入输出完全一致，相同查询</t>
        </is>
      </c>
      <c r="M449" s="85">
        <f>IF(OR(Y449="估算法",Y449="算法类",Y449="无法识别"),"",IF(W449="",IF(OR(J449="EI",J449="EO",J449="EQ"),0,""),LEN(W449)-LEN(SUBSTITUTE(W449,"、",""))+1))</f>
        <v/>
      </c>
      <c r="N449" s="85">
        <f>IF(OR(Y449="估算法",Y449="算法类",Y449="无法识别"),"",IF(X449="",IF(OR(J449="ILF",J449="EIF"),0,""),LEN(X449)-LEN(SUBSTITUTE(X449,"、",""))+1))</f>
        <v/>
      </c>
      <c r="O449" s="85">
        <f>IF(OR(Y449="估算法",Y449="算法类",Y449="无法识别"),"",IF(Y449="",IF(OR(J449="ILF",J449="EIF",J449="EI",J449="EO",J449="EQ"),0,""),LEN(Y449)-LEN(SUBSTITUTE(SUBSTITUTE(SUBSTITUTE(SUBSTITUTE(SUBSTITUTE(Y449,"|}","--"),"{|","--"),CHAR(10),""),"、",""),"|",""))+IF(AND(OR(J449="EI",J449="EO",J449="EQ"),$AE$1="NESMA"),2,1)))</f>
        <v/>
      </c>
      <c r="P449" s="86">
        <f>IF(J449="EI",IF(OR(Y449="估算法",Y449="算法类"),"中",IF(Y449="无法识别","低",IF(M449&lt;2,IF(O449&lt;16,"低","中"),IF(M449&lt;3,IF(O449&lt;5,"低",IF(O449&lt;16,"中","高")),IF(O449&lt;5,"中","高"))))),IF(OR(J449="EO",J449="EQ"),IF(OR(Y449="估算法",Y449="算法类"),"中",IF(Y449="无法识别","低",IF(M449&lt;2,IF(O449&lt;20,"低","中"),IF(M449&lt;4,IF(O449&lt;6,"低",IF(O449&lt;20,"中","高")),IF(O449&lt;6,"中","高"))))),IF(OR(J449="ILF",J449="EIF"),IF(OR(Y449="估算法",Y449="算法类",Y449="无法识别"),"低",IF(N449&lt;2,IF(O449&lt;51,"低","中"),IF(N449&lt;6,IF(O449&lt;20,"低",IF(O449&lt;51,"中","高")),IF(O449&lt;20,"中","高")))),"不计算")))</f>
        <v/>
      </c>
      <c r="Q449" s="172">
        <f>IFERROR(IF(J449="EI",IF(P449="低",3,IF(P449="中",4,6)),IF(J449="EO",IF(P449="低",4,IF(P449="中",5,7)),IF(J449="EQ",IF(P449="低",3,IF(P449="中",4,6)),IF(J449="ILF",IF(P449="低",7,IF(P449="中",10,15)),IF(J449="EIF",IF(P449="低",5,IF(P449="中",7,10)),"不计算")))))*R449,"不计算")</f>
        <v/>
      </c>
      <c r="R449" s="172" t="n">
        <v>0.333333333333333</v>
      </c>
      <c r="S449" s="173">
        <f>调整因子!$F$13</f>
        <v/>
      </c>
      <c r="T449" s="93" t="n">
        <v>1</v>
      </c>
      <c r="U449" s="174">
        <f>IFERROR(Q449*S449,0)</f>
        <v/>
      </c>
      <c r="V449" s="174">
        <f>U449*T449</f>
        <v/>
      </c>
      <c r="W449" s="93" t="inlineStr">
        <is>
          <t>用户偏好设置表、主机漏洞表</t>
        </is>
      </c>
      <c r="X449" s="98" t="n"/>
      <c r="Y449" s="93" t="inlineStr">
        <is>
          <t>用户偏好设置表{主键 id 、用户 id 、偏好设置名称、偏好设置值、最后更新时间}
主机漏洞表{主机漏洞表{主键id、主机id、漏洞名称、漏洞描述、风险等级、发现时间、状态}}</t>
        </is>
      </c>
      <c r="Z449" s="90" t="n"/>
      <c r="AA449" s="90" t="n"/>
      <c r="AB449" s="103" t="inlineStr">
        <is>
          <t>任务趋势分析表</t>
        </is>
      </c>
      <c r="AC449" s="66" t="n"/>
    </row>
    <row r="450" customFormat="1" s="66">
      <c r="A450" s="72">
        <f>ROW()-1</f>
        <v/>
      </c>
      <c r="B450" s="175" t="n"/>
      <c r="C450" s="80" t="n">
        <v>2025</v>
      </c>
      <c r="D450" s="80" t="inlineStr">
        <is>
          <t>窦鹏岐</t>
        </is>
      </c>
      <c r="E450" s="81">
        <f>VLOOKUP(I450,'25年交付功能（不含废弃）'!A:A,1,FALSE)</f>
        <v/>
      </c>
      <c r="F450" s="175" t="n"/>
      <c r="G450" s="175" t="n"/>
      <c r="H450" s="175" t="n"/>
      <c r="I450" s="81" t="inlineStr">
        <is>
          <t>用户查看节点主机漏洞风险比较危险主机数量</t>
        </is>
      </c>
      <c r="J450" s="93" t="n"/>
      <c r="K450" s="84" t="n"/>
      <c r="L450" s="84" t="inlineStr">
        <is>
          <t>和上行合并，输入输出完全一致，相同查询</t>
        </is>
      </c>
      <c r="M450" s="85">
        <f>IF(OR(Y450="估算法",Y450="算法类",Y450="无法识别"),"",IF(W450="",IF(OR(J450="EI",J450="EO",J450="EQ"),0,""),LEN(W450)-LEN(SUBSTITUTE(W450,"、",""))+1))</f>
        <v/>
      </c>
      <c r="N450" s="85">
        <f>IF(OR(Y450="估算法",Y450="算法类",Y450="无法识别"),"",IF(X450="",IF(OR(J450="ILF",J450="EIF"),0,""),LEN(X450)-LEN(SUBSTITUTE(X450,"、",""))+1))</f>
        <v/>
      </c>
      <c r="O450" s="85">
        <f>IF(OR(Y450="估算法",Y450="算法类",Y450="无法识别"),"",IF(Y450="",IF(OR(J450="ILF",J450="EIF",J450="EI",J450="EO",J450="EQ"),0,""),LEN(Y450)-LEN(SUBSTITUTE(SUBSTITUTE(SUBSTITUTE(SUBSTITUTE(SUBSTITUTE(Y450,"|}","--"),"{|","--"),CHAR(10),""),"、",""),"|",""))+IF(AND(OR(J450="EI",J450="EO",J450="EQ"),$AE$1="NESMA"),2,1)))</f>
        <v/>
      </c>
      <c r="P450" s="86">
        <f>IF(J450="EI",IF(OR(Y450="估算法",Y450="算法类"),"中",IF(Y450="无法识别","低",IF(M450&lt;2,IF(O450&lt;16,"低","中"),IF(M450&lt;3,IF(O450&lt;5,"低",IF(O450&lt;16,"中","高")),IF(O450&lt;5,"中","高"))))),IF(OR(J450="EO",J450="EQ"),IF(OR(Y450="估算法",Y450="算法类"),"中",IF(Y450="无法识别","低",IF(M450&lt;2,IF(O450&lt;20,"低","中"),IF(M450&lt;4,IF(O450&lt;6,"低",IF(O450&lt;20,"中","高")),IF(O450&lt;6,"中","高"))))),IF(OR(J450="ILF",J450="EIF"),IF(OR(Y450="估算法",Y450="算法类",Y450="无法识别"),"低",IF(N450&lt;2,IF(O450&lt;51,"低","中"),IF(N450&lt;6,IF(O450&lt;20,"低",IF(O450&lt;51,"中","高")),IF(O450&lt;20,"中","高")))),"不计算")))</f>
        <v/>
      </c>
      <c r="Q450" s="172">
        <f>IFERROR(IF(J450="EI",IF(P450="低",3,IF(P450="中",4,6)),IF(J450="EO",IF(P450="低",4,IF(P450="中",5,7)),IF(J450="EQ",IF(P450="低",3,IF(P450="中",4,6)),IF(J450="ILF",IF(P450="低",7,IF(P450="中",10,15)),IF(J450="EIF",IF(P450="低",5,IF(P450="中",7,10)),"不计算")))))*R450,"不计算")</f>
        <v/>
      </c>
      <c r="R450" s="172" t="n">
        <v>0.333333333333333</v>
      </c>
      <c r="S450" s="173">
        <f>调整因子!$F$13</f>
        <v/>
      </c>
      <c r="T450" s="92" t="n">
        <v>1</v>
      </c>
      <c r="U450" s="174">
        <f>IFERROR(Q450*S450,0)</f>
        <v/>
      </c>
      <c r="V450" s="174">
        <f>U450*T450</f>
        <v/>
      </c>
      <c r="W450" s="93" t="inlineStr">
        <is>
          <t>用户偏好设置表、主机漏洞表</t>
        </is>
      </c>
      <c r="X450" s="98" t="n"/>
      <c r="Y450" s="93" t="inlineStr">
        <is>
          <t>用户偏好设置表{主键 id 、用户 id 、偏好设置名称、偏好设置值、最后更新时间}
主机漏洞表{主机漏洞表{主键id、主机id、漏洞名称、漏洞描述、风险等级、发现时间、状态}}</t>
        </is>
      </c>
      <c r="Z450" s="90" t="n"/>
      <c r="AA450" s="90" t="n"/>
      <c r="AB450" s="103" t="inlineStr">
        <is>
          <t>扫描任务接口配置表</t>
        </is>
      </c>
      <c r="AC450" s="66" t="n"/>
    </row>
    <row r="451" customFormat="1" s="66">
      <c r="A451" s="72">
        <f>ROW()-1</f>
        <v/>
      </c>
      <c r="B451" s="175" t="n"/>
      <c r="C451" s="80" t="n">
        <v>2025</v>
      </c>
      <c r="D451" s="80" t="inlineStr">
        <is>
          <t>窦鹏岐</t>
        </is>
      </c>
      <c r="E451" s="81">
        <f>VLOOKUP(I451,'25年交付功能（不含废弃）'!A:A,1,FALSE)</f>
        <v/>
      </c>
      <c r="F451" s="175" t="n"/>
      <c r="G451" s="175" t="n"/>
      <c r="H451" s="175" t="n"/>
      <c r="I451" s="81" t="inlineStr">
        <is>
          <t>用户查看节点主机漏洞风险比较安全主机数量</t>
        </is>
      </c>
      <c r="J451" s="93" t="n"/>
      <c r="K451" s="84" t="n"/>
      <c r="L451" s="84" t="inlineStr">
        <is>
          <t>和上行合并，输入输出完全一致，相同查询</t>
        </is>
      </c>
      <c r="M451" s="85">
        <f>IF(OR(Y451="估算法",Y451="算法类",Y451="无法识别"),"",IF(W451="",IF(OR(J451="EI",J451="EO",J451="EQ"),0,""),LEN(W451)-LEN(SUBSTITUTE(W451,"、",""))+1))</f>
        <v/>
      </c>
      <c r="N451" s="85">
        <f>IF(OR(Y451="估算法",Y451="算法类",Y451="无法识别"),"",IF(X451="",IF(OR(J451="ILF",J451="EIF"),0,""),LEN(X451)-LEN(SUBSTITUTE(X451,"、",""))+1))</f>
        <v/>
      </c>
      <c r="O451" s="85">
        <f>IF(OR(Y451="估算法",Y451="算法类",Y451="无法识别"),"",IF(Y451="",IF(OR(J451="ILF",J451="EIF",J451="EI",J451="EO",J451="EQ"),0,""),LEN(Y451)-LEN(SUBSTITUTE(SUBSTITUTE(SUBSTITUTE(SUBSTITUTE(SUBSTITUTE(Y451,"|}","--"),"{|","--"),CHAR(10),""),"、",""),"|",""))+IF(AND(OR(J451="EI",J451="EO",J451="EQ"),$AE$1="NESMA"),2,1)))</f>
        <v/>
      </c>
      <c r="P451" s="86">
        <f>IF(J451="EI",IF(OR(Y451="估算法",Y451="算法类"),"中",IF(Y451="无法识别","低",IF(M451&lt;2,IF(O451&lt;16,"低","中"),IF(M451&lt;3,IF(O451&lt;5,"低",IF(O451&lt;16,"中","高")),IF(O451&lt;5,"中","高"))))),IF(OR(J451="EO",J451="EQ"),IF(OR(Y451="估算法",Y451="算法类"),"中",IF(Y451="无法识别","低",IF(M451&lt;2,IF(O451&lt;20,"低","中"),IF(M451&lt;4,IF(O451&lt;6,"低",IF(O451&lt;20,"中","高")),IF(O451&lt;6,"中","高"))))),IF(OR(J451="ILF",J451="EIF"),IF(OR(Y451="估算法",Y451="算法类",Y451="无法识别"),"低",IF(N451&lt;2,IF(O451&lt;51,"低","中"),IF(N451&lt;6,IF(O451&lt;20,"低",IF(O451&lt;51,"中","高")),IF(O451&lt;20,"中","高")))),"不计算")))</f>
        <v/>
      </c>
      <c r="Q451" s="172">
        <f>IFERROR(IF(J451="EI",IF(P451="低",3,IF(P451="中",4,6)),IF(J451="EO",IF(P451="低",4,IF(P451="中",5,7)),IF(J451="EQ",IF(P451="低",3,IF(P451="中",4,6)),IF(J451="ILF",IF(P451="低",7,IF(P451="中",10,15)),IF(J451="EIF",IF(P451="低",5,IF(P451="中",7,10)),"不计算")))))*R451,"不计算")</f>
        <v/>
      </c>
      <c r="R451" s="172" t="n">
        <v>0.333333333333333</v>
      </c>
      <c r="S451" s="173">
        <f>调整因子!$F$13</f>
        <v/>
      </c>
      <c r="T451" s="92" t="n">
        <v>1</v>
      </c>
      <c r="U451" s="174">
        <f>IFERROR(Q451*S451,0)</f>
        <v/>
      </c>
      <c r="V451" s="174">
        <f>U451*T451</f>
        <v/>
      </c>
      <c r="W451" s="93" t="inlineStr">
        <is>
          <t>用户偏好设置表、主机漏洞表</t>
        </is>
      </c>
      <c r="X451" s="98" t="n"/>
      <c r="Y451" s="93" t="inlineStr">
        <is>
          <t>用户偏好设置表{主键 id 、用户 id 、偏好设置名称、偏好设置值、最后更新时间}
主机漏洞表{主机漏洞表{主键id、主机id、漏洞名称、漏洞描述、风险等级、发现时间、状态}}</t>
        </is>
      </c>
      <c r="Z451" s="90" t="n"/>
      <c r="AA451" s="90" t="n"/>
      <c r="AB451" s="103" t="inlineStr">
        <is>
          <t>扫描策略模板表</t>
        </is>
      </c>
      <c r="AC451" s="66" t="n"/>
    </row>
    <row r="452" customFormat="1" s="66">
      <c r="A452" s="72">
        <f>ROW()-1</f>
        <v/>
      </c>
      <c r="B452" s="175" t="n"/>
      <c r="C452" s="80" t="n">
        <v>2025</v>
      </c>
      <c r="D452" s="80" t="inlineStr">
        <is>
          <t>窦鹏岐</t>
        </is>
      </c>
      <c r="E452" s="81">
        <f>VLOOKUP(I452,'25年交付功能（不含废弃）'!A:A,1,FALSE)</f>
        <v/>
      </c>
      <c r="F452" s="175" t="n"/>
      <c r="G452" s="175" t="n"/>
      <c r="H452" s="175" t="n"/>
      <c r="I452" s="81" t="inlineStr">
        <is>
          <t>用户查看节点主机漏洞风险非常安全主机数量</t>
        </is>
      </c>
      <c r="J452" s="93" t="n"/>
      <c r="K452" s="84" t="n"/>
      <c r="L452" s="84" t="inlineStr">
        <is>
          <t>和上行合并，输入输出完全一致，相同查询</t>
        </is>
      </c>
      <c r="M452" s="85">
        <f>IF(OR(Y452="估算法",Y452="算法类",Y452="无法识别"),"",IF(W452="",IF(OR(J452="EI",J452="EO",J452="EQ"),0,""),LEN(W452)-LEN(SUBSTITUTE(W452,"、",""))+1))</f>
        <v/>
      </c>
      <c r="N452" s="85">
        <f>IF(OR(Y452="估算法",Y452="算法类",Y452="无法识别"),"",IF(X452="",IF(OR(J452="ILF",J452="EIF"),0,""),LEN(X452)-LEN(SUBSTITUTE(X452,"、",""))+1))</f>
        <v/>
      </c>
      <c r="O452" s="85">
        <f>IF(OR(Y452="估算法",Y452="算法类",Y452="无法识别"),"",IF(Y452="",IF(OR(J452="ILF",J452="EIF",J452="EI",J452="EO",J452="EQ"),0,""),LEN(Y452)-LEN(SUBSTITUTE(SUBSTITUTE(SUBSTITUTE(SUBSTITUTE(SUBSTITUTE(Y452,"|}","--"),"{|","--"),CHAR(10),""),"、",""),"|",""))+IF(AND(OR(J452="EI",J452="EO",J452="EQ"),$AE$1="NESMA"),2,1)))</f>
        <v/>
      </c>
      <c r="P452" s="86">
        <f>IF(J452="EI",IF(OR(Y452="估算法",Y452="算法类"),"中",IF(Y452="无法识别","低",IF(M452&lt;2,IF(O452&lt;16,"低","中"),IF(M452&lt;3,IF(O452&lt;5,"低",IF(O452&lt;16,"中","高")),IF(O452&lt;5,"中","高"))))),IF(OR(J452="EO",J452="EQ"),IF(OR(Y452="估算法",Y452="算法类"),"中",IF(Y452="无法识别","低",IF(M452&lt;2,IF(O452&lt;20,"低","中"),IF(M452&lt;4,IF(O452&lt;6,"低",IF(O452&lt;20,"中","高")),IF(O452&lt;6,"中","高"))))),IF(OR(J452="ILF",J452="EIF"),IF(OR(Y452="估算法",Y452="算法类",Y452="无法识别"),"低",IF(N452&lt;2,IF(O452&lt;51,"低","中"),IF(N452&lt;6,IF(O452&lt;20,"低",IF(O452&lt;51,"中","高")),IF(O452&lt;20,"中","高")))),"不计算")))</f>
        <v/>
      </c>
      <c r="Q452" s="172">
        <f>IFERROR(IF(J452="EI",IF(P452="低",3,IF(P452="中",4,6)),IF(J452="EO",IF(P452="低",4,IF(P452="中",5,7)),IF(J452="EQ",IF(P452="低",3,IF(P452="中",4,6)),IF(J452="ILF",IF(P452="低",7,IF(P452="中",10,15)),IF(J452="EIF",IF(P452="低",5,IF(P452="中",7,10)),"不计算")))))*R452,"不计算")</f>
        <v/>
      </c>
      <c r="R452" s="172" t="n">
        <v>0.333333333333333</v>
      </c>
      <c r="S452" s="173">
        <f>调整因子!$F$13</f>
        <v/>
      </c>
      <c r="T452" s="93" t="n">
        <v>1</v>
      </c>
      <c r="U452" s="174">
        <f>IFERROR(Q452*S452,0)</f>
        <v/>
      </c>
      <c r="V452" s="174">
        <f>U452*T452</f>
        <v/>
      </c>
      <c r="W452" s="93" t="inlineStr">
        <is>
          <t>用户偏好设置表、主机漏洞表</t>
        </is>
      </c>
      <c r="X452" s="98" t="n"/>
      <c r="Y452" s="93" t="inlineStr">
        <is>
          <t>用户偏好设置表{主键 id 、用户 id 、偏好设置名称、偏好设置值、最后更新时间}
主机漏洞表{主机漏洞表{主键id、主机id、漏洞名称、漏洞描述、风险等级、发现时间、状态}}</t>
        </is>
      </c>
      <c r="Z452" s="90" t="n"/>
      <c r="AA452" s="90" t="n"/>
      <c r="AB452" s="103" t="inlineStr">
        <is>
          <t>扫描策略模板表</t>
        </is>
      </c>
      <c r="AC452" s="66" t="n"/>
    </row>
    <row r="453" customFormat="1" s="66">
      <c r="A453" s="72">
        <f>ROW()-1</f>
        <v/>
      </c>
      <c r="B453" s="175" t="n"/>
      <c r="C453" s="80" t="n">
        <v>2025</v>
      </c>
      <c r="D453" s="80" t="inlineStr">
        <is>
          <t>窦鹏岐</t>
        </is>
      </c>
      <c r="E453" s="81">
        <f>VLOOKUP(I453,'25年交付功能（不含废弃）'!A:A,1,FALSE)</f>
        <v/>
      </c>
      <c r="F453" s="175" t="n"/>
      <c r="G453" s="175" t="n"/>
      <c r="H453" s="175" t="n"/>
      <c r="I453" s="81" t="inlineStr">
        <is>
          <t>用户查看节点主机漏洞风险未知风险主机数量</t>
        </is>
      </c>
      <c r="J453" s="93" t="n"/>
      <c r="K453" s="84" t="n"/>
      <c r="L453" s="84" t="inlineStr">
        <is>
          <t>和上行合并，输入输出完全一致，相同查询</t>
        </is>
      </c>
      <c r="M453" s="85">
        <f>IF(OR(Y453="估算法",Y453="算法类",Y453="无法识别"),"",IF(W453="",IF(OR(J453="EI",J453="EO",J453="EQ"),0,""),LEN(W453)-LEN(SUBSTITUTE(W453,"、",""))+1))</f>
        <v/>
      </c>
      <c r="N453" s="85">
        <f>IF(OR(Y453="估算法",Y453="算法类",Y453="无法识别"),"",IF(X453="",IF(OR(J453="ILF",J453="EIF"),0,""),LEN(X453)-LEN(SUBSTITUTE(X453,"、",""))+1))</f>
        <v/>
      </c>
      <c r="O453" s="85">
        <f>IF(OR(Y453="估算法",Y453="算法类",Y453="无法识别"),"",IF(Y453="",IF(OR(J453="ILF",J453="EIF",J453="EI",J453="EO",J453="EQ"),0,""),LEN(Y453)-LEN(SUBSTITUTE(SUBSTITUTE(SUBSTITUTE(SUBSTITUTE(SUBSTITUTE(Y453,"|}","--"),"{|","--"),CHAR(10),""),"、",""),"|",""))+IF(AND(OR(J453="EI",J453="EO",J453="EQ"),$AE$1="NESMA"),2,1)))</f>
        <v/>
      </c>
      <c r="P453" s="86">
        <f>IF(J453="EI",IF(OR(Y453="估算法",Y453="算法类"),"中",IF(Y453="无法识别","低",IF(M453&lt;2,IF(O453&lt;16,"低","中"),IF(M453&lt;3,IF(O453&lt;5,"低",IF(O453&lt;16,"中","高")),IF(O453&lt;5,"中","高"))))),IF(OR(J453="EO",J453="EQ"),IF(OR(Y453="估算法",Y453="算法类"),"中",IF(Y453="无法识别","低",IF(M453&lt;2,IF(O453&lt;20,"低","中"),IF(M453&lt;4,IF(O453&lt;6,"低",IF(O453&lt;20,"中","高")),IF(O453&lt;6,"中","高"))))),IF(OR(J453="ILF",J453="EIF"),IF(OR(Y453="估算法",Y453="算法类",Y453="无法识别"),"低",IF(N453&lt;2,IF(O453&lt;51,"低","中"),IF(N453&lt;6,IF(O453&lt;20,"低",IF(O453&lt;51,"中","高")),IF(O453&lt;20,"中","高")))),"不计算")))</f>
        <v/>
      </c>
      <c r="Q453" s="172">
        <f>IFERROR(IF(J453="EI",IF(P453="低",3,IF(P453="中",4,6)),IF(J453="EO",IF(P453="低",4,IF(P453="中",5,7)),IF(J453="EQ",IF(P453="低",3,IF(P453="中",4,6)),IF(J453="ILF",IF(P453="低",7,IF(P453="中",10,15)),IF(J453="EIF",IF(P453="低",5,IF(P453="中",7,10)),"不计算")))))*R453,"不计算")</f>
        <v/>
      </c>
      <c r="R453" s="172" t="n">
        <v>0.2</v>
      </c>
      <c r="S453" s="173">
        <f>调整因子!$F$13</f>
        <v/>
      </c>
      <c r="T453" s="92" t="n">
        <v>1</v>
      </c>
      <c r="U453" s="174">
        <f>IFERROR(Q453*S453,0)</f>
        <v/>
      </c>
      <c r="V453" s="174">
        <f>U453*T453</f>
        <v/>
      </c>
      <c r="W453" s="93" t="inlineStr">
        <is>
          <t>用户偏好设置表、主机漏洞表</t>
        </is>
      </c>
      <c r="X453" s="98" t="n"/>
      <c r="Y453" s="93" t="inlineStr">
        <is>
          <t>用户偏好设置表{主键 id 、用户 id 、偏好设置名称、偏好设置值、最后更新时间}
主机漏洞表{主机漏洞表{主键id、主机id、漏洞名称、漏洞描述、风险等级、发现时间、状态}}</t>
        </is>
      </c>
      <c r="Z453" s="90" t="n"/>
      <c r="AA453" s="90" t="n"/>
      <c r="AB453" s="103" t="inlineStr">
        <is>
          <t>扫描策略模板表</t>
        </is>
      </c>
      <c r="AC453" s="66" t="n"/>
    </row>
    <row r="454" customFormat="1" s="66">
      <c r="A454" s="72">
        <f>ROW()-1</f>
        <v/>
      </c>
      <c r="B454" s="175" t="n"/>
      <c r="C454" s="80" t="n">
        <v>2025</v>
      </c>
      <c r="D454" s="80" t="inlineStr">
        <is>
          <t>窦鹏岐</t>
        </is>
      </c>
      <c r="E454" s="81">
        <f>VLOOKUP(I454,'25年交付功能（不含废弃）'!A:A,1,FALSE)</f>
        <v/>
      </c>
      <c r="F454" s="175" t="n"/>
      <c r="G454" s="175" t="n"/>
      <c r="H454" s="175" t="n"/>
      <c r="I454" s="81" t="inlineStr">
        <is>
          <t>用户查看节点主机配置风险等级分布</t>
        </is>
      </c>
      <c r="J454" s="93" t="inlineStr">
        <is>
          <t>EQ</t>
        </is>
      </c>
      <c r="K454" s="84" t="n"/>
      <c r="L454" s="84" t="n"/>
      <c r="M454" s="85">
        <f>IF(OR(Y454="估算法",Y454="算法类",Y454="无法识别"),"",IF(W454="",IF(OR(J454="EI",J454="EO",J454="EQ"),0,""),LEN(W454)-LEN(SUBSTITUTE(W454,"、",""))+1))</f>
        <v/>
      </c>
      <c r="N454" s="85">
        <f>IF(OR(Y454="估算法",Y454="算法类",Y454="无法识别"),"",IF(X454="",IF(OR(J454="ILF",J454="EIF"),0,""),LEN(X454)-LEN(SUBSTITUTE(X454,"、",""))+1))</f>
        <v/>
      </c>
      <c r="O454" s="85">
        <f>IF(OR(Y454="估算法",Y454="算法类",Y454="无法识别"),"",IF(Y454="",IF(OR(J454="ILF",J454="EIF",J454="EI",J454="EO",J454="EQ"),0,""),LEN(Y454)-LEN(SUBSTITUTE(SUBSTITUTE(SUBSTITUTE(SUBSTITUTE(SUBSTITUTE(Y454,"|}","--"),"{|","--"),CHAR(10),""),"、",""),"|",""))+IF(AND(OR(J454="EI",J454="EO",J454="EQ"),$AE$1="NESMA"),2,1)))</f>
        <v/>
      </c>
      <c r="P454" s="86">
        <f>IF(J454="EI",IF(OR(Y454="估算法",Y454="算法类"),"中",IF(Y454="无法识别","低",IF(M454&lt;2,IF(O454&lt;16,"低","中"),IF(M454&lt;3,IF(O454&lt;5,"低",IF(O454&lt;16,"中","高")),IF(O454&lt;5,"中","高"))))),IF(OR(J454="EO",J454="EQ"),IF(OR(Y454="估算法",Y454="算法类"),"中",IF(Y454="无法识别","低",IF(M454&lt;2,IF(O454&lt;20,"低","中"),IF(M454&lt;4,IF(O454&lt;6,"低",IF(O454&lt;20,"中","高")),IF(O454&lt;6,"中","高"))))),IF(OR(J454="ILF",J454="EIF"),IF(OR(Y454="估算法",Y454="算法类",Y454="无法识别"),"低",IF(N454&lt;2,IF(O454&lt;51,"低","中"),IF(N454&lt;6,IF(O454&lt;20,"低",IF(O454&lt;51,"中","高")),IF(O454&lt;20,"中","高")))),"不计算")))</f>
        <v/>
      </c>
      <c r="Q454" s="172">
        <f>IFERROR(IF(J454="EI",IF(P454="低",3,IF(P454="中",4,6)),IF(J454="EO",IF(P454="低",4,IF(P454="中",5,7)),IF(J454="EQ",IF(P454="低",3,IF(P454="中",4,6)),IF(J454="ILF",IF(P454="低",7,IF(P454="中",10,15)),IF(J454="EIF",IF(P454="低",5,IF(P454="中",7,10)),"不计算")))))*R454,"不计算")</f>
        <v/>
      </c>
      <c r="R454" s="172" t="n">
        <v>1</v>
      </c>
      <c r="S454" s="173">
        <f>调整因子!$F$13</f>
        <v/>
      </c>
      <c r="T454" s="92" t="n">
        <v>1</v>
      </c>
      <c r="U454" s="174">
        <f>IFERROR(Q454*S454,0)</f>
        <v/>
      </c>
      <c r="V454" s="174">
        <f>U454*T454</f>
        <v/>
      </c>
      <c r="W454" s="93" t="inlineStr">
        <is>
          <t>用户偏好设置表、主机风险评估表</t>
        </is>
      </c>
      <c r="X454" s="98" t="n"/>
      <c r="Y454" s="93" t="inlineStr">
        <is>
          <t>用户偏好设置表{主键 id 、用户 id 、偏好设置名称、偏好设置值、最后更新时间}
主机风险评估表{主键id、主机id、风险等级、评估时间、评估描述}</t>
        </is>
      </c>
      <c r="Z454" s="90" t="n"/>
      <c r="AA454" s="90" t="n"/>
      <c r="AB454" s="103" t="inlineStr">
        <is>
          <t>调用统计表</t>
        </is>
      </c>
      <c r="AC454" s="66" t="n"/>
    </row>
    <row r="455" customFormat="1" s="66">
      <c r="A455" s="72">
        <f>ROW()-1</f>
        <v/>
      </c>
      <c r="B455" s="175" t="n"/>
      <c r="C455" s="80" t="n">
        <v>2025</v>
      </c>
      <c r="D455" s="80" t="inlineStr">
        <is>
          <t>窦鹏岐</t>
        </is>
      </c>
      <c r="E455" s="81">
        <f>VLOOKUP(I455,'25年交付功能（不含废弃）'!A:A,1,FALSE)</f>
        <v/>
      </c>
      <c r="F455" s="175" t="n"/>
      <c r="G455" s="175" t="n"/>
      <c r="H455" s="175" t="n"/>
      <c r="I455" s="81" t="inlineStr">
        <is>
          <t>用户查看节点主机配置风险非常危险主机数量</t>
        </is>
      </c>
      <c r="J455" s="93" t="n"/>
      <c r="K455" s="84" t="n"/>
      <c r="L455" s="84" t="inlineStr">
        <is>
          <t>和上行合并，输入输出完全一致，相同查询</t>
        </is>
      </c>
      <c r="M455" s="85">
        <f>IF(OR(Y455="估算法",Y455="算法类",Y455="无法识别"),"",IF(W455="",IF(OR(J455="EI",J455="EO",J455="EQ"),0,""),LEN(W455)-LEN(SUBSTITUTE(W455,"、",""))+1))</f>
        <v/>
      </c>
      <c r="N455" s="85">
        <f>IF(OR(Y455="估算法",Y455="算法类",Y455="无法识别"),"",IF(X455="",IF(OR(J455="ILF",J455="EIF"),0,""),LEN(X455)-LEN(SUBSTITUTE(X455,"、",""))+1))</f>
        <v/>
      </c>
      <c r="O455" s="85">
        <f>IF(OR(Y455="估算法",Y455="算法类",Y455="无法识别"),"",IF(Y455="",IF(OR(J455="ILF",J455="EIF",J455="EI",J455="EO",J455="EQ"),0,""),LEN(Y455)-LEN(SUBSTITUTE(SUBSTITUTE(SUBSTITUTE(SUBSTITUTE(SUBSTITUTE(Y455,"|}","--"),"{|","--"),CHAR(10),""),"、",""),"|",""))+IF(AND(OR(J455="EI",J455="EO",J455="EQ"),$AE$1="NESMA"),2,1)))</f>
        <v/>
      </c>
      <c r="P455" s="86">
        <f>IF(J455="EI",IF(OR(Y455="估算法",Y455="算法类"),"中",IF(Y455="无法识别","低",IF(M455&lt;2,IF(O455&lt;16,"低","中"),IF(M455&lt;3,IF(O455&lt;5,"低",IF(O455&lt;16,"中","高")),IF(O455&lt;5,"中","高"))))),IF(OR(J455="EO",J455="EQ"),IF(OR(Y455="估算法",Y455="算法类"),"中",IF(Y455="无法识别","低",IF(M455&lt;2,IF(O455&lt;20,"低","中"),IF(M455&lt;4,IF(O455&lt;6,"低",IF(O455&lt;20,"中","高")),IF(O455&lt;6,"中","高"))))),IF(OR(J455="ILF",J455="EIF"),IF(OR(Y455="估算法",Y455="算法类",Y455="无法识别"),"低",IF(N455&lt;2,IF(O455&lt;51,"低","中"),IF(N455&lt;6,IF(O455&lt;20,"低",IF(O455&lt;51,"中","高")),IF(O455&lt;20,"中","高")))),"不计算")))</f>
        <v/>
      </c>
      <c r="Q455" s="172">
        <f>IFERROR(IF(J455="EI",IF(P455="低",3,IF(P455="中",4,6)),IF(J455="EO",IF(P455="低",4,IF(P455="中",5,7)),IF(J455="EQ",IF(P455="低",3,IF(P455="中",4,6)),IF(J455="ILF",IF(P455="低",7,IF(P455="中",10,15)),IF(J455="EIF",IF(P455="低",5,IF(P455="中",7,10)),"不计算")))))*R455,"不计算")</f>
        <v/>
      </c>
      <c r="R455" s="172" t="n">
        <v>0.333333333333333</v>
      </c>
      <c r="S455" s="173">
        <f>调整因子!$F$13</f>
        <v/>
      </c>
      <c r="T455" s="93" t="n">
        <v>1</v>
      </c>
      <c r="U455" s="174">
        <f>IFERROR(Q455*S455,0)</f>
        <v/>
      </c>
      <c r="V455" s="174">
        <f>U455*T455</f>
        <v/>
      </c>
      <c r="W455" s="93" t="inlineStr">
        <is>
          <t>用户偏好设置表、主机风险评估表</t>
        </is>
      </c>
      <c r="X455" s="98" t="n"/>
      <c r="Y455" s="93" t="inlineStr">
        <is>
          <t>用户偏好设置表{主键 id 、用户 id 、偏好设置名称、偏好设置值、最后更新时间}
主机风险评估表{主键id、主机id、风险等级、评估时间、评估描述}</t>
        </is>
      </c>
      <c r="Z455" s="90" t="n"/>
      <c r="AA455" s="90" t="n"/>
      <c r="AB455" s="103" t="inlineStr">
        <is>
          <t>资产查询接口配置表</t>
        </is>
      </c>
      <c r="AC455" s="66" t="n"/>
    </row>
    <row r="456" customFormat="1" s="66">
      <c r="A456" s="72">
        <f>ROW()-1</f>
        <v/>
      </c>
      <c r="B456" s="175" t="n"/>
      <c r="C456" s="80" t="n">
        <v>2025</v>
      </c>
      <c r="D456" s="80" t="inlineStr">
        <is>
          <t>窦鹏岐</t>
        </is>
      </c>
      <c r="E456" s="81">
        <f>VLOOKUP(I456,'25年交付功能（不含废弃）'!A:A,1,FALSE)</f>
        <v/>
      </c>
      <c r="F456" s="175" t="n"/>
      <c r="G456" s="175" t="n"/>
      <c r="H456" s="175" t="n"/>
      <c r="I456" s="81" t="inlineStr">
        <is>
          <t>用户查看节点主机配置风险比较危险主机数量</t>
        </is>
      </c>
      <c r="J456" s="93" t="n"/>
      <c r="K456" s="84" t="n"/>
      <c r="L456" s="84" t="inlineStr">
        <is>
          <t>和上行合并，输入输出完全一致，相同查询</t>
        </is>
      </c>
      <c r="M456" s="85">
        <f>IF(OR(Y456="估算法",Y456="算法类",Y456="无法识别"),"",IF(W456="",IF(OR(J456="EI",J456="EO",J456="EQ"),0,""),LEN(W456)-LEN(SUBSTITUTE(W456,"、",""))+1))</f>
        <v/>
      </c>
      <c r="N456" s="85">
        <f>IF(OR(Y456="估算法",Y456="算法类",Y456="无法识别"),"",IF(X456="",IF(OR(J456="ILF",J456="EIF"),0,""),LEN(X456)-LEN(SUBSTITUTE(X456,"、",""))+1))</f>
        <v/>
      </c>
      <c r="O456" s="85">
        <f>IF(OR(Y456="估算法",Y456="算法类",Y456="无法识别"),"",IF(Y456="",IF(OR(J456="ILF",J456="EIF",J456="EI",J456="EO",J456="EQ"),0,""),LEN(Y456)-LEN(SUBSTITUTE(SUBSTITUTE(SUBSTITUTE(SUBSTITUTE(SUBSTITUTE(Y456,"|}","--"),"{|","--"),CHAR(10),""),"、",""),"|",""))+IF(AND(OR(J456="EI",J456="EO",J456="EQ"),$AE$1="NESMA"),2,1)))</f>
        <v/>
      </c>
      <c r="P456" s="86">
        <f>IF(J456="EI",IF(OR(Y456="估算法",Y456="算法类"),"中",IF(Y456="无法识别","低",IF(M456&lt;2,IF(O456&lt;16,"低","中"),IF(M456&lt;3,IF(O456&lt;5,"低",IF(O456&lt;16,"中","高")),IF(O456&lt;5,"中","高"))))),IF(OR(J456="EO",J456="EQ"),IF(OR(Y456="估算法",Y456="算法类"),"中",IF(Y456="无法识别","低",IF(M456&lt;2,IF(O456&lt;20,"低","中"),IF(M456&lt;4,IF(O456&lt;6,"低",IF(O456&lt;20,"中","高")),IF(O456&lt;6,"中","高"))))),IF(OR(J456="ILF",J456="EIF"),IF(OR(Y456="估算法",Y456="算法类",Y456="无法识别"),"低",IF(N456&lt;2,IF(O456&lt;51,"低","中"),IF(N456&lt;6,IF(O456&lt;20,"低",IF(O456&lt;51,"中","高")),IF(O456&lt;20,"中","高")))),"不计算")))</f>
        <v/>
      </c>
      <c r="Q456" s="172">
        <f>IFERROR(IF(J456="EI",IF(P456="低",3,IF(P456="中",4,6)),IF(J456="EO",IF(P456="低",4,IF(P456="中",5,7)),IF(J456="EQ",IF(P456="低",3,IF(P456="中",4,6)),IF(J456="ILF",IF(P456="低",7,IF(P456="中",10,15)),IF(J456="EIF",IF(P456="低",5,IF(P456="中",7,10)),"不计算")))))*R456,"不计算")</f>
        <v/>
      </c>
      <c r="R456" s="172" t="n">
        <v>0.333333333333333</v>
      </c>
      <c r="S456" s="173">
        <f>调整因子!$F$13</f>
        <v/>
      </c>
      <c r="T456" s="92" t="n">
        <v>1</v>
      </c>
      <c r="U456" s="174">
        <f>IFERROR(Q456*S456,0)</f>
        <v/>
      </c>
      <c r="V456" s="174">
        <f>U456*T456</f>
        <v/>
      </c>
      <c r="W456" s="93" t="inlineStr">
        <is>
          <t>用户偏好设置表、主机风险评估表</t>
        </is>
      </c>
      <c r="X456" s="98" t="n"/>
      <c r="Y456" s="93" t="inlineStr">
        <is>
          <t>用户偏好设置表{主键 id 、用户 id 、偏好设置名称、偏好设置值、最后更新时间}
主机风险评估表{主键id、主机id、风险等级、评估时间、评估描述}</t>
        </is>
      </c>
      <c r="Z456" s="90" t="n"/>
      <c r="AA456" s="90" t="n"/>
      <c r="AB456" s="103" t="inlineStr">
        <is>
          <t>漏洞查询接口配置表</t>
        </is>
      </c>
      <c r="AC456" s="66" t="n"/>
    </row>
    <row r="457" customFormat="1" s="66">
      <c r="A457" s="72">
        <f>ROW()-1</f>
        <v/>
      </c>
      <c r="B457" s="175" t="n"/>
      <c r="C457" s="80" t="n">
        <v>2025</v>
      </c>
      <c r="D457" s="80" t="inlineStr">
        <is>
          <t>窦鹏岐</t>
        </is>
      </c>
      <c r="E457" s="81">
        <f>VLOOKUP(I457,'25年交付功能（不含废弃）'!A:A,1,FALSE)</f>
        <v/>
      </c>
      <c r="F457" s="175" t="n"/>
      <c r="G457" s="175" t="n"/>
      <c r="H457" s="175" t="n"/>
      <c r="I457" s="81" t="inlineStr">
        <is>
          <t>用户查看节点主机配置风险比较安全主机数量</t>
        </is>
      </c>
      <c r="J457" s="93" t="n"/>
      <c r="K457" s="84" t="n"/>
      <c r="L457" s="84" t="inlineStr">
        <is>
          <t>和上行合并，输入输出完全一致，相同查询</t>
        </is>
      </c>
      <c r="M457" s="85">
        <f>IF(OR(Y457="估算法",Y457="算法类",Y457="无法识别"),"",IF(W457="",IF(OR(J457="EI",J457="EO",J457="EQ"),0,""),LEN(W457)-LEN(SUBSTITUTE(W457,"、",""))+1))</f>
        <v/>
      </c>
      <c r="N457" s="85">
        <f>IF(OR(Y457="估算法",Y457="算法类",Y457="无法识别"),"",IF(X457="",IF(OR(J457="ILF",J457="EIF"),0,""),LEN(X457)-LEN(SUBSTITUTE(X457,"、",""))+1))</f>
        <v/>
      </c>
      <c r="O457" s="85">
        <f>IF(OR(Y457="估算法",Y457="算法类",Y457="无法识别"),"",IF(Y457="",IF(OR(J457="ILF",J457="EIF",J457="EI",J457="EO",J457="EQ"),0,""),LEN(Y457)-LEN(SUBSTITUTE(SUBSTITUTE(SUBSTITUTE(SUBSTITUTE(SUBSTITUTE(Y457,"|}","--"),"{|","--"),CHAR(10),""),"、",""),"|",""))+IF(AND(OR(J457="EI",J457="EO",J457="EQ"),$AE$1="NESMA"),2,1)))</f>
        <v/>
      </c>
      <c r="P457" s="86">
        <f>IF(J457="EI",IF(OR(Y457="估算法",Y457="算法类"),"中",IF(Y457="无法识别","低",IF(M457&lt;2,IF(O457&lt;16,"低","中"),IF(M457&lt;3,IF(O457&lt;5,"低",IF(O457&lt;16,"中","高")),IF(O457&lt;5,"中","高"))))),IF(OR(J457="EO",J457="EQ"),IF(OR(Y457="估算法",Y457="算法类"),"中",IF(Y457="无法识别","低",IF(M457&lt;2,IF(O457&lt;20,"低","中"),IF(M457&lt;4,IF(O457&lt;6,"低",IF(O457&lt;20,"中","高")),IF(O457&lt;6,"中","高"))))),IF(OR(J457="ILF",J457="EIF"),IF(OR(Y457="估算法",Y457="算法类",Y457="无法识别"),"低",IF(N457&lt;2,IF(O457&lt;51,"低","中"),IF(N457&lt;6,IF(O457&lt;20,"低",IF(O457&lt;51,"中","高")),IF(O457&lt;20,"中","高")))),"不计算")))</f>
        <v/>
      </c>
      <c r="Q457" s="172">
        <f>IFERROR(IF(J457="EI",IF(P457="低",3,IF(P457="中",4,6)),IF(J457="EO",IF(P457="低",4,IF(P457="中",5,7)),IF(J457="EQ",IF(P457="低",3,IF(P457="中",4,6)),IF(J457="ILF",IF(P457="低",7,IF(P457="中",10,15)),IF(J457="EIF",IF(P457="低",5,IF(P457="中",7,10)),"不计算")))))*R457,"不计算")</f>
        <v/>
      </c>
      <c r="R457" s="172" t="n">
        <v>0.333333333333333</v>
      </c>
      <c r="S457" s="173">
        <f>调整因子!$F$13</f>
        <v/>
      </c>
      <c r="T457" s="92" t="n">
        <v>1</v>
      </c>
      <c r="U457" s="174">
        <f>IFERROR(Q457*S457,0)</f>
        <v/>
      </c>
      <c r="V457" s="174">
        <f>U457*T457</f>
        <v/>
      </c>
      <c r="W457" s="93" t="inlineStr">
        <is>
          <t>用户偏好设置表、主机风险评估表</t>
        </is>
      </c>
      <c r="X457" s="98" t="n"/>
      <c r="Y457" s="93" t="inlineStr">
        <is>
          <t>用户偏好设置表{主键 id 、用户 id 、偏好设置名称、偏好设置值、最后更新时间}
主机风险评估表{主键id、主机id、风险等级、评估时间、评估描述}</t>
        </is>
      </c>
      <c r="Z457" s="90" t="n"/>
      <c r="AA457" s="90" t="n"/>
      <c r="AB457" s="103" t="inlineStr">
        <is>
          <t>任务日志表</t>
        </is>
      </c>
      <c r="AC457" s="66" t="n"/>
    </row>
    <row r="458" customFormat="1" s="66">
      <c r="A458" s="72">
        <f>ROW()-1</f>
        <v/>
      </c>
      <c r="B458" s="175" t="n"/>
      <c r="C458" s="80" t="n">
        <v>2025</v>
      </c>
      <c r="D458" s="80" t="inlineStr">
        <is>
          <t>窦鹏岐</t>
        </is>
      </c>
      <c r="E458" s="81">
        <f>VLOOKUP(I458,'25年交付功能（不含废弃）'!A:A,1,FALSE)</f>
        <v/>
      </c>
      <c r="F458" s="175" t="n"/>
      <c r="G458" s="175" t="n"/>
      <c r="H458" s="175" t="n"/>
      <c r="I458" s="81" t="inlineStr">
        <is>
          <t>用户查看节点主机配置风险非常安全主机数量</t>
        </is>
      </c>
      <c r="J458" s="93" t="n"/>
      <c r="K458" s="84" t="n"/>
      <c r="L458" s="84" t="inlineStr">
        <is>
          <t>和上行合并，输入输出完全一致，相同查询</t>
        </is>
      </c>
      <c r="M458" s="85">
        <f>IF(OR(Y458="估算法",Y458="算法类",Y458="无法识别"),"",IF(W458="",IF(OR(J458="EI",J458="EO",J458="EQ"),0,""),LEN(W458)-LEN(SUBSTITUTE(W458,"、",""))+1))</f>
        <v/>
      </c>
      <c r="N458" s="85">
        <f>IF(OR(Y458="估算法",Y458="算法类",Y458="无法识别"),"",IF(X458="",IF(OR(J458="ILF",J458="EIF"),0,""),LEN(X458)-LEN(SUBSTITUTE(X458,"、",""))+1))</f>
        <v/>
      </c>
      <c r="O458" s="85">
        <f>IF(OR(Y458="估算法",Y458="算法类",Y458="无法识别"),"",IF(Y458="",IF(OR(J458="ILF",J458="EIF",J458="EI",J458="EO",J458="EQ"),0,""),LEN(Y458)-LEN(SUBSTITUTE(SUBSTITUTE(SUBSTITUTE(SUBSTITUTE(SUBSTITUTE(Y458,"|}","--"),"{|","--"),CHAR(10),""),"、",""),"|",""))+IF(AND(OR(J458="EI",J458="EO",J458="EQ"),$AE$1="NESMA"),2,1)))</f>
        <v/>
      </c>
      <c r="P458" s="86">
        <f>IF(J458="EI",IF(OR(Y458="估算法",Y458="算法类"),"中",IF(Y458="无法识别","低",IF(M458&lt;2,IF(O458&lt;16,"低","中"),IF(M458&lt;3,IF(O458&lt;5,"低",IF(O458&lt;16,"中","高")),IF(O458&lt;5,"中","高"))))),IF(OR(J458="EO",J458="EQ"),IF(OR(Y458="估算法",Y458="算法类"),"中",IF(Y458="无法识别","低",IF(M458&lt;2,IF(O458&lt;20,"低","中"),IF(M458&lt;4,IF(O458&lt;6,"低",IF(O458&lt;20,"中","高")),IF(O458&lt;6,"中","高"))))),IF(OR(J458="ILF",J458="EIF"),IF(OR(Y458="估算法",Y458="算法类",Y458="无法识别"),"低",IF(N458&lt;2,IF(O458&lt;51,"低","中"),IF(N458&lt;6,IF(O458&lt;20,"低",IF(O458&lt;51,"中","高")),IF(O458&lt;20,"中","高")))),"不计算")))</f>
        <v/>
      </c>
      <c r="Q458" s="172">
        <f>IFERROR(IF(J458="EI",IF(P458="低",3,IF(P458="中",4,6)),IF(J458="EO",IF(P458="低",4,IF(P458="中",5,7)),IF(J458="EQ",IF(P458="低",3,IF(P458="中",4,6)),IF(J458="ILF",IF(P458="低",7,IF(P458="中",10,15)),IF(J458="EIF",IF(P458="低",5,IF(P458="中",7,10)),"不计算")))))*R458,"不计算")</f>
        <v/>
      </c>
      <c r="R458" s="172" t="n">
        <v>0.333333333333333</v>
      </c>
      <c r="S458" s="173">
        <f>调整因子!$F$13</f>
        <v/>
      </c>
      <c r="T458" s="93" t="n">
        <v>1</v>
      </c>
      <c r="U458" s="174">
        <f>IFERROR(Q458*S458,0)</f>
        <v/>
      </c>
      <c r="V458" s="174">
        <f>U458*T458</f>
        <v/>
      </c>
      <c r="W458" s="93" t="inlineStr">
        <is>
          <t>用户偏好设置表、主机风险评估表</t>
        </is>
      </c>
      <c r="X458" s="98" t="n"/>
      <c r="Y458" s="93" t="inlineStr">
        <is>
          <t>用户偏好设置表{主键 id 、用户 id 、偏好设置名称、偏好设置值、最后更新时间}
主机风险评估表{主键id、主机id、风险等级、评估时间、评估描述}</t>
        </is>
      </c>
      <c r="Z458" s="90" t="n"/>
      <c r="AA458" s="90" t="n"/>
      <c r="AB458" s="103" t="inlineStr">
        <is>
          <t>任务日志表</t>
        </is>
      </c>
      <c r="AC458" s="66" t="n"/>
    </row>
    <row r="459" customFormat="1" s="66">
      <c r="A459" s="72">
        <f>ROW()-1</f>
        <v/>
      </c>
      <c r="B459" s="175" t="n"/>
      <c r="C459" s="80" t="n">
        <v>2025</v>
      </c>
      <c r="D459" s="80" t="inlineStr">
        <is>
          <t>窦鹏岐</t>
        </is>
      </c>
      <c r="E459" s="81">
        <f>VLOOKUP(I459,'25年交付功能（不含废弃）'!A:A,1,FALSE)</f>
        <v/>
      </c>
      <c r="F459" s="175" t="n"/>
      <c r="G459" s="175" t="n"/>
      <c r="H459" s="175" t="n"/>
      <c r="I459" s="81" t="inlineStr">
        <is>
          <t>用户查看节点主机配置风险未知风险主机数量</t>
        </is>
      </c>
      <c r="J459" s="93" t="n"/>
      <c r="K459" s="84" t="n"/>
      <c r="L459" s="84" t="inlineStr">
        <is>
          <t>和上行合并，输入输出完全一致，相同查询</t>
        </is>
      </c>
      <c r="M459" s="85">
        <f>IF(OR(Y459="估算法",Y459="算法类",Y459="无法识别"),"",IF(W459="",IF(OR(J459="EI",J459="EO",J459="EQ"),0,""),LEN(W459)-LEN(SUBSTITUTE(W459,"、",""))+1))</f>
        <v/>
      </c>
      <c r="N459" s="85">
        <f>IF(OR(Y459="估算法",Y459="算法类",Y459="无法识别"),"",IF(X459="",IF(OR(J459="ILF",J459="EIF"),0,""),LEN(X459)-LEN(SUBSTITUTE(X459,"、",""))+1))</f>
        <v/>
      </c>
      <c r="O459" s="85">
        <f>IF(OR(Y459="估算法",Y459="算法类",Y459="无法识别"),"",IF(Y459="",IF(OR(J459="ILF",J459="EIF",J459="EI",J459="EO",J459="EQ"),0,""),LEN(Y459)-LEN(SUBSTITUTE(SUBSTITUTE(SUBSTITUTE(SUBSTITUTE(SUBSTITUTE(Y459,"|}","--"),"{|","--"),CHAR(10),""),"、",""),"|",""))+IF(AND(OR(J459="EI",J459="EO",J459="EQ"),$AE$1="NESMA"),2,1)))</f>
        <v/>
      </c>
      <c r="P459" s="86">
        <f>IF(J459="EI",IF(OR(Y459="估算法",Y459="算法类"),"中",IF(Y459="无法识别","低",IF(M459&lt;2,IF(O459&lt;16,"低","中"),IF(M459&lt;3,IF(O459&lt;5,"低",IF(O459&lt;16,"中","高")),IF(O459&lt;5,"中","高"))))),IF(OR(J459="EO",J459="EQ"),IF(OR(Y459="估算法",Y459="算法类"),"中",IF(Y459="无法识别","低",IF(M459&lt;2,IF(O459&lt;20,"低","中"),IF(M459&lt;4,IF(O459&lt;6,"低",IF(O459&lt;20,"中","高")),IF(O459&lt;6,"中","高"))))),IF(OR(J459="ILF",J459="EIF"),IF(OR(Y459="估算法",Y459="算法类",Y459="无法识别"),"低",IF(N459&lt;2,IF(O459&lt;51,"低","中"),IF(N459&lt;6,IF(O459&lt;20,"低",IF(O459&lt;51,"中","高")),IF(O459&lt;20,"中","高")))),"不计算")))</f>
        <v/>
      </c>
      <c r="Q459" s="172">
        <f>IFERROR(IF(J459="EI",IF(P459="低",3,IF(P459="中",4,6)),IF(J459="EO",IF(P459="低",4,IF(P459="中",5,7)),IF(J459="EQ",IF(P459="低",3,IF(P459="中",4,6)),IF(J459="ILF",IF(P459="低",7,IF(P459="中",10,15)),IF(J459="EIF",IF(P459="低",5,IF(P459="中",7,10)),"不计算")))))*R459,"不计算")</f>
        <v/>
      </c>
      <c r="R459" s="172" t="n">
        <v>0.333333333333333</v>
      </c>
      <c r="S459" s="173">
        <f>调整因子!$F$13</f>
        <v/>
      </c>
      <c r="T459" s="92" t="n">
        <v>1</v>
      </c>
      <c r="U459" s="174">
        <f>IFERROR(Q459*S459,0)</f>
        <v/>
      </c>
      <c r="V459" s="174">
        <f>U459*T459</f>
        <v/>
      </c>
      <c r="W459" s="93" t="inlineStr">
        <is>
          <t>用户偏好设置表、主机风险评估表</t>
        </is>
      </c>
      <c r="X459" s="98" t="n"/>
      <c r="Y459" s="93" t="inlineStr">
        <is>
          <t>用户偏好设置表{主键 id 、用户 id 、偏好设置名称、偏好设置值、最后更新时间}
主机风险评估表{主键id、主机id、风险等级、评估时间、评估描述}</t>
        </is>
      </c>
      <c r="Z459" s="90" t="n"/>
      <c r="AA459" s="90" t="n"/>
      <c r="AB459" s="103" t="inlineStr">
        <is>
          <t>任务日志表</t>
        </is>
      </c>
      <c r="AC459" s="66" t="n"/>
    </row>
    <row r="460" customFormat="1" s="66">
      <c r="A460" s="72">
        <f>ROW()-1</f>
        <v/>
      </c>
      <c r="B460" s="175" t="n"/>
      <c r="C460" s="80" t="n">
        <v>2025</v>
      </c>
      <c r="D460" s="80" t="inlineStr">
        <is>
          <t>窦鹏岐</t>
        </is>
      </c>
      <c r="E460" s="81">
        <f>VLOOKUP(I460,'25年交付功能（不含废弃）'!A:A,1,FALSE)</f>
        <v/>
      </c>
      <c r="F460" s="175" t="n"/>
      <c r="G460" s="175" t="n"/>
      <c r="H460" s="175" t="n"/>
      <c r="I460" s="81" t="inlineStr">
        <is>
          <t>用户查看节点下按服务分类的高风险漏洞数量</t>
        </is>
      </c>
      <c r="J460" s="93" t="inlineStr">
        <is>
          <t>EQ</t>
        </is>
      </c>
      <c r="K460" s="84" t="n"/>
      <c r="L460" s="84" t="n"/>
      <c r="M460" s="85">
        <f>IF(OR(Y460="估算法",Y460="算法类",Y460="无法识别"),"",IF(W460="",IF(OR(J460="EI",J460="EO",J460="EQ"),0,""),LEN(W460)-LEN(SUBSTITUTE(W460,"、",""))+1))</f>
        <v/>
      </c>
      <c r="N460" s="85">
        <f>IF(OR(Y460="估算法",Y460="算法类",Y460="无法识别"),"",IF(X460="",IF(OR(J460="ILF",J460="EIF"),0,""),LEN(X460)-LEN(SUBSTITUTE(X460,"、",""))+1))</f>
        <v/>
      </c>
      <c r="O460" s="85">
        <f>IF(OR(Y460="估算法",Y460="算法类",Y460="无法识别"),"",IF(Y460="",IF(OR(J460="ILF",J460="EIF",J460="EI",J460="EO",J460="EQ"),0,""),LEN(Y460)-LEN(SUBSTITUTE(SUBSTITUTE(SUBSTITUTE(SUBSTITUTE(SUBSTITUTE(Y460,"|}","--"),"{|","--"),CHAR(10),""),"、",""),"|",""))+IF(AND(OR(J460="EI",J460="EO",J460="EQ"),$AE$1="NESMA"),2,1)))</f>
        <v/>
      </c>
      <c r="P460" s="86">
        <f>IF(J460="EI",IF(OR(Y460="估算法",Y460="算法类"),"中",IF(Y460="无法识别","低",IF(M460&lt;2,IF(O460&lt;16,"低","中"),IF(M460&lt;3,IF(O460&lt;5,"低",IF(O460&lt;16,"中","高")),IF(O460&lt;5,"中","高"))))),IF(OR(J460="EO",J460="EQ"),IF(OR(Y460="估算法",Y460="算法类"),"中",IF(Y460="无法识别","低",IF(M460&lt;2,IF(O460&lt;20,"低","中"),IF(M460&lt;4,IF(O460&lt;6,"低",IF(O460&lt;20,"中","高")),IF(O460&lt;6,"中","高"))))),IF(OR(J460="ILF",J460="EIF"),IF(OR(Y460="估算法",Y460="算法类",Y460="无法识别"),"低",IF(N460&lt;2,IF(O460&lt;51,"低","中"),IF(N460&lt;6,IF(O460&lt;20,"低",IF(O460&lt;51,"中","高")),IF(O460&lt;20,"中","高")))),"不计算")))</f>
        <v/>
      </c>
      <c r="Q460" s="172">
        <f>IFERROR(IF(J460="EI",IF(P460="低",3,IF(P460="中",4,6)),IF(J460="EO",IF(P460="低",4,IF(P460="中",5,7)),IF(J460="EQ",IF(P460="低",3,IF(P460="中",4,6)),IF(J460="ILF",IF(P460="低",7,IF(P460="中",10,15)),IF(J460="EIF",IF(P460="低",5,IF(P460="中",7,10)),"不计算")))))*R460,"不计算")</f>
        <v/>
      </c>
      <c r="R460" s="172" t="n">
        <v>1</v>
      </c>
      <c r="S460" s="173">
        <f>调整因子!$F$13</f>
        <v/>
      </c>
      <c r="T460" s="92" t="n">
        <v>1</v>
      </c>
      <c r="U460" s="174">
        <f>IFERROR(Q460*S460,0)</f>
        <v/>
      </c>
      <c r="V460" s="174">
        <f>U460*T460</f>
        <v/>
      </c>
      <c r="W460" s="93" t="inlineStr">
        <is>
          <t>用户偏好设置表、节点属性表、节点关系表、节点漏洞分布表</t>
        </is>
      </c>
      <c r="X460" s="98" t="n"/>
      <c r="Y46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0" s="90" t="n"/>
      <c r="AA460" s="90" t="n"/>
      <c r="AB460" s="103" t="inlineStr">
        <is>
          <t>任务日志表</t>
        </is>
      </c>
      <c r="AC460" s="66" t="n"/>
    </row>
    <row r="461" customFormat="1" s="66">
      <c r="A461" s="72">
        <f>ROW()-1</f>
        <v/>
      </c>
      <c r="B461" s="175" t="n"/>
      <c r="C461" s="80" t="n">
        <v>2025</v>
      </c>
      <c r="D461" s="80" t="inlineStr">
        <is>
          <t>窦鹏岐</t>
        </is>
      </c>
      <c r="E461" s="81">
        <f>VLOOKUP(I461,'25年交付功能（不含废弃）'!A:A,1,FALSE)</f>
        <v/>
      </c>
      <c r="F461" s="175" t="n"/>
      <c r="G461" s="175" t="n"/>
      <c r="H461" s="175" t="n"/>
      <c r="I461" s="81" t="inlineStr">
        <is>
          <t>用户查看节点下按服务分类的中风险漏洞数量</t>
        </is>
      </c>
      <c r="J461" s="93" t="n"/>
      <c r="K461" s="84" t="n"/>
      <c r="L461" s="84" t="inlineStr">
        <is>
          <t>和上行合并，输入输出完全一致，相同查询</t>
        </is>
      </c>
      <c r="M461" s="85">
        <f>IF(OR(Y461="估算法",Y461="算法类",Y461="无法识别"),"",IF(W461="",IF(OR(J461="EI",J461="EO",J461="EQ"),0,""),LEN(W461)-LEN(SUBSTITUTE(W461,"、",""))+1))</f>
        <v/>
      </c>
      <c r="N461" s="85">
        <f>IF(OR(Y461="估算法",Y461="算法类",Y461="无法识别"),"",IF(X461="",IF(OR(J461="ILF",J461="EIF"),0,""),LEN(X461)-LEN(SUBSTITUTE(X461,"、",""))+1))</f>
        <v/>
      </c>
      <c r="O461" s="85">
        <f>IF(OR(Y461="估算法",Y461="算法类",Y461="无法识别"),"",IF(Y461="",IF(OR(J461="ILF",J461="EIF",J461="EI",J461="EO",J461="EQ"),0,""),LEN(Y461)-LEN(SUBSTITUTE(SUBSTITUTE(SUBSTITUTE(SUBSTITUTE(SUBSTITUTE(Y461,"|}","--"),"{|","--"),CHAR(10),""),"、",""),"|",""))+IF(AND(OR(J461="EI",J461="EO",J461="EQ"),$AE$1="NESMA"),2,1)))</f>
        <v/>
      </c>
      <c r="P461" s="86">
        <f>IF(J461="EI",IF(OR(Y461="估算法",Y461="算法类"),"中",IF(Y461="无法识别","低",IF(M461&lt;2,IF(O461&lt;16,"低","中"),IF(M461&lt;3,IF(O461&lt;5,"低",IF(O461&lt;16,"中","高")),IF(O461&lt;5,"中","高"))))),IF(OR(J461="EO",J461="EQ"),IF(OR(Y461="估算法",Y461="算法类"),"中",IF(Y461="无法识别","低",IF(M461&lt;2,IF(O461&lt;20,"低","中"),IF(M461&lt;4,IF(O461&lt;6,"低",IF(O461&lt;20,"中","高")),IF(O461&lt;6,"中","高"))))),IF(OR(J461="ILF",J461="EIF"),IF(OR(Y461="估算法",Y461="算法类",Y461="无法识别"),"低",IF(N461&lt;2,IF(O461&lt;51,"低","中"),IF(N461&lt;6,IF(O461&lt;20,"低",IF(O461&lt;51,"中","高")),IF(O461&lt;20,"中","高")))),"不计算")))</f>
        <v/>
      </c>
      <c r="Q461" s="172">
        <f>IFERROR(IF(J461="EI",IF(P461="低",3,IF(P461="中",4,6)),IF(J461="EO",IF(P461="低",4,IF(P461="中",5,7)),IF(J461="EQ",IF(P461="低",3,IF(P461="中",4,6)),IF(J461="ILF",IF(P461="低",7,IF(P461="中",10,15)),IF(J461="EIF",IF(P461="低",5,IF(P461="中",7,10)),"不计算")))))*R461,"不计算")</f>
        <v/>
      </c>
      <c r="R461" s="172" t="n">
        <v>0.333333333333333</v>
      </c>
      <c r="S461" s="173">
        <f>调整因子!$F$13</f>
        <v/>
      </c>
      <c r="T461" s="93" t="n">
        <v>1</v>
      </c>
      <c r="U461" s="174">
        <f>IFERROR(Q461*S461,0)</f>
        <v/>
      </c>
      <c r="V461" s="174">
        <f>U461*T461</f>
        <v/>
      </c>
      <c r="W461" s="93" t="inlineStr">
        <is>
          <t>用户偏好设置表、节点属性表、节点关系表、节点漏洞分布表</t>
        </is>
      </c>
      <c r="X461" s="98" t="n"/>
      <c r="Y461"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1" s="90" t="n"/>
      <c r="AA461" s="90" t="n"/>
      <c r="AB461" s="103" t="inlineStr">
        <is>
          <t>任务日志表</t>
        </is>
      </c>
      <c r="AC461" s="66" t="n"/>
    </row>
    <row r="462" customFormat="1" s="66">
      <c r="A462" s="72">
        <f>ROW()-1</f>
        <v/>
      </c>
      <c r="B462" s="175" t="n"/>
      <c r="C462" s="80" t="n">
        <v>2025</v>
      </c>
      <c r="D462" s="80" t="inlineStr">
        <is>
          <t>窦鹏岐</t>
        </is>
      </c>
      <c r="E462" s="81">
        <f>VLOOKUP(I462,'25年交付功能（不含废弃）'!A:A,1,FALSE)</f>
        <v/>
      </c>
      <c r="F462" s="175" t="n"/>
      <c r="G462" s="175" t="n"/>
      <c r="H462" s="175" t="n"/>
      <c r="I462" s="81" t="inlineStr">
        <is>
          <t>用户查看节点下按服务分类的低风险漏洞数量</t>
        </is>
      </c>
      <c r="J462" s="93" t="n"/>
      <c r="K462" s="84" t="n"/>
      <c r="L462" s="84" t="inlineStr">
        <is>
          <t>和上行合并，输入输出完全一致，相同查询</t>
        </is>
      </c>
      <c r="M462" s="85">
        <f>IF(OR(Y462="估算法",Y462="算法类",Y462="无法识别"),"",IF(W462="",IF(OR(J462="EI",J462="EO",J462="EQ"),0,""),LEN(W462)-LEN(SUBSTITUTE(W462,"、",""))+1))</f>
        <v/>
      </c>
      <c r="N462" s="85">
        <f>IF(OR(Y462="估算法",Y462="算法类",Y462="无法识别"),"",IF(X462="",IF(OR(J462="ILF",J462="EIF"),0,""),LEN(X462)-LEN(SUBSTITUTE(X462,"、",""))+1))</f>
        <v/>
      </c>
      <c r="O462" s="85">
        <f>IF(OR(Y462="估算法",Y462="算法类",Y462="无法识别"),"",IF(Y462="",IF(OR(J462="ILF",J462="EIF",J462="EI",J462="EO",J462="EQ"),0,""),LEN(Y462)-LEN(SUBSTITUTE(SUBSTITUTE(SUBSTITUTE(SUBSTITUTE(SUBSTITUTE(Y462,"|}","--"),"{|","--"),CHAR(10),""),"、",""),"|",""))+IF(AND(OR(J462="EI",J462="EO",J462="EQ"),$AE$1="NESMA"),2,1)))</f>
        <v/>
      </c>
      <c r="P462" s="86">
        <f>IF(J462="EI",IF(OR(Y462="估算法",Y462="算法类"),"中",IF(Y462="无法识别","低",IF(M462&lt;2,IF(O462&lt;16,"低","中"),IF(M462&lt;3,IF(O462&lt;5,"低",IF(O462&lt;16,"中","高")),IF(O462&lt;5,"中","高"))))),IF(OR(J462="EO",J462="EQ"),IF(OR(Y462="估算法",Y462="算法类"),"中",IF(Y462="无法识别","低",IF(M462&lt;2,IF(O462&lt;20,"低","中"),IF(M462&lt;4,IF(O462&lt;6,"低",IF(O462&lt;20,"中","高")),IF(O462&lt;6,"中","高"))))),IF(OR(J462="ILF",J462="EIF"),IF(OR(Y462="估算法",Y462="算法类",Y462="无法识别"),"低",IF(N462&lt;2,IF(O462&lt;51,"低","中"),IF(N462&lt;6,IF(O462&lt;20,"低",IF(O462&lt;51,"中","高")),IF(O462&lt;20,"中","高")))),"不计算")))</f>
        <v/>
      </c>
      <c r="Q462" s="172">
        <f>IFERROR(IF(J462="EI",IF(P462="低",3,IF(P462="中",4,6)),IF(J462="EO",IF(P462="低",4,IF(P462="中",5,7)),IF(J462="EQ",IF(P462="低",3,IF(P462="中",4,6)),IF(J462="ILF",IF(P462="低",7,IF(P462="中",10,15)),IF(J462="EIF",IF(P462="低",5,IF(P462="中",7,10)),"不计算")))))*R462,"不计算")</f>
        <v/>
      </c>
      <c r="R462" s="172" t="n">
        <v>0.333333333333333</v>
      </c>
      <c r="S462" s="173">
        <f>调整因子!$F$13</f>
        <v/>
      </c>
      <c r="T462" s="92" t="n">
        <v>1</v>
      </c>
      <c r="U462" s="174">
        <f>IFERROR(Q462*S462,0)</f>
        <v/>
      </c>
      <c r="V462" s="174">
        <f>U462*T462</f>
        <v/>
      </c>
      <c r="W462" s="93" t="inlineStr">
        <is>
          <t>用户偏好设置表、节点属性表、节点关系表、节点漏洞分布表</t>
        </is>
      </c>
      <c r="X462" s="98" t="n"/>
      <c r="Y46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2" s="90" t="n"/>
      <c r="AA462" s="90" t="n"/>
      <c r="AB462" s="103" t="inlineStr">
        <is>
          <t>任务日志表</t>
        </is>
      </c>
      <c r="AC462" s="66" t="n"/>
    </row>
    <row r="463" customFormat="1" s="66">
      <c r="A463" s="72">
        <f>ROW()-1</f>
        <v/>
      </c>
      <c r="B463" s="175" t="n"/>
      <c r="C463" s="80" t="n">
        <v>2025</v>
      </c>
      <c r="D463" s="80" t="inlineStr">
        <is>
          <t>窦鹏岐</t>
        </is>
      </c>
      <c r="E463" s="81">
        <f>VLOOKUP(I463,'25年交付功能（不含废弃）'!A:A,1,FALSE)</f>
        <v/>
      </c>
      <c r="F463" s="175" t="n"/>
      <c r="G463" s="175" t="n"/>
      <c r="H463" s="175" t="n"/>
      <c r="I463" s="81" t="inlineStr">
        <is>
          <t>用户查看节点下按应用分类的高风险漏洞数量</t>
        </is>
      </c>
      <c r="J463" s="93" t="n"/>
      <c r="K463" s="84" t="n"/>
      <c r="L463" s="84" t="inlineStr">
        <is>
          <t>和上行合并，输入输出完全一致，相同查询</t>
        </is>
      </c>
      <c r="M463" s="85">
        <f>IF(OR(Y463="估算法",Y463="算法类",Y463="无法识别"),"",IF(W463="",IF(OR(J463="EI",J463="EO",J463="EQ"),0,""),LEN(W463)-LEN(SUBSTITUTE(W463,"、",""))+1))</f>
        <v/>
      </c>
      <c r="N463" s="85">
        <f>IF(OR(Y463="估算法",Y463="算法类",Y463="无法识别"),"",IF(X463="",IF(OR(J463="ILF",J463="EIF"),0,""),LEN(X463)-LEN(SUBSTITUTE(X463,"、",""))+1))</f>
        <v/>
      </c>
      <c r="O463" s="85">
        <f>IF(OR(Y463="估算法",Y463="算法类",Y463="无法识别"),"",IF(Y463="",IF(OR(J463="ILF",J463="EIF",J463="EI",J463="EO",J463="EQ"),0,""),LEN(Y463)-LEN(SUBSTITUTE(SUBSTITUTE(SUBSTITUTE(SUBSTITUTE(SUBSTITUTE(Y463,"|}","--"),"{|","--"),CHAR(10),""),"、",""),"|",""))+IF(AND(OR(J463="EI",J463="EO",J463="EQ"),$AE$1="NESMA"),2,1)))</f>
        <v/>
      </c>
      <c r="P463" s="86">
        <f>IF(J463="EI",IF(OR(Y463="估算法",Y463="算法类"),"中",IF(Y463="无法识别","低",IF(M463&lt;2,IF(O463&lt;16,"低","中"),IF(M463&lt;3,IF(O463&lt;5,"低",IF(O463&lt;16,"中","高")),IF(O463&lt;5,"中","高"))))),IF(OR(J463="EO",J463="EQ"),IF(OR(Y463="估算法",Y463="算法类"),"中",IF(Y463="无法识别","低",IF(M463&lt;2,IF(O463&lt;20,"低","中"),IF(M463&lt;4,IF(O463&lt;6,"低",IF(O463&lt;20,"中","高")),IF(O463&lt;6,"中","高"))))),IF(OR(J463="ILF",J463="EIF"),IF(OR(Y463="估算法",Y463="算法类",Y463="无法识别"),"低",IF(N463&lt;2,IF(O463&lt;51,"低","中"),IF(N463&lt;6,IF(O463&lt;20,"低",IF(O463&lt;51,"中","高")),IF(O463&lt;20,"中","高")))),"不计算")))</f>
        <v/>
      </c>
      <c r="Q463" s="172">
        <f>IFERROR(IF(J463="EI",IF(P463="低",3,IF(P463="中",4,6)),IF(J463="EO",IF(P463="低",4,IF(P463="中",5,7)),IF(J463="EQ",IF(P463="低",3,IF(P463="中",4,6)),IF(J463="ILF",IF(P463="低",7,IF(P463="中",10,15)),IF(J463="EIF",IF(P463="低",5,IF(P463="中",7,10)),"不计算")))))*R463,"不计算")</f>
        <v/>
      </c>
      <c r="R463" s="172" t="n">
        <v>0.333333333333333</v>
      </c>
      <c r="S463" s="173">
        <f>调整因子!$F$13</f>
        <v/>
      </c>
      <c r="T463" s="92" t="n">
        <v>1</v>
      </c>
      <c r="U463" s="174">
        <f>IFERROR(Q463*S463,0)</f>
        <v/>
      </c>
      <c r="V463" s="174">
        <f>U463*T463</f>
        <v/>
      </c>
      <c r="W463" s="93" t="inlineStr">
        <is>
          <t>用户偏好设置表、节点属性表、节点关系表、节点漏洞分布表</t>
        </is>
      </c>
      <c r="X463" s="98" t="n"/>
      <c r="Y46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3" s="90" t="n"/>
      <c r="AA463" s="90" t="n"/>
      <c r="AB463" s="103" t="inlineStr">
        <is>
          <t>任务日志表</t>
        </is>
      </c>
      <c r="AC463" s="66" t="n"/>
    </row>
    <row r="464" customFormat="1" s="66">
      <c r="A464" s="72">
        <f>ROW()-1</f>
        <v/>
      </c>
      <c r="B464" s="175" t="n"/>
      <c r="C464" s="80" t="n">
        <v>2025</v>
      </c>
      <c r="D464" s="80" t="inlineStr">
        <is>
          <t>窦鹏岐</t>
        </is>
      </c>
      <c r="E464" s="81">
        <f>VLOOKUP(I464,'25年交付功能（不含废弃）'!A:A,1,FALSE)</f>
        <v/>
      </c>
      <c r="F464" s="175" t="n"/>
      <c r="G464" s="175" t="n"/>
      <c r="H464" s="175" t="n"/>
      <c r="I464" s="81" t="inlineStr">
        <is>
          <t>用户查看节点下按应用分类的中风险漏洞数量</t>
        </is>
      </c>
      <c r="J464" s="93" t="n"/>
      <c r="K464" s="84" t="n"/>
      <c r="L464" s="84" t="inlineStr">
        <is>
          <t>和上行合并，输入输出完全一致，相同查询</t>
        </is>
      </c>
      <c r="M464" s="85">
        <f>IF(OR(Y464="估算法",Y464="算法类",Y464="无法识别"),"",IF(W464="",IF(OR(J464="EI",J464="EO",J464="EQ"),0,""),LEN(W464)-LEN(SUBSTITUTE(W464,"、",""))+1))</f>
        <v/>
      </c>
      <c r="N464" s="85">
        <f>IF(OR(Y464="估算法",Y464="算法类",Y464="无法识别"),"",IF(X464="",IF(OR(J464="ILF",J464="EIF"),0,""),LEN(X464)-LEN(SUBSTITUTE(X464,"、",""))+1))</f>
        <v/>
      </c>
      <c r="O464" s="85">
        <f>IF(OR(Y464="估算法",Y464="算法类",Y464="无法识别"),"",IF(Y464="",IF(OR(J464="ILF",J464="EIF",J464="EI",J464="EO",J464="EQ"),0,""),LEN(Y464)-LEN(SUBSTITUTE(SUBSTITUTE(SUBSTITUTE(SUBSTITUTE(SUBSTITUTE(Y464,"|}","--"),"{|","--"),CHAR(10),""),"、",""),"|",""))+IF(AND(OR(J464="EI",J464="EO",J464="EQ"),$AE$1="NESMA"),2,1)))</f>
        <v/>
      </c>
      <c r="P464" s="86">
        <f>IF(J464="EI",IF(OR(Y464="估算法",Y464="算法类"),"中",IF(Y464="无法识别","低",IF(M464&lt;2,IF(O464&lt;16,"低","中"),IF(M464&lt;3,IF(O464&lt;5,"低",IF(O464&lt;16,"中","高")),IF(O464&lt;5,"中","高"))))),IF(OR(J464="EO",J464="EQ"),IF(OR(Y464="估算法",Y464="算法类"),"中",IF(Y464="无法识别","低",IF(M464&lt;2,IF(O464&lt;20,"低","中"),IF(M464&lt;4,IF(O464&lt;6,"低",IF(O464&lt;20,"中","高")),IF(O464&lt;6,"中","高"))))),IF(OR(J464="ILF",J464="EIF"),IF(OR(Y464="估算法",Y464="算法类",Y464="无法识别"),"低",IF(N464&lt;2,IF(O464&lt;51,"低","中"),IF(N464&lt;6,IF(O464&lt;20,"低",IF(O464&lt;51,"中","高")),IF(O464&lt;20,"中","高")))),"不计算")))</f>
        <v/>
      </c>
      <c r="Q464" s="172">
        <f>IFERROR(IF(J464="EI",IF(P464="低",3,IF(P464="中",4,6)),IF(J464="EO",IF(P464="低",4,IF(P464="中",5,7)),IF(J464="EQ",IF(P464="低",3,IF(P464="中",4,6)),IF(J464="ILF",IF(P464="低",7,IF(P464="中",10,15)),IF(J464="EIF",IF(P464="低",5,IF(P464="中",7,10)),"不计算")))))*R464,"不计算")</f>
        <v/>
      </c>
      <c r="R464" s="172" t="n">
        <v>0.333333333333333</v>
      </c>
      <c r="S464" s="173">
        <f>调整因子!$F$13</f>
        <v/>
      </c>
      <c r="T464" s="93" t="n">
        <v>1</v>
      </c>
      <c r="U464" s="174">
        <f>IFERROR(Q464*S464,0)</f>
        <v/>
      </c>
      <c r="V464" s="174">
        <f>U464*T464</f>
        <v/>
      </c>
      <c r="W464" s="93" t="inlineStr">
        <is>
          <t>用户偏好设置表、节点属性表、节点关系表、节点漏洞分布表</t>
        </is>
      </c>
      <c r="X464" s="98" t="n"/>
      <c r="Y46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4" s="90" t="n"/>
      <c r="AA464" s="90" t="n"/>
      <c r="AB464" s="103" t="inlineStr">
        <is>
          <t>任务日志表</t>
        </is>
      </c>
      <c r="AC464" s="66" t="n"/>
    </row>
    <row r="465" customFormat="1" s="66">
      <c r="A465" s="72">
        <f>ROW()-1</f>
        <v/>
      </c>
      <c r="B465" s="175" t="n"/>
      <c r="C465" s="80" t="n">
        <v>2025</v>
      </c>
      <c r="D465" s="80" t="inlineStr">
        <is>
          <t>窦鹏岐</t>
        </is>
      </c>
      <c r="E465" s="81">
        <f>VLOOKUP(I465,'25年交付功能（不含废弃）'!A:A,1,FALSE)</f>
        <v/>
      </c>
      <c r="F465" s="175" t="n"/>
      <c r="G465" s="175" t="n"/>
      <c r="H465" s="175" t="n"/>
      <c r="I465" s="81" t="inlineStr">
        <is>
          <t>用户查看节点下按应用分类的低风险漏洞数量</t>
        </is>
      </c>
      <c r="J465" s="93" t="n"/>
      <c r="K465" s="84" t="n"/>
      <c r="L465" s="84" t="inlineStr">
        <is>
          <t>和上行合并，输入输出完全一致，相同查询</t>
        </is>
      </c>
      <c r="M465" s="85">
        <f>IF(OR(Y465="估算法",Y465="算法类",Y465="无法识别"),"",IF(W465="",IF(OR(J465="EI",J465="EO",J465="EQ"),0,""),LEN(W465)-LEN(SUBSTITUTE(W465,"、",""))+1))</f>
        <v/>
      </c>
      <c r="N465" s="85">
        <f>IF(OR(Y465="估算法",Y465="算法类",Y465="无法识别"),"",IF(X465="",IF(OR(J465="ILF",J465="EIF"),0,""),LEN(X465)-LEN(SUBSTITUTE(X465,"、",""))+1))</f>
        <v/>
      </c>
      <c r="O465" s="85">
        <f>IF(OR(Y465="估算法",Y465="算法类",Y465="无法识别"),"",IF(Y465="",IF(OR(J465="ILF",J465="EIF",J465="EI",J465="EO",J465="EQ"),0,""),LEN(Y465)-LEN(SUBSTITUTE(SUBSTITUTE(SUBSTITUTE(SUBSTITUTE(SUBSTITUTE(Y465,"|}","--"),"{|","--"),CHAR(10),""),"、",""),"|",""))+IF(AND(OR(J465="EI",J465="EO",J465="EQ"),$AE$1="NESMA"),2,1)))</f>
        <v/>
      </c>
      <c r="P465" s="86">
        <f>IF(J465="EI",IF(OR(Y465="估算法",Y465="算法类"),"中",IF(Y465="无法识别","低",IF(M465&lt;2,IF(O465&lt;16,"低","中"),IF(M465&lt;3,IF(O465&lt;5,"低",IF(O465&lt;16,"中","高")),IF(O465&lt;5,"中","高"))))),IF(OR(J465="EO",J465="EQ"),IF(OR(Y465="估算法",Y465="算法类"),"中",IF(Y465="无法识别","低",IF(M465&lt;2,IF(O465&lt;20,"低","中"),IF(M465&lt;4,IF(O465&lt;6,"低",IF(O465&lt;20,"中","高")),IF(O465&lt;6,"中","高"))))),IF(OR(J465="ILF",J465="EIF"),IF(OR(Y465="估算法",Y465="算法类",Y465="无法识别"),"低",IF(N465&lt;2,IF(O465&lt;51,"低","中"),IF(N465&lt;6,IF(O465&lt;20,"低",IF(O465&lt;51,"中","高")),IF(O465&lt;20,"中","高")))),"不计算")))</f>
        <v/>
      </c>
      <c r="Q465" s="172">
        <f>IFERROR(IF(J465="EI",IF(P465="低",3,IF(P465="中",4,6)),IF(J465="EO",IF(P465="低",4,IF(P465="中",5,7)),IF(J465="EQ",IF(P465="低",3,IF(P465="中",4,6)),IF(J465="ILF",IF(P465="低",7,IF(P465="中",10,15)),IF(J465="EIF",IF(P465="低",5,IF(P465="中",7,10)),"不计算")))))*R465,"不计算")</f>
        <v/>
      </c>
      <c r="R465" s="172" t="n">
        <v>0.333333333333333</v>
      </c>
      <c r="S465" s="173">
        <f>调整因子!$F$13</f>
        <v/>
      </c>
      <c r="T465" s="92" t="n">
        <v>1</v>
      </c>
      <c r="U465" s="174">
        <f>IFERROR(Q465*S465,0)</f>
        <v/>
      </c>
      <c r="V465" s="174">
        <f>U465*T465</f>
        <v/>
      </c>
      <c r="W465" s="93" t="inlineStr">
        <is>
          <t>用户偏好设置表、节点属性表、节点关系表、节点漏洞分布表</t>
        </is>
      </c>
      <c r="X465" s="98" t="n"/>
      <c r="Y46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5" s="90" t="n"/>
      <c r="AA465" s="90" t="n"/>
      <c r="AB465" s="103" t="inlineStr">
        <is>
          <t>任务日志表</t>
        </is>
      </c>
      <c r="AC465" s="66" t="n"/>
    </row>
    <row r="466" customFormat="1" s="66">
      <c r="A466" s="72">
        <f>ROW()-1</f>
        <v/>
      </c>
      <c r="B466" s="175" t="n"/>
      <c r="C466" s="80" t="n">
        <v>2025</v>
      </c>
      <c r="D466" s="80" t="inlineStr">
        <is>
          <t>窦鹏岐</t>
        </is>
      </c>
      <c r="E466" s="81">
        <f>VLOOKUP(I466,'25年交付功能（不含废弃）'!A:A,1,FALSE)</f>
        <v/>
      </c>
      <c r="F466" s="175" t="n"/>
      <c r="G466" s="175" t="n"/>
      <c r="H466" s="175" t="n"/>
      <c r="I466" s="81" t="inlineStr">
        <is>
          <t>用户查看节点下按系统分类的高风险漏洞数量</t>
        </is>
      </c>
      <c r="J466" s="93" t="n"/>
      <c r="K466" s="84" t="n"/>
      <c r="L466" s="84" t="inlineStr">
        <is>
          <t>和上行合并，输入输出完全一致，相同查询</t>
        </is>
      </c>
      <c r="M466" s="85">
        <f>IF(OR(Y466="估算法",Y466="算法类",Y466="无法识别"),"",IF(W466="",IF(OR(J466="EI",J466="EO",J466="EQ"),0,""),LEN(W466)-LEN(SUBSTITUTE(W466,"、",""))+1))</f>
        <v/>
      </c>
      <c r="N466" s="85">
        <f>IF(OR(Y466="估算法",Y466="算法类",Y466="无法识别"),"",IF(X466="",IF(OR(J466="ILF",J466="EIF"),0,""),LEN(X466)-LEN(SUBSTITUTE(X466,"、",""))+1))</f>
        <v/>
      </c>
      <c r="O466" s="85">
        <f>IF(OR(Y466="估算法",Y466="算法类",Y466="无法识别"),"",IF(Y466="",IF(OR(J466="ILF",J466="EIF",J466="EI",J466="EO",J466="EQ"),0,""),LEN(Y466)-LEN(SUBSTITUTE(SUBSTITUTE(SUBSTITUTE(SUBSTITUTE(SUBSTITUTE(Y466,"|}","--"),"{|","--"),CHAR(10),""),"、",""),"|",""))+IF(AND(OR(J466="EI",J466="EO",J466="EQ"),$AE$1="NESMA"),2,1)))</f>
        <v/>
      </c>
      <c r="P466" s="86">
        <f>IF(J466="EI",IF(OR(Y466="估算法",Y466="算法类"),"中",IF(Y466="无法识别","低",IF(M466&lt;2,IF(O466&lt;16,"低","中"),IF(M466&lt;3,IF(O466&lt;5,"低",IF(O466&lt;16,"中","高")),IF(O466&lt;5,"中","高"))))),IF(OR(J466="EO",J466="EQ"),IF(OR(Y466="估算法",Y466="算法类"),"中",IF(Y466="无法识别","低",IF(M466&lt;2,IF(O466&lt;20,"低","中"),IF(M466&lt;4,IF(O466&lt;6,"低",IF(O466&lt;20,"中","高")),IF(O466&lt;6,"中","高"))))),IF(OR(J466="ILF",J466="EIF"),IF(OR(Y466="估算法",Y466="算法类",Y466="无法识别"),"低",IF(N466&lt;2,IF(O466&lt;51,"低","中"),IF(N466&lt;6,IF(O466&lt;20,"低",IF(O466&lt;51,"中","高")),IF(O466&lt;20,"中","高")))),"不计算")))</f>
        <v/>
      </c>
      <c r="Q466" s="172">
        <f>IFERROR(IF(J466="EI",IF(P466="低",3,IF(P466="中",4,6)),IF(J466="EO",IF(P466="低",4,IF(P466="中",5,7)),IF(J466="EQ",IF(P466="低",3,IF(P466="中",4,6)),IF(J466="ILF",IF(P466="低",7,IF(P466="中",10,15)),IF(J466="EIF",IF(P466="低",5,IF(P466="中",7,10)),"不计算")))))*R466,"不计算")</f>
        <v/>
      </c>
      <c r="R466" s="172" t="n">
        <v>0.2</v>
      </c>
      <c r="S466" s="173">
        <f>调整因子!$F$13</f>
        <v/>
      </c>
      <c r="T466" s="92" t="n">
        <v>1</v>
      </c>
      <c r="U466" s="174">
        <f>IFERROR(Q466*S466,0)</f>
        <v/>
      </c>
      <c r="V466" s="174">
        <f>U466*T466</f>
        <v/>
      </c>
      <c r="W466" s="93" t="inlineStr">
        <is>
          <t>用户偏好设置表、节点属性表、节点关系表、节点漏洞分布表</t>
        </is>
      </c>
      <c r="X466" s="98" t="n"/>
      <c r="Y46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6" s="90" t="n"/>
      <c r="AA466" s="90" t="n"/>
      <c r="AB466" s="103" t="inlineStr">
        <is>
          <t>任务日志表</t>
        </is>
      </c>
      <c r="AC466" s="66" t="n"/>
    </row>
    <row r="467" customFormat="1" s="66">
      <c r="A467" s="72">
        <f>ROW()-1</f>
        <v/>
      </c>
      <c r="B467" s="175" t="n"/>
      <c r="C467" s="80" t="n">
        <v>2025</v>
      </c>
      <c r="D467" s="80" t="inlineStr">
        <is>
          <t>窦鹏岐</t>
        </is>
      </c>
      <c r="E467" s="81">
        <f>VLOOKUP(I467,'25年交付功能（不含废弃）'!A:A,1,FALSE)</f>
        <v/>
      </c>
      <c r="F467" s="175" t="n"/>
      <c r="G467" s="175" t="n"/>
      <c r="H467" s="175" t="n"/>
      <c r="I467" s="81" t="inlineStr">
        <is>
          <t>用户查看节点下按系统分类的中风险漏洞数量</t>
        </is>
      </c>
      <c r="J467" s="93" t="n"/>
      <c r="K467" s="84" t="n"/>
      <c r="L467" s="84" t="inlineStr">
        <is>
          <t>和上行合并，输入输出完全一致，相同查询</t>
        </is>
      </c>
      <c r="M467" s="85">
        <f>IF(OR(Y467="估算法",Y467="算法类",Y467="无法识别"),"",IF(W467="",IF(OR(J467="EI",J467="EO",J467="EQ"),0,""),LEN(W467)-LEN(SUBSTITUTE(W467,"、",""))+1))</f>
        <v/>
      </c>
      <c r="N467" s="85">
        <f>IF(OR(Y467="估算法",Y467="算法类",Y467="无法识别"),"",IF(X467="",IF(OR(J467="ILF",J467="EIF"),0,""),LEN(X467)-LEN(SUBSTITUTE(X467,"、",""))+1))</f>
        <v/>
      </c>
      <c r="O467" s="85">
        <f>IF(OR(Y467="估算法",Y467="算法类",Y467="无法识别"),"",IF(Y467="",IF(OR(J467="ILF",J467="EIF",J467="EI",J467="EO",J467="EQ"),0,""),LEN(Y467)-LEN(SUBSTITUTE(SUBSTITUTE(SUBSTITUTE(SUBSTITUTE(SUBSTITUTE(Y467,"|}","--"),"{|","--"),CHAR(10),""),"、",""),"|",""))+IF(AND(OR(J467="EI",J467="EO",J467="EQ"),$AE$1="NESMA"),2,1)))</f>
        <v/>
      </c>
      <c r="P467" s="86">
        <f>IF(J467="EI",IF(OR(Y467="估算法",Y467="算法类"),"中",IF(Y467="无法识别","低",IF(M467&lt;2,IF(O467&lt;16,"低","中"),IF(M467&lt;3,IF(O467&lt;5,"低",IF(O467&lt;16,"中","高")),IF(O467&lt;5,"中","高"))))),IF(OR(J467="EO",J467="EQ"),IF(OR(Y467="估算法",Y467="算法类"),"中",IF(Y467="无法识别","低",IF(M467&lt;2,IF(O467&lt;20,"低","中"),IF(M467&lt;4,IF(O467&lt;6,"低",IF(O467&lt;20,"中","高")),IF(O467&lt;6,"中","高"))))),IF(OR(J467="ILF",J467="EIF"),IF(OR(Y467="估算法",Y467="算法类",Y467="无法识别"),"低",IF(N467&lt;2,IF(O467&lt;51,"低","中"),IF(N467&lt;6,IF(O467&lt;20,"低",IF(O467&lt;51,"中","高")),IF(O467&lt;20,"中","高")))),"不计算")))</f>
        <v/>
      </c>
      <c r="Q467" s="172">
        <f>IFERROR(IF(J467="EI",IF(P467="低",3,IF(P467="中",4,6)),IF(J467="EO",IF(P467="低",4,IF(P467="中",5,7)),IF(J467="EQ",IF(P467="低",3,IF(P467="中",4,6)),IF(J467="ILF",IF(P467="低",7,IF(P467="中",10,15)),IF(J467="EIF",IF(P467="低",5,IF(P467="中",7,10)),"不计算")))))*R467,"不计算")</f>
        <v/>
      </c>
      <c r="R467" s="172" t="n">
        <v>0.2</v>
      </c>
      <c r="S467" s="173">
        <f>调整因子!$F$13</f>
        <v/>
      </c>
      <c r="T467" s="93" t="n">
        <v>1</v>
      </c>
      <c r="U467" s="174">
        <f>IFERROR(Q467*S467,0)</f>
        <v/>
      </c>
      <c r="V467" s="174">
        <f>U467*T467</f>
        <v/>
      </c>
      <c r="W467" s="93" t="inlineStr">
        <is>
          <t>用户偏好设置表、节点属性表、节点关系表、节点漏洞分布表</t>
        </is>
      </c>
      <c r="X467" s="98" t="n"/>
      <c r="Y46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7" s="90" t="n"/>
      <c r="AA467" s="90" t="n"/>
      <c r="AB467" s="103" t="inlineStr">
        <is>
          <t>任务优先级配置表</t>
        </is>
      </c>
      <c r="AC467" s="66" t="n"/>
    </row>
    <row r="468" customFormat="1" s="66">
      <c r="A468" s="72">
        <f>ROW()-1</f>
        <v/>
      </c>
      <c r="B468" s="175" t="n"/>
      <c r="C468" s="80" t="n">
        <v>2025</v>
      </c>
      <c r="D468" s="80" t="inlineStr">
        <is>
          <t>窦鹏岐</t>
        </is>
      </c>
      <c r="E468" s="81">
        <f>VLOOKUP(I468,'25年交付功能（不含废弃）'!A:A,1,FALSE)</f>
        <v/>
      </c>
      <c r="F468" s="175" t="n"/>
      <c r="G468" s="175" t="n"/>
      <c r="H468" s="175" t="n"/>
      <c r="I468" s="81" t="inlineStr">
        <is>
          <t>用户查看节点下按系统分类的低风险漏洞数量</t>
        </is>
      </c>
      <c r="J468" s="93" t="n"/>
      <c r="K468" s="84" t="n"/>
      <c r="L468" s="84" t="inlineStr">
        <is>
          <t>和上行合并，输入输出完全一致，相同查询</t>
        </is>
      </c>
      <c r="M468" s="85">
        <f>IF(OR(Y468="估算法",Y468="算法类",Y468="无法识别"),"",IF(W468="",IF(OR(J468="EI",J468="EO",J468="EQ"),0,""),LEN(W468)-LEN(SUBSTITUTE(W468,"、",""))+1))</f>
        <v/>
      </c>
      <c r="N468" s="85">
        <f>IF(OR(Y468="估算法",Y468="算法类",Y468="无法识别"),"",IF(X468="",IF(OR(J468="ILF",J468="EIF"),0,""),LEN(X468)-LEN(SUBSTITUTE(X468,"、",""))+1))</f>
        <v/>
      </c>
      <c r="O468" s="85">
        <f>IF(OR(Y468="估算法",Y468="算法类",Y468="无法识别"),"",IF(Y468="",IF(OR(J468="ILF",J468="EIF",J468="EI",J468="EO",J468="EQ"),0,""),LEN(Y468)-LEN(SUBSTITUTE(SUBSTITUTE(SUBSTITUTE(SUBSTITUTE(SUBSTITUTE(Y468,"|}","--"),"{|","--"),CHAR(10),""),"、",""),"|",""))+IF(AND(OR(J468="EI",J468="EO",J468="EQ"),$AE$1="NESMA"),2,1)))</f>
        <v/>
      </c>
      <c r="P468" s="86">
        <f>IF(J468="EI",IF(OR(Y468="估算法",Y468="算法类"),"中",IF(Y468="无法识别","低",IF(M468&lt;2,IF(O468&lt;16,"低","中"),IF(M468&lt;3,IF(O468&lt;5,"低",IF(O468&lt;16,"中","高")),IF(O468&lt;5,"中","高"))))),IF(OR(J468="EO",J468="EQ"),IF(OR(Y468="估算法",Y468="算法类"),"中",IF(Y468="无法识别","低",IF(M468&lt;2,IF(O468&lt;20,"低","中"),IF(M468&lt;4,IF(O468&lt;6,"低",IF(O468&lt;20,"中","高")),IF(O468&lt;6,"中","高"))))),IF(OR(J468="ILF",J468="EIF"),IF(OR(Y468="估算法",Y468="算法类",Y468="无法识别"),"低",IF(N468&lt;2,IF(O468&lt;51,"低","中"),IF(N468&lt;6,IF(O468&lt;20,"低",IF(O468&lt;51,"中","高")),IF(O468&lt;20,"中","高")))),"不计算")))</f>
        <v/>
      </c>
      <c r="Q468" s="172">
        <f>IFERROR(IF(J468="EI",IF(P468="低",3,IF(P468="中",4,6)),IF(J468="EO",IF(P468="低",4,IF(P468="中",5,7)),IF(J468="EQ",IF(P468="低",3,IF(P468="中",4,6)),IF(J468="ILF",IF(P468="低",7,IF(P468="中",10,15)),IF(J468="EIF",IF(P468="低",5,IF(P468="中",7,10)),"不计算")))))*R468,"不计算")</f>
        <v/>
      </c>
      <c r="R468" s="172" t="n">
        <v>0.2</v>
      </c>
      <c r="S468" s="173">
        <f>调整因子!$F$13</f>
        <v/>
      </c>
      <c r="T468" s="92" t="n">
        <v>1</v>
      </c>
      <c r="U468" s="174">
        <f>IFERROR(Q468*S468,0)</f>
        <v/>
      </c>
      <c r="V468" s="174">
        <f>U468*T468</f>
        <v/>
      </c>
      <c r="W468" s="93" t="inlineStr">
        <is>
          <t>用户偏好设置表、节点属性表、节点关系表、节点漏洞分布表</t>
        </is>
      </c>
      <c r="X468" s="98" t="n"/>
      <c r="Y46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8" s="90" t="n"/>
      <c r="AA468" s="90" t="n"/>
      <c r="AB468" s="103" t="inlineStr">
        <is>
          <t>任务优先级配置表</t>
        </is>
      </c>
      <c r="AC468" s="66" t="n"/>
    </row>
    <row r="469" customFormat="1" s="66">
      <c r="A469" s="72">
        <f>ROW()-1</f>
        <v/>
      </c>
      <c r="B469" s="175" t="n"/>
      <c r="C469" s="80" t="n">
        <v>2025</v>
      </c>
      <c r="D469" s="80" t="inlineStr">
        <is>
          <t>窦鹏岐</t>
        </is>
      </c>
      <c r="E469" s="81">
        <f>VLOOKUP(I469,'25年交付功能（不含废弃）'!A:A,1,FALSE)</f>
        <v/>
      </c>
      <c r="F469" s="175" t="n"/>
      <c r="G469" s="175" t="n"/>
      <c r="H469" s="175" t="n"/>
      <c r="I469" s="81" t="inlineStr">
        <is>
          <t>用户查看节点下按威胁分类的高风险漏洞数量</t>
        </is>
      </c>
      <c r="J469" s="93" t="n"/>
      <c r="K469" s="84" t="n"/>
      <c r="L469" s="84" t="inlineStr">
        <is>
          <t>和上行合并，输入输出完全一致，相同查询</t>
        </is>
      </c>
      <c r="M469" s="85">
        <f>IF(OR(Y469="估算法",Y469="算法类",Y469="无法识别"),"",IF(W469="",IF(OR(J469="EI",J469="EO",J469="EQ"),0,""),LEN(W469)-LEN(SUBSTITUTE(W469,"、",""))+1))</f>
        <v/>
      </c>
      <c r="N469" s="85">
        <f>IF(OR(Y469="估算法",Y469="算法类",Y469="无法识别"),"",IF(X469="",IF(OR(J469="ILF",J469="EIF"),0,""),LEN(X469)-LEN(SUBSTITUTE(X469,"、",""))+1))</f>
        <v/>
      </c>
      <c r="O469" s="85">
        <f>IF(OR(Y469="估算法",Y469="算法类",Y469="无法识别"),"",IF(Y469="",IF(OR(J469="ILF",J469="EIF",J469="EI",J469="EO",J469="EQ"),0,""),LEN(Y469)-LEN(SUBSTITUTE(SUBSTITUTE(SUBSTITUTE(SUBSTITUTE(SUBSTITUTE(Y469,"|}","--"),"{|","--"),CHAR(10),""),"、",""),"|",""))+IF(AND(OR(J469="EI",J469="EO",J469="EQ"),$AE$1="NESMA"),2,1)))</f>
        <v/>
      </c>
      <c r="P469" s="86">
        <f>IF(J469="EI",IF(OR(Y469="估算法",Y469="算法类"),"中",IF(Y469="无法识别","低",IF(M469&lt;2,IF(O469&lt;16,"低","中"),IF(M469&lt;3,IF(O469&lt;5,"低",IF(O469&lt;16,"中","高")),IF(O469&lt;5,"中","高"))))),IF(OR(J469="EO",J469="EQ"),IF(OR(Y469="估算法",Y469="算法类"),"中",IF(Y469="无法识别","低",IF(M469&lt;2,IF(O469&lt;20,"低","中"),IF(M469&lt;4,IF(O469&lt;6,"低",IF(O469&lt;20,"中","高")),IF(O469&lt;6,"中","高"))))),IF(OR(J469="ILF",J469="EIF"),IF(OR(Y469="估算法",Y469="算法类",Y469="无法识别"),"低",IF(N469&lt;2,IF(O469&lt;51,"低","中"),IF(N469&lt;6,IF(O469&lt;20,"低",IF(O469&lt;51,"中","高")),IF(O469&lt;20,"中","高")))),"不计算")))</f>
        <v/>
      </c>
      <c r="Q469" s="172">
        <f>IFERROR(IF(J469="EI",IF(P469="低",3,IF(P469="中",4,6)),IF(J469="EO",IF(P469="低",4,IF(P469="中",5,7)),IF(J469="EQ",IF(P469="低",3,IF(P469="中",4,6)),IF(J469="ILF",IF(P469="低",7,IF(P469="中",10,15)),IF(J469="EIF",IF(P469="低",5,IF(P469="中",7,10)),"不计算")))))*R469,"不计算")</f>
        <v/>
      </c>
      <c r="R469" s="172" t="n">
        <v>0.2</v>
      </c>
      <c r="S469" s="173">
        <f>调整因子!$F$13</f>
        <v/>
      </c>
      <c r="T469" s="92" t="n">
        <v>1</v>
      </c>
      <c r="U469" s="174">
        <f>IFERROR(Q469*S469,0)</f>
        <v/>
      </c>
      <c r="V469" s="174">
        <f>U469*T469</f>
        <v/>
      </c>
      <c r="W469" s="93" t="inlineStr">
        <is>
          <t>用户偏好设置表、节点属性表、节点关系表、节点漏洞分布表</t>
        </is>
      </c>
      <c r="X469" s="98" t="n"/>
      <c r="Y46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69" s="90" t="n"/>
      <c r="AA469" s="90" t="n"/>
      <c r="AB469" s="103" t="inlineStr">
        <is>
          <t>任务优先级配置表</t>
        </is>
      </c>
      <c r="AC469" s="66" t="n"/>
    </row>
    <row r="470" customFormat="1" s="66">
      <c r="A470" s="72">
        <f>ROW()-1</f>
        <v/>
      </c>
      <c r="B470" s="175" t="n"/>
      <c r="C470" s="80" t="n">
        <v>2025</v>
      </c>
      <c r="D470" s="80" t="inlineStr">
        <is>
          <t>窦鹏岐</t>
        </is>
      </c>
      <c r="E470" s="81">
        <f>VLOOKUP(I470,'25年交付功能（不含废弃）'!A:A,1,FALSE)</f>
        <v/>
      </c>
      <c r="F470" s="175" t="n"/>
      <c r="G470" s="175" t="n"/>
      <c r="H470" s="175" t="n"/>
      <c r="I470" s="81" t="inlineStr">
        <is>
          <t>用户查看节点下按威胁分类的中风险漏洞数量</t>
        </is>
      </c>
      <c r="J470" s="93" t="n"/>
      <c r="K470" s="84" t="n"/>
      <c r="L470" s="84" t="inlineStr">
        <is>
          <t>和上行合并，输入输出完全一致，相同查询</t>
        </is>
      </c>
      <c r="M470" s="85">
        <f>IF(OR(Y470="估算法",Y470="算法类",Y470="无法识别"),"",IF(W470="",IF(OR(J470="EI",J470="EO",J470="EQ"),0,""),LEN(W470)-LEN(SUBSTITUTE(W470,"、",""))+1))</f>
        <v/>
      </c>
      <c r="N470" s="85">
        <f>IF(OR(Y470="估算法",Y470="算法类",Y470="无法识别"),"",IF(X470="",IF(OR(J470="ILF",J470="EIF"),0,""),LEN(X470)-LEN(SUBSTITUTE(X470,"、",""))+1))</f>
        <v/>
      </c>
      <c r="O470" s="85">
        <f>IF(OR(Y470="估算法",Y470="算法类",Y470="无法识别"),"",IF(Y470="",IF(OR(J470="ILF",J470="EIF",J470="EI",J470="EO",J470="EQ"),0,""),LEN(Y470)-LEN(SUBSTITUTE(SUBSTITUTE(SUBSTITUTE(SUBSTITUTE(SUBSTITUTE(Y470,"|}","--"),"{|","--"),CHAR(10),""),"、",""),"|",""))+IF(AND(OR(J470="EI",J470="EO",J470="EQ"),$AE$1="NESMA"),2,1)))</f>
        <v/>
      </c>
      <c r="P470" s="86">
        <f>IF(J470="EI",IF(OR(Y470="估算法",Y470="算法类"),"中",IF(Y470="无法识别","低",IF(M470&lt;2,IF(O470&lt;16,"低","中"),IF(M470&lt;3,IF(O470&lt;5,"低",IF(O470&lt;16,"中","高")),IF(O470&lt;5,"中","高"))))),IF(OR(J470="EO",J470="EQ"),IF(OR(Y470="估算法",Y470="算法类"),"中",IF(Y470="无法识别","低",IF(M470&lt;2,IF(O470&lt;20,"低","中"),IF(M470&lt;4,IF(O470&lt;6,"低",IF(O470&lt;20,"中","高")),IF(O470&lt;6,"中","高"))))),IF(OR(J470="ILF",J470="EIF"),IF(OR(Y470="估算法",Y470="算法类",Y470="无法识别"),"低",IF(N470&lt;2,IF(O470&lt;51,"低","中"),IF(N470&lt;6,IF(O470&lt;20,"低",IF(O470&lt;51,"中","高")),IF(O470&lt;20,"中","高")))),"不计算")))</f>
        <v/>
      </c>
      <c r="Q470" s="172">
        <f>IFERROR(IF(J470="EI",IF(P470="低",3,IF(P470="中",4,6)),IF(J470="EO",IF(P470="低",4,IF(P470="中",5,7)),IF(J470="EQ",IF(P470="低",3,IF(P470="中",4,6)),IF(J470="ILF",IF(P470="低",7,IF(P470="中",10,15)),IF(J470="EIF",IF(P470="低",5,IF(P470="中",7,10)),"不计算")))))*R470,"不计算")</f>
        <v/>
      </c>
      <c r="R470" s="172" t="n">
        <v>0.2</v>
      </c>
      <c r="S470" s="173">
        <f>调整因子!$F$13</f>
        <v/>
      </c>
      <c r="T470" s="93" t="n">
        <v>1</v>
      </c>
      <c r="U470" s="174">
        <f>IFERROR(Q470*S470,0)</f>
        <v/>
      </c>
      <c r="V470" s="174">
        <f>U470*T470</f>
        <v/>
      </c>
      <c r="W470" s="93" t="inlineStr">
        <is>
          <t>用户偏好设置表、节点属性表、节点关系表、节点漏洞分布表</t>
        </is>
      </c>
      <c r="X470" s="98" t="n"/>
      <c r="Y47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0" s="90" t="n"/>
      <c r="AA470" s="90" t="n"/>
      <c r="AB470" s="103" t="inlineStr">
        <is>
          <t>数据清洗任务表</t>
        </is>
      </c>
      <c r="AC470" s="66" t="n"/>
    </row>
    <row r="471" customFormat="1" s="66">
      <c r="A471" s="72">
        <f>ROW()-1</f>
        <v/>
      </c>
      <c r="B471" s="175" t="n"/>
      <c r="C471" s="80" t="n">
        <v>2025</v>
      </c>
      <c r="D471" s="80" t="inlineStr">
        <is>
          <t>窦鹏岐</t>
        </is>
      </c>
      <c r="E471" s="81">
        <f>VLOOKUP(I471,'25年交付功能（不含废弃）'!A:A,1,FALSE)</f>
        <v/>
      </c>
      <c r="F471" s="175" t="n"/>
      <c r="G471" s="175" t="n"/>
      <c r="H471" s="175" t="n"/>
      <c r="I471" s="81" t="inlineStr">
        <is>
          <t>用户查看节点下按威胁分类的低风险漏洞数量</t>
        </is>
      </c>
      <c r="J471" s="93" t="n"/>
      <c r="K471" s="84" t="n"/>
      <c r="L471" s="84" t="inlineStr">
        <is>
          <t>和上行合并，输入输出完全一致，相同查询</t>
        </is>
      </c>
      <c r="M471" s="85">
        <f>IF(OR(Y471="估算法",Y471="算法类",Y471="无法识别"),"",IF(W471="",IF(OR(J471="EI",J471="EO",J471="EQ"),0,""),LEN(W471)-LEN(SUBSTITUTE(W471,"、",""))+1))</f>
        <v/>
      </c>
      <c r="N471" s="85">
        <f>IF(OR(Y471="估算法",Y471="算法类",Y471="无法识别"),"",IF(X471="",IF(OR(J471="ILF",J471="EIF"),0,""),LEN(X471)-LEN(SUBSTITUTE(X471,"、",""))+1))</f>
        <v/>
      </c>
      <c r="O471" s="85">
        <f>IF(OR(Y471="估算法",Y471="算法类",Y471="无法识别"),"",IF(Y471="",IF(OR(J471="ILF",J471="EIF",J471="EI",J471="EO",J471="EQ"),0,""),LEN(Y471)-LEN(SUBSTITUTE(SUBSTITUTE(SUBSTITUTE(SUBSTITUTE(SUBSTITUTE(Y471,"|}","--"),"{|","--"),CHAR(10),""),"、",""),"|",""))+IF(AND(OR(J471="EI",J471="EO",J471="EQ"),$AE$1="NESMA"),2,1)))</f>
        <v/>
      </c>
      <c r="P471" s="86">
        <f>IF(J471="EI",IF(OR(Y471="估算法",Y471="算法类"),"中",IF(Y471="无法识别","低",IF(M471&lt;2,IF(O471&lt;16,"低","中"),IF(M471&lt;3,IF(O471&lt;5,"低",IF(O471&lt;16,"中","高")),IF(O471&lt;5,"中","高"))))),IF(OR(J471="EO",J471="EQ"),IF(OR(Y471="估算法",Y471="算法类"),"中",IF(Y471="无法识别","低",IF(M471&lt;2,IF(O471&lt;20,"低","中"),IF(M471&lt;4,IF(O471&lt;6,"低",IF(O471&lt;20,"中","高")),IF(O471&lt;6,"中","高"))))),IF(OR(J471="ILF",J471="EIF"),IF(OR(Y471="估算法",Y471="算法类",Y471="无法识别"),"低",IF(N471&lt;2,IF(O471&lt;51,"低","中"),IF(N471&lt;6,IF(O471&lt;20,"低",IF(O471&lt;51,"中","高")),IF(O471&lt;20,"中","高")))),"不计算")))</f>
        <v/>
      </c>
      <c r="Q471" s="172">
        <f>IFERROR(IF(J471="EI",IF(P471="低",3,IF(P471="中",4,6)),IF(J471="EO",IF(P471="低",4,IF(P471="中",5,7)),IF(J471="EQ",IF(P471="低",3,IF(P471="中",4,6)),IF(J471="ILF",IF(P471="低",7,IF(P471="中",10,15)),IF(J471="EIF",IF(P471="低",5,IF(P471="中",7,10)),"不计算")))))*R471,"不计算")</f>
        <v/>
      </c>
      <c r="R471" s="172" t="n">
        <v>0.1</v>
      </c>
      <c r="S471" s="173">
        <f>调整因子!$F$13</f>
        <v/>
      </c>
      <c r="T471" s="92" t="n">
        <v>1</v>
      </c>
      <c r="U471" s="174">
        <f>IFERROR(Q471*S471,0)</f>
        <v/>
      </c>
      <c r="V471" s="174">
        <f>U471*T471</f>
        <v/>
      </c>
      <c r="W471" s="93" t="inlineStr">
        <is>
          <t>用户偏好设置表、节点属性表、节点关系表、节点漏洞分布表</t>
        </is>
      </c>
      <c r="X471" s="98" t="n"/>
      <c r="Y471"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1" s="90" t="n"/>
      <c r="AA471" s="90" t="n"/>
      <c r="AB471" s="103" t="inlineStr">
        <is>
          <t>数据清洗任务表</t>
        </is>
      </c>
      <c r="AC471" s="66" t="n"/>
    </row>
    <row r="472" customFormat="1" s="66">
      <c r="A472" s="72">
        <f>ROW()-1</f>
        <v/>
      </c>
      <c r="B472" s="175" t="n"/>
      <c r="C472" s="80" t="n">
        <v>2025</v>
      </c>
      <c r="D472" s="80" t="inlineStr">
        <is>
          <t>窦鹏岐</t>
        </is>
      </c>
      <c r="E472" s="81">
        <f>VLOOKUP(I472,'25年交付功能（不含废弃）'!A:A,1,FALSE)</f>
        <v/>
      </c>
      <c r="F472" s="175" t="n"/>
      <c r="G472" s="175" t="n"/>
      <c r="H472" s="175" t="n"/>
      <c r="I472" s="81" t="inlineStr">
        <is>
          <t>用户查看节点下按时间分类的高风险漏洞数量</t>
        </is>
      </c>
      <c r="J472" s="93" t="n"/>
      <c r="K472" s="84" t="n"/>
      <c r="L472" s="84" t="inlineStr">
        <is>
          <t>和上行合并，输入输出完全一致，相同查询</t>
        </is>
      </c>
      <c r="M472" s="85">
        <f>IF(OR(Y472="估算法",Y472="算法类",Y472="无法识别"),"",IF(W472="",IF(OR(J472="EI",J472="EO",J472="EQ"),0,""),LEN(W472)-LEN(SUBSTITUTE(W472,"、",""))+1))</f>
        <v/>
      </c>
      <c r="N472" s="85">
        <f>IF(OR(Y472="估算法",Y472="算法类",Y472="无法识别"),"",IF(X472="",IF(OR(J472="ILF",J472="EIF"),0,""),LEN(X472)-LEN(SUBSTITUTE(X472,"、",""))+1))</f>
        <v/>
      </c>
      <c r="O472" s="85">
        <f>IF(OR(Y472="估算法",Y472="算法类",Y472="无法识别"),"",IF(Y472="",IF(OR(J472="ILF",J472="EIF",J472="EI",J472="EO",J472="EQ"),0,""),LEN(Y472)-LEN(SUBSTITUTE(SUBSTITUTE(SUBSTITUTE(SUBSTITUTE(SUBSTITUTE(Y472,"|}","--"),"{|","--"),CHAR(10),""),"、",""),"|",""))+IF(AND(OR(J472="EI",J472="EO",J472="EQ"),$AE$1="NESMA"),2,1)))</f>
        <v/>
      </c>
      <c r="P472" s="86">
        <f>IF(J472="EI",IF(OR(Y472="估算法",Y472="算法类"),"中",IF(Y472="无法识别","低",IF(M472&lt;2,IF(O472&lt;16,"低","中"),IF(M472&lt;3,IF(O472&lt;5,"低",IF(O472&lt;16,"中","高")),IF(O472&lt;5,"中","高"))))),IF(OR(J472="EO",J472="EQ"),IF(OR(Y472="估算法",Y472="算法类"),"中",IF(Y472="无法识别","低",IF(M472&lt;2,IF(O472&lt;20,"低","中"),IF(M472&lt;4,IF(O472&lt;6,"低",IF(O472&lt;20,"中","高")),IF(O472&lt;6,"中","高"))))),IF(OR(J472="ILF",J472="EIF"),IF(OR(Y472="估算法",Y472="算法类",Y472="无法识别"),"低",IF(N472&lt;2,IF(O472&lt;51,"低","中"),IF(N472&lt;6,IF(O472&lt;20,"低",IF(O472&lt;51,"中","高")),IF(O472&lt;20,"中","高")))),"不计算")))</f>
        <v/>
      </c>
      <c r="Q472" s="172">
        <f>IFERROR(IF(J472="EI",IF(P472="低",3,IF(P472="中",4,6)),IF(J472="EO",IF(P472="低",4,IF(P472="中",5,7)),IF(J472="EQ",IF(P472="低",3,IF(P472="中",4,6)),IF(J472="ILF",IF(P472="低",7,IF(P472="中",10,15)),IF(J472="EIF",IF(P472="低",5,IF(P472="中",7,10)),"不计算")))))*R472,"不计算")</f>
        <v/>
      </c>
      <c r="R472" s="172" t="n">
        <v>0.1</v>
      </c>
      <c r="S472" s="173">
        <f>调整因子!$F$13</f>
        <v/>
      </c>
      <c r="T472" s="92" t="n">
        <v>1</v>
      </c>
      <c r="U472" s="174">
        <f>IFERROR(Q472*S472,0)</f>
        <v/>
      </c>
      <c r="V472" s="174">
        <f>U472*T472</f>
        <v/>
      </c>
      <c r="W472" s="93" t="inlineStr">
        <is>
          <t>用户偏好设置表、节点属性表、节点关系表、节点漏洞分布表</t>
        </is>
      </c>
      <c r="X472" s="98" t="n"/>
      <c r="Y47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2" s="90" t="n"/>
      <c r="AA472" s="90" t="n"/>
      <c r="AB472" s="103" t="inlineStr">
        <is>
          <t>态势大屏配置表</t>
        </is>
      </c>
      <c r="AC472" s="66" t="n"/>
    </row>
    <row r="473" customFormat="1" s="66">
      <c r="A473" s="72">
        <f>ROW()-1</f>
        <v/>
      </c>
      <c r="B473" s="175" t="n"/>
      <c r="C473" s="80" t="n">
        <v>2025</v>
      </c>
      <c r="D473" s="80" t="inlineStr">
        <is>
          <t>窦鹏岐</t>
        </is>
      </c>
      <c r="E473" s="81">
        <f>VLOOKUP(I473,'25年交付功能（不含废弃）'!A:A,1,FALSE)</f>
        <v/>
      </c>
      <c r="F473" s="175" t="n"/>
      <c r="G473" s="175" t="n"/>
      <c r="H473" s="175" t="n"/>
      <c r="I473" s="81" t="inlineStr">
        <is>
          <t>用户查看节点下按时间分类的中风险漏洞数量</t>
        </is>
      </c>
      <c r="J473" s="93" t="n"/>
      <c r="K473" s="84" t="n"/>
      <c r="L473" s="84" t="inlineStr">
        <is>
          <t>和上行合并，输入输出完全一致，相同查询</t>
        </is>
      </c>
      <c r="M473" s="85">
        <f>IF(OR(Y473="估算法",Y473="算法类",Y473="无法识别"),"",IF(W473="",IF(OR(J473="EI",J473="EO",J473="EQ"),0,""),LEN(W473)-LEN(SUBSTITUTE(W473,"、",""))+1))</f>
        <v/>
      </c>
      <c r="N473" s="85">
        <f>IF(OR(Y473="估算法",Y473="算法类",Y473="无法识别"),"",IF(X473="",IF(OR(J473="ILF",J473="EIF"),0,""),LEN(X473)-LEN(SUBSTITUTE(X473,"、",""))+1))</f>
        <v/>
      </c>
      <c r="O473" s="85">
        <f>IF(OR(Y473="估算法",Y473="算法类",Y473="无法识别"),"",IF(Y473="",IF(OR(J473="ILF",J473="EIF",J473="EI",J473="EO",J473="EQ"),0,""),LEN(Y473)-LEN(SUBSTITUTE(SUBSTITUTE(SUBSTITUTE(SUBSTITUTE(SUBSTITUTE(Y473,"|}","--"),"{|","--"),CHAR(10),""),"、",""),"|",""))+IF(AND(OR(J473="EI",J473="EO",J473="EQ"),$AE$1="NESMA"),2,1)))</f>
        <v/>
      </c>
      <c r="P473" s="86">
        <f>IF(J473="EI",IF(OR(Y473="估算法",Y473="算法类"),"中",IF(Y473="无法识别","低",IF(M473&lt;2,IF(O473&lt;16,"低","中"),IF(M473&lt;3,IF(O473&lt;5,"低",IF(O473&lt;16,"中","高")),IF(O473&lt;5,"中","高"))))),IF(OR(J473="EO",J473="EQ"),IF(OR(Y473="估算法",Y473="算法类"),"中",IF(Y473="无法识别","低",IF(M473&lt;2,IF(O473&lt;20,"低","中"),IF(M473&lt;4,IF(O473&lt;6,"低",IF(O473&lt;20,"中","高")),IF(O473&lt;6,"中","高"))))),IF(OR(J473="ILF",J473="EIF"),IF(OR(Y473="估算法",Y473="算法类",Y473="无法识别"),"低",IF(N473&lt;2,IF(O473&lt;51,"低","中"),IF(N473&lt;6,IF(O473&lt;20,"低",IF(O473&lt;51,"中","高")),IF(O473&lt;20,"中","高")))),"不计算")))</f>
        <v/>
      </c>
      <c r="Q473" s="172">
        <f>IFERROR(IF(J473="EI",IF(P473="低",3,IF(P473="中",4,6)),IF(J473="EO",IF(P473="低",4,IF(P473="中",5,7)),IF(J473="EQ",IF(P473="低",3,IF(P473="中",4,6)),IF(J473="ILF",IF(P473="低",7,IF(P473="中",10,15)),IF(J473="EIF",IF(P473="低",5,IF(P473="中",7,10)),"不计算")))))*R473,"不计算")</f>
        <v/>
      </c>
      <c r="R473" s="172" t="n">
        <v>0.1</v>
      </c>
      <c r="S473" s="173">
        <f>调整因子!$F$13</f>
        <v/>
      </c>
      <c r="T473" s="93" t="n">
        <v>1</v>
      </c>
      <c r="U473" s="174">
        <f>IFERROR(Q473*S473,0)</f>
        <v/>
      </c>
      <c r="V473" s="174">
        <f>U473*T473</f>
        <v/>
      </c>
      <c r="W473" s="93" t="inlineStr">
        <is>
          <t>用户偏好设置表、节点属性表、节点关系表、节点漏洞分布表</t>
        </is>
      </c>
      <c r="X473" s="98" t="n"/>
      <c r="Y47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3" s="90" t="n"/>
      <c r="AA473" s="90" t="n"/>
      <c r="AB473" s="92" t="n"/>
      <c r="AC473" s="66" t="n"/>
    </row>
    <row r="474" customFormat="1" s="66">
      <c r="A474" s="72">
        <f>ROW()-1</f>
        <v/>
      </c>
      <c r="B474" s="175" t="n"/>
      <c r="C474" s="80" t="n">
        <v>2025</v>
      </c>
      <c r="D474" s="80" t="inlineStr">
        <is>
          <t>窦鹏岐</t>
        </is>
      </c>
      <c r="E474" s="81">
        <f>VLOOKUP(I474,'25年交付功能（不含废弃）'!A:A,1,FALSE)</f>
        <v/>
      </c>
      <c r="F474" s="175" t="n"/>
      <c r="G474" s="175" t="n"/>
      <c r="H474" s="175" t="n"/>
      <c r="I474" s="81" t="inlineStr">
        <is>
          <t>用户查看节点下按时间分类的低风险漏洞数量</t>
        </is>
      </c>
      <c r="J474" s="93" t="n"/>
      <c r="K474" s="84" t="n"/>
      <c r="L474" s="84" t="inlineStr">
        <is>
          <t>和上行合并，输入输出完全一致，相同查询</t>
        </is>
      </c>
      <c r="M474" s="85">
        <f>IF(OR(Y474="估算法",Y474="算法类",Y474="无法识别"),"",IF(W474="",IF(OR(J474="EI",J474="EO",J474="EQ"),0,""),LEN(W474)-LEN(SUBSTITUTE(W474,"、",""))+1))</f>
        <v/>
      </c>
      <c r="N474" s="85">
        <f>IF(OR(Y474="估算法",Y474="算法类",Y474="无法识别"),"",IF(X474="",IF(OR(J474="ILF",J474="EIF"),0,""),LEN(X474)-LEN(SUBSTITUTE(X474,"、",""))+1))</f>
        <v/>
      </c>
      <c r="O474" s="85">
        <f>IF(OR(Y474="估算法",Y474="算法类",Y474="无法识别"),"",IF(Y474="",IF(OR(J474="ILF",J474="EIF",J474="EI",J474="EO",J474="EQ"),0,""),LEN(Y474)-LEN(SUBSTITUTE(SUBSTITUTE(SUBSTITUTE(SUBSTITUTE(SUBSTITUTE(Y474,"|}","--"),"{|","--"),CHAR(10),""),"、",""),"|",""))+IF(AND(OR(J474="EI",J474="EO",J474="EQ"),$AE$1="NESMA"),2,1)))</f>
        <v/>
      </c>
      <c r="P474" s="86">
        <f>IF(J474="EI",IF(OR(Y474="估算法",Y474="算法类"),"中",IF(Y474="无法识别","低",IF(M474&lt;2,IF(O474&lt;16,"低","中"),IF(M474&lt;3,IF(O474&lt;5,"低",IF(O474&lt;16,"中","高")),IF(O474&lt;5,"中","高"))))),IF(OR(J474="EO",J474="EQ"),IF(OR(Y474="估算法",Y474="算法类"),"中",IF(Y474="无法识别","低",IF(M474&lt;2,IF(O474&lt;20,"低","中"),IF(M474&lt;4,IF(O474&lt;6,"低",IF(O474&lt;20,"中","高")),IF(O474&lt;6,"中","高"))))),IF(OR(J474="ILF",J474="EIF"),IF(OR(Y474="估算法",Y474="算法类",Y474="无法识别"),"低",IF(N474&lt;2,IF(O474&lt;51,"低","中"),IF(N474&lt;6,IF(O474&lt;20,"低",IF(O474&lt;51,"中","高")),IF(O474&lt;20,"中","高")))),"不计算")))</f>
        <v/>
      </c>
      <c r="Q474" s="172">
        <f>IFERROR(IF(J474="EI",IF(P474="低",3,IF(P474="中",4,6)),IF(J474="EO",IF(P474="低",4,IF(P474="中",5,7)),IF(J474="EQ",IF(P474="低",3,IF(P474="中",4,6)),IF(J474="ILF",IF(P474="低",7,IF(P474="中",10,15)),IF(J474="EIF",IF(P474="低",5,IF(P474="中",7,10)),"不计算")))))*R474,"不计算")</f>
        <v/>
      </c>
      <c r="R474" s="172" t="n">
        <v>0.1</v>
      </c>
      <c r="S474" s="173">
        <f>调整因子!$F$13</f>
        <v/>
      </c>
      <c r="T474" s="92" t="n">
        <v>1</v>
      </c>
      <c r="U474" s="174">
        <f>IFERROR(Q474*S474,0)</f>
        <v/>
      </c>
      <c r="V474" s="174">
        <f>U474*T474</f>
        <v/>
      </c>
      <c r="W474" s="93" t="inlineStr">
        <is>
          <t>用户偏好设置表、节点属性表、节点关系表、节点漏洞分布表</t>
        </is>
      </c>
      <c r="X474" s="98" t="n"/>
      <c r="Y47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74" s="90" t="n"/>
      <c r="AA474" s="90" t="n"/>
      <c r="AB474" s="92" t="n"/>
      <c r="AC474" s="66" t="n"/>
    </row>
    <row r="475" customFormat="1" s="66">
      <c r="A475" s="72">
        <f>ROW()-1</f>
        <v/>
      </c>
      <c r="B475" s="175" t="n"/>
      <c r="C475" s="80" t="n">
        <v>2025</v>
      </c>
      <c r="D475" s="80" t="inlineStr">
        <is>
          <t>窦鹏岐</t>
        </is>
      </c>
      <c r="E475" s="81">
        <f>VLOOKUP(I475,'25年交付功能（不含废弃）'!A:A,1,FALSE)</f>
        <v/>
      </c>
      <c r="F475" s="175" t="n"/>
      <c r="G475" s="175" t="n"/>
      <c r="H475" s="175" t="n"/>
      <c r="I475" s="81" t="inlineStr">
        <is>
          <t>用户查看节点下按CVE年份分类的高风险漏洞数量</t>
        </is>
      </c>
      <c r="J475" s="93" t="n"/>
      <c r="K475" s="84" t="n"/>
      <c r="L475" s="84" t="inlineStr">
        <is>
          <t>和上行合并，输入输出完全一致，相同查询</t>
        </is>
      </c>
      <c r="M475" s="85">
        <f>IF(OR(Y475="估算法",Y475="算法类",Y475="无法识别"),"",IF(W475="",IF(OR(J475="EI",J475="EO",J475="EQ"),0,""),LEN(W475)-LEN(SUBSTITUTE(W475,"、",""))+1))</f>
        <v/>
      </c>
      <c r="N475" s="85">
        <f>IF(OR(Y475="估算法",Y475="算法类",Y475="无法识别"),"",IF(X475="",IF(OR(J475="ILF",J475="EIF"),0,""),LEN(X475)-LEN(SUBSTITUTE(X475,"、",""))+1))</f>
        <v/>
      </c>
      <c r="O475" s="85">
        <f>IF(OR(Y475="估算法",Y475="算法类",Y475="无法识别"),"",IF(Y475="",IF(OR(J475="ILF",J475="EIF",J475="EI",J475="EO",J475="EQ"),0,""),LEN(Y475)-LEN(SUBSTITUTE(SUBSTITUTE(SUBSTITUTE(SUBSTITUTE(SUBSTITUTE(Y475,"|}","--"),"{|","--"),CHAR(10),""),"、",""),"|",""))+IF(AND(OR(J475="EI",J475="EO",J475="EQ"),$AE$1="NESMA"),2,1)))</f>
        <v/>
      </c>
      <c r="P475" s="86">
        <f>IF(J475="EI",IF(OR(Y475="估算法",Y475="算法类"),"中",IF(Y475="无法识别","低",IF(M475&lt;2,IF(O475&lt;16,"低","中"),IF(M475&lt;3,IF(O475&lt;5,"低",IF(O475&lt;16,"中","高")),IF(O475&lt;5,"中","高"))))),IF(OR(J475="EO",J475="EQ"),IF(OR(Y475="估算法",Y475="算法类"),"中",IF(Y475="无法识别","低",IF(M475&lt;2,IF(O475&lt;20,"低","中"),IF(M475&lt;4,IF(O475&lt;6,"低",IF(O475&lt;20,"中","高")),IF(O475&lt;6,"中","高"))))),IF(OR(J475="ILF",J475="EIF"),IF(OR(Y475="估算法",Y475="算法类",Y475="无法识别"),"低",IF(N475&lt;2,IF(O475&lt;51,"低","中"),IF(N475&lt;6,IF(O475&lt;20,"低",IF(O475&lt;51,"中","高")),IF(O475&lt;20,"中","高")))),"不计算")))</f>
        <v/>
      </c>
      <c r="Q475" s="172">
        <f>IFERROR(IF(J475="EI",IF(P475="低",3,IF(P475="中",4,6)),IF(J475="EO",IF(P475="低",4,IF(P475="中",5,7)),IF(J475="EQ",IF(P475="低",3,IF(P475="中",4,6)),IF(J475="ILF",IF(P475="低",7,IF(P475="中",10,15)),IF(J475="EIF",IF(P475="低",5,IF(P475="中",7,10)),"不计算")))))*R475,"不计算")</f>
        <v/>
      </c>
      <c r="R475" s="172" t="n">
        <v>0.1</v>
      </c>
      <c r="S475" s="173">
        <f>调整因子!$F$13</f>
        <v/>
      </c>
      <c r="T475" s="92" t="n">
        <v>1</v>
      </c>
      <c r="U475" s="174">
        <f>IFERROR(Q475*S475,0)</f>
        <v/>
      </c>
      <c r="V475" s="174">
        <f>U475*T475</f>
        <v/>
      </c>
      <c r="W475" s="93" t="inlineStr">
        <is>
          <t>用户偏好设置表、主机漏洞表、主机漏洞详情表</t>
        </is>
      </c>
      <c r="X475" s="98" t="n"/>
      <c r="Y475"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5" s="90" t="n"/>
      <c r="AA475" s="90" t="n"/>
      <c r="AB475" s="92" t="n"/>
      <c r="AC475" s="66" t="n"/>
    </row>
    <row r="476" customFormat="1" s="66">
      <c r="A476" s="72">
        <f>ROW()-1</f>
        <v/>
      </c>
      <c r="B476" s="175" t="n"/>
      <c r="C476" s="80" t="n">
        <v>2025</v>
      </c>
      <c r="D476" s="80" t="inlineStr">
        <is>
          <t>窦鹏岐</t>
        </is>
      </c>
      <c r="E476" s="81">
        <f>VLOOKUP(I476,'25年交付功能（不含废弃）'!A:A,1,FALSE)</f>
        <v/>
      </c>
      <c r="F476" s="175" t="n"/>
      <c r="G476" s="175" t="n"/>
      <c r="H476" s="175" t="n"/>
      <c r="I476" s="81" t="inlineStr">
        <is>
          <t>用户查看节点下按CVE年份分类的中风险漏洞数量</t>
        </is>
      </c>
      <c r="J476" s="93" t="n"/>
      <c r="K476" s="84" t="n"/>
      <c r="L476" s="84" t="inlineStr">
        <is>
          <t>和上行合并，输入输出完全一致，相同查询</t>
        </is>
      </c>
      <c r="M476" s="85">
        <f>IF(OR(Y476="估算法",Y476="算法类",Y476="无法识别"),"",IF(W476="",IF(OR(J476="EI",J476="EO",J476="EQ"),0,""),LEN(W476)-LEN(SUBSTITUTE(W476,"、",""))+1))</f>
        <v/>
      </c>
      <c r="N476" s="85">
        <f>IF(OR(Y476="估算法",Y476="算法类",Y476="无法识别"),"",IF(X476="",IF(OR(J476="ILF",J476="EIF"),0,""),LEN(X476)-LEN(SUBSTITUTE(X476,"、",""))+1))</f>
        <v/>
      </c>
      <c r="O476" s="85">
        <f>IF(OR(Y476="估算法",Y476="算法类",Y476="无法识别"),"",IF(Y476="",IF(OR(J476="ILF",J476="EIF",J476="EI",J476="EO",J476="EQ"),0,""),LEN(Y476)-LEN(SUBSTITUTE(SUBSTITUTE(SUBSTITUTE(SUBSTITUTE(SUBSTITUTE(Y476,"|}","--"),"{|","--"),CHAR(10),""),"、",""),"|",""))+IF(AND(OR(J476="EI",J476="EO",J476="EQ"),$AE$1="NESMA"),2,1)))</f>
        <v/>
      </c>
      <c r="P476" s="86">
        <f>IF(J476="EI",IF(OR(Y476="估算法",Y476="算法类"),"中",IF(Y476="无法识别","低",IF(M476&lt;2,IF(O476&lt;16,"低","中"),IF(M476&lt;3,IF(O476&lt;5,"低",IF(O476&lt;16,"中","高")),IF(O476&lt;5,"中","高"))))),IF(OR(J476="EO",J476="EQ"),IF(OR(Y476="估算法",Y476="算法类"),"中",IF(Y476="无法识别","低",IF(M476&lt;2,IF(O476&lt;20,"低","中"),IF(M476&lt;4,IF(O476&lt;6,"低",IF(O476&lt;20,"中","高")),IF(O476&lt;6,"中","高"))))),IF(OR(J476="ILF",J476="EIF"),IF(OR(Y476="估算法",Y476="算法类",Y476="无法识别"),"低",IF(N476&lt;2,IF(O476&lt;51,"低","中"),IF(N476&lt;6,IF(O476&lt;20,"低",IF(O476&lt;51,"中","高")),IF(O476&lt;20,"中","高")))),"不计算")))</f>
        <v/>
      </c>
      <c r="Q476" s="172">
        <f>IFERROR(IF(J476="EI",IF(P476="低",3,IF(P476="中",4,6)),IF(J476="EO",IF(P476="低",4,IF(P476="中",5,7)),IF(J476="EQ",IF(P476="低",3,IF(P476="中",4,6)),IF(J476="ILF",IF(P476="低",7,IF(P476="中",10,15)),IF(J476="EIF",IF(P476="低",5,IF(P476="中",7,10)),"不计算")))))*R476,"不计算")</f>
        <v/>
      </c>
      <c r="R476" s="172" t="n">
        <v>0.1</v>
      </c>
      <c r="S476" s="173">
        <f>调整因子!$F$13</f>
        <v/>
      </c>
      <c r="T476" s="93" t="n">
        <v>1</v>
      </c>
      <c r="U476" s="174">
        <f>IFERROR(Q476*S476,0)</f>
        <v/>
      </c>
      <c r="V476" s="174">
        <f>U476*T476</f>
        <v/>
      </c>
      <c r="W476" s="93" t="inlineStr">
        <is>
          <t>用户偏好设置表、主机漏洞表、主机漏洞详情表</t>
        </is>
      </c>
      <c r="X476" s="98" t="n"/>
      <c r="Y476"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6" s="90" t="n"/>
      <c r="AA476" s="90" t="n"/>
      <c r="AB476" s="92" t="n"/>
      <c r="AC476" s="66" t="n"/>
    </row>
    <row r="477" customFormat="1" s="66">
      <c r="A477" s="72">
        <f>ROW()-1</f>
        <v/>
      </c>
      <c r="B477" s="175" t="n"/>
      <c r="C477" s="80" t="n">
        <v>2025</v>
      </c>
      <c r="D477" s="80" t="inlineStr">
        <is>
          <t>窦鹏岐</t>
        </is>
      </c>
      <c r="E477" s="81">
        <f>VLOOKUP(I477,'25年交付功能（不含废弃）'!A:A,1,FALSE)</f>
        <v/>
      </c>
      <c r="F477" s="175" t="n"/>
      <c r="G477" s="175" t="n"/>
      <c r="H477" s="175" t="n"/>
      <c r="I477" s="81" t="inlineStr">
        <is>
          <t>用户查看节点下按CVE年份分类的低风险漏洞数量</t>
        </is>
      </c>
      <c r="J477" s="93" t="n"/>
      <c r="K477" s="84" t="n"/>
      <c r="L477" s="84" t="inlineStr">
        <is>
          <t>和上行合并，输入输出完全一致，相同查询</t>
        </is>
      </c>
      <c r="M477" s="85">
        <f>IF(OR(Y477="估算法",Y477="算法类",Y477="无法识别"),"",IF(W477="",IF(OR(J477="EI",J477="EO",J477="EQ"),0,""),LEN(W477)-LEN(SUBSTITUTE(W477,"、",""))+1))</f>
        <v/>
      </c>
      <c r="N477" s="85">
        <f>IF(OR(Y477="估算法",Y477="算法类",Y477="无法识别"),"",IF(X477="",IF(OR(J477="ILF",J477="EIF"),0,""),LEN(X477)-LEN(SUBSTITUTE(X477,"、",""))+1))</f>
        <v/>
      </c>
      <c r="O477" s="85">
        <f>IF(OR(Y477="估算法",Y477="算法类",Y477="无法识别"),"",IF(Y477="",IF(OR(J477="ILF",J477="EIF",J477="EI",J477="EO",J477="EQ"),0,""),LEN(Y477)-LEN(SUBSTITUTE(SUBSTITUTE(SUBSTITUTE(SUBSTITUTE(SUBSTITUTE(Y477,"|}","--"),"{|","--"),CHAR(10),""),"、",""),"|",""))+IF(AND(OR(J477="EI",J477="EO",J477="EQ"),$AE$1="NESMA"),2,1)))</f>
        <v/>
      </c>
      <c r="P477" s="86">
        <f>IF(J477="EI",IF(OR(Y477="估算法",Y477="算法类"),"中",IF(Y477="无法识别","低",IF(M477&lt;2,IF(O477&lt;16,"低","中"),IF(M477&lt;3,IF(O477&lt;5,"低",IF(O477&lt;16,"中","高")),IF(O477&lt;5,"中","高"))))),IF(OR(J477="EO",J477="EQ"),IF(OR(Y477="估算法",Y477="算法类"),"中",IF(Y477="无法识别","低",IF(M477&lt;2,IF(O477&lt;20,"低","中"),IF(M477&lt;4,IF(O477&lt;6,"低",IF(O477&lt;20,"中","高")),IF(O477&lt;6,"中","高"))))),IF(OR(J477="ILF",J477="EIF"),IF(OR(Y477="估算法",Y477="算法类",Y477="无法识别"),"低",IF(N477&lt;2,IF(O477&lt;51,"低","中"),IF(N477&lt;6,IF(O477&lt;20,"低",IF(O477&lt;51,"中","高")),IF(O477&lt;20,"中","高")))),"不计算")))</f>
        <v/>
      </c>
      <c r="Q477" s="172">
        <f>IFERROR(IF(J477="EI",IF(P477="低",3,IF(P477="中",4,6)),IF(J477="EO",IF(P477="低",4,IF(P477="中",5,7)),IF(J477="EQ",IF(P477="低",3,IF(P477="中",4,6)),IF(J477="ILF",IF(P477="低",7,IF(P477="中",10,15)),IF(J477="EIF",IF(P477="低",5,IF(P477="中",7,10)),"不计算")))))*R477,"不计算")</f>
        <v/>
      </c>
      <c r="R477" s="172" t="n">
        <v>0.1</v>
      </c>
      <c r="S477" s="173">
        <f>调整因子!$F$13</f>
        <v/>
      </c>
      <c r="T477" s="92" t="n">
        <v>1</v>
      </c>
      <c r="U477" s="174">
        <f>IFERROR(Q477*S477,0)</f>
        <v/>
      </c>
      <c r="V477" s="174">
        <f>U477*T477</f>
        <v/>
      </c>
      <c r="W477" s="93" t="inlineStr">
        <is>
          <t>用户偏好设置表、主机漏洞表、主机漏洞详情表</t>
        </is>
      </c>
      <c r="X477" s="98" t="n"/>
      <c r="Y477"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77" s="90" t="n"/>
      <c r="AA477" s="90" t="n"/>
      <c r="AB477" s="92" t="n"/>
      <c r="AC477" s="66" t="n"/>
    </row>
    <row r="478" customFormat="1" s="66">
      <c r="A478" s="72">
        <f>ROW()-1</f>
        <v/>
      </c>
      <c r="B478" s="175" t="n"/>
      <c r="C478" s="80" t="n">
        <v>2025</v>
      </c>
      <c r="D478" s="80" t="inlineStr">
        <is>
          <t>窦鹏岐</t>
        </is>
      </c>
      <c r="E478" s="81">
        <f>VLOOKUP(I478,'25年交付功能（不含废弃）'!A:A,1,FALSE)</f>
        <v/>
      </c>
      <c r="F478" s="175" t="n"/>
      <c r="G478" s="175" t="n"/>
      <c r="H478" s="175" t="n"/>
      <c r="I478" s="81" t="inlineStr">
        <is>
          <t>用户查看节点下脆弱账号信息</t>
        </is>
      </c>
      <c r="J478" s="93" t="inlineStr">
        <is>
          <t>EQ</t>
        </is>
      </c>
      <c r="K478" s="84" t="n"/>
      <c r="L478" s="84" t="n"/>
      <c r="M478" s="85">
        <f>IF(OR(Y478="估算法",Y478="算法类",Y478="无法识别"),"",IF(W478="",IF(OR(J478="EI",J478="EO",J478="EQ"),0,""),LEN(W478)-LEN(SUBSTITUTE(W478,"、",""))+1))</f>
        <v/>
      </c>
      <c r="N478" s="85">
        <f>IF(OR(Y478="估算法",Y478="算法类",Y478="无法识别"),"",IF(X478="",IF(OR(J478="ILF",J478="EIF"),0,""),LEN(X478)-LEN(SUBSTITUTE(X478,"、",""))+1))</f>
        <v/>
      </c>
      <c r="O478" s="85">
        <f>IF(OR(Y478="估算法",Y478="算法类",Y478="无法识别"),"",IF(Y478="",IF(OR(J478="ILF",J478="EIF",J478="EI",J478="EO",J478="EQ"),0,""),LEN(Y478)-LEN(SUBSTITUTE(SUBSTITUTE(SUBSTITUTE(SUBSTITUTE(SUBSTITUTE(Y478,"|}","--"),"{|","--"),CHAR(10),""),"、",""),"|",""))+IF(AND(OR(J478="EI",J478="EO",J478="EQ"),$AE$1="NESMA"),2,1)))</f>
        <v/>
      </c>
      <c r="P478" s="86">
        <f>IF(J478="EI",IF(OR(Y478="估算法",Y478="算法类"),"中",IF(Y478="无法识别","低",IF(M478&lt;2,IF(O478&lt;16,"低","中"),IF(M478&lt;3,IF(O478&lt;5,"低",IF(O478&lt;16,"中","高")),IF(O478&lt;5,"中","高"))))),IF(OR(J478="EO",J478="EQ"),IF(OR(Y478="估算法",Y478="算法类"),"中",IF(Y478="无法识别","低",IF(M478&lt;2,IF(O478&lt;20,"低","中"),IF(M478&lt;4,IF(O478&lt;6,"低",IF(O478&lt;20,"中","高")),IF(O478&lt;6,"中","高"))))),IF(OR(J478="ILF",J478="EIF"),IF(OR(Y478="估算法",Y478="算法类",Y478="无法识别"),"低",IF(N478&lt;2,IF(O478&lt;51,"低","中"),IF(N478&lt;6,IF(O478&lt;20,"低",IF(O478&lt;51,"中","高")),IF(O478&lt;20,"中","高")))),"不计算")))</f>
        <v/>
      </c>
      <c r="Q478" s="172">
        <f>IFERROR(IF(J478="EI",IF(P478="低",3,IF(P478="中",4,6)),IF(J478="EO",IF(P478="低",4,IF(P478="中",5,7)),IF(J478="EQ",IF(P478="低",3,IF(P478="中",4,6)),IF(J478="ILF",IF(P478="低",7,IF(P478="中",10,15)),IF(J478="EIF",IF(P478="低",5,IF(P478="中",7,10)),"不计算")))))*R478,"不计算")</f>
        <v/>
      </c>
      <c r="R478" s="172" t="n">
        <v>1</v>
      </c>
      <c r="S478" s="173">
        <f>调整因子!$F$13</f>
        <v/>
      </c>
      <c r="T478" s="92" t="n">
        <v>1</v>
      </c>
      <c r="U478" s="174">
        <f>IFERROR(Q478*S478,0)</f>
        <v/>
      </c>
      <c r="V478" s="174">
        <f>U478*T478</f>
        <v/>
      </c>
      <c r="W478" s="93" t="inlineStr">
        <is>
          <t>用户偏好设置表、脆弱账号表</t>
        </is>
      </c>
      <c r="X478" s="98" t="n"/>
      <c r="Y478" s="93" t="inlineStr">
        <is>
          <t>用户偏好设置表{主键 id 、用户 id 、偏好设置名称、偏好设置值、最后更新时间}
脆弱账号表{主键id、节点id、账号名称、账号类型、风险等级、发现时间、状态}</t>
        </is>
      </c>
      <c r="Z478" s="90" t="n"/>
      <c r="AA478" s="90" t="n"/>
      <c r="AB478" s="92" t="n"/>
      <c r="AC478" s="66" t="n"/>
    </row>
    <row r="479" customFormat="1" s="66">
      <c r="A479" s="72">
        <f>ROW()-1</f>
        <v/>
      </c>
      <c r="B479" s="175" t="n"/>
      <c r="C479" s="80" t="n">
        <v>2025</v>
      </c>
      <c r="D479" s="80" t="inlineStr">
        <is>
          <t>窦鹏岐</t>
        </is>
      </c>
      <c r="E479" s="81">
        <f>VLOOKUP(I479,'25年交付功能（不含废弃）'!A:A,1,FALSE)</f>
        <v/>
      </c>
      <c r="F479" s="175" t="n"/>
      <c r="G479" s="175" t="n"/>
      <c r="H479" s="175" t="n"/>
      <c r="I479" s="81" t="inlineStr">
        <is>
          <t>用户查看节点下高风险脆弱账号分布</t>
        </is>
      </c>
      <c r="J479" s="93" t="n"/>
      <c r="K479" s="84" t="n"/>
      <c r="L479" s="84" t="inlineStr">
        <is>
          <t>和上行合并，输入输出完全一致，相同查询</t>
        </is>
      </c>
      <c r="M479" s="85">
        <f>IF(OR(Y479="估算法",Y479="算法类",Y479="无法识别"),"",IF(W479="",IF(OR(J479="EI",J479="EO",J479="EQ"),0,""),LEN(W479)-LEN(SUBSTITUTE(W479,"、",""))+1))</f>
        <v/>
      </c>
      <c r="N479" s="85">
        <f>IF(OR(Y479="估算法",Y479="算法类",Y479="无法识别"),"",IF(X479="",IF(OR(J479="ILF",J479="EIF"),0,""),LEN(X479)-LEN(SUBSTITUTE(X479,"、",""))+1))</f>
        <v/>
      </c>
      <c r="O479" s="85">
        <f>IF(OR(Y479="估算法",Y479="算法类",Y479="无法识别"),"",IF(Y479="",IF(OR(J479="ILF",J479="EIF",J479="EI",J479="EO",J479="EQ"),0,""),LEN(Y479)-LEN(SUBSTITUTE(SUBSTITUTE(SUBSTITUTE(SUBSTITUTE(SUBSTITUTE(Y479,"|}","--"),"{|","--"),CHAR(10),""),"、",""),"|",""))+IF(AND(OR(J479="EI",J479="EO",J479="EQ"),$AE$1="NESMA"),2,1)))</f>
        <v/>
      </c>
      <c r="P479" s="86">
        <f>IF(J479="EI",IF(OR(Y479="估算法",Y479="算法类"),"中",IF(Y479="无法识别","低",IF(M479&lt;2,IF(O479&lt;16,"低","中"),IF(M479&lt;3,IF(O479&lt;5,"低",IF(O479&lt;16,"中","高")),IF(O479&lt;5,"中","高"))))),IF(OR(J479="EO",J479="EQ"),IF(OR(Y479="估算法",Y479="算法类"),"中",IF(Y479="无法识别","低",IF(M479&lt;2,IF(O479&lt;20,"低","中"),IF(M479&lt;4,IF(O479&lt;6,"低",IF(O479&lt;20,"中","高")),IF(O479&lt;6,"中","高"))))),IF(OR(J479="ILF",J479="EIF"),IF(OR(Y479="估算法",Y479="算法类",Y479="无法识别"),"低",IF(N479&lt;2,IF(O479&lt;51,"低","中"),IF(N479&lt;6,IF(O479&lt;20,"低",IF(O479&lt;51,"中","高")),IF(O479&lt;20,"中","高")))),"不计算")))</f>
        <v/>
      </c>
      <c r="Q479" s="172">
        <f>IFERROR(IF(J479="EI",IF(P479="低",3,IF(P479="中",4,6)),IF(J479="EO",IF(P479="低",4,IF(P479="中",5,7)),IF(J479="EQ",IF(P479="低",3,IF(P479="中",4,6)),IF(J479="ILF",IF(P479="低",7,IF(P479="中",10,15)),IF(J479="EIF",IF(P479="低",5,IF(P479="中",7,10)),"不计算")))))*R479,"不计算")</f>
        <v/>
      </c>
      <c r="R479" s="172" t="n">
        <v>0.333333333333333</v>
      </c>
      <c r="S479" s="173">
        <f>调整因子!$F$13</f>
        <v/>
      </c>
      <c r="T479" s="93" t="n">
        <v>1</v>
      </c>
      <c r="U479" s="174">
        <f>IFERROR(Q479*S479,0)</f>
        <v/>
      </c>
      <c r="V479" s="174">
        <f>U479*T479</f>
        <v/>
      </c>
      <c r="W479" s="93" t="inlineStr">
        <is>
          <t>用户偏好设置表、脆弱账号表</t>
        </is>
      </c>
      <c r="X479" s="98" t="n"/>
      <c r="Y479" s="93" t="inlineStr">
        <is>
          <t>用户偏好设置表{主键 id 、用户 id 、偏好设置名称、偏好设置值、最后更新时间}
脆弱账号表{主键id、节点id、账号名称、账号类型、风险等级、发现时间、状态}</t>
        </is>
      </c>
      <c r="Z479" s="90" t="n"/>
      <c r="AA479" s="90" t="n"/>
      <c r="AB479" s="92" t="n"/>
      <c r="AC479" s="66" t="n"/>
    </row>
    <row r="480" customFormat="1" s="66">
      <c r="A480" s="72">
        <f>ROW()-1</f>
        <v/>
      </c>
      <c r="B480" s="175" t="n"/>
      <c r="C480" s="80" t="n">
        <v>2025</v>
      </c>
      <c r="D480" s="80" t="inlineStr">
        <is>
          <t>窦鹏岐</t>
        </is>
      </c>
      <c r="E480" s="81">
        <f>VLOOKUP(I480,'25年交付功能（不含废弃）'!A:A,1,FALSE)</f>
        <v/>
      </c>
      <c r="F480" s="175" t="n"/>
      <c r="G480" s="175" t="n"/>
      <c r="H480" s="175" t="n"/>
      <c r="I480" s="81" t="inlineStr">
        <is>
          <t>用户查看节点下中风险脆弱账号分布</t>
        </is>
      </c>
      <c r="J480" s="93" t="n"/>
      <c r="K480" s="84" t="n"/>
      <c r="L480" s="84" t="inlineStr">
        <is>
          <t>和上行合并，输入输出完全一致，相同查询</t>
        </is>
      </c>
      <c r="M480" s="85">
        <f>IF(OR(Y480="估算法",Y480="算法类",Y480="无法识别"),"",IF(W480="",IF(OR(J480="EI",J480="EO",J480="EQ"),0,""),LEN(W480)-LEN(SUBSTITUTE(W480,"、",""))+1))</f>
        <v/>
      </c>
      <c r="N480" s="85">
        <f>IF(OR(Y480="估算法",Y480="算法类",Y480="无法识别"),"",IF(X480="",IF(OR(J480="ILF",J480="EIF"),0,""),LEN(X480)-LEN(SUBSTITUTE(X480,"、",""))+1))</f>
        <v/>
      </c>
      <c r="O480" s="85">
        <f>IF(OR(Y480="估算法",Y480="算法类",Y480="无法识别"),"",IF(Y480="",IF(OR(J480="ILF",J480="EIF",J480="EI",J480="EO",J480="EQ"),0,""),LEN(Y480)-LEN(SUBSTITUTE(SUBSTITUTE(SUBSTITUTE(SUBSTITUTE(SUBSTITUTE(Y480,"|}","--"),"{|","--"),CHAR(10),""),"、",""),"|",""))+IF(AND(OR(J480="EI",J480="EO",J480="EQ"),$AE$1="NESMA"),2,1)))</f>
        <v/>
      </c>
      <c r="P480" s="86">
        <f>IF(J480="EI",IF(OR(Y480="估算法",Y480="算法类"),"中",IF(Y480="无法识别","低",IF(M480&lt;2,IF(O480&lt;16,"低","中"),IF(M480&lt;3,IF(O480&lt;5,"低",IF(O480&lt;16,"中","高")),IF(O480&lt;5,"中","高"))))),IF(OR(J480="EO",J480="EQ"),IF(OR(Y480="估算法",Y480="算法类"),"中",IF(Y480="无法识别","低",IF(M480&lt;2,IF(O480&lt;20,"低","中"),IF(M480&lt;4,IF(O480&lt;6,"低",IF(O480&lt;20,"中","高")),IF(O480&lt;6,"中","高"))))),IF(OR(J480="ILF",J480="EIF"),IF(OR(Y480="估算法",Y480="算法类",Y480="无法识别"),"低",IF(N480&lt;2,IF(O480&lt;51,"低","中"),IF(N480&lt;6,IF(O480&lt;20,"低",IF(O480&lt;51,"中","高")),IF(O480&lt;20,"中","高")))),"不计算")))</f>
        <v/>
      </c>
      <c r="Q480" s="172">
        <f>IFERROR(IF(J480="EI",IF(P480="低",3,IF(P480="中",4,6)),IF(J480="EO",IF(P480="低",4,IF(P480="中",5,7)),IF(J480="EQ",IF(P480="低",3,IF(P480="中",4,6)),IF(J480="ILF",IF(P480="低",7,IF(P480="中",10,15)),IF(J480="EIF",IF(P480="低",5,IF(P480="中",7,10)),"不计算")))))*R480,"不计算")</f>
        <v/>
      </c>
      <c r="R480" s="172" t="n">
        <v>0.333333333333333</v>
      </c>
      <c r="S480" s="173">
        <f>调整因子!$F$13</f>
        <v/>
      </c>
      <c r="T480" s="92" t="n">
        <v>1</v>
      </c>
      <c r="U480" s="174">
        <f>IFERROR(Q480*S480,0)</f>
        <v/>
      </c>
      <c r="V480" s="174">
        <f>U480*T480</f>
        <v/>
      </c>
      <c r="W480" s="93" t="inlineStr">
        <is>
          <t>用户偏好设置表、脆弱账号表</t>
        </is>
      </c>
      <c r="X480" s="98" t="n"/>
      <c r="Y480" s="93" t="inlineStr">
        <is>
          <t>用户偏好设置表{主键 id 、用户 id 、偏好设置名称、偏好设置值、最后更新时间}
脆弱账号表{主键id、节点id、账号名称、账号类型、风险等级、发现时间、状态}</t>
        </is>
      </c>
      <c r="Z480" s="90" t="n"/>
      <c r="AA480" s="90" t="n"/>
      <c r="AB480" s="92" t="n"/>
      <c r="AC480" s="66" t="n"/>
    </row>
    <row r="481" customFormat="1" s="66">
      <c r="A481" s="72">
        <f>ROW()-1</f>
        <v/>
      </c>
      <c r="B481" s="175" t="n"/>
      <c r="C481" s="80" t="n">
        <v>2025</v>
      </c>
      <c r="D481" s="80" t="inlineStr">
        <is>
          <t>窦鹏岐</t>
        </is>
      </c>
      <c r="E481" s="81">
        <f>VLOOKUP(I481,'25年交付功能（不含废弃）'!A:A,1,FALSE)</f>
        <v/>
      </c>
      <c r="F481" s="175" t="n"/>
      <c r="G481" s="175" t="n"/>
      <c r="H481" s="175" t="n"/>
      <c r="I481" s="81" t="inlineStr">
        <is>
          <t>用户查看节点下低风险脆弱账号分布</t>
        </is>
      </c>
      <c r="J481" s="93" t="n"/>
      <c r="K481" s="84" t="n"/>
      <c r="L481" s="84" t="inlineStr">
        <is>
          <t>和上行合并，输入输出完全一致，相同查询</t>
        </is>
      </c>
      <c r="M481" s="85">
        <f>IF(OR(Y481="估算法",Y481="算法类",Y481="无法识别"),"",IF(W481="",IF(OR(J481="EI",J481="EO",J481="EQ"),0,""),LEN(W481)-LEN(SUBSTITUTE(W481,"、",""))+1))</f>
        <v/>
      </c>
      <c r="N481" s="85">
        <f>IF(OR(Y481="估算法",Y481="算法类",Y481="无法识别"),"",IF(X481="",IF(OR(J481="ILF",J481="EIF"),0,""),LEN(X481)-LEN(SUBSTITUTE(X481,"、",""))+1))</f>
        <v/>
      </c>
      <c r="O481" s="85">
        <f>IF(OR(Y481="估算法",Y481="算法类",Y481="无法识别"),"",IF(Y481="",IF(OR(J481="ILF",J481="EIF",J481="EI",J481="EO",J481="EQ"),0,""),LEN(Y481)-LEN(SUBSTITUTE(SUBSTITUTE(SUBSTITUTE(SUBSTITUTE(SUBSTITUTE(Y481,"|}","--"),"{|","--"),CHAR(10),""),"、",""),"|",""))+IF(AND(OR(J481="EI",J481="EO",J481="EQ"),$AE$1="NESMA"),2,1)))</f>
        <v/>
      </c>
      <c r="P481" s="86">
        <f>IF(J481="EI",IF(OR(Y481="估算法",Y481="算法类"),"中",IF(Y481="无法识别","低",IF(M481&lt;2,IF(O481&lt;16,"低","中"),IF(M481&lt;3,IF(O481&lt;5,"低",IF(O481&lt;16,"中","高")),IF(O481&lt;5,"中","高"))))),IF(OR(J481="EO",J481="EQ"),IF(OR(Y481="估算法",Y481="算法类"),"中",IF(Y481="无法识别","低",IF(M481&lt;2,IF(O481&lt;20,"低","中"),IF(M481&lt;4,IF(O481&lt;6,"低",IF(O481&lt;20,"中","高")),IF(O481&lt;6,"中","高"))))),IF(OR(J481="ILF",J481="EIF"),IF(OR(Y481="估算法",Y481="算法类",Y481="无法识别"),"低",IF(N481&lt;2,IF(O481&lt;51,"低","中"),IF(N481&lt;6,IF(O481&lt;20,"低",IF(O481&lt;51,"中","高")),IF(O481&lt;20,"中","高")))),"不计算")))</f>
        <v/>
      </c>
      <c r="Q481" s="172">
        <f>IFERROR(IF(J481="EI",IF(P481="低",3,IF(P481="中",4,6)),IF(J481="EO",IF(P481="低",4,IF(P481="中",5,7)),IF(J481="EQ",IF(P481="低",3,IF(P481="中",4,6)),IF(J481="ILF",IF(P481="低",7,IF(P481="中",10,15)),IF(J481="EIF",IF(P481="低",5,IF(P481="中",7,10)),"不计算")))))*R481,"不计算")</f>
        <v/>
      </c>
      <c r="R481" s="172" t="n">
        <v>0.333333333333333</v>
      </c>
      <c r="S481" s="173">
        <f>调整因子!$F$13</f>
        <v/>
      </c>
      <c r="T481" s="92" t="n">
        <v>1</v>
      </c>
      <c r="U481" s="174">
        <f>IFERROR(Q481*S481,0)</f>
        <v/>
      </c>
      <c r="V481" s="174">
        <f>U481*T481</f>
        <v/>
      </c>
      <c r="W481" s="93" t="inlineStr">
        <is>
          <t>用户偏好设置表、脆弱账号表</t>
        </is>
      </c>
      <c r="X481" s="98" t="n"/>
      <c r="Y481" s="93" t="inlineStr">
        <is>
          <t>用户偏好设置表{主键 id 、用户 id 、偏好设置名称、偏好设置值、最后更新时间}
脆弱账号表{主键id、节点id、账号名称、账号类型、风险等级、发现时间、状态}</t>
        </is>
      </c>
      <c r="Z481" s="90" t="n"/>
      <c r="AA481" s="90" t="n"/>
      <c r="AB481" s="92" t="n"/>
      <c r="AC481" s="66" t="n"/>
    </row>
    <row r="482" customFormat="1" s="66">
      <c r="A482" s="72">
        <f>ROW()-1</f>
        <v/>
      </c>
      <c r="B482" s="175" t="n"/>
      <c r="C482" s="80" t="n">
        <v>2025</v>
      </c>
      <c r="D482" s="80" t="inlineStr">
        <is>
          <t>窦鹏岐</t>
        </is>
      </c>
      <c r="E482" s="81">
        <f>VLOOKUP(I482,'25年交付功能（不含废弃）'!A:A,1,FALSE)</f>
        <v/>
      </c>
      <c r="F482" s="175" t="n"/>
      <c r="G482" s="175" t="n"/>
      <c r="H482" s="175" t="n"/>
      <c r="I482" s="81" t="inlineStr">
        <is>
          <t>用户查看节点属性</t>
        </is>
      </c>
      <c r="J482" s="93" t="inlineStr">
        <is>
          <t>EQ</t>
        </is>
      </c>
      <c r="K482" s="84" t="n"/>
      <c r="L482" s="84" t="n"/>
      <c r="M482" s="85">
        <f>IF(OR(Y482="估算法",Y482="算法类",Y482="无法识别"),"",IF(W482="",IF(OR(J482="EI",J482="EO",J482="EQ"),0,""),LEN(W482)-LEN(SUBSTITUTE(W482,"、",""))+1))</f>
        <v/>
      </c>
      <c r="N482" s="85">
        <f>IF(OR(Y482="估算法",Y482="算法类",Y482="无法识别"),"",IF(X482="",IF(OR(J482="ILF",J482="EIF"),0,""),LEN(X482)-LEN(SUBSTITUTE(X482,"、",""))+1))</f>
        <v/>
      </c>
      <c r="O482" s="85">
        <f>IF(OR(Y482="估算法",Y482="算法类",Y482="无法识别"),"",IF(Y482="",IF(OR(J482="ILF",J482="EIF",J482="EI",J482="EO",J482="EQ"),0,""),LEN(Y482)-LEN(SUBSTITUTE(SUBSTITUTE(SUBSTITUTE(SUBSTITUTE(SUBSTITUTE(Y482,"|}","--"),"{|","--"),CHAR(10),""),"、",""),"|",""))+IF(AND(OR(J482="EI",J482="EO",J482="EQ"),$AE$1="NESMA"),2,1)))</f>
        <v/>
      </c>
      <c r="P482" s="86">
        <f>IF(J482="EI",IF(OR(Y482="估算法",Y482="算法类"),"中",IF(Y482="无法识别","低",IF(M482&lt;2,IF(O482&lt;16,"低","中"),IF(M482&lt;3,IF(O482&lt;5,"低",IF(O482&lt;16,"中","高")),IF(O482&lt;5,"中","高"))))),IF(OR(J482="EO",J482="EQ"),IF(OR(Y482="估算法",Y482="算法类"),"中",IF(Y482="无法识别","低",IF(M482&lt;2,IF(O482&lt;20,"低","中"),IF(M482&lt;4,IF(O482&lt;6,"低",IF(O482&lt;20,"中","高")),IF(O482&lt;6,"中","高"))))),IF(OR(J482="ILF",J482="EIF"),IF(OR(Y482="估算法",Y482="算法类",Y482="无法识别"),"低",IF(N482&lt;2,IF(O482&lt;51,"低","中"),IF(N482&lt;6,IF(O482&lt;20,"低",IF(O482&lt;51,"中","高")),IF(O482&lt;20,"中","高")))),"不计算")))</f>
        <v/>
      </c>
      <c r="Q482" s="172">
        <f>IFERROR(IF(J482="EI",IF(P482="低",3,IF(P482="中",4,6)),IF(J482="EO",IF(P482="低",4,IF(P482="中",5,7)),IF(J482="EQ",IF(P482="低",3,IF(P482="中",4,6)),IF(J482="ILF",IF(P482="低",7,IF(P482="中",10,15)),IF(J482="EIF",IF(P482="低",5,IF(P482="中",7,10)),"不计算")))))*R482,"不计算")</f>
        <v/>
      </c>
      <c r="R482" s="172" t="n">
        <v>1</v>
      </c>
      <c r="S482" s="173">
        <f>调整因子!$F$13</f>
        <v/>
      </c>
      <c r="T482" s="93" t="n">
        <v>1</v>
      </c>
      <c r="U482" s="174">
        <f>IFERROR(Q482*S482,0)</f>
        <v/>
      </c>
      <c r="V482" s="174">
        <f>U482*T482</f>
        <v/>
      </c>
      <c r="W482" s="93" t="inlineStr">
        <is>
          <t>用户偏好设置表、节点属性表、节点关系表、节点漏洞分布表</t>
        </is>
      </c>
      <c r="X482" s="98" t="n"/>
      <c r="Y48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2" s="90" t="n"/>
      <c r="AA482" s="90" t="n"/>
      <c r="AB482" s="92" t="n"/>
      <c r="AC482" s="66" t="n"/>
    </row>
    <row r="483" customFormat="1" s="66">
      <c r="A483" s="72">
        <f>ROW()-1</f>
        <v/>
      </c>
      <c r="B483" s="175" t="n"/>
      <c r="C483" s="80" t="n">
        <v>2025</v>
      </c>
      <c r="D483" s="80" t="inlineStr">
        <is>
          <t>窦鹏岐</t>
        </is>
      </c>
      <c r="E483" s="81">
        <f>VLOOKUP(I483,'25年交付功能（不含废弃）'!A:A,1,FALSE)</f>
        <v/>
      </c>
      <c r="F483" s="175" t="n"/>
      <c r="G483" s="175" t="n"/>
      <c r="H483" s="175" t="n"/>
      <c r="I483" s="81" t="inlineStr">
        <is>
          <t>用户查看主机资产设备类型视图</t>
        </is>
      </c>
      <c r="J483" s="93" t="inlineStr">
        <is>
          <t>EQ</t>
        </is>
      </c>
      <c r="K483" s="84" t="n"/>
      <c r="L483" s="84" t="n"/>
      <c r="M483" s="85">
        <f>IF(OR(Y483="估算法",Y483="算法类",Y483="无法识别"),"",IF(W483="",IF(OR(J483="EI",J483="EO",J483="EQ"),0,""),LEN(W483)-LEN(SUBSTITUTE(W483,"、",""))+1))</f>
        <v/>
      </c>
      <c r="N483" s="85">
        <f>IF(OR(Y483="估算法",Y483="算法类",Y483="无法识别"),"",IF(X483="",IF(OR(J483="ILF",J483="EIF"),0,""),LEN(X483)-LEN(SUBSTITUTE(X483,"、",""))+1))</f>
        <v/>
      </c>
      <c r="O483" s="85">
        <f>IF(OR(Y483="估算法",Y483="算法类",Y483="无法识别"),"",IF(Y483="",IF(OR(J483="ILF",J483="EIF",J483="EI",J483="EO",J483="EQ"),0,""),LEN(Y483)-LEN(SUBSTITUTE(SUBSTITUTE(SUBSTITUTE(SUBSTITUTE(SUBSTITUTE(Y483,"|}","--"),"{|","--"),CHAR(10),""),"、",""),"|",""))+IF(AND(OR(J483="EI",J483="EO",J483="EQ"),$AE$1="NESMA"),2,1)))</f>
        <v/>
      </c>
      <c r="P483" s="86">
        <f>IF(J483="EI",IF(OR(Y483="估算法",Y483="算法类"),"中",IF(Y483="无法识别","低",IF(M483&lt;2,IF(O483&lt;16,"低","中"),IF(M483&lt;3,IF(O483&lt;5,"低",IF(O483&lt;16,"中","高")),IF(O483&lt;5,"中","高"))))),IF(OR(J483="EO",J483="EQ"),IF(OR(Y483="估算法",Y483="算法类"),"中",IF(Y483="无法识别","低",IF(M483&lt;2,IF(O483&lt;20,"低","中"),IF(M483&lt;4,IF(O483&lt;6,"低",IF(O483&lt;20,"中","高")),IF(O483&lt;6,"中","高"))))),IF(OR(J483="ILF",J483="EIF"),IF(OR(Y483="估算法",Y483="算法类",Y483="无法识别"),"低",IF(N483&lt;2,IF(O483&lt;51,"低","中"),IF(N483&lt;6,IF(O483&lt;20,"低",IF(O483&lt;51,"中","高")),IF(O483&lt;20,"中","高")))),"不计算")))</f>
        <v/>
      </c>
      <c r="Q483" s="172">
        <f>IFERROR(IF(J483="EI",IF(P483="低",3,IF(P483="中",4,6)),IF(J483="EO",IF(P483="低",4,IF(P483="中",5,7)),IF(J483="EQ",IF(P483="低",3,IF(P483="中",4,6)),IF(J483="ILF",IF(P483="低",7,IF(P483="中",10,15)),IF(J483="EIF",IF(P483="低",5,IF(P483="中",7,10)),"不计算")))))*R483,"不计算")</f>
        <v/>
      </c>
      <c r="R483" s="172" t="n">
        <v>1</v>
      </c>
      <c r="S483" s="173">
        <f>调整因子!$F$13</f>
        <v/>
      </c>
      <c r="T483" s="92" t="n">
        <v>1</v>
      </c>
      <c r="U483" s="174">
        <f>IFERROR(Q483*S483,0)</f>
        <v/>
      </c>
      <c r="V483" s="174">
        <f>U483*T483</f>
        <v/>
      </c>
      <c r="W483" s="93" t="inlineStr">
        <is>
          <t>用户偏好设置表、主机漏洞表、主机漏洞详情表</t>
        </is>
      </c>
      <c r="X483" s="98" t="n"/>
      <c r="Y483"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83" s="90" t="n"/>
      <c r="AA483" s="90" t="n"/>
      <c r="AB483" s="92" t="n"/>
      <c r="AC483" s="66" t="n"/>
    </row>
    <row r="484" customFormat="1" s="66">
      <c r="A484" s="72">
        <f>ROW()-1</f>
        <v/>
      </c>
      <c r="B484" s="175" t="n"/>
      <c r="C484" s="80" t="n">
        <v>2025</v>
      </c>
      <c r="D484" s="80" t="inlineStr">
        <is>
          <t>窦鹏岐</t>
        </is>
      </c>
      <c r="E484" s="81">
        <f>VLOOKUP(I484,'25年交付功能（不含废弃）'!A:A,1,FALSE)</f>
        <v/>
      </c>
      <c r="F484" s="175" t="n"/>
      <c r="G484" s="175" t="n"/>
      <c r="H484" s="175" t="n"/>
      <c r="I484" s="81" t="inlineStr">
        <is>
          <t>用户查看节点非常危险主机数量</t>
        </is>
      </c>
      <c r="J484" s="93" t="n"/>
      <c r="K484" s="84" t="n"/>
      <c r="L484" s="84" t="inlineStr">
        <is>
          <t>和上行合并，输入输出完全一致，相同查询</t>
        </is>
      </c>
      <c r="M484" s="85">
        <f>IF(OR(Y484="估算法",Y484="算法类",Y484="无法识别"),"",IF(W484="",IF(OR(J484="EI",J484="EO",J484="EQ"),0,""),LEN(W484)-LEN(SUBSTITUTE(W484,"、",""))+1))</f>
        <v/>
      </c>
      <c r="N484" s="85">
        <f>IF(OR(Y484="估算法",Y484="算法类",Y484="无法识别"),"",IF(X484="",IF(OR(J484="ILF",J484="EIF"),0,""),LEN(X484)-LEN(SUBSTITUTE(X484,"、",""))+1))</f>
        <v/>
      </c>
      <c r="O484" s="85">
        <f>IF(OR(Y484="估算法",Y484="算法类",Y484="无法识别"),"",IF(Y484="",IF(OR(J484="ILF",J484="EIF",J484="EI",J484="EO",J484="EQ"),0,""),LEN(Y484)-LEN(SUBSTITUTE(SUBSTITUTE(SUBSTITUTE(SUBSTITUTE(SUBSTITUTE(Y484,"|}","--"),"{|","--"),CHAR(10),""),"、",""),"|",""))+IF(AND(OR(J484="EI",J484="EO",J484="EQ"),$AE$1="NESMA"),2,1)))</f>
        <v/>
      </c>
      <c r="P484" s="86">
        <f>IF(J484="EI",IF(OR(Y484="估算法",Y484="算法类"),"中",IF(Y484="无法识别","低",IF(M484&lt;2,IF(O484&lt;16,"低","中"),IF(M484&lt;3,IF(O484&lt;5,"低",IF(O484&lt;16,"中","高")),IF(O484&lt;5,"中","高"))))),IF(OR(J484="EO",J484="EQ"),IF(OR(Y484="估算法",Y484="算法类"),"中",IF(Y484="无法识别","低",IF(M484&lt;2,IF(O484&lt;20,"低","中"),IF(M484&lt;4,IF(O484&lt;6,"低",IF(O484&lt;20,"中","高")),IF(O484&lt;6,"中","高"))))),IF(OR(J484="ILF",J484="EIF"),IF(OR(Y484="估算法",Y484="算法类",Y484="无法识别"),"低",IF(N484&lt;2,IF(O484&lt;51,"低","中"),IF(N484&lt;6,IF(O484&lt;20,"低",IF(O484&lt;51,"中","高")),IF(O484&lt;20,"中","高")))),"不计算")))</f>
        <v/>
      </c>
      <c r="Q484" s="172">
        <f>IFERROR(IF(J484="EI",IF(P484="低",3,IF(P484="中",4,6)),IF(J484="EO",IF(P484="低",4,IF(P484="中",5,7)),IF(J484="EQ",IF(P484="低",3,IF(P484="中",4,6)),IF(J484="ILF",IF(P484="低",7,IF(P484="中",10,15)),IF(J484="EIF",IF(P484="低",5,IF(P484="中",7,10)),"不计算")))))*R484,"不计算")</f>
        <v/>
      </c>
      <c r="R484" s="172" t="n">
        <v>0.333333333333333</v>
      </c>
      <c r="S484" s="173">
        <f>调整因子!$F$13</f>
        <v/>
      </c>
      <c r="T484" s="92" t="n">
        <v>1</v>
      </c>
      <c r="U484" s="174">
        <f>IFERROR(Q484*S484,0)</f>
        <v/>
      </c>
      <c r="V484" s="174">
        <f>U484*T484</f>
        <v/>
      </c>
      <c r="W484" s="93" t="inlineStr">
        <is>
          <t>用户偏好设置表、节点属性表、节点关系表、节点漏洞分布表</t>
        </is>
      </c>
      <c r="X484" s="98" t="n"/>
      <c r="Y48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4" s="90" t="n"/>
      <c r="AA484" s="90" t="n"/>
      <c r="AB484" s="92" t="n"/>
      <c r="AC484" s="66" t="n"/>
    </row>
    <row r="485" customFormat="1" s="66">
      <c r="A485" s="72">
        <f>ROW()-1</f>
        <v/>
      </c>
      <c r="B485" s="175" t="n"/>
      <c r="C485" s="80" t="n">
        <v>2025</v>
      </c>
      <c r="D485" s="80" t="inlineStr">
        <is>
          <t>窦鹏岐</t>
        </is>
      </c>
      <c r="E485" s="81">
        <f>VLOOKUP(I485,'25年交付功能（不含废弃）'!A:A,1,FALSE)</f>
        <v/>
      </c>
      <c r="F485" s="175" t="n"/>
      <c r="G485" s="175" t="n"/>
      <c r="H485" s="175" t="n"/>
      <c r="I485" s="81" t="inlineStr">
        <is>
          <t>用户查看节点比较危险主机数量</t>
        </is>
      </c>
      <c r="J485" s="93" t="n"/>
      <c r="K485" s="84" t="n"/>
      <c r="L485" s="84" t="inlineStr">
        <is>
          <t>和上行合并，输入输出完全一致，相同查询</t>
        </is>
      </c>
      <c r="M485" s="85">
        <f>IF(OR(Y485="估算法",Y485="算法类",Y485="无法识别"),"",IF(W485="",IF(OR(J485="EI",J485="EO",J485="EQ"),0,""),LEN(W485)-LEN(SUBSTITUTE(W485,"、",""))+1))</f>
        <v/>
      </c>
      <c r="N485" s="85">
        <f>IF(OR(Y485="估算法",Y485="算法类",Y485="无法识别"),"",IF(X485="",IF(OR(J485="ILF",J485="EIF"),0,""),LEN(X485)-LEN(SUBSTITUTE(X485,"、",""))+1))</f>
        <v/>
      </c>
      <c r="O485" s="85">
        <f>IF(OR(Y485="估算法",Y485="算法类",Y485="无法识别"),"",IF(Y485="",IF(OR(J485="ILF",J485="EIF",J485="EI",J485="EO",J485="EQ"),0,""),LEN(Y485)-LEN(SUBSTITUTE(SUBSTITUTE(SUBSTITUTE(SUBSTITUTE(SUBSTITUTE(Y485,"|}","--"),"{|","--"),CHAR(10),""),"、",""),"|",""))+IF(AND(OR(J485="EI",J485="EO",J485="EQ"),$AE$1="NESMA"),2,1)))</f>
        <v/>
      </c>
      <c r="P485" s="86">
        <f>IF(J485="EI",IF(OR(Y485="估算法",Y485="算法类"),"中",IF(Y485="无法识别","低",IF(M485&lt;2,IF(O485&lt;16,"低","中"),IF(M485&lt;3,IF(O485&lt;5,"低",IF(O485&lt;16,"中","高")),IF(O485&lt;5,"中","高"))))),IF(OR(J485="EO",J485="EQ"),IF(OR(Y485="估算法",Y485="算法类"),"中",IF(Y485="无法识别","低",IF(M485&lt;2,IF(O485&lt;20,"低","中"),IF(M485&lt;4,IF(O485&lt;6,"低",IF(O485&lt;20,"中","高")),IF(O485&lt;6,"中","高"))))),IF(OR(J485="ILF",J485="EIF"),IF(OR(Y485="估算法",Y485="算法类",Y485="无法识别"),"低",IF(N485&lt;2,IF(O485&lt;51,"低","中"),IF(N485&lt;6,IF(O485&lt;20,"低",IF(O485&lt;51,"中","高")),IF(O485&lt;20,"中","高")))),"不计算")))</f>
        <v/>
      </c>
      <c r="Q485" s="172">
        <f>IFERROR(IF(J485="EI",IF(P485="低",3,IF(P485="中",4,6)),IF(J485="EO",IF(P485="低",4,IF(P485="中",5,7)),IF(J485="EQ",IF(P485="低",3,IF(P485="中",4,6)),IF(J485="ILF",IF(P485="低",7,IF(P485="中",10,15)),IF(J485="EIF",IF(P485="低",5,IF(P485="中",7,10)),"不计算")))))*R485,"不计算")</f>
        <v/>
      </c>
      <c r="R485" s="172" t="n">
        <v>0.333333333333333</v>
      </c>
      <c r="S485" s="173">
        <f>调整因子!$F$13</f>
        <v/>
      </c>
      <c r="T485" s="93" t="n">
        <v>1</v>
      </c>
      <c r="U485" s="174">
        <f>IFERROR(Q485*S485,0)</f>
        <v/>
      </c>
      <c r="V485" s="174">
        <f>U485*T485</f>
        <v/>
      </c>
      <c r="W485" s="93" t="inlineStr">
        <is>
          <t>用户偏好设置表、节点属性表、节点关系表、节点漏洞分布表</t>
        </is>
      </c>
      <c r="X485" s="98" t="n"/>
      <c r="Y48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5" s="90" t="n"/>
      <c r="AA485" s="90" t="n"/>
      <c r="AB485" s="92" t="n"/>
      <c r="AC485" s="66" t="n"/>
    </row>
    <row r="486" customFormat="1" s="66">
      <c r="A486" s="72">
        <f>ROW()-1</f>
        <v/>
      </c>
      <c r="B486" s="175" t="n"/>
      <c r="C486" s="80" t="n">
        <v>2025</v>
      </c>
      <c r="D486" s="80" t="inlineStr">
        <is>
          <t>窦鹏岐</t>
        </is>
      </c>
      <c r="E486" s="81">
        <f>VLOOKUP(I486,'25年交付功能（不含废弃）'!A:A,1,FALSE)</f>
        <v/>
      </c>
      <c r="F486" s="175" t="n"/>
      <c r="G486" s="175" t="n"/>
      <c r="H486" s="175" t="n"/>
      <c r="I486" s="81" t="inlineStr">
        <is>
          <t>用户查看节点比较安全主机数量</t>
        </is>
      </c>
      <c r="J486" s="93" t="n"/>
      <c r="K486" s="84" t="n"/>
      <c r="L486" s="84" t="inlineStr">
        <is>
          <t>和上行合并，输入输出完全一致，相同查询</t>
        </is>
      </c>
      <c r="M486" s="85">
        <f>IF(OR(Y486="估算法",Y486="算法类",Y486="无法识别"),"",IF(W486="",IF(OR(J486="EI",J486="EO",J486="EQ"),0,""),LEN(W486)-LEN(SUBSTITUTE(W486,"、",""))+1))</f>
        <v/>
      </c>
      <c r="N486" s="85">
        <f>IF(OR(Y486="估算法",Y486="算法类",Y486="无法识别"),"",IF(X486="",IF(OR(J486="ILF",J486="EIF"),0,""),LEN(X486)-LEN(SUBSTITUTE(X486,"、",""))+1))</f>
        <v/>
      </c>
      <c r="O486" s="85">
        <f>IF(OR(Y486="估算法",Y486="算法类",Y486="无法识别"),"",IF(Y486="",IF(OR(J486="ILF",J486="EIF",J486="EI",J486="EO",J486="EQ"),0,""),LEN(Y486)-LEN(SUBSTITUTE(SUBSTITUTE(SUBSTITUTE(SUBSTITUTE(SUBSTITUTE(Y486,"|}","--"),"{|","--"),CHAR(10),""),"、",""),"|",""))+IF(AND(OR(J486="EI",J486="EO",J486="EQ"),$AE$1="NESMA"),2,1)))</f>
        <v/>
      </c>
      <c r="P486" s="86">
        <f>IF(J486="EI",IF(OR(Y486="估算法",Y486="算法类"),"中",IF(Y486="无法识别","低",IF(M486&lt;2,IF(O486&lt;16,"低","中"),IF(M486&lt;3,IF(O486&lt;5,"低",IF(O486&lt;16,"中","高")),IF(O486&lt;5,"中","高"))))),IF(OR(J486="EO",J486="EQ"),IF(OR(Y486="估算法",Y486="算法类"),"中",IF(Y486="无法识别","低",IF(M486&lt;2,IF(O486&lt;20,"低","中"),IF(M486&lt;4,IF(O486&lt;6,"低",IF(O486&lt;20,"中","高")),IF(O486&lt;6,"中","高"))))),IF(OR(J486="ILF",J486="EIF"),IF(OR(Y486="估算法",Y486="算法类",Y486="无法识别"),"低",IF(N486&lt;2,IF(O486&lt;51,"低","中"),IF(N486&lt;6,IF(O486&lt;20,"低",IF(O486&lt;51,"中","高")),IF(O486&lt;20,"中","高")))),"不计算")))</f>
        <v/>
      </c>
      <c r="Q486" s="172">
        <f>IFERROR(IF(J486="EI",IF(P486="低",3,IF(P486="中",4,6)),IF(J486="EO",IF(P486="低",4,IF(P486="中",5,7)),IF(J486="EQ",IF(P486="低",3,IF(P486="中",4,6)),IF(J486="ILF",IF(P486="低",7,IF(P486="中",10,15)),IF(J486="EIF",IF(P486="低",5,IF(P486="中",7,10)),"不计算")))))*R486,"不计算")</f>
        <v/>
      </c>
      <c r="R486" s="172" t="n">
        <v>0.333333333333333</v>
      </c>
      <c r="S486" s="173">
        <f>调整因子!$F$13</f>
        <v/>
      </c>
      <c r="T486" s="92" t="n">
        <v>1</v>
      </c>
      <c r="U486" s="174">
        <f>IFERROR(Q486*S486,0)</f>
        <v/>
      </c>
      <c r="V486" s="174">
        <f>U486*T486</f>
        <v/>
      </c>
      <c r="W486" s="93" t="inlineStr">
        <is>
          <t>用户偏好设置表、节点属性表、节点关系表、节点漏洞分布表</t>
        </is>
      </c>
      <c r="X486" s="98" t="n"/>
      <c r="Y48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6" s="90" t="n"/>
      <c r="AA486" s="90" t="n"/>
      <c r="AB486" s="92" t="n"/>
      <c r="AC486" s="66" t="n"/>
    </row>
    <row r="487" customFormat="1" s="66">
      <c r="A487" s="72">
        <f>ROW()-1</f>
        <v/>
      </c>
      <c r="B487" s="175" t="n"/>
      <c r="C487" s="80" t="n">
        <v>2025</v>
      </c>
      <c r="D487" s="80" t="inlineStr">
        <is>
          <t>窦鹏岐</t>
        </is>
      </c>
      <c r="E487" s="81">
        <f>VLOOKUP(I487,'25年交付功能（不含废弃）'!A:A,1,FALSE)</f>
        <v/>
      </c>
      <c r="F487" s="175" t="n"/>
      <c r="G487" s="175" t="n"/>
      <c r="H487" s="175" t="n"/>
      <c r="I487" s="81" t="inlineStr">
        <is>
          <t>用户查看节点非常安全主机数量</t>
        </is>
      </c>
      <c r="J487" s="93" t="n"/>
      <c r="K487" s="84" t="n"/>
      <c r="L487" s="84" t="inlineStr">
        <is>
          <t>和上行合并，输入输出完全一致，相同查询</t>
        </is>
      </c>
      <c r="M487" s="85">
        <f>IF(OR(Y487="估算法",Y487="算法类",Y487="无法识别"),"",IF(W487="",IF(OR(J487="EI",J487="EO",J487="EQ"),0,""),LEN(W487)-LEN(SUBSTITUTE(W487,"、",""))+1))</f>
        <v/>
      </c>
      <c r="N487" s="85">
        <f>IF(OR(Y487="估算法",Y487="算法类",Y487="无法识别"),"",IF(X487="",IF(OR(J487="ILF",J487="EIF"),0,""),LEN(X487)-LEN(SUBSTITUTE(X487,"、",""))+1))</f>
        <v/>
      </c>
      <c r="O487" s="85">
        <f>IF(OR(Y487="估算法",Y487="算法类",Y487="无法识别"),"",IF(Y487="",IF(OR(J487="ILF",J487="EIF",J487="EI",J487="EO",J487="EQ"),0,""),LEN(Y487)-LEN(SUBSTITUTE(SUBSTITUTE(SUBSTITUTE(SUBSTITUTE(SUBSTITUTE(Y487,"|}","--"),"{|","--"),CHAR(10),""),"、",""),"|",""))+IF(AND(OR(J487="EI",J487="EO",J487="EQ"),$AE$1="NESMA"),2,1)))</f>
        <v/>
      </c>
      <c r="P487" s="86">
        <f>IF(J487="EI",IF(OR(Y487="估算法",Y487="算法类"),"中",IF(Y487="无法识别","低",IF(M487&lt;2,IF(O487&lt;16,"低","中"),IF(M487&lt;3,IF(O487&lt;5,"低",IF(O487&lt;16,"中","高")),IF(O487&lt;5,"中","高"))))),IF(OR(J487="EO",J487="EQ"),IF(OR(Y487="估算法",Y487="算法类"),"中",IF(Y487="无法识别","低",IF(M487&lt;2,IF(O487&lt;20,"低","中"),IF(M487&lt;4,IF(O487&lt;6,"低",IF(O487&lt;20,"中","高")),IF(O487&lt;6,"中","高"))))),IF(OR(J487="ILF",J487="EIF"),IF(OR(Y487="估算法",Y487="算法类",Y487="无法识别"),"低",IF(N487&lt;2,IF(O487&lt;51,"低","中"),IF(N487&lt;6,IF(O487&lt;20,"低",IF(O487&lt;51,"中","高")),IF(O487&lt;20,"中","高")))),"不计算")))</f>
        <v/>
      </c>
      <c r="Q487" s="172">
        <f>IFERROR(IF(J487="EI",IF(P487="低",3,IF(P487="中",4,6)),IF(J487="EO",IF(P487="低",4,IF(P487="中",5,7)),IF(J487="EQ",IF(P487="低",3,IF(P487="中",4,6)),IF(J487="ILF",IF(P487="低",7,IF(P487="中",10,15)),IF(J487="EIF",IF(P487="低",5,IF(P487="中",7,10)),"不计算")))))*R487,"不计算")</f>
        <v/>
      </c>
      <c r="R487" s="172" t="n">
        <v>0.333333333333333</v>
      </c>
      <c r="S487" s="173">
        <f>调整因子!$F$13</f>
        <v/>
      </c>
      <c r="T487" s="92" t="n">
        <v>1</v>
      </c>
      <c r="U487" s="174">
        <f>IFERROR(Q487*S487,0)</f>
        <v/>
      </c>
      <c r="V487" s="174">
        <f>U487*T487</f>
        <v/>
      </c>
      <c r="W487" s="93" t="inlineStr">
        <is>
          <t>用户偏好设置表、节点属性表、节点关系表、节点漏洞分布表</t>
        </is>
      </c>
      <c r="X487" s="98" t="n"/>
      <c r="Y48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7" s="90" t="n"/>
      <c r="AA487" s="90" t="n"/>
      <c r="AB487" s="92" t="n"/>
      <c r="AC487" s="66" t="n"/>
    </row>
    <row r="488" customFormat="1" s="66">
      <c r="A488" s="72">
        <f>ROW()-1</f>
        <v/>
      </c>
      <c r="B488" s="175" t="n"/>
      <c r="C488" s="80" t="n">
        <v>2025</v>
      </c>
      <c r="D488" s="80" t="inlineStr">
        <is>
          <t>窦鹏岐</t>
        </is>
      </c>
      <c r="E488" s="81">
        <f>VLOOKUP(I488,'25年交付功能（不含废弃）'!A:A,1,FALSE)</f>
        <v/>
      </c>
      <c r="F488" s="175" t="n"/>
      <c r="G488" s="175" t="n"/>
      <c r="H488" s="175" t="n"/>
      <c r="I488" s="81" t="inlineStr">
        <is>
          <t>用户查看节点未知风险主机数量</t>
        </is>
      </c>
      <c r="J488" s="93" t="n"/>
      <c r="K488" s="84" t="n"/>
      <c r="L488" s="84" t="inlineStr">
        <is>
          <t>和上行合并，输入输出完全一致，相同查询</t>
        </is>
      </c>
      <c r="M488" s="85">
        <f>IF(OR(Y488="估算法",Y488="算法类",Y488="无法识别"),"",IF(W488="",IF(OR(J488="EI",J488="EO",J488="EQ"),0,""),LEN(W488)-LEN(SUBSTITUTE(W488,"、",""))+1))</f>
        <v/>
      </c>
      <c r="N488" s="85">
        <f>IF(OR(Y488="估算法",Y488="算法类",Y488="无法识别"),"",IF(X488="",IF(OR(J488="ILF",J488="EIF"),0,""),LEN(X488)-LEN(SUBSTITUTE(X488,"、",""))+1))</f>
        <v/>
      </c>
      <c r="O488" s="85">
        <f>IF(OR(Y488="估算法",Y488="算法类",Y488="无法识别"),"",IF(Y488="",IF(OR(J488="ILF",J488="EIF",J488="EI",J488="EO",J488="EQ"),0,""),LEN(Y488)-LEN(SUBSTITUTE(SUBSTITUTE(SUBSTITUTE(SUBSTITUTE(SUBSTITUTE(Y488,"|}","--"),"{|","--"),CHAR(10),""),"、",""),"|",""))+IF(AND(OR(J488="EI",J488="EO",J488="EQ"),$AE$1="NESMA"),2,1)))</f>
        <v/>
      </c>
      <c r="P488" s="86">
        <f>IF(J488="EI",IF(OR(Y488="估算法",Y488="算法类"),"中",IF(Y488="无法识别","低",IF(M488&lt;2,IF(O488&lt;16,"低","中"),IF(M488&lt;3,IF(O488&lt;5,"低",IF(O488&lt;16,"中","高")),IF(O488&lt;5,"中","高"))))),IF(OR(J488="EO",J488="EQ"),IF(OR(Y488="估算法",Y488="算法类"),"中",IF(Y488="无法识别","低",IF(M488&lt;2,IF(O488&lt;20,"低","中"),IF(M488&lt;4,IF(O488&lt;6,"低",IF(O488&lt;20,"中","高")),IF(O488&lt;6,"中","高"))))),IF(OR(J488="ILF",J488="EIF"),IF(OR(Y488="估算法",Y488="算法类",Y488="无法识别"),"低",IF(N488&lt;2,IF(O488&lt;51,"低","中"),IF(N488&lt;6,IF(O488&lt;20,"低",IF(O488&lt;51,"中","高")),IF(O488&lt;20,"中","高")))),"不计算")))</f>
        <v/>
      </c>
      <c r="Q488" s="172">
        <f>IFERROR(IF(J488="EI",IF(P488="低",3,IF(P488="中",4,6)),IF(J488="EO",IF(P488="低",4,IF(P488="中",5,7)),IF(J488="EQ",IF(P488="低",3,IF(P488="中",4,6)),IF(J488="ILF",IF(P488="低",7,IF(P488="中",10,15)),IF(J488="EIF",IF(P488="低",5,IF(P488="中",7,10)),"不计算")))))*R488,"不计算")</f>
        <v/>
      </c>
      <c r="R488" s="172" t="n">
        <v>0.333333333333333</v>
      </c>
      <c r="S488" s="173">
        <f>调整因子!$F$13</f>
        <v/>
      </c>
      <c r="T488" s="93" t="n">
        <v>1</v>
      </c>
      <c r="U488" s="174">
        <f>IFERROR(Q488*S488,0)</f>
        <v/>
      </c>
      <c r="V488" s="174">
        <f>U488*T488</f>
        <v/>
      </c>
      <c r="W488" s="93" t="inlineStr">
        <is>
          <t>用户偏好设置表、节点属性表、节点关系表、节点漏洞分布表</t>
        </is>
      </c>
      <c r="X488" s="98" t="n"/>
      <c r="Y48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8" s="90" t="n"/>
      <c r="AA488" s="90" t="n"/>
      <c r="AB488" s="92" t="n"/>
      <c r="AC488" s="66" t="n"/>
    </row>
    <row r="489" customFormat="1" s="66">
      <c r="A489" s="72">
        <f>ROW()-1</f>
        <v/>
      </c>
      <c r="B489" s="175" t="n"/>
      <c r="C489" s="80" t="n">
        <v>2025</v>
      </c>
      <c r="D489" s="80" t="inlineStr">
        <is>
          <t>窦鹏岐</t>
        </is>
      </c>
      <c r="E489" s="81">
        <f>VLOOKUP(I489,'25年交付功能（不含废弃）'!A:A,1,FALSE)</f>
        <v/>
      </c>
      <c r="F489" s="175" t="n"/>
      <c r="G489" s="175" t="n"/>
      <c r="H489" s="175" t="n"/>
      <c r="I489" s="81" t="inlineStr">
        <is>
          <t>用户查看节点主机漏洞风险等级分布</t>
        </is>
      </c>
      <c r="J489" s="93" t="inlineStr">
        <is>
          <t>EQ</t>
        </is>
      </c>
      <c r="K489" s="84" t="n"/>
      <c r="L489" s="84" t="n"/>
      <c r="M489" s="85">
        <f>IF(OR(Y489="估算法",Y489="算法类",Y489="无法识别"),"",IF(W489="",IF(OR(J489="EI",J489="EO",J489="EQ"),0,""),LEN(W489)-LEN(SUBSTITUTE(W489,"、",""))+1))</f>
        <v/>
      </c>
      <c r="N489" s="85">
        <f>IF(OR(Y489="估算法",Y489="算法类",Y489="无法识别"),"",IF(X489="",IF(OR(J489="ILF",J489="EIF"),0,""),LEN(X489)-LEN(SUBSTITUTE(X489,"、",""))+1))</f>
        <v/>
      </c>
      <c r="O489" s="85">
        <f>IF(OR(Y489="估算法",Y489="算法类",Y489="无法识别"),"",IF(Y489="",IF(OR(J489="ILF",J489="EIF",J489="EI",J489="EO",J489="EQ"),0,""),LEN(Y489)-LEN(SUBSTITUTE(SUBSTITUTE(SUBSTITUTE(SUBSTITUTE(SUBSTITUTE(Y489,"|}","--"),"{|","--"),CHAR(10),""),"、",""),"|",""))+IF(AND(OR(J489="EI",J489="EO",J489="EQ"),$AE$1="NESMA"),2,1)))</f>
        <v/>
      </c>
      <c r="P489" s="86">
        <f>IF(J489="EI",IF(OR(Y489="估算法",Y489="算法类"),"中",IF(Y489="无法识别","低",IF(M489&lt;2,IF(O489&lt;16,"低","中"),IF(M489&lt;3,IF(O489&lt;5,"低",IF(O489&lt;16,"中","高")),IF(O489&lt;5,"中","高"))))),IF(OR(J489="EO",J489="EQ"),IF(OR(Y489="估算法",Y489="算法类"),"中",IF(Y489="无法识别","低",IF(M489&lt;2,IF(O489&lt;20,"低","中"),IF(M489&lt;4,IF(O489&lt;6,"低",IF(O489&lt;20,"中","高")),IF(O489&lt;6,"中","高"))))),IF(OR(J489="ILF",J489="EIF"),IF(OR(Y489="估算法",Y489="算法类",Y489="无法识别"),"低",IF(N489&lt;2,IF(O489&lt;51,"低","中"),IF(N489&lt;6,IF(O489&lt;20,"低",IF(O489&lt;51,"中","高")),IF(O489&lt;20,"中","高")))),"不计算")))</f>
        <v/>
      </c>
      <c r="Q489" s="172">
        <f>IFERROR(IF(J489="EI",IF(P489="低",3,IF(P489="中",4,6)),IF(J489="EO",IF(P489="低",4,IF(P489="中",5,7)),IF(J489="EQ",IF(P489="低",3,IF(P489="中",4,6)),IF(J489="ILF",IF(P489="低",7,IF(P489="中",10,15)),IF(J489="EIF",IF(P489="低",5,IF(P489="中",7,10)),"不计算")))))*R489,"不计算")</f>
        <v/>
      </c>
      <c r="R489" s="172" t="n">
        <v>0.333333333333333</v>
      </c>
      <c r="S489" s="173">
        <f>调整因子!$F$13</f>
        <v/>
      </c>
      <c r="T489" s="92" t="n">
        <v>1</v>
      </c>
      <c r="U489" s="174">
        <f>IFERROR(Q489*S489,0)</f>
        <v/>
      </c>
      <c r="V489" s="174">
        <f>U489*T489</f>
        <v/>
      </c>
      <c r="W489" s="93" t="inlineStr">
        <is>
          <t>用户偏好设置表、节点属性表、节点关系表、节点漏洞分布表</t>
        </is>
      </c>
      <c r="X489" s="98" t="n"/>
      <c r="Y48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89" s="90" t="n"/>
      <c r="AA489" s="90" t="n"/>
      <c r="AB489" s="92" t="n"/>
      <c r="AC489" s="66" t="n"/>
    </row>
    <row r="490" customFormat="1" s="66">
      <c r="A490" s="72">
        <f>ROW()-1</f>
        <v/>
      </c>
      <c r="B490" s="175" t="n"/>
      <c r="C490" s="80" t="n">
        <v>2025</v>
      </c>
      <c r="D490" s="80" t="inlineStr">
        <is>
          <t>窦鹏岐</t>
        </is>
      </c>
      <c r="E490" s="81">
        <f>VLOOKUP(I490,'25年交付功能（不含废弃）'!A:A,1,FALSE)</f>
        <v/>
      </c>
      <c r="F490" s="175" t="n"/>
      <c r="G490" s="175" t="n"/>
      <c r="H490" s="175" t="n"/>
      <c r="I490" s="81" t="inlineStr">
        <is>
          <t>用户查看下级节点信息</t>
        </is>
      </c>
      <c r="J490" s="93" t="inlineStr">
        <is>
          <t>EQ</t>
        </is>
      </c>
      <c r="K490" s="84" t="n"/>
      <c r="L490" s="84" t="n"/>
      <c r="M490" s="85">
        <f>IF(OR(Y490="估算法",Y490="算法类",Y490="无法识别"),"",IF(W490="",IF(OR(J490="EI",J490="EO",J490="EQ"),0,""),LEN(W490)-LEN(SUBSTITUTE(W490,"、",""))+1))</f>
        <v/>
      </c>
      <c r="N490" s="85">
        <f>IF(OR(Y490="估算法",Y490="算法类",Y490="无法识别"),"",IF(X490="",IF(OR(J490="ILF",J490="EIF"),0,""),LEN(X490)-LEN(SUBSTITUTE(X490,"、",""))+1))</f>
        <v/>
      </c>
      <c r="O490" s="85">
        <f>IF(OR(Y490="估算法",Y490="算法类",Y490="无法识别"),"",IF(Y490="",IF(OR(J490="ILF",J490="EIF",J490="EI",J490="EO",J490="EQ"),0,""),LEN(Y490)-LEN(SUBSTITUTE(SUBSTITUTE(SUBSTITUTE(SUBSTITUTE(SUBSTITUTE(Y490,"|}","--"),"{|","--"),CHAR(10),""),"、",""),"|",""))+IF(AND(OR(J490="EI",J490="EO",J490="EQ"),$AE$1="NESMA"),2,1)))</f>
        <v/>
      </c>
      <c r="P490" s="86">
        <f>IF(J490="EI",IF(OR(Y490="估算法",Y490="算法类"),"中",IF(Y490="无法识别","低",IF(M490&lt;2,IF(O490&lt;16,"低","中"),IF(M490&lt;3,IF(O490&lt;5,"低",IF(O490&lt;16,"中","高")),IF(O490&lt;5,"中","高"))))),IF(OR(J490="EO",J490="EQ"),IF(OR(Y490="估算法",Y490="算法类"),"中",IF(Y490="无法识别","低",IF(M490&lt;2,IF(O490&lt;20,"低","中"),IF(M490&lt;4,IF(O490&lt;6,"低",IF(O490&lt;20,"中","高")),IF(O490&lt;6,"中","高"))))),IF(OR(J490="ILF",J490="EIF"),IF(OR(Y490="估算法",Y490="算法类",Y490="无法识别"),"低",IF(N490&lt;2,IF(O490&lt;51,"低","中"),IF(N490&lt;6,IF(O490&lt;20,"低",IF(O490&lt;51,"中","高")),IF(O490&lt;20,"中","高")))),"不计算")))</f>
        <v/>
      </c>
      <c r="Q490" s="172">
        <f>IFERROR(IF(J490="EI",IF(P490="低",3,IF(P490="中",4,6)),IF(J490="EO",IF(P490="低",4,IF(P490="中",5,7)),IF(J490="EQ",IF(P490="低",3,IF(P490="中",4,6)),IF(J490="ILF",IF(P490="低",7,IF(P490="中",10,15)),IF(J490="EIF",IF(P490="低",5,IF(P490="中",7,10)),"不计算")))))*R490,"不计算")</f>
        <v/>
      </c>
      <c r="R490" s="172" t="n">
        <v>0.333333333333333</v>
      </c>
      <c r="S490" s="173">
        <f>调整因子!$F$13</f>
        <v/>
      </c>
      <c r="T490" s="92" t="n">
        <v>1</v>
      </c>
      <c r="U490" s="174">
        <f>IFERROR(Q490*S490,0)</f>
        <v/>
      </c>
      <c r="V490" s="174">
        <f>U490*T490</f>
        <v/>
      </c>
      <c r="W490" s="93" t="inlineStr">
        <is>
          <t>用户偏好设置表、节点属性表、节点关系表、节点漏洞分布表</t>
        </is>
      </c>
      <c r="X490" s="98" t="n"/>
      <c r="Y49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0" s="90" t="n"/>
      <c r="AA490" s="90" t="n"/>
      <c r="AB490" s="92" t="n"/>
      <c r="AC490" s="66" t="n"/>
    </row>
    <row r="491" customFormat="1" s="66">
      <c r="A491" s="72">
        <f>ROW()-1</f>
        <v/>
      </c>
      <c r="B491" s="175" t="n"/>
      <c r="C491" s="80" t="n">
        <v>2025</v>
      </c>
      <c r="D491" s="80" t="inlineStr">
        <is>
          <t>窦鹏岐</t>
        </is>
      </c>
      <c r="E491" s="81">
        <f>VLOOKUP(I491,'25年交付功能（不含废弃）'!A:A,1,FALSE)</f>
        <v/>
      </c>
      <c r="F491" s="175" t="n"/>
      <c r="G491" s="175" t="n"/>
      <c r="H491" s="175" t="n"/>
      <c r="I491" s="81" t="inlineStr">
        <is>
          <t>用户查看主机风险等级列表</t>
        </is>
      </c>
      <c r="J491" s="93" t="inlineStr">
        <is>
          <t>EQ</t>
        </is>
      </c>
      <c r="K491" s="84" t="n"/>
      <c r="L491" s="84" t="n"/>
      <c r="M491" s="85">
        <f>IF(OR(Y491="估算法",Y491="算法类",Y491="无法识别"),"",IF(W491="",IF(OR(J491="EI",J491="EO",J491="EQ"),0,""),LEN(W491)-LEN(SUBSTITUTE(W491,"、",""))+1))</f>
        <v/>
      </c>
      <c r="N491" s="85">
        <f>IF(OR(Y491="估算法",Y491="算法类",Y491="无法识别"),"",IF(X491="",IF(OR(J491="ILF",J491="EIF"),0,""),LEN(X491)-LEN(SUBSTITUTE(X491,"、",""))+1))</f>
        <v/>
      </c>
      <c r="O491" s="85">
        <f>IF(OR(Y491="估算法",Y491="算法类",Y491="无法识别"),"",IF(Y491="",IF(OR(J491="ILF",J491="EIF",J491="EI",J491="EO",J491="EQ"),0,""),LEN(Y491)-LEN(SUBSTITUTE(SUBSTITUTE(SUBSTITUTE(SUBSTITUTE(SUBSTITUTE(Y491,"|}","--"),"{|","--"),CHAR(10),""),"、",""),"|",""))+IF(AND(OR(J491="EI",J491="EO",J491="EQ"),$AE$1="NESMA"),2,1)))</f>
        <v/>
      </c>
      <c r="P491" s="86">
        <f>IF(J491="EI",IF(OR(Y491="估算法",Y491="算法类"),"中",IF(Y491="无法识别","低",IF(M491&lt;2,IF(O491&lt;16,"低","中"),IF(M491&lt;3,IF(O491&lt;5,"低",IF(O491&lt;16,"中","高")),IF(O491&lt;5,"中","高"))))),IF(OR(J491="EO",J491="EQ"),IF(OR(Y491="估算法",Y491="算法类"),"中",IF(Y491="无法识别","低",IF(M491&lt;2,IF(O491&lt;20,"低","中"),IF(M491&lt;4,IF(O491&lt;6,"低",IF(O491&lt;20,"中","高")),IF(O491&lt;6,"中","高"))))),IF(OR(J491="ILF",J491="EIF"),IF(OR(Y491="估算法",Y491="算法类",Y491="无法识别"),"低",IF(N491&lt;2,IF(O491&lt;51,"低","中"),IF(N491&lt;6,IF(O491&lt;20,"低",IF(O491&lt;51,"中","高")),IF(O491&lt;20,"中","高")))),"不计算")))</f>
        <v/>
      </c>
      <c r="Q491" s="172">
        <f>IFERROR(IF(J491="EI",IF(P491="低",3,IF(P491="中",4,6)),IF(J491="EO",IF(P491="低",4,IF(P491="中",5,7)),IF(J491="EQ",IF(P491="低",3,IF(P491="中",4,6)),IF(J491="ILF",IF(P491="低",7,IF(P491="中",10,15)),IF(J491="EIF",IF(P491="低",5,IF(P491="中",7,10)),"不计算")))))*R491,"不计算")</f>
        <v/>
      </c>
      <c r="R491" s="172" t="n">
        <v>0.333333333333333</v>
      </c>
      <c r="S491" s="173">
        <f>调整因子!$F$13</f>
        <v/>
      </c>
      <c r="T491" s="93" t="n">
        <v>1</v>
      </c>
      <c r="U491" s="174">
        <f>IFERROR(Q491*S491,0)</f>
        <v/>
      </c>
      <c r="V491" s="174">
        <f>U491*T491</f>
        <v/>
      </c>
      <c r="W491" s="93" t="inlineStr">
        <is>
          <t>用户偏好设置表、主机漏洞表、主机漏洞详情表</t>
        </is>
      </c>
      <c r="X491" s="98" t="n"/>
      <c r="Y491" s="93" t="inlineStr">
        <is>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is>
      </c>
      <c r="Z491" s="90" t="n"/>
      <c r="AA491" s="90" t="n"/>
      <c r="AB491" s="92" t="n"/>
      <c r="AC491" s="66" t="n"/>
    </row>
    <row r="492" customFormat="1" s="66">
      <c r="A492" s="72">
        <f>ROW()-1</f>
        <v/>
      </c>
      <c r="B492" s="175" t="n"/>
      <c r="C492" s="80" t="n">
        <v>2025</v>
      </c>
      <c r="D492" s="80" t="inlineStr">
        <is>
          <t>窦鹏岐</t>
        </is>
      </c>
      <c r="E492" s="81">
        <f>VLOOKUP(I492,'25年交付功能（不含废弃）'!A:A,1,FALSE)</f>
        <v/>
      </c>
      <c r="F492" s="175" t="n"/>
      <c r="G492" s="175" t="n"/>
      <c r="H492" s="175" t="n"/>
      <c r="I492" s="81" t="inlineStr">
        <is>
          <t>用户查看节点下非常危险主机信息</t>
        </is>
      </c>
      <c r="J492" s="93" t="n"/>
      <c r="K492" s="84" t="n"/>
      <c r="L492" s="84" t="inlineStr">
        <is>
          <t>和上行合并，输入输出完全一致，相同查询</t>
        </is>
      </c>
      <c r="M492" s="85">
        <f>IF(OR(Y492="估算法",Y492="算法类",Y492="无法识别"),"",IF(W492="",IF(OR(J492="EI",J492="EO",J492="EQ"),0,""),LEN(W492)-LEN(SUBSTITUTE(W492,"、",""))+1))</f>
        <v/>
      </c>
      <c r="N492" s="85">
        <f>IF(OR(Y492="估算法",Y492="算法类",Y492="无法识别"),"",IF(X492="",IF(OR(J492="ILF",J492="EIF"),0,""),LEN(X492)-LEN(SUBSTITUTE(X492,"、",""))+1))</f>
        <v/>
      </c>
      <c r="O492" s="85">
        <f>IF(OR(Y492="估算法",Y492="算法类",Y492="无法识别"),"",IF(Y492="",IF(OR(J492="ILF",J492="EIF",J492="EI",J492="EO",J492="EQ"),0,""),LEN(Y492)-LEN(SUBSTITUTE(SUBSTITUTE(SUBSTITUTE(SUBSTITUTE(SUBSTITUTE(Y492,"|}","--"),"{|","--"),CHAR(10),""),"、",""),"|",""))+IF(AND(OR(J492="EI",J492="EO",J492="EQ"),$AE$1="NESMA"),2,1)))</f>
        <v/>
      </c>
      <c r="P492" s="86">
        <f>IF(J492="EI",IF(OR(Y492="估算法",Y492="算法类"),"中",IF(Y492="无法识别","低",IF(M492&lt;2,IF(O492&lt;16,"低","中"),IF(M492&lt;3,IF(O492&lt;5,"低",IF(O492&lt;16,"中","高")),IF(O492&lt;5,"中","高"))))),IF(OR(J492="EO",J492="EQ"),IF(OR(Y492="估算法",Y492="算法类"),"中",IF(Y492="无法识别","低",IF(M492&lt;2,IF(O492&lt;20,"低","中"),IF(M492&lt;4,IF(O492&lt;6,"低",IF(O492&lt;20,"中","高")),IF(O492&lt;6,"中","高"))))),IF(OR(J492="ILF",J492="EIF"),IF(OR(Y492="估算法",Y492="算法类",Y492="无法识别"),"低",IF(N492&lt;2,IF(O492&lt;51,"低","中"),IF(N492&lt;6,IF(O492&lt;20,"低",IF(O492&lt;51,"中","高")),IF(O492&lt;20,"中","高")))),"不计算")))</f>
        <v/>
      </c>
      <c r="Q492" s="172">
        <f>IFERROR(IF(J492="EI",IF(P492="低",3,IF(P492="中",4,6)),IF(J492="EO",IF(P492="低",4,IF(P492="中",5,7)),IF(J492="EQ",IF(P492="低",3,IF(P492="中",4,6)),IF(J492="ILF",IF(P492="低",7,IF(P492="中",10,15)),IF(J492="EIF",IF(P492="低",5,IF(P492="中",7,10)),"不计算")))))*R492,"不计算")</f>
        <v/>
      </c>
      <c r="R492" s="172" t="n">
        <v>0.333333333333333</v>
      </c>
      <c r="S492" s="173">
        <f>调整因子!$F$13</f>
        <v/>
      </c>
      <c r="T492" s="92" t="n">
        <v>1</v>
      </c>
      <c r="U492" s="174">
        <f>IFERROR(Q492*S492,0)</f>
        <v/>
      </c>
      <c r="V492" s="174">
        <f>U492*T492</f>
        <v/>
      </c>
      <c r="W492" s="93" t="inlineStr">
        <is>
          <t>用户偏好设置表、节点属性表、节点关系表、节点漏洞分布表</t>
        </is>
      </c>
      <c r="X492" s="98" t="n"/>
      <c r="Y492"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2" s="90" t="n"/>
      <c r="AA492" s="90" t="n"/>
      <c r="AB492" s="92" t="n"/>
      <c r="AC492" s="66" t="n"/>
    </row>
    <row r="493" customFormat="1" s="66">
      <c r="A493" s="72">
        <f>ROW()-1</f>
        <v/>
      </c>
      <c r="B493" s="175" t="n"/>
      <c r="C493" s="80" t="n">
        <v>2025</v>
      </c>
      <c r="D493" s="80" t="inlineStr">
        <is>
          <t>窦鹏岐</t>
        </is>
      </c>
      <c r="E493" s="81">
        <f>VLOOKUP(I493,'25年交付功能（不含废弃）'!A:A,1,FALSE)</f>
        <v/>
      </c>
      <c r="F493" s="175" t="n"/>
      <c r="G493" s="175" t="n"/>
      <c r="H493" s="175" t="n"/>
      <c r="I493" s="81" t="inlineStr">
        <is>
          <t>用户查看节点下比较危险主机信息</t>
        </is>
      </c>
      <c r="J493" s="93" t="n"/>
      <c r="K493" s="84" t="n"/>
      <c r="L493" s="84" t="inlineStr">
        <is>
          <t>和上行合并，输入输出完全一致，相同查询</t>
        </is>
      </c>
      <c r="M493" s="85">
        <f>IF(OR(Y493="估算法",Y493="算法类",Y493="无法识别"),"",IF(W493="",IF(OR(J493="EI",J493="EO",J493="EQ"),0,""),LEN(W493)-LEN(SUBSTITUTE(W493,"、",""))+1))</f>
        <v/>
      </c>
      <c r="N493" s="85">
        <f>IF(OR(Y493="估算法",Y493="算法类",Y493="无法识别"),"",IF(X493="",IF(OR(J493="ILF",J493="EIF"),0,""),LEN(X493)-LEN(SUBSTITUTE(X493,"、",""))+1))</f>
        <v/>
      </c>
      <c r="O493" s="85">
        <f>IF(OR(Y493="估算法",Y493="算法类",Y493="无法识别"),"",IF(Y493="",IF(OR(J493="ILF",J493="EIF",J493="EI",J493="EO",J493="EQ"),0,""),LEN(Y493)-LEN(SUBSTITUTE(SUBSTITUTE(SUBSTITUTE(SUBSTITUTE(SUBSTITUTE(Y493,"|}","--"),"{|","--"),CHAR(10),""),"、",""),"|",""))+IF(AND(OR(J493="EI",J493="EO",J493="EQ"),$AE$1="NESMA"),2,1)))</f>
        <v/>
      </c>
      <c r="P493" s="86">
        <f>IF(J493="EI",IF(OR(Y493="估算法",Y493="算法类"),"中",IF(Y493="无法识别","低",IF(M493&lt;2,IF(O493&lt;16,"低","中"),IF(M493&lt;3,IF(O493&lt;5,"低",IF(O493&lt;16,"中","高")),IF(O493&lt;5,"中","高"))))),IF(OR(J493="EO",J493="EQ"),IF(OR(Y493="估算法",Y493="算法类"),"中",IF(Y493="无法识别","低",IF(M493&lt;2,IF(O493&lt;20,"低","中"),IF(M493&lt;4,IF(O493&lt;6,"低",IF(O493&lt;20,"中","高")),IF(O493&lt;6,"中","高"))))),IF(OR(J493="ILF",J493="EIF"),IF(OR(Y493="估算法",Y493="算法类",Y493="无法识别"),"低",IF(N493&lt;2,IF(O493&lt;51,"低","中"),IF(N493&lt;6,IF(O493&lt;20,"低",IF(O493&lt;51,"中","高")),IF(O493&lt;20,"中","高")))),"不计算")))</f>
        <v/>
      </c>
      <c r="Q493" s="172">
        <f>IFERROR(IF(J493="EI",IF(P493="低",3,IF(P493="中",4,6)),IF(J493="EO",IF(P493="低",4,IF(P493="中",5,7)),IF(J493="EQ",IF(P493="低",3,IF(P493="中",4,6)),IF(J493="ILF",IF(P493="低",7,IF(P493="中",10,15)),IF(J493="EIF",IF(P493="低",5,IF(P493="中",7,10)),"不计算")))))*R493,"不计算")</f>
        <v/>
      </c>
      <c r="R493" s="172" t="n">
        <v>0.333333333333333</v>
      </c>
      <c r="S493" s="173">
        <f>调整因子!$F$13</f>
        <v/>
      </c>
      <c r="T493" s="92" t="n">
        <v>1</v>
      </c>
      <c r="U493" s="174">
        <f>IFERROR(Q493*S493,0)</f>
        <v/>
      </c>
      <c r="V493" s="174">
        <f>U493*T493</f>
        <v/>
      </c>
      <c r="W493" s="93" t="inlineStr">
        <is>
          <t>用户偏好设置表、节点属性表、节点关系表、节点漏洞分布表</t>
        </is>
      </c>
      <c r="X493" s="98" t="n"/>
      <c r="Y493"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3" s="90" t="n"/>
      <c r="AA493" s="90" t="n"/>
      <c r="AB493" s="92" t="n"/>
      <c r="AC493" s="66" t="n"/>
    </row>
    <row r="494" customFormat="1" s="66">
      <c r="A494" s="72">
        <f>ROW()-1</f>
        <v/>
      </c>
      <c r="B494" s="175" t="n"/>
      <c r="C494" s="80" t="n">
        <v>2025</v>
      </c>
      <c r="D494" s="80" t="inlineStr">
        <is>
          <t>窦鹏岐</t>
        </is>
      </c>
      <c r="E494" s="81">
        <f>VLOOKUP(I494,'25年交付功能（不含废弃）'!A:A,1,FALSE)</f>
        <v/>
      </c>
      <c r="F494" s="175" t="n"/>
      <c r="G494" s="175" t="n"/>
      <c r="H494" s="175" t="n"/>
      <c r="I494" s="81" t="inlineStr">
        <is>
          <t>用户查看节点下非常安全主机信息</t>
        </is>
      </c>
      <c r="J494" s="93" t="n"/>
      <c r="K494" s="84" t="n"/>
      <c r="L494" s="84" t="inlineStr">
        <is>
          <t>和上行合并，输入输出完全一致，相同查询</t>
        </is>
      </c>
      <c r="M494" s="85">
        <f>IF(OR(Y494="估算法",Y494="算法类",Y494="无法识别"),"",IF(W494="",IF(OR(J494="EI",J494="EO",J494="EQ"),0,""),LEN(W494)-LEN(SUBSTITUTE(W494,"、",""))+1))</f>
        <v/>
      </c>
      <c r="N494" s="85">
        <f>IF(OR(Y494="估算法",Y494="算法类",Y494="无法识别"),"",IF(X494="",IF(OR(J494="ILF",J494="EIF"),0,""),LEN(X494)-LEN(SUBSTITUTE(X494,"、",""))+1))</f>
        <v/>
      </c>
      <c r="O494" s="85">
        <f>IF(OR(Y494="估算法",Y494="算法类",Y494="无法识别"),"",IF(Y494="",IF(OR(J494="ILF",J494="EIF",J494="EI",J494="EO",J494="EQ"),0,""),LEN(Y494)-LEN(SUBSTITUTE(SUBSTITUTE(SUBSTITUTE(SUBSTITUTE(SUBSTITUTE(Y494,"|}","--"),"{|","--"),CHAR(10),""),"、",""),"|",""))+IF(AND(OR(J494="EI",J494="EO",J494="EQ"),$AE$1="NESMA"),2,1)))</f>
        <v/>
      </c>
      <c r="P494" s="86">
        <f>IF(J494="EI",IF(OR(Y494="估算法",Y494="算法类"),"中",IF(Y494="无法识别","低",IF(M494&lt;2,IF(O494&lt;16,"低","中"),IF(M494&lt;3,IF(O494&lt;5,"低",IF(O494&lt;16,"中","高")),IF(O494&lt;5,"中","高"))))),IF(OR(J494="EO",J494="EQ"),IF(OR(Y494="估算法",Y494="算法类"),"中",IF(Y494="无法识别","低",IF(M494&lt;2,IF(O494&lt;20,"低","中"),IF(M494&lt;4,IF(O494&lt;6,"低",IF(O494&lt;20,"中","高")),IF(O494&lt;6,"中","高"))))),IF(OR(J494="ILF",J494="EIF"),IF(OR(Y494="估算法",Y494="算法类",Y494="无法识别"),"低",IF(N494&lt;2,IF(O494&lt;51,"低","中"),IF(N494&lt;6,IF(O494&lt;20,"低",IF(O494&lt;51,"中","高")),IF(O494&lt;20,"中","高")))),"不计算")))</f>
        <v/>
      </c>
      <c r="Q494" s="172">
        <f>IFERROR(IF(J494="EI",IF(P494="低",3,IF(P494="中",4,6)),IF(J494="EO",IF(P494="低",4,IF(P494="中",5,7)),IF(J494="EQ",IF(P494="低",3,IF(P494="中",4,6)),IF(J494="ILF",IF(P494="低",7,IF(P494="中",10,15)),IF(J494="EIF",IF(P494="低",5,IF(P494="中",7,10)),"不计算")))))*R494,"不计算")</f>
        <v/>
      </c>
      <c r="R494" s="172" t="n">
        <v>0.333333333333333</v>
      </c>
      <c r="S494" s="173">
        <f>调整因子!$F$13</f>
        <v/>
      </c>
      <c r="T494" s="93" t="n">
        <v>1</v>
      </c>
      <c r="U494" s="174">
        <f>IFERROR(Q494*S494,0)</f>
        <v/>
      </c>
      <c r="V494" s="174">
        <f>U494*T494</f>
        <v/>
      </c>
      <c r="W494" s="93" t="inlineStr">
        <is>
          <t>用户偏好设置表、节点属性表、节点关系表、节点漏洞分布表</t>
        </is>
      </c>
      <c r="X494" s="98" t="n"/>
      <c r="Y494"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4" s="90" t="n"/>
      <c r="AA494" s="90" t="n"/>
      <c r="AB494" s="92" t="n"/>
      <c r="AC494" s="66" t="n"/>
    </row>
    <row r="495" customFormat="1" s="66">
      <c r="A495" s="72">
        <f>ROW()-1</f>
        <v/>
      </c>
      <c r="B495" s="175" t="n"/>
      <c r="C495" s="80" t="n">
        <v>2025</v>
      </c>
      <c r="D495" s="80" t="inlineStr">
        <is>
          <t>窦鹏岐</t>
        </is>
      </c>
      <c r="E495" s="81">
        <f>VLOOKUP(I495,'25年交付功能（不含废弃）'!A:A,1,FALSE)</f>
        <v/>
      </c>
      <c r="F495" s="175" t="n"/>
      <c r="G495" s="175" t="n"/>
      <c r="H495" s="175" t="n"/>
      <c r="I495" s="81" t="inlineStr">
        <is>
          <t>用户查看节点下比较安全主机信息</t>
        </is>
      </c>
      <c r="J495" s="93" t="n"/>
      <c r="K495" s="84" t="n"/>
      <c r="L495" s="84" t="inlineStr">
        <is>
          <t>和上行合并，输入输出完全一致，相同查询</t>
        </is>
      </c>
      <c r="M495" s="85">
        <f>IF(OR(Y495="估算法",Y495="算法类",Y495="无法识别"),"",IF(W495="",IF(OR(J495="EI",J495="EO",J495="EQ"),0,""),LEN(W495)-LEN(SUBSTITUTE(W495,"、",""))+1))</f>
        <v/>
      </c>
      <c r="N495" s="85">
        <f>IF(OR(Y495="估算法",Y495="算法类",Y495="无法识别"),"",IF(X495="",IF(OR(J495="ILF",J495="EIF"),0,""),LEN(X495)-LEN(SUBSTITUTE(X495,"、",""))+1))</f>
        <v/>
      </c>
      <c r="O495" s="85">
        <f>IF(OR(Y495="估算法",Y495="算法类",Y495="无法识别"),"",IF(Y495="",IF(OR(J495="ILF",J495="EIF",J495="EI",J495="EO",J495="EQ"),0,""),LEN(Y495)-LEN(SUBSTITUTE(SUBSTITUTE(SUBSTITUTE(SUBSTITUTE(SUBSTITUTE(Y495,"|}","--"),"{|","--"),CHAR(10),""),"、",""),"|",""))+IF(AND(OR(J495="EI",J495="EO",J495="EQ"),$AE$1="NESMA"),2,1)))</f>
        <v/>
      </c>
      <c r="P495" s="86">
        <f>IF(J495="EI",IF(OR(Y495="估算法",Y495="算法类"),"中",IF(Y495="无法识别","低",IF(M495&lt;2,IF(O495&lt;16,"低","中"),IF(M495&lt;3,IF(O495&lt;5,"低",IF(O495&lt;16,"中","高")),IF(O495&lt;5,"中","高"))))),IF(OR(J495="EO",J495="EQ"),IF(OR(Y495="估算法",Y495="算法类"),"中",IF(Y495="无法识别","低",IF(M495&lt;2,IF(O495&lt;20,"低","中"),IF(M495&lt;4,IF(O495&lt;6,"低",IF(O495&lt;20,"中","高")),IF(O495&lt;6,"中","高"))))),IF(OR(J495="ILF",J495="EIF"),IF(OR(Y495="估算法",Y495="算法类",Y495="无法识别"),"低",IF(N495&lt;2,IF(O495&lt;51,"低","中"),IF(N495&lt;6,IF(O495&lt;20,"低",IF(O495&lt;51,"中","高")),IF(O495&lt;20,"中","高")))),"不计算")))</f>
        <v/>
      </c>
      <c r="Q495" s="172">
        <f>IFERROR(IF(J495="EI",IF(P495="低",3,IF(P495="中",4,6)),IF(J495="EO",IF(P495="低",4,IF(P495="中",5,7)),IF(J495="EQ",IF(P495="低",3,IF(P495="中",4,6)),IF(J495="ILF",IF(P495="低",7,IF(P495="中",10,15)),IF(J495="EIF",IF(P495="低",5,IF(P495="中",7,10)),"不计算")))))*R495,"不计算")</f>
        <v/>
      </c>
      <c r="R495" s="172" t="n">
        <v>0.333333333333333</v>
      </c>
      <c r="S495" s="173">
        <f>调整因子!$F$13</f>
        <v/>
      </c>
      <c r="T495" s="92" t="n">
        <v>1</v>
      </c>
      <c r="U495" s="174">
        <f>IFERROR(Q495*S495,0)</f>
        <v/>
      </c>
      <c r="V495" s="174">
        <f>U495*T495</f>
        <v/>
      </c>
      <c r="W495" s="93" t="inlineStr">
        <is>
          <t>用户偏好设置表、节点属性表、节点关系表、节点漏洞分布表</t>
        </is>
      </c>
      <c r="X495" s="98" t="n"/>
      <c r="Y495"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5" s="90" t="n"/>
      <c r="AA495" s="90" t="n"/>
      <c r="AB495" s="92" t="n"/>
      <c r="AC495" s="66" t="n"/>
    </row>
    <row r="496" customFormat="1" s="66">
      <c r="A496" s="72">
        <f>ROW()-1</f>
        <v/>
      </c>
      <c r="B496" s="175" t="n"/>
      <c r="C496" s="80" t="n">
        <v>2025</v>
      </c>
      <c r="D496" s="80" t="inlineStr">
        <is>
          <t>窦鹏岐</t>
        </is>
      </c>
      <c r="E496" s="81">
        <f>VLOOKUP(I496,'25年交付功能（不含废弃）'!A:A,1,FALSE)</f>
        <v/>
      </c>
      <c r="F496" s="175" t="n"/>
      <c r="G496" s="175" t="n"/>
      <c r="H496" s="175" t="n"/>
      <c r="I496" s="81" t="inlineStr">
        <is>
          <t>用户查看节点下未知风险主机信息</t>
        </is>
      </c>
      <c r="J496" s="93" t="n"/>
      <c r="K496" s="84" t="n"/>
      <c r="L496" s="84" t="inlineStr">
        <is>
          <t>和上行合并，输入输出完全一致，相同查询</t>
        </is>
      </c>
      <c r="M496" s="85">
        <f>IF(OR(Y496="估算法",Y496="算法类",Y496="无法识别"),"",IF(W496="",IF(OR(J496="EI",J496="EO",J496="EQ"),0,""),LEN(W496)-LEN(SUBSTITUTE(W496,"、",""))+1))</f>
        <v/>
      </c>
      <c r="N496" s="85">
        <f>IF(OR(Y496="估算法",Y496="算法类",Y496="无法识别"),"",IF(X496="",IF(OR(J496="ILF",J496="EIF"),0,""),LEN(X496)-LEN(SUBSTITUTE(X496,"、",""))+1))</f>
        <v/>
      </c>
      <c r="O496" s="85">
        <f>IF(OR(Y496="估算法",Y496="算法类",Y496="无法识别"),"",IF(Y496="",IF(OR(J496="ILF",J496="EIF",J496="EI",J496="EO",J496="EQ"),0,""),LEN(Y496)-LEN(SUBSTITUTE(SUBSTITUTE(SUBSTITUTE(SUBSTITUTE(SUBSTITUTE(Y496,"|}","--"),"{|","--"),CHAR(10),""),"、",""),"|",""))+IF(AND(OR(J496="EI",J496="EO",J496="EQ"),$AE$1="NESMA"),2,1)))</f>
        <v/>
      </c>
      <c r="P496" s="86">
        <f>IF(J496="EI",IF(OR(Y496="估算法",Y496="算法类"),"中",IF(Y496="无法识别","低",IF(M496&lt;2,IF(O496&lt;16,"低","中"),IF(M496&lt;3,IF(O496&lt;5,"低",IF(O496&lt;16,"中","高")),IF(O496&lt;5,"中","高"))))),IF(OR(J496="EO",J496="EQ"),IF(OR(Y496="估算法",Y496="算法类"),"中",IF(Y496="无法识别","低",IF(M496&lt;2,IF(O496&lt;20,"低","中"),IF(M496&lt;4,IF(O496&lt;6,"低",IF(O496&lt;20,"中","高")),IF(O496&lt;6,"中","高"))))),IF(OR(J496="ILF",J496="EIF"),IF(OR(Y496="估算法",Y496="算法类",Y496="无法识别"),"低",IF(N496&lt;2,IF(O496&lt;51,"低","中"),IF(N496&lt;6,IF(O496&lt;20,"低",IF(O496&lt;51,"中","高")),IF(O496&lt;20,"中","高")))),"不计算")))</f>
        <v/>
      </c>
      <c r="Q496" s="172">
        <f>IFERROR(IF(J496="EI",IF(P496="低",3,IF(P496="中",4,6)),IF(J496="EO",IF(P496="低",4,IF(P496="中",5,7)),IF(J496="EQ",IF(P496="低",3,IF(P496="中",4,6)),IF(J496="ILF",IF(P496="低",7,IF(P496="中",10,15)),IF(J496="EIF",IF(P496="低",5,IF(P496="中",7,10)),"不计算")))))*R496,"不计算")</f>
        <v/>
      </c>
      <c r="R496" s="172" t="n">
        <v>0.333333333333333</v>
      </c>
      <c r="S496" s="173">
        <f>调整因子!$F$13</f>
        <v/>
      </c>
      <c r="T496" s="92" t="n">
        <v>1</v>
      </c>
      <c r="U496" s="174">
        <f>IFERROR(Q496*S496,0)</f>
        <v/>
      </c>
      <c r="V496" s="174">
        <f>U496*T496</f>
        <v/>
      </c>
      <c r="W496" s="93" t="inlineStr">
        <is>
          <t>用户偏好设置表、节点属性表、节点关系表、节点漏洞分布表</t>
        </is>
      </c>
      <c r="X496" s="98" t="n"/>
      <c r="Y496"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6" s="90" t="n"/>
      <c r="AA496" s="90" t="n"/>
      <c r="AB496" s="92" t="n"/>
      <c r="AC496" s="66" t="n"/>
    </row>
    <row r="497" customFormat="1" s="66">
      <c r="A497" s="72">
        <f>ROW()-1</f>
        <v/>
      </c>
      <c r="B497" s="175" t="n"/>
      <c r="C497" s="80" t="n">
        <v>2025</v>
      </c>
      <c r="D497" s="80" t="inlineStr">
        <is>
          <t>窦鹏岐</t>
        </is>
      </c>
      <c r="E497" s="81">
        <f>VLOOKUP(I497,'25年交付功能（不含废弃）'!A:A,1,FALSE)</f>
        <v/>
      </c>
      <c r="F497" s="175" t="n"/>
      <c r="G497" s="175" t="n"/>
      <c r="H497" s="175" t="n"/>
      <c r="I497" s="81" t="inlineStr">
        <is>
          <t>用户查看节点下漏洞分布</t>
        </is>
      </c>
      <c r="J497" s="93" t="inlineStr">
        <is>
          <t>EQ</t>
        </is>
      </c>
      <c r="K497" s="84" t="n"/>
      <c r="L497" s="84" t="n"/>
      <c r="M497" s="85">
        <f>IF(OR(Y497="估算法",Y497="算法类",Y497="无法识别"),"",IF(W497="",IF(OR(J497="EI",J497="EO",J497="EQ"),0,""),LEN(W497)-LEN(SUBSTITUTE(W497,"、",""))+1))</f>
        <v/>
      </c>
      <c r="N497" s="85">
        <f>IF(OR(Y497="估算法",Y497="算法类",Y497="无法识别"),"",IF(X497="",IF(OR(J497="ILF",J497="EIF"),0,""),LEN(X497)-LEN(SUBSTITUTE(X497,"、",""))+1))</f>
        <v/>
      </c>
      <c r="O497" s="85">
        <f>IF(OR(Y497="估算法",Y497="算法类",Y497="无法识别"),"",IF(Y497="",IF(OR(J497="ILF",J497="EIF",J497="EI",J497="EO",J497="EQ"),0,""),LEN(Y497)-LEN(SUBSTITUTE(SUBSTITUTE(SUBSTITUTE(SUBSTITUTE(SUBSTITUTE(Y497,"|}","--"),"{|","--"),CHAR(10),""),"、",""),"|",""))+IF(AND(OR(J497="EI",J497="EO",J497="EQ"),$AE$1="NESMA"),2,1)))</f>
        <v/>
      </c>
      <c r="P497" s="86">
        <f>IF(J497="EI",IF(OR(Y497="估算法",Y497="算法类"),"中",IF(Y497="无法识别","低",IF(M497&lt;2,IF(O497&lt;16,"低","中"),IF(M497&lt;3,IF(O497&lt;5,"低",IF(O497&lt;16,"中","高")),IF(O497&lt;5,"中","高"))))),IF(OR(J497="EO",J497="EQ"),IF(OR(Y497="估算法",Y497="算法类"),"中",IF(Y497="无法识别","低",IF(M497&lt;2,IF(O497&lt;20,"低","中"),IF(M497&lt;4,IF(O497&lt;6,"低",IF(O497&lt;20,"中","高")),IF(O497&lt;6,"中","高"))))),IF(OR(J497="ILF",J497="EIF"),IF(OR(Y497="估算法",Y497="算法类",Y497="无法识别"),"低",IF(N497&lt;2,IF(O497&lt;51,"低","中"),IF(N497&lt;6,IF(O497&lt;20,"低",IF(O497&lt;51,"中","高")),IF(O497&lt;20,"中","高")))),"不计算")))</f>
        <v/>
      </c>
      <c r="Q497" s="172">
        <f>IFERROR(IF(J497="EI",IF(P497="低",3,IF(P497="中",4,6)),IF(J497="EO",IF(P497="低",4,IF(P497="中",5,7)),IF(J497="EQ",IF(P497="低",3,IF(P497="中",4,6)),IF(J497="ILF",IF(P497="低",7,IF(P497="中",10,15)),IF(J497="EIF",IF(P497="低",5,IF(P497="中",7,10)),"不计算")))))*R497,"不计算")</f>
        <v/>
      </c>
      <c r="R497" s="172" t="n">
        <v>0.333333333333333</v>
      </c>
      <c r="S497" s="173">
        <f>调整因子!$F$13</f>
        <v/>
      </c>
      <c r="T497" s="93" t="n">
        <v>1</v>
      </c>
      <c r="U497" s="174">
        <f>IFERROR(Q497*S497,0)</f>
        <v/>
      </c>
      <c r="V497" s="174">
        <f>U497*T497</f>
        <v/>
      </c>
      <c r="W497" s="93" t="inlineStr">
        <is>
          <t>用户偏好设置表、节点属性表、节点关系表、节点漏洞分布表</t>
        </is>
      </c>
      <c r="X497" s="98" t="n"/>
      <c r="Y497"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7" s="90" t="n"/>
      <c r="AA497" s="90" t="n"/>
      <c r="AB497" s="92" t="n"/>
      <c r="AC497" s="66" t="n"/>
    </row>
    <row r="498" customFormat="1" s="66">
      <c r="A498" s="72">
        <f>ROW()-1</f>
        <v/>
      </c>
      <c r="B498" s="175" t="n"/>
      <c r="C498" s="80" t="n">
        <v>2025</v>
      </c>
      <c r="D498" s="80" t="inlineStr">
        <is>
          <t>窦鹏岐</t>
        </is>
      </c>
      <c r="E498" s="81">
        <f>VLOOKUP(I498,'25年交付功能（不含废弃）'!A:A,1,FALSE)</f>
        <v/>
      </c>
      <c r="F498" s="175" t="n"/>
      <c r="G498" s="175" t="n"/>
      <c r="H498" s="175" t="n"/>
      <c r="I498" s="81" t="inlineStr">
        <is>
          <t>用户查看节点下高风险漏洞分布</t>
        </is>
      </c>
      <c r="J498" s="93" t="n"/>
      <c r="K498" s="84" t="n"/>
      <c r="L498" s="84" t="inlineStr">
        <is>
          <t>和上行合并，输入输出完全一致，相同查询</t>
        </is>
      </c>
      <c r="M498" s="85">
        <f>IF(OR(Y498="估算法",Y498="算法类",Y498="无法识别"),"",IF(W498="",IF(OR(J498="EI",J498="EO",J498="EQ"),0,""),LEN(W498)-LEN(SUBSTITUTE(W498,"、",""))+1))</f>
        <v/>
      </c>
      <c r="N498" s="85">
        <f>IF(OR(Y498="估算法",Y498="算法类",Y498="无法识别"),"",IF(X498="",IF(OR(J498="ILF",J498="EIF"),0,""),LEN(X498)-LEN(SUBSTITUTE(X498,"、",""))+1))</f>
        <v/>
      </c>
      <c r="O498" s="85">
        <f>IF(OR(Y498="估算法",Y498="算法类",Y498="无法识别"),"",IF(Y498="",IF(OR(J498="ILF",J498="EIF",J498="EI",J498="EO",J498="EQ"),0,""),LEN(Y498)-LEN(SUBSTITUTE(SUBSTITUTE(SUBSTITUTE(SUBSTITUTE(SUBSTITUTE(Y498,"|}","--"),"{|","--"),CHAR(10),""),"、",""),"|",""))+IF(AND(OR(J498="EI",J498="EO",J498="EQ"),$AE$1="NESMA"),2,1)))</f>
        <v/>
      </c>
      <c r="P498" s="86">
        <f>IF(J498="EI",IF(OR(Y498="估算法",Y498="算法类"),"中",IF(Y498="无法识别","低",IF(M498&lt;2,IF(O498&lt;16,"低","中"),IF(M498&lt;3,IF(O498&lt;5,"低",IF(O498&lt;16,"中","高")),IF(O498&lt;5,"中","高"))))),IF(OR(J498="EO",J498="EQ"),IF(OR(Y498="估算法",Y498="算法类"),"中",IF(Y498="无法识别","低",IF(M498&lt;2,IF(O498&lt;20,"低","中"),IF(M498&lt;4,IF(O498&lt;6,"低",IF(O498&lt;20,"中","高")),IF(O498&lt;6,"中","高"))))),IF(OR(J498="ILF",J498="EIF"),IF(OR(Y498="估算法",Y498="算法类",Y498="无法识别"),"低",IF(N498&lt;2,IF(O498&lt;51,"低","中"),IF(N498&lt;6,IF(O498&lt;20,"低",IF(O498&lt;51,"中","高")),IF(O498&lt;20,"中","高")))),"不计算")))</f>
        <v/>
      </c>
      <c r="Q498" s="172">
        <f>IFERROR(IF(J498="EI",IF(P498="低",3,IF(P498="中",4,6)),IF(J498="EO",IF(P498="低",4,IF(P498="中",5,7)),IF(J498="EQ",IF(P498="低",3,IF(P498="中",4,6)),IF(J498="ILF",IF(P498="低",7,IF(P498="中",10,15)),IF(J498="EIF",IF(P498="低",5,IF(P498="中",7,10)),"不计算")))))*R498,"不计算")</f>
        <v/>
      </c>
      <c r="R498" s="172" t="n">
        <v>0.333333333333333</v>
      </c>
      <c r="S498" s="173">
        <f>调整因子!$F$13</f>
        <v/>
      </c>
      <c r="T498" s="92" t="n">
        <v>1</v>
      </c>
      <c r="U498" s="174">
        <f>IFERROR(Q498*S498,0)</f>
        <v/>
      </c>
      <c r="V498" s="174">
        <f>U498*T498</f>
        <v/>
      </c>
      <c r="W498" s="93" t="inlineStr">
        <is>
          <t>用户偏好设置表、节点属性表、节点关系表、节点漏洞分布表</t>
        </is>
      </c>
      <c r="X498" s="98" t="n"/>
      <c r="Y498"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8" s="90" t="n"/>
      <c r="AA498" s="90" t="n"/>
      <c r="AB498" s="92" t="n"/>
      <c r="AC498" s="66" t="n"/>
    </row>
    <row r="499" customFormat="1" s="66">
      <c r="A499" s="72">
        <f>ROW()-1</f>
        <v/>
      </c>
      <c r="B499" s="175" t="n"/>
      <c r="C499" s="80" t="n">
        <v>2025</v>
      </c>
      <c r="D499" s="80" t="inlineStr">
        <is>
          <t>窦鹏岐</t>
        </is>
      </c>
      <c r="E499" s="81">
        <f>VLOOKUP(I499,'25年交付功能（不含废弃）'!A:A,1,FALSE)</f>
        <v/>
      </c>
      <c r="F499" s="175" t="n"/>
      <c r="G499" s="175" t="n"/>
      <c r="H499" s="175" t="n"/>
      <c r="I499" s="81" t="inlineStr">
        <is>
          <t>用户查看节点下中风险漏洞分布</t>
        </is>
      </c>
      <c r="J499" s="93" t="n"/>
      <c r="K499" s="84" t="n"/>
      <c r="L499" s="84" t="inlineStr">
        <is>
          <t>和上行合并，输入输出完全一致，相同查询</t>
        </is>
      </c>
      <c r="M499" s="85">
        <f>IF(OR(Y499="估算法",Y499="算法类",Y499="无法识别"),"",IF(W499="",IF(OR(J499="EI",J499="EO",J499="EQ"),0,""),LEN(W499)-LEN(SUBSTITUTE(W499,"、",""))+1))</f>
        <v/>
      </c>
      <c r="N499" s="85">
        <f>IF(OR(Y499="估算法",Y499="算法类",Y499="无法识别"),"",IF(X499="",IF(OR(J499="ILF",J499="EIF"),0,""),LEN(X499)-LEN(SUBSTITUTE(X499,"、",""))+1))</f>
        <v/>
      </c>
      <c r="O499" s="85">
        <f>IF(OR(Y499="估算法",Y499="算法类",Y499="无法识别"),"",IF(Y499="",IF(OR(J499="ILF",J499="EIF",J499="EI",J499="EO",J499="EQ"),0,""),LEN(Y499)-LEN(SUBSTITUTE(SUBSTITUTE(SUBSTITUTE(SUBSTITUTE(SUBSTITUTE(Y499,"|}","--"),"{|","--"),CHAR(10),""),"、",""),"|",""))+IF(AND(OR(J499="EI",J499="EO",J499="EQ"),$AE$1="NESMA"),2,1)))</f>
        <v/>
      </c>
      <c r="P499" s="86">
        <f>IF(J499="EI",IF(OR(Y499="估算法",Y499="算法类"),"中",IF(Y499="无法识别","低",IF(M499&lt;2,IF(O499&lt;16,"低","中"),IF(M499&lt;3,IF(O499&lt;5,"低",IF(O499&lt;16,"中","高")),IF(O499&lt;5,"中","高"))))),IF(OR(J499="EO",J499="EQ"),IF(OR(Y499="估算法",Y499="算法类"),"中",IF(Y499="无法识别","低",IF(M499&lt;2,IF(O499&lt;20,"低","中"),IF(M499&lt;4,IF(O499&lt;6,"低",IF(O499&lt;20,"中","高")),IF(O499&lt;6,"中","高"))))),IF(OR(J499="ILF",J499="EIF"),IF(OR(Y499="估算法",Y499="算法类",Y499="无法识别"),"低",IF(N499&lt;2,IF(O499&lt;51,"低","中"),IF(N499&lt;6,IF(O499&lt;20,"低",IF(O499&lt;51,"中","高")),IF(O499&lt;20,"中","高")))),"不计算")))</f>
        <v/>
      </c>
      <c r="Q499" s="172">
        <f>IFERROR(IF(J499="EI",IF(P499="低",3,IF(P499="中",4,6)),IF(J499="EO",IF(P499="低",4,IF(P499="中",5,7)),IF(J499="EQ",IF(P499="低",3,IF(P499="中",4,6)),IF(J499="ILF",IF(P499="低",7,IF(P499="中",10,15)),IF(J499="EIF",IF(P499="低",5,IF(P499="中",7,10)),"不计算")))))*R499,"不计算")</f>
        <v/>
      </c>
      <c r="R499" s="172" t="n">
        <v>0.333333333333333</v>
      </c>
      <c r="S499" s="173">
        <f>调整因子!$F$13</f>
        <v/>
      </c>
      <c r="T499" s="92" t="n">
        <v>1</v>
      </c>
      <c r="U499" s="174">
        <f>IFERROR(Q499*S499,0)</f>
        <v/>
      </c>
      <c r="V499" s="174">
        <f>U499*T499</f>
        <v/>
      </c>
      <c r="W499" s="93" t="inlineStr">
        <is>
          <t>用户偏好设置表、节点属性表、节点关系表、节点漏洞分布表</t>
        </is>
      </c>
      <c r="X499" s="98" t="n"/>
      <c r="Y499"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499" s="90" t="n"/>
      <c r="AA499" s="90" t="n"/>
      <c r="AB499" s="92" t="n"/>
      <c r="AC499" s="66" t="n"/>
    </row>
    <row r="500" customFormat="1" s="66">
      <c r="A500" s="72">
        <f>ROW()-1</f>
        <v/>
      </c>
      <c r="B500" s="175" t="n"/>
      <c r="C500" s="80" t="n">
        <v>2025</v>
      </c>
      <c r="D500" s="80" t="inlineStr">
        <is>
          <t>窦鹏岐</t>
        </is>
      </c>
      <c r="E500" s="81">
        <f>VLOOKUP(I500,'25年交付功能（不含废弃）'!A:A,1,FALSE)</f>
        <v/>
      </c>
      <c r="F500" s="175" t="n"/>
      <c r="G500" s="175" t="n"/>
      <c r="H500" s="175" t="n"/>
      <c r="I500" s="81" t="inlineStr">
        <is>
          <t>用户查看节点下低风险漏洞分布</t>
        </is>
      </c>
      <c r="J500" s="93" t="n"/>
      <c r="K500" s="84" t="n"/>
      <c r="L500" s="84" t="inlineStr">
        <is>
          <t>和上行合并，输入输出完全一致，相同查询</t>
        </is>
      </c>
      <c r="M500" s="85">
        <f>IF(OR(Y500="估算法",Y500="算法类",Y500="无法识别"),"",IF(W500="",IF(OR(J500="EI",J500="EO",J500="EQ"),0,""),LEN(W500)-LEN(SUBSTITUTE(W500,"、",""))+1))</f>
        <v/>
      </c>
      <c r="N500" s="85">
        <f>IF(OR(Y500="估算法",Y500="算法类",Y500="无法识别"),"",IF(X500="",IF(OR(J500="ILF",J500="EIF"),0,""),LEN(X500)-LEN(SUBSTITUTE(X500,"、",""))+1))</f>
        <v/>
      </c>
      <c r="O500" s="85">
        <f>IF(OR(Y500="估算法",Y500="算法类",Y500="无法识别"),"",IF(Y500="",IF(OR(J500="ILF",J500="EIF",J500="EI",J500="EO",J500="EQ"),0,""),LEN(Y500)-LEN(SUBSTITUTE(SUBSTITUTE(SUBSTITUTE(SUBSTITUTE(SUBSTITUTE(Y500,"|}","--"),"{|","--"),CHAR(10),""),"、",""),"|",""))+IF(AND(OR(J500="EI",J500="EO",J500="EQ"),$AE$1="NESMA"),2,1)))</f>
        <v/>
      </c>
      <c r="P500" s="86">
        <f>IF(J500="EI",IF(OR(Y500="估算法",Y500="算法类"),"中",IF(Y500="无法识别","低",IF(M500&lt;2,IF(O500&lt;16,"低","中"),IF(M500&lt;3,IF(O500&lt;5,"低",IF(O500&lt;16,"中","高")),IF(O500&lt;5,"中","高"))))),IF(OR(J500="EO",J500="EQ"),IF(OR(Y500="估算法",Y500="算法类"),"中",IF(Y500="无法识别","低",IF(M500&lt;2,IF(O500&lt;20,"低","中"),IF(M500&lt;4,IF(O500&lt;6,"低",IF(O500&lt;20,"中","高")),IF(O500&lt;6,"中","高"))))),IF(OR(J500="ILF",J500="EIF"),IF(OR(Y500="估算法",Y500="算法类",Y500="无法识别"),"低",IF(N500&lt;2,IF(O500&lt;51,"低","中"),IF(N500&lt;6,IF(O500&lt;20,"低",IF(O500&lt;51,"中","高")),IF(O500&lt;20,"中","高")))),"不计算")))</f>
        <v/>
      </c>
      <c r="Q500" s="172">
        <f>IFERROR(IF(J500="EI",IF(P500="低",3,IF(P500="中",4,6)),IF(J500="EO",IF(P500="低",4,IF(P500="中",5,7)),IF(J500="EQ",IF(P500="低",3,IF(P500="中",4,6)),IF(J500="ILF",IF(P500="低",7,IF(P500="中",10,15)),IF(J500="EIF",IF(P500="低",5,IF(P500="中",7,10)),"不计算")))))*R500,"不计算")</f>
        <v/>
      </c>
      <c r="R500" s="172" t="n">
        <v>0.333333333333333</v>
      </c>
      <c r="S500" s="173">
        <f>调整因子!$F$13</f>
        <v/>
      </c>
      <c r="T500" s="93" t="n">
        <v>1</v>
      </c>
      <c r="U500" s="174">
        <f>IFERROR(Q500*S500,0)</f>
        <v/>
      </c>
      <c r="V500" s="174">
        <f>U500*T500</f>
        <v/>
      </c>
      <c r="W500" s="93" t="inlineStr">
        <is>
          <t>用户偏好设置表、节点属性表、节点关系表、节点漏洞分布表</t>
        </is>
      </c>
      <c r="X500" s="98" t="n"/>
      <c r="Y500" s="93" t="inlineStr">
        <is>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is>
      </c>
      <c r="Z500" s="90" t="n"/>
      <c r="AA500" s="90" t="n"/>
      <c r="AB500" s="92" t="n"/>
      <c r="AC500" s="66" t="n"/>
    </row>
    <row r="501" customFormat="1" s="66">
      <c r="A501" s="72">
        <f>ROW()-1</f>
        <v/>
      </c>
      <c r="B501" s="175" t="n"/>
      <c r="C501" s="80" t="n">
        <v>2025</v>
      </c>
      <c r="D501" s="80" t="inlineStr">
        <is>
          <t>窦鹏岐</t>
        </is>
      </c>
      <c r="E501" s="81">
        <f>VLOOKUP(I501,'25年交付功能（不含废弃）'!A:A,1,FALSE)</f>
        <v/>
      </c>
      <c r="F501" s="175" t="n"/>
      <c r="G501" s="175" t="n"/>
      <c r="H501" s="175" t="n"/>
      <c r="I501" s="81" t="inlineStr">
        <is>
          <t>用户查看主机风险等级信息</t>
        </is>
      </c>
      <c r="J501" s="93" t="inlineStr">
        <is>
          <t>EQ</t>
        </is>
      </c>
      <c r="K501" s="84" t="n"/>
      <c r="L501" s="84" t="n"/>
      <c r="M501" s="85">
        <f>IF(OR(Y501="估算法",Y501="算法类",Y501="无法识别"),"",IF(W501="",IF(OR(J501="EI",J501="EO",J501="EQ"),0,""),LEN(W501)-LEN(SUBSTITUTE(W501,"、",""))+1))</f>
        <v/>
      </c>
      <c r="N501" s="85">
        <f>IF(OR(Y501="估算法",Y501="算法类",Y501="无法识别"),"",IF(X501="",IF(OR(J501="ILF",J501="EIF"),0,""),LEN(X501)-LEN(SUBSTITUTE(X501,"、",""))+1))</f>
        <v/>
      </c>
      <c r="O501" s="85">
        <f>IF(OR(Y501="估算法",Y501="算法类",Y501="无法识别"),"",IF(Y501="",IF(OR(J501="ILF",J501="EIF",J501="EI",J501="EO",J501="EQ"),0,""),LEN(Y501)-LEN(SUBSTITUTE(SUBSTITUTE(SUBSTITUTE(SUBSTITUTE(SUBSTITUTE(Y501,"|}","--"),"{|","--"),CHAR(10),""),"、",""),"|",""))+IF(AND(OR(J501="EI",J501="EO",J501="EQ"),$AE$1="NESMA"),2,1)))</f>
        <v/>
      </c>
      <c r="P501" s="86">
        <f>IF(J501="EI",IF(OR(Y501="估算法",Y501="算法类"),"中",IF(Y501="无法识别","低",IF(M501&lt;2,IF(O501&lt;16,"低","中"),IF(M501&lt;3,IF(O501&lt;5,"低",IF(O501&lt;16,"中","高")),IF(O501&lt;5,"中","高"))))),IF(OR(J501="EO",J501="EQ"),IF(OR(Y501="估算法",Y501="算法类"),"中",IF(Y501="无法识别","低",IF(M501&lt;2,IF(O501&lt;20,"低","中"),IF(M501&lt;4,IF(O501&lt;6,"低",IF(O501&lt;20,"中","高")),IF(O501&lt;6,"中","高"))))),IF(OR(J501="ILF",J501="EIF"),IF(OR(Y501="估算法",Y501="算法类",Y501="无法识别"),"低",IF(N501&lt;2,IF(O501&lt;51,"低","中"),IF(N501&lt;6,IF(O501&lt;20,"低",IF(O501&lt;51,"中","高")),IF(O501&lt;20,"中","高")))),"不计算")))</f>
        <v/>
      </c>
      <c r="Q501" s="172">
        <f>IFERROR(IF(J501="EI",IF(P501="低",3,IF(P501="中",4,6)),IF(J501="EO",IF(P501="低",4,IF(P501="中",5,7)),IF(J501="EQ",IF(P501="低",3,IF(P501="中",4,6)),IF(J501="ILF",IF(P501="低",7,IF(P501="中",10,15)),IF(J501="EIF",IF(P501="低",5,IF(P501="中",7,10)),"不计算")))))*R501,"不计算")</f>
        <v/>
      </c>
      <c r="R501" s="172" t="n">
        <v>1</v>
      </c>
      <c r="S501" s="173">
        <f>调整因子!$F$13</f>
        <v/>
      </c>
      <c r="T501" s="92" t="n">
        <v>1</v>
      </c>
      <c r="U501" s="174">
        <f>IFERROR(Q501*S501,0)</f>
        <v/>
      </c>
      <c r="V501" s="174">
        <f>U501*T501</f>
        <v/>
      </c>
      <c r="W501" s="93" t="inlineStr">
        <is>
          <t>用户偏好设置表、主机风险评估表</t>
        </is>
      </c>
      <c r="X501" s="98" t="n"/>
      <c r="Y501" s="93" t="inlineStr">
        <is>
          <t>用户偏好设置表{主键 id 、用户 id 、偏好设置名称、偏好设置值、最后更新时间}
主机风险评估表{主键id、主机id、风险等级、评估时间、评估描述}</t>
        </is>
      </c>
      <c r="Z501" s="90" t="n"/>
      <c r="AA501" s="90" t="n"/>
      <c r="AB501" s="92" t="n"/>
      <c r="AC501" s="66" t="n"/>
    </row>
    <row r="502" customFormat="1" s="66">
      <c r="A502" s="72">
        <f>ROW()-1</f>
        <v/>
      </c>
      <c r="B502" s="175" t="n"/>
      <c r="C502" s="80" t="n">
        <v>2025</v>
      </c>
      <c r="D502" s="80" t="inlineStr">
        <is>
          <t>窦鹏岐</t>
        </is>
      </c>
      <c r="E502" s="81">
        <f>VLOOKUP(I502,'25年交付功能（不含废弃）'!A:A,1,FALSE)</f>
        <v/>
      </c>
      <c r="F502" s="175" t="n"/>
      <c r="G502" s="175" t="n"/>
      <c r="H502" s="175" t="n"/>
      <c r="I502" s="81" t="inlineStr">
        <is>
          <t>用户查看主机概况信息</t>
        </is>
      </c>
      <c r="J502" s="93" t="inlineStr">
        <is>
          <t>EQ</t>
        </is>
      </c>
      <c r="K502" s="84" t="n"/>
      <c r="L502" s="84" t="n"/>
      <c r="M502" s="85">
        <f>IF(OR(Y502="估算法",Y502="算法类",Y502="无法识别"),"",IF(W502="",IF(OR(J502="EI",J502="EO",J502="EQ"),0,""),LEN(W502)-LEN(SUBSTITUTE(W502,"、",""))+1))</f>
        <v/>
      </c>
      <c r="N502" s="85">
        <f>IF(OR(Y502="估算法",Y502="算法类",Y502="无法识别"),"",IF(X502="",IF(OR(J502="ILF",J502="EIF"),0,""),LEN(X502)-LEN(SUBSTITUTE(X502,"、",""))+1))</f>
        <v/>
      </c>
      <c r="O502" s="85">
        <f>IF(OR(Y502="估算法",Y502="算法类",Y502="无法识别"),"",IF(Y502="",IF(OR(J502="ILF",J502="EIF",J502="EI",J502="EO",J502="EQ"),0,""),LEN(Y502)-LEN(SUBSTITUTE(SUBSTITUTE(SUBSTITUTE(SUBSTITUTE(SUBSTITUTE(Y502,"|}","--"),"{|","--"),CHAR(10),""),"、",""),"|",""))+IF(AND(OR(J502="EI",J502="EO",J502="EQ"),$AE$1="NESMA"),2,1)))</f>
        <v/>
      </c>
      <c r="P502" s="86">
        <f>IF(J502="EI",IF(OR(Y502="估算法",Y502="算法类"),"中",IF(Y502="无法识别","低",IF(M502&lt;2,IF(O502&lt;16,"低","中"),IF(M502&lt;3,IF(O502&lt;5,"低",IF(O502&lt;16,"中","高")),IF(O502&lt;5,"中","高"))))),IF(OR(J502="EO",J502="EQ"),IF(OR(Y502="估算法",Y502="算法类"),"中",IF(Y502="无法识别","低",IF(M502&lt;2,IF(O502&lt;20,"低","中"),IF(M502&lt;4,IF(O502&lt;6,"低",IF(O502&lt;20,"中","高")),IF(O502&lt;6,"中","高"))))),IF(OR(J502="ILF",J502="EIF"),IF(OR(Y502="估算法",Y502="算法类",Y502="无法识别"),"低",IF(N502&lt;2,IF(O502&lt;51,"低","中"),IF(N502&lt;6,IF(O502&lt;20,"低",IF(O502&lt;51,"中","高")),IF(O502&lt;20,"中","高")))),"不计算")))</f>
        <v/>
      </c>
      <c r="Q502" s="172">
        <f>IFERROR(IF(J502="EI",IF(P502="低",3,IF(P502="中",4,6)),IF(J502="EO",IF(P502="低",4,IF(P502="中",5,7)),IF(J502="EQ",IF(P502="低",3,IF(P502="中",4,6)),IF(J502="ILF",IF(P502="低",7,IF(P502="中",10,15)),IF(J502="EIF",IF(P502="低",5,IF(P502="中",7,10)),"不计算")))))*R502,"不计算")</f>
        <v/>
      </c>
      <c r="R502" s="172" t="n">
        <v>1</v>
      </c>
      <c r="S502" s="173">
        <f>调整因子!$F$13</f>
        <v/>
      </c>
      <c r="T502" s="92" t="n">
        <v>1</v>
      </c>
      <c r="U502" s="174">
        <f>IFERROR(Q502*S502,0)</f>
        <v/>
      </c>
      <c r="V502" s="174">
        <f>U502*T502</f>
        <v/>
      </c>
      <c r="W502" s="93" t="inlineStr">
        <is>
          <t>用户偏好设置表、主机漏洞详情表</t>
        </is>
      </c>
      <c r="X502" s="98" t="n"/>
      <c r="Y502" s="93" t="inlineStr">
        <is>
          <t>用户偏好设置表{主键 id 、用户 id 、偏好设置名称、偏好设置值、最后更新时间}
主机漏洞详情表{主键id、主机id、漏洞id、漏洞名称、漏洞描述、风险等级、发现时间、状态、修复建议}</t>
        </is>
      </c>
      <c r="Z502" s="90" t="n"/>
      <c r="AA502" s="90" t="n"/>
      <c r="AB502" s="92" t="n"/>
      <c r="AC502" s="66" t="n"/>
    </row>
    <row r="503" customFormat="1" s="66">
      <c r="A503" s="72">
        <f>ROW()-1</f>
        <v/>
      </c>
      <c r="B503" s="175" t="n"/>
      <c r="C503" s="80" t="n">
        <v>2025</v>
      </c>
      <c r="D503" s="80" t="inlineStr">
        <is>
          <t>窦鹏岐</t>
        </is>
      </c>
      <c r="E503" s="81">
        <f>VLOOKUP(I503,'25年交付功能（不含废弃）'!A:A,1,FALSE)</f>
        <v/>
      </c>
      <c r="F503" s="175" t="n"/>
      <c r="G503" s="175" t="n"/>
      <c r="H503" s="175" t="n"/>
      <c r="I503" s="81" t="inlineStr">
        <is>
          <t>用户查看主机漏洞概况信息</t>
        </is>
      </c>
      <c r="J503" s="93" t="n"/>
      <c r="K503" s="84" t="n"/>
      <c r="L503" s="84" t="inlineStr">
        <is>
          <t>和上行合并，输入输出完全一致，相同查询</t>
        </is>
      </c>
      <c r="M503" s="85">
        <f>IF(OR(Y503="估算法",Y503="算法类",Y503="无法识别"),"",IF(W503="",IF(OR(J503="EI",J503="EO",J503="EQ"),0,""),LEN(W503)-LEN(SUBSTITUTE(W503,"、",""))+1))</f>
        <v/>
      </c>
      <c r="N503" s="85">
        <f>IF(OR(Y503="估算法",Y503="算法类",Y503="无法识别"),"",IF(X503="",IF(OR(J503="ILF",J503="EIF"),0,""),LEN(X503)-LEN(SUBSTITUTE(X503,"、",""))+1))</f>
        <v/>
      </c>
      <c r="O503" s="85">
        <f>IF(OR(Y503="估算法",Y503="算法类",Y503="无法识别"),"",IF(Y503="",IF(OR(J503="ILF",J503="EIF",J503="EI",J503="EO",J503="EQ"),0,""),LEN(Y503)-LEN(SUBSTITUTE(SUBSTITUTE(SUBSTITUTE(SUBSTITUTE(SUBSTITUTE(Y503,"|}","--"),"{|","--"),CHAR(10),""),"、",""),"|",""))+IF(AND(OR(J503="EI",J503="EO",J503="EQ"),$AE$1="NESMA"),2,1)))</f>
        <v/>
      </c>
      <c r="P503" s="86">
        <f>IF(J503="EI",IF(OR(Y503="估算法",Y503="算法类"),"中",IF(Y503="无法识别","低",IF(M503&lt;2,IF(O503&lt;16,"低","中"),IF(M503&lt;3,IF(O503&lt;5,"低",IF(O503&lt;16,"中","高")),IF(O503&lt;5,"中","高"))))),IF(OR(J503="EO",J503="EQ"),IF(OR(Y503="估算法",Y503="算法类"),"中",IF(Y503="无法识别","低",IF(M503&lt;2,IF(O503&lt;20,"低","中"),IF(M503&lt;4,IF(O503&lt;6,"低",IF(O503&lt;20,"中","高")),IF(O503&lt;6,"中","高"))))),IF(OR(J503="ILF",J503="EIF"),IF(OR(Y503="估算法",Y503="算法类",Y503="无法识别"),"低",IF(N503&lt;2,IF(O503&lt;51,"低","中"),IF(N503&lt;6,IF(O503&lt;20,"低",IF(O503&lt;51,"中","高")),IF(O503&lt;20,"中","高")))),"不计算")))</f>
        <v/>
      </c>
      <c r="Q503" s="172">
        <f>IFERROR(IF(J503="EI",IF(P503="低",3,IF(P503="中",4,6)),IF(J503="EO",IF(P503="低",4,IF(P503="中",5,7)),IF(J503="EQ",IF(P503="低",3,IF(P503="中",4,6)),IF(J503="ILF",IF(P503="低",7,IF(P503="中",10,15)),IF(J503="EIF",IF(P503="低",5,IF(P503="中",7,10)),"不计算")))))*R503,"不计算")</f>
        <v/>
      </c>
      <c r="R503" s="172" t="n">
        <v>1</v>
      </c>
      <c r="S503" s="173">
        <f>调整因子!$F$13</f>
        <v/>
      </c>
      <c r="T503" s="93" t="n">
        <v>1</v>
      </c>
      <c r="U503" s="174">
        <f>IFERROR(Q503*S503,0)</f>
        <v/>
      </c>
      <c r="V503" s="174">
        <f>U503*T503</f>
        <v/>
      </c>
      <c r="W503" s="93" t="inlineStr">
        <is>
          <t>用户偏好设置表、主机漏洞详情表</t>
        </is>
      </c>
      <c r="X503" s="98" t="n"/>
      <c r="Y503" s="93" t="inlineStr">
        <is>
          <t>用户偏好设置表{主键 id 、用户 id 、偏好设置名称、偏好设置值、最后更新时间}
主机漏洞详情表{主键id、主机id、漏洞id、漏洞名称、漏洞描述、风险等级、发现时间、状态、修复建议}</t>
        </is>
      </c>
      <c r="Z503" s="90" t="n"/>
      <c r="AA503" s="90" t="n"/>
      <c r="AB503" s="92" t="n"/>
      <c r="AC503" s="66" t="n"/>
    </row>
    <row r="504" customFormat="1" s="66">
      <c r="A504" s="72">
        <f>ROW()-1</f>
        <v/>
      </c>
      <c r="B504" s="175" t="n"/>
      <c r="C504" s="80" t="n">
        <v>2025</v>
      </c>
      <c r="D504" s="80" t="inlineStr">
        <is>
          <t>窦鹏岐</t>
        </is>
      </c>
      <c r="E504" s="81">
        <f>VLOOKUP(I504,'25年交付功能（不含废弃）'!A:A,1,FALSE)</f>
        <v/>
      </c>
      <c r="F504" s="175" t="n"/>
      <c r="G504" s="175" t="n"/>
      <c r="H504" s="175" t="n"/>
      <c r="I504" s="81" t="inlineStr">
        <is>
          <t>用户查看主机高风险漏洞概况信息</t>
        </is>
      </c>
      <c r="J504" s="93" t="n"/>
      <c r="K504" s="84" t="n"/>
      <c r="L504" s="84" t="inlineStr">
        <is>
          <t>和上行合并，输入输出完全一致，相同查询</t>
        </is>
      </c>
      <c r="M504" s="85">
        <f>IF(OR(Y504="估算法",Y504="算法类",Y504="无法识别"),"",IF(W504="",IF(OR(J504="EI",J504="EO",J504="EQ"),0,""),LEN(W504)-LEN(SUBSTITUTE(W504,"、",""))+1))</f>
        <v/>
      </c>
      <c r="N504" s="85">
        <f>IF(OR(Y504="估算法",Y504="算法类",Y504="无法识别"),"",IF(X504="",IF(OR(J504="ILF",J504="EIF"),0,""),LEN(X504)-LEN(SUBSTITUTE(X504,"、",""))+1))</f>
        <v/>
      </c>
      <c r="O504" s="85">
        <f>IF(OR(Y504="估算法",Y504="算法类",Y504="无法识别"),"",IF(Y504="",IF(OR(J504="ILF",J504="EIF",J504="EI",J504="EO",J504="EQ"),0,""),LEN(Y504)-LEN(SUBSTITUTE(SUBSTITUTE(SUBSTITUTE(SUBSTITUTE(SUBSTITUTE(Y504,"|}","--"),"{|","--"),CHAR(10),""),"、",""),"|",""))+IF(AND(OR(J504="EI",J504="EO",J504="EQ"),$AE$1="NESMA"),2,1)))</f>
        <v/>
      </c>
      <c r="P504" s="86">
        <f>IF(J504="EI",IF(OR(Y504="估算法",Y504="算法类"),"中",IF(Y504="无法识别","低",IF(M504&lt;2,IF(O504&lt;16,"低","中"),IF(M504&lt;3,IF(O504&lt;5,"低",IF(O504&lt;16,"中","高")),IF(O504&lt;5,"中","高"))))),IF(OR(J504="EO",J504="EQ"),IF(OR(Y504="估算法",Y504="算法类"),"中",IF(Y504="无法识别","低",IF(M504&lt;2,IF(O504&lt;20,"低","中"),IF(M504&lt;4,IF(O504&lt;6,"低",IF(O504&lt;20,"中","高")),IF(O504&lt;6,"中","高"))))),IF(OR(J504="ILF",J504="EIF"),IF(OR(Y504="估算法",Y504="算法类",Y504="无法识别"),"低",IF(N504&lt;2,IF(O504&lt;51,"低","中"),IF(N504&lt;6,IF(O504&lt;20,"低",IF(O504&lt;51,"中","高")),IF(O504&lt;20,"中","高")))),"不计算")))</f>
        <v/>
      </c>
      <c r="Q504" s="172">
        <f>IFERROR(IF(J504="EI",IF(P504="低",3,IF(P504="中",4,6)),IF(J504="EO",IF(P504="低",4,IF(P504="中",5,7)),IF(J504="EQ",IF(P504="低",3,IF(P504="中",4,6)),IF(J504="ILF",IF(P504="低",7,IF(P504="中",10,15)),IF(J504="EIF",IF(P504="低",5,IF(P504="中",7,10)),"不计算")))))*R504,"不计算")</f>
        <v/>
      </c>
      <c r="R504" s="172" t="n">
        <v>0.333333333333333</v>
      </c>
      <c r="S504" s="173">
        <f>调整因子!$F$13</f>
        <v/>
      </c>
      <c r="T504" s="92" t="n">
        <v>1</v>
      </c>
      <c r="U504" s="174">
        <f>IFERROR(Q504*S504,0)</f>
        <v/>
      </c>
      <c r="V504" s="174">
        <f>U504*T504</f>
        <v/>
      </c>
      <c r="W504" s="93" t="inlineStr">
        <is>
          <t>用户偏好设置表、主机漏洞详情表</t>
        </is>
      </c>
      <c r="X504" s="98" t="n"/>
      <c r="Y504" s="93" t="inlineStr">
        <is>
          <t>用户偏好设置表{主键 id 、用户 id 、偏好设置名称、偏好设置值、最后更新时间}
主机漏洞详情表{主键id、主机id、漏洞id、漏洞名称、漏洞描述、风险等级、发现时间、状态、修复建议}</t>
        </is>
      </c>
      <c r="Z504" s="90" t="n"/>
      <c r="AA504" s="90" t="n"/>
      <c r="AB504" s="92" t="n"/>
      <c r="AC504" s="66" t="n"/>
    </row>
    <row r="505" customFormat="1" s="66">
      <c r="A505" s="72">
        <f>ROW()-1</f>
        <v/>
      </c>
      <c r="B505" s="175" t="n"/>
      <c r="C505" s="80" t="n">
        <v>2025</v>
      </c>
      <c r="D505" s="80" t="inlineStr">
        <is>
          <t>窦鹏岐</t>
        </is>
      </c>
      <c r="E505" s="81">
        <f>VLOOKUP(I505,'25年交付功能（不含废弃）'!A:A,1,FALSE)</f>
        <v/>
      </c>
      <c r="F505" s="175" t="n"/>
      <c r="G505" s="175" t="n"/>
      <c r="H505" s="175" t="n"/>
      <c r="I505" s="81" t="inlineStr">
        <is>
          <t>用户查看主机中风险漏洞概况信息</t>
        </is>
      </c>
      <c r="J505" s="93" t="n"/>
      <c r="K505" s="84" t="n"/>
      <c r="L505" s="84" t="inlineStr">
        <is>
          <t>和上行合并，输入输出完全一致，相同查询</t>
        </is>
      </c>
      <c r="M505" s="85">
        <f>IF(OR(Y505="估算法",Y505="算法类",Y505="无法识别"),"",IF(W505="",IF(OR(J505="EI",J505="EO",J505="EQ"),0,""),LEN(W505)-LEN(SUBSTITUTE(W505,"、",""))+1))</f>
        <v/>
      </c>
      <c r="N505" s="85">
        <f>IF(OR(Y505="估算法",Y505="算法类",Y505="无法识别"),"",IF(X505="",IF(OR(J505="ILF",J505="EIF"),0,""),LEN(X505)-LEN(SUBSTITUTE(X505,"、",""))+1))</f>
        <v/>
      </c>
      <c r="O505" s="85">
        <f>IF(OR(Y505="估算法",Y505="算法类",Y505="无法识别"),"",IF(Y505="",IF(OR(J505="ILF",J505="EIF",J505="EI",J505="EO",J505="EQ"),0,""),LEN(Y505)-LEN(SUBSTITUTE(SUBSTITUTE(SUBSTITUTE(SUBSTITUTE(SUBSTITUTE(Y505,"|}","--"),"{|","--"),CHAR(10),""),"、",""),"|",""))+IF(AND(OR(J505="EI",J505="EO",J505="EQ"),$AE$1="NESMA"),2,1)))</f>
        <v/>
      </c>
      <c r="P505" s="86">
        <f>IF(J505="EI",IF(OR(Y505="估算法",Y505="算法类"),"中",IF(Y505="无法识别","低",IF(M505&lt;2,IF(O505&lt;16,"低","中"),IF(M505&lt;3,IF(O505&lt;5,"低",IF(O505&lt;16,"中","高")),IF(O505&lt;5,"中","高"))))),IF(OR(J505="EO",J505="EQ"),IF(OR(Y505="估算法",Y505="算法类"),"中",IF(Y505="无法识别","低",IF(M505&lt;2,IF(O505&lt;20,"低","中"),IF(M505&lt;4,IF(O505&lt;6,"低",IF(O505&lt;20,"中","高")),IF(O505&lt;6,"中","高"))))),IF(OR(J505="ILF",J505="EIF"),IF(OR(Y505="估算法",Y505="算法类",Y505="无法识别"),"低",IF(N505&lt;2,IF(O505&lt;51,"低","中"),IF(N505&lt;6,IF(O505&lt;20,"低",IF(O505&lt;51,"中","高")),IF(O505&lt;20,"中","高")))),"不计算")))</f>
        <v/>
      </c>
      <c r="Q505" s="172">
        <f>IFERROR(IF(J505="EI",IF(P505="低",3,IF(P505="中",4,6)),IF(J505="EO",IF(P505="低",4,IF(P505="中",5,7)),IF(J505="EQ",IF(P505="低",3,IF(P505="中",4,6)),IF(J505="ILF",IF(P505="低",7,IF(P505="中",10,15)),IF(J505="EIF",IF(P505="低",5,IF(P505="中",7,10)),"不计算")))))*R505,"不计算")</f>
        <v/>
      </c>
      <c r="R505" s="172" t="n">
        <v>0.333333333333333</v>
      </c>
      <c r="S505" s="173">
        <f>调整因子!$F$13</f>
        <v/>
      </c>
      <c r="T505" s="92" t="n">
        <v>1</v>
      </c>
      <c r="U505" s="174">
        <f>IFERROR(Q505*S505,0)</f>
        <v/>
      </c>
      <c r="V505" s="174">
        <f>U505*T505</f>
        <v/>
      </c>
      <c r="W505" s="93" t="inlineStr">
        <is>
          <t>用户偏好设置表、主机漏洞详情表</t>
        </is>
      </c>
      <c r="X505" s="98" t="n"/>
      <c r="Y505" s="93" t="inlineStr">
        <is>
          <t>用户偏好设置表{主键 id 、用户 id 、偏好设置名称、偏好设置值、最后更新时间}
主机漏洞详情表{主键id、主机id、漏洞id、漏洞名称、漏洞描述、风险等级、发现时间、状态、修复建议}</t>
        </is>
      </c>
      <c r="Z505" s="90" t="n"/>
      <c r="AA505" s="90" t="n"/>
      <c r="AB505" s="92" t="n"/>
      <c r="AC505" s="66" t="n"/>
    </row>
    <row r="506" customFormat="1" s="66">
      <c r="A506" s="72">
        <f>ROW()-1</f>
        <v/>
      </c>
      <c r="B506" s="175" t="n"/>
      <c r="C506" s="80" t="n">
        <v>2025</v>
      </c>
      <c r="D506" s="80" t="inlineStr">
        <is>
          <t>窦鹏岐</t>
        </is>
      </c>
      <c r="E506" s="81">
        <f>VLOOKUP(I506,'25年交付功能（不含废弃）'!A:A,1,FALSE)</f>
        <v/>
      </c>
      <c r="F506" s="175" t="n"/>
      <c r="G506" s="175" t="n"/>
      <c r="H506" s="175" t="n"/>
      <c r="I506" s="81" t="inlineStr">
        <is>
          <t>用户查看主机低风险漏洞概况信息</t>
        </is>
      </c>
      <c r="J506" s="93" t="n"/>
      <c r="K506" s="84" t="n"/>
      <c r="L506" s="84" t="inlineStr">
        <is>
          <t>和上行合并，输入输出完全一致，相同查询</t>
        </is>
      </c>
      <c r="M506" s="85">
        <f>IF(OR(Y506="估算法",Y506="算法类",Y506="无法识别"),"",IF(W506="",IF(OR(J506="EI",J506="EO",J506="EQ"),0,""),LEN(W506)-LEN(SUBSTITUTE(W506,"、",""))+1))</f>
        <v/>
      </c>
      <c r="N506" s="85">
        <f>IF(OR(Y506="估算法",Y506="算法类",Y506="无法识别"),"",IF(X506="",IF(OR(J506="ILF",J506="EIF"),0,""),LEN(X506)-LEN(SUBSTITUTE(X506,"、",""))+1))</f>
        <v/>
      </c>
      <c r="O506" s="85">
        <f>IF(OR(Y506="估算法",Y506="算法类",Y506="无法识别"),"",IF(Y506="",IF(OR(J506="ILF",J506="EIF",J506="EI",J506="EO",J506="EQ"),0,""),LEN(Y506)-LEN(SUBSTITUTE(SUBSTITUTE(SUBSTITUTE(SUBSTITUTE(SUBSTITUTE(Y506,"|}","--"),"{|","--"),CHAR(10),""),"、",""),"|",""))+IF(AND(OR(J506="EI",J506="EO",J506="EQ"),$AE$1="NESMA"),2,1)))</f>
        <v/>
      </c>
      <c r="P506" s="86">
        <f>IF(J506="EI",IF(OR(Y506="估算法",Y506="算法类"),"中",IF(Y506="无法识别","低",IF(M506&lt;2,IF(O506&lt;16,"低","中"),IF(M506&lt;3,IF(O506&lt;5,"低",IF(O506&lt;16,"中","高")),IF(O506&lt;5,"中","高"))))),IF(OR(J506="EO",J506="EQ"),IF(OR(Y506="估算法",Y506="算法类"),"中",IF(Y506="无法识别","低",IF(M506&lt;2,IF(O506&lt;20,"低","中"),IF(M506&lt;4,IF(O506&lt;6,"低",IF(O506&lt;20,"中","高")),IF(O506&lt;6,"中","高"))))),IF(OR(J506="ILF",J506="EIF"),IF(OR(Y506="估算法",Y506="算法类",Y506="无法识别"),"低",IF(N506&lt;2,IF(O506&lt;51,"低","中"),IF(N506&lt;6,IF(O506&lt;20,"低",IF(O506&lt;51,"中","高")),IF(O506&lt;20,"中","高")))),"不计算")))</f>
        <v/>
      </c>
      <c r="Q506" s="172">
        <f>IFERROR(IF(J506="EI",IF(P506="低",3,IF(P506="中",4,6)),IF(J506="EO",IF(P506="低",4,IF(P506="中",5,7)),IF(J506="EQ",IF(P506="低",3,IF(P506="中",4,6)),IF(J506="ILF",IF(P506="低",7,IF(P506="中",10,15)),IF(J506="EIF",IF(P506="低",5,IF(P506="中",7,10)),"不计算")))))*R506,"不计算")</f>
        <v/>
      </c>
      <c r="R506" s="172" t="n">
        <v>0.333333333333333</v>
      </c>
      <c r="S506" s="173">
        <f>调整因子!$F$13</f>
        <v/>
      </c>
      <c r="T506" s="93" t="n">
        <v>1</v>
      </c>
      <c r="U506" s="174">
        <f>IFERROR(Q506*S506,0)</f>
        <v/>
      </c>
      <c r="V506" s="174">
        <f>U506*T506</f>
        <v/>
      </c>
      <c r="W506" s="93" t="inlineStr">
        <is>
          <t>用户偏好设置表、主机漏洞详情表</t>
        </is>
      </c>
      <c r="X506" s="98" t="n"/>
      <c r="Y506" s="93" t="inlineStr">
        <is>
          <t>用户偏好设置表{主键 id 、用户 id 、偏好设置名称、偏好设置值、最后更新时间}
主机漏洞详情表{主键id、主机id、漏洞id、漏洞名称、漏洞描述、风险等级、发现时间、状态、修复建议}</t>
        </is>
      </c>
      <c r="Z506" s="90" t="n"/>
      <c r="AA506" s="90" t="n"/>
      <c r="AB506" s="92" t="n"/>
      <c r="AC506" s="66" t="n"/>
    </row>
    <row r="507" customFormat="1" s="66">
      <c r="A507" s="72">
        <f>ROW()-1</f>
        <v/>
      </c>
      <c r="B507" s="175" t="n"/>
      <c r="C507" s="80" t="n">
        <v>2025</v>
      </c>
      <c r="D507" s="80" t="inlineStr">
        <is>
          <t>窦鹏岐</t>
        </is>
      </c>
      <c r="E507" s="81">
        <f>VLOOKUP(I507,'25年交付功能（不含废弃）'!A:A,1,FALSE)</f>
        <v/>
      </c>
      <c r="F507" s="175" t="n"/>
      <c r="G507" s="175" t="n"/>
      <c r="H507" s="175" t="n"/>
      <c r="I507" s="81" t="inlineStr">
        <is>
          <t>用户查看主机漏洞详情</t>
        </is>
      </c>
      <c r="J507" s="93" t="n"/>
      <c r="K507" s="84" t="n"/>
      <c r="L507" s="84" t="inlineStr">
        <is>
          <t>和上行合并，输入输出完全一致，相同查询</t>
        </is>
      </c>
      <c r="M507" s="85">
        <f>IF(OR(Y507="估算法",Y507="算法类",Y507="无法识别"),"",IF(W507="",IF(OR(J507="EI",J507="EO",J507="EQ"),0,""),LEN(W507)-LEN(SUBSTITUTE(W507,"、",""))+1))</f>
        <v/>
      </c>
      <c r="N507" s="85">
        <f>IF(OR(Y507="估算法",Y507="算法类",Y507="无法识别"),"",IF(X507="",IF(OR(J507="ILF",J507="EIF"),0,""),LEN(X507)-LEN(SUBSTITUTE(X507,"、",""))+1))</f>
        <v/>
      </c>
      <c r="O507" s="85">
        <f>IF(OR(Y507="估算法",Y507="算法类",Y507="无法识别"),"",IF(Y507="",IF(OR(J507="ILF",J507="EIF",J507="EI",J507="EO",J507="EQ"),0,""),LEN(Y507)-LEN(SUBSTITUTE(SUBSTITUTE(SUBSTITUTE(SUBSTITUTE(SUBSTITUTE(Y507,"|}","--"),"{|","--"),CHAR(10),""),"、",""),"|",""))+IF(AND(OR(J507="EI",J507="EO",J507="EQ"),$AE$1="NESMA"),2,1)))</f>
        <v/>
      </c>
      <c r="P507" s="86">
        <f>IF(J507="EI",IF(OR(Y507="估算法",Y507="算法类"),"中",IF(Y507="无法识别","低",IF(M507&lt;2,IF(O507&lt;16,"低","中"),IF(M507&lt;3,IF(O507&lt;5,"低",IF(O507&lt;16,"中","高")),IF(O507&lt;5,"中","高"))))),IF(OR(J507="EO",J507="EQ"),IF(OR(Y507="估算法",Y507="算法类"),"中",IF(Y507="无法识别","低",IF(M507&lt;2,IF(O507&lt;20,"低","中"),IF(M507&lt;4,IF(O507&lt;6,"低",IF(O507&lt;20,"中","高")),IF(O507&lt;6,"中","高"))))),IF(OR(J507="ILF",J507="EIF"),IF(OR(Y507="估算法",Y507="算法类",Y507="无法识别"),"低",IF(N507&lt;2,IF(O507&lt;51,"低","中"),IF(N507&lt;6,IF(O507&lt;20,"低",IF(O507&lt;51,"中","高")),IF(O507&lt;20,"中","高")))),"不计算")))</f>
        <v/>
      </c>
      <c r="Q507" s="172">
        <f>IFERROR(IF(J507="EI",IF(P507="低",3,IF(P507="中",4,6)),IF(J507="EO",IF(P507="低",4,IF(P507="中",5,7)),IF(J507="EQ",IF(P507="低",3,IF(P507="中",4,6)),IF(J507="ILF",IF(P507="低",7,IF(P507="中",10,15)),IF(J507="EIF",IF(P507="低",5,IF(P507="中",7,10)),"不计算")))))*R507,"不计算")</f>
        <v/>
      </c>
      <c r="R507" s="172" t="n">
        <v>1</v>
      </c>
      <c r="S507" s="173">
        <f>调整因子!$F$13</f>
        <v/>
      </c>
      <c r="T507" s="92" t="n">
        <v>1</v>
      </c>
      <c r="U507" s="174">
        <f>IFERROR(Q507*S507,0)</f>
        <v/>
      </c>
      <c r="V507" s="174">
        <f>U507*T507</f>
        <v/>
      </c>
      <c r="W507" s="93" t="inlineStr">
        <is>
          <t>用户偏好设置表、主机漏洞详情表</t>
        </is>
      </c>
      <c r="X507" s="98" t="n"/>
      <c r="Y507" s="93" t="inlineStr">
        <is>
          <t>用户偏好设置表{主键 id 、用户 id 、偏好设置名称、偏好设置值、最后更新时间}
主机漏洞详情表{主键id、主机id、漏洞id、漏洞名称、漏洞描述、风险等级、发现时间、状态、修复建议}</t>
        </is>
      </c>
      <c r="Z507" s="90" t="n"/>
      <c r="AA507" s="90" t="n"/>
      <c r="AB507" s="92" t="n"/>
      <c r="AC507" s="66" t="n"/>
    </row>
    <row r="508" customFormat="1" s="66">
      <c r="A508" s="72">
        <f>ROW()-1</f>
        <v/>
      </c>
      <c r="B508" s="175" t="n"/>
      <c r="C508" s="80" t="n">
        <v>2025</v>
      </c>
      <c r="D508" s="80" t="inlineStr">
        <is>
          <t>窦鹏岐</t>
        </is>
      </c>
      <c r="E508" s="81">
        <f>VLOOKUP(I508,'25年交付功能（不含废弃）'!A:A,1,FALSE)</f>
        <v/>
      </c>
      <c r="F508" s="175" t="n"/>
      <c r="G508" s="175" t="n"/>
      <c r="H508" s="175" t="n"/>
      <c r="I508" s="81" t="inlineStr">
        <is>
          <t>用户查看资产属性</t>
        </is>
      </c>
      <c r="J508" s="93" t="inlineStr">
        <is>
          <t>EQ</t>
        </is>
      </c>
      <c r="K508" s="84" t="n"/>
      <c r="L508" s="84" t="n"/>
      <c r="M508" s="85">
        <f>IF(OR(Y508="估算法",Y508="算法类",Y508="无法识别"),"",IF(W508="",IF(OR(J508="EI",J508="EO",J508="EQ"),0,""),LEN(W508)-LEN(SUBSTITUTE(W508,"、",""))+1))</f>
        <v/>
      </c>
      <c r="N508" s="85">
        <f>IF(OR(Y508="估算法",Y508="算法类",Y508="无法识别"),"",IF(X508="",IF(OR(J508="ILF",J508="EIF"),0,""),LEN(X508)-LEN(SUBSTITUTE(X508,"、",""))+1))</f>
        <v/>
      </c>
      <c r="O508" s="85">
        <f>IF(OR(Y508="估算法",Y508="算法类",Y508="无法识别"),"",IF(Y508="",IF(OR(J508="ILF",J508="EIF",J508="EI",J508="EO",J508="EQ"),0,""),LEN(Y508)-LEN(SUBSTITUTE(SUBSTITUTE(SUBSTITUTE(SUBSTITUTE(SUBSTITUTE(Y508,"|}","--"),"{|","--"),CHAR(10),""),"、",""),"|",""))+IF(AND(OR(J508="EI",J508="EO",J508="EQ"),$AE$1="NESMA"),2,1)))</f>
        <v/>
      </c>
      <c r="P508" s="86">
        <f>IF(J508="EI",IF(OR(Y508="估算法",Y508="算法类"),"中",IF(Y508="无法识别","低",IF(M508&lt;2,IF(O508&lt;16,"低","中"),IF(M508&lt;3,IF(O508&lt;5,"低",IF(O508&lt;16,"中","高")),IF(O508&lt;5,"中","高"))))),IF(OR(J508="EO",J508="EQ"),IF(OR(Y508="估算法",Y508="算法类"),"中",IF(Y508="无法识别","低",IF(M508&lt;2,IF(O508&lt;20,"低","中"),IF(M508&lt;4,IF(O508&lt;6,"低",IF(O508&lt;20,"中","高")),IF(O508&lt;6,"中","高"))))),IF(OR(J508="ILF",J508="EIF"),IF(OR(Y508="估算法",Y508="算法类",Y508="无法识别"),"低",IF(N508&lt;2,IF(O508&lt;51,"低","中"),IF(N508&lt;6,IF(O508&lt;20,"低",IF(O508&lt;51,"中","高")),IF(O508&lt;20,"中","高")))),"不计算")))</f>
        <v/>
      </c>
      <c r="Q508" s="172">
        <f>IFERROR(IF(J508="EI",IF(P508="低",3,IF(P508="中",4,6)),IF(J508="EO",IF(P508="低",4,IF(P508="中",5,7)),IF(J508="EQ",IF(P508="低",3,IF(P508="中",4,6)),IF(J508="ILF",IF(P508="低",7,IF(P508="中",10,15)),IF(J508="EIF",IF(P508="低",5,IF(P508="中",7,10)),"不计算")))))*R508,"不计算")</f>
        <v/>
      </c>
      <c r="R508" s="172" t="n">
        <v>1</v>
      </c>
      <c r="S508" s="173">
        <f>调整因子!$F$13</f>
        <v/>
      </c>
      <c r="T508" s="92" t="n">
        <v>1</v>
      </c>
      <c r="U508" s="174">
        <f>IFERROR(Q508*S508,0)</f>
        <v/>
      </c>
      <c r="V508" s="174">
        <f>U508*T508</f>
        <v/>
      </c>
      <c r="W508" s="93" t="inlineStr">
        <is>
          <t>用户偏好设置表、资产属性表</t>
        </is>
      </c>
      <c r="X508" s="98" t="n"/>
      <c r="Y508" s="93" t="inlineStr">
        <is>
          <t>用户偏好设置表{主键 id 、用户 id 、偏好设置名称、偏好设置值、最后更新时间}
资产属性表{主键 id 、资产 id 、资产类型（IP/网站等）、属性名称、属性值、最后更新时间}</t>
        </is>
      </c>
      <c r="Z508" s="90" t="n"/>
      <c r="AA508" s="90" t="n"/>
      <c r="AB508" s="92" t="n"/>
      <c r="AC508" s="66" t="n"/>
    </row>
    <row r="509" customFormat="1" s="66">
      <c r="A509" s="72">
        <f>ROW()-1</f>
        <v/>
      </c>
      <c r="B509" s="175" t="n"/>
      <c r="C509" s="80" t="n">
        <v>2025</v>
      </c>
      <c r="D509" s="80" t="inlineStr">
        <is>
          <t>窦鹏岐</t>
        </is>
      </c>
      <c r="E509" s="81">
        <f>VLOOKUP(I509,'25年交付功能（不含废弃）'!A:A,1,FALSE)</f>
        <v/>
      </c>
      <c r="F509" s="175" t="n"/>
      <c r="G509" s="175" t="n"/>
      <c r="H509" s="175" t="n"/>
      <c r="I509" s="81" t="inlineStr">
        <is>
          <t>资产属性表</t>
        </is>
      </c>
      <c r="J509" s="98" t="inlineStr">
        <is>
          <t>ILF</t>
        </is>
      </c>
      <c r="K509" s="84" t="n"/>
      <c r="L509" s="84" t="inlineStr">
        <is>
          <t>数据库表未被本系统所维护</t>
        </is>
      </c>
      <c r="M509" s="85">
        <f>IF(OR(Y509="估算法",Y509="算法类",Y509="无法识别"),"",IF(W509="",IF(OR(J509="EI",J509="EO",J509="EQ"),0,""),LEN(W509)-LEN(SUBSTITUTE(W509,"、",""))+1))</f>
        <v/>
      </c>
      <c r="N509" s="85">
        <f>IF(OR(Y509="估算法",Y509="算法类",Y509="无法识别"),"",IF(X509="",IF(OR(J509="ILF",J509="EIF"),0,""),LEN(X509)-LEN(SUBSTITUTE(X509,"、",""))+1))</f>
        <v/>
      </c>
      <c r="O509" s="85">
        <f>IF(OR(Y509="估算法",Y509="算法类",Y509="无法识别"),"",IF(Y509="",IF(OR(J509="ILF",J509="EIF",J509="EI",J509="EO",J509="EQ"),0,""),LEN(Y509)-LEN(SUBSTITUTE(SUBSTITUTE(SUBSTITUTE(SUBSTITUTE(SUBSTITUTE(Y509,"|}","--"),"{|","--"),CHAR(10),""),"、",""),"|",""))+IF(AND(OR(J509="EI",J509="EO",J509="EQ"),$AE$1="NESMA"),2,1)))</f>
        <v/>
      </c>
      <c r="P509" s="86">
        <f>IF(J509="EI",IF(OR(Y509="估算法",Y509="算法类"),"中",IF(Y509="无法识别","低",IF(M509&lt;2,IF(O509&lt;16,"低","中"),IF(M509&lt;3,IF(O509&lt;5,"低",IF(O509&lt;16,"中","高")),IF(O509&lt;5,"中","高"))))),IF(OR(J509="EO",J509="EQ"),IF(OR(Y509="估算法",Y509="算法类"),"中",IF(Y509="无法识别","低",IF(M509&lt;2,IF(O509&lt;20,"低","中"),IF(M509&lt;4,IF(O509&lt;6,"低",IF(O509&lt;20,"中","高")),IF(O509&lt;6,"中","高"))))),IF(OR(J509="ILF",J509="EIF"),IF(OR(Y509="估算法",Y509="算法类",Y509="无法识别"),"低",IF(N509&lt;2,IF(O509&lt;51,"低","中"),IF(N509&lt;6,IF(O509&lt;20,"低",IF(O509&lt;51,"中","高")),IF(O509&lt;20,"中","高")))),"不计算")))</f>
        <v/>
      </c>
      <c r="Q509" s="172">
        <f>IFERROR(IF(J509="EI",IF(P509="低",3,IF(P509="中",4,6)),IF(J509="EO",IF(P509="低",4,IF(P509="中",5,7)),IF(J509="EQ",IF(P509="低",3,IF(P509="中",4,6)),IF(J509="ILF",IF(P509="低",7,IF(P509="中",10,15)),IF(J509="EIF",IF(P509="低",5,IF(P509="中",7,10)),"不计算")))))*R509,"不计算")</f>
        <v/>
      </c>
      <c r="R509" s="172" t="n">
        <v>0</v>
      </c>
      <c r="S509" s="173">
        <f>调整因子!$F$13</f>
        <v/>
      </c>
      <c r="T509" s="93" t="n">
        <v>1</v>
      </c>
      <c r="U509" s="174">
        <f>IFERROR(Q509*S509,0)</f>
        <v/>
      </c>
      <c r="V509" s="174">
        <f>U509*T509</f>
        <v/>
      </c>
      <c r="W509" s="98" t="n"/>
      <c r="X509" s="93" t="inlineStr">
        <is>
          <t>资产属性表</t>
        </is>
      </c>
      <c r="Y509" s="93" t="inlineStr">
        <is>
          <t>资产属性表{主键 id 、资产 id 、资产类型（IP/网站等）、属性名称、属性值、最后更新时间}</t>
        </is>
      </c>
      <c r="Z509" s="90">
        <f>IF(COUNTIFS(W:W,"*"&amp;I509&amp;"*")&gt;0,"存在","不存在")</f>
        <v/>
      </c>
      <c r="AA509" s="90">
        <f>IF(COUNTIFS(AB:AB,"*"&amp;I509&amp;"*")&gt;0,"存在","不存在")</f>
        <v/>
      </c>
      <c r="AB509" s="92" t="n"/>
      <c r="AC509" s="66" t="n"/>
    </row>
    <row r="510" customFormat="1" s="66">
      <c r="A510" s="72">
        <f>ROW()-1</f>
        <v/>
      </c>
      <c r="B510" s="175" t="n"/>
      <c r="C510" s="80" t="n">
        <v>2025</v>
      </c>
      <c r="D510" s="80" t="inlineStr">
        <is>
          <t>窦鹏岐</t>
        </is>
      </c>
      <c r="E510" s="81">
        <f>VLOOKUP(I510,'25年交付功能（不含废弃）'!A:A,1,FALSE)</f>
        <v/>
      </c>
      <c r="F510" s="175" t="n"/>
      <c r="G510" s="175" t="n"/>
      <c r="H510" s="175" t="n"/>
      <c r="I510" s="81" t="inlineStr">
        <is>
          <t>用户偏好设置表</t>
        </is>
      </c>
      <c r="J510" s="98" t="inlineStr">
        <is>
          <t>ILF</t>
        </is>
      </c>
      <c r="K510" s="84" t="n"/>
      <c r="L510" s="84" t="inlineStr">
        <is>
          <t>数据库表未被本系统所维护</t>
        </is>
      </c>
      <c r="M510" s="85">
        <f>IF(OR(Y510="估算法",Y510="算法类",Y510="无法识别"),"",IF(W510="",IF(OR(J510="EI",J510="EO",J510="EQ"),0,""),LEN(W510)-LEN(SUBSTITUTE(W510,"、",""))+1))</f>
        <v/>
      </c>
      <c r="N510" s="85">
        <f>IF(OR(Y510="估算法",Y510="算法类",Y510="无法识别"),"",IF(X510="",IF(OR(J510="ILF",J510="EIF"),0,""),LEN(X510)-LEN(SUBSTITUTE(X510,"、",""))+1))</f>
        <v/>
      </c>
      <c r="O510" s="85">
        <f>IF(OR(Y510="估算法",Y510="算法类",Y510="无法识别"),"",IF(Y510="",IF(OR(J510="ILF",J510="EIF",J510="EI",J510="EO",J510="EQ"),0,""),LEN(Y510)-LEN(SUBSTITUTE(SUBSTITUTE(SUBSTITUTE(SUBSTITUTE(SUBSTITUTE(Y510,"|}","--"),"{|","--"),CHAR(10),""),"、",""),"|",""))+IF(AND(OR(J510="EI",J510="EO",J510="EQ"),$AE$1="NESMA"),2,1)))</f>
        <v/>
      </c>
      <c r="P510" s="86">
        <f>IF(J510="EI",IF(OR(Y510="估算法",Y510="算法类"),"中",IF(Y510="无法识别","低",IF(M510&lt;2,IF(O510&lt;16,"低","中"),IF(M510&lt;3,IF(O510&lt;5,"低",IF(O510&lt;16,"中","高")),IF(O510&lt;5,"中","高"))))),IF(OR(J510="EO",J510="EQ"),IF(OR(Y510="估算法",Y510="算法类"),"中",IF(Y510="无法识别","低",IF(M510&lt;2,IF(O510&lt;20,"低","中"),IF(M510&lt;4,IF(O510&lt;6,"低",IF(O510&lt;20,"中","高")),IF(O510&lt;6,"中","高"))))),IF(OR(J510="ILF",J510="EIF"),IF(OR(Y510="估算法",Y510="算法类",Y510="无法识别"),"低",IF(N510&lt;2,IF(O510&lt;51,"低","中"),IF(N510&lt;6,IF(O510&lt;20,"低",IF(O510&lt;51,"中","高")),IF(O510&lt;20,"中","高")))),"不计算")))</f>
        <v/>
      </c>
      <c r="Q510" s="172">
        <f>IFERROR(IF(J510="EI",IF(P510="低",3,IF(P510="中",4,6)),IF(J510="EO",IF(P510="低",4,IF(P510="中",5,7)),IF(J510="EQ",IF(P510="低",3,IF(P510="中",4,6)),IF(J510="ILF",IF(P510="低",7,IF(P510="中",10,15)),IF(J510="EIF",IF(P510="低",5,IF(P510="中",7,10)),"不计算")))))*R510,"不计算")</f>
        <v/>
      </c>
      <c r="R510" s="172" t="n">
        <v>0</v>
      </c>
      <c r="S510" s="173">
        <f>调整因子!$F$13</f>
        <v/>
      </c>
      <c r="T510" s="92" t="n">
        <v>1</v>
      </c>
      <c r="U510" s="174">
        <f>IFERROR(Q510*S510,0)</f>
        <v/>
      </c>
      <c r="V510" s="174">
        <f>U510*T510</f>
        <v/>
      </c>
      <c r="W510" s="98" t="n"/>
      <c r="X510" s="93" t="inlineStr">
        <is>
          <t>用户偏好设置表</t>
        </is>
      </c>
      <c r="Y510" s="93" t="inlineStr">
        <is>
          <t>用户偏好设置表{主键 id 、用户 id 、偏好设置名称、偏好设置值、最后更新时间}</t>
        </is>
      </c>
      <c r="Z510" s="90">
        <f>IF(COUNTIFS(W:W,"*"&amp;I510&amp;"*")&gt;0,"存在","不存在")</f>
        <v/>
      </c>
      <c r="AA510" s="90">
        <f>IF(COUNTIFS(AB:AB,"*"&amp;I510&amp;"*")&gt;0,"存在","不存在")</f>
        <v/>
      </c>
      <c r="AB510" s="92" t="n"/>
      <c r="AC510" s="66" t="n"/>
    </row>
    <row r="511" customFormat="1" s="66">
      <c r="A511" s="72">
        <f>ROW()-1</f>
        <v/>
      </c>
      <c r="B511" s="175" t="n"/>
      <c r="C511" s="80" t="n">
        <v>2025</v>
      </c>
      <c r="D511" s="80" t="inlineStr">
        <is>
          <t>窦鹏岐</t>
        </is>
      </c>
      <c r="E511" s="81">
        <f>VLOOKUP(I511,'25年交付功能（不含废弃）'!A:A,1,FALSE)</f>
        <v/>
      </c>
      <c r="F511" s="175" t="n"/>
      <c r="G511" s="175" t="n"/>
      <c r="H511" s="175" t="n"/>
      <c r="I511" s="81" t="inlineStr">
        <is>
          <t>用户资产表</t>
        </is>
      </c>
      <c r="J511" s="98" t="n"/>
      <c r="K511" s="84" t="n"/>
      <c r="L511" s="84" t="inlineStr">
        <is>
          <t>数据库表未被本系统所使用</t>
        </is>
      </c>
      <c r="M511" s="85">
        <f>IF(OR(Y511="估算法",Y511="算法类",Y511="无法识别"),"",IF(W511="",IF(OR(J511="EI",J511="EO",J511="EQ"),0,""),LEN(W511)-LEN(SUBSTITUTE(W511,"、",""))+1))</f>
        <v/>
      </c>
      <c r="N511" s="85">
        <f>IF(OR(Y511="估算法",Y511="算法类",Y511="无法识别"),"",IF(X511="",IF(OR(J511="ILF",J511="EIF"),0,""),LEN(X511)-LEN(SUBSTITUTE(X511,"、",""))+1))</f>
        <v/>
      </c>
      <c r="O511" s="85">
        <f>IF(OR(Y511="估算法",Y511="算法类",Y511="无法识别"),"",IF(Y511="",IF(OR(J511="ILF",J511="EIF",J511="EI",J511="EO",J511="EQ"),0,""),LEN(Y511)-LEN(SUBSTITUTE(SUBSTITUTE(SUBSTITUTE(SUBSTITUTE(SUBSTITUTE(Y511,"|}","--"),"{|","--"),CHAR(10),""),"、",""),"|",""))+IF(AND(OR(J511="EI",J511="EO",J511="EQ"),$AE$1="NESMA"),2,1)))</f>
        <v/>
      </c>
      <c r="P511" s="86">
        <f>IF(J511="EI",IF(OR(Y511="估算法",Y511="算法类"),"中",IF(Y511="无法识别","低",IF(M511&lt;2,IF(O511&lt;16,"低","中"),IF(M511&lt;3,IF(O511&lt;5,"低",IF(O511&lt;16,"中","高")),IF(O511&lt;5,"中","高"))))),IF(OR(J511="EO",J511="EQ"),IF(OR(Y511="估算法",Y511="算法类"),"中",IF(Y511="无法识别","低",IF(M511&lt;2,IF(O511&lt;20,"低","中"),IF(M511&lt;4,IF(O511&lt;6,"低",IF(O511&lt;20,"中","高")),IF(O511&lt;6,"中","高"))))),IF(OR(J511="ILF",J511="EIF"),IF(OR(Y511="估算法",Y511="算法类",Y511="无法识别"),"低",IF(N511&lt;2,IF(O511&lt;51,"低","中"),IF(N511&lt;6,IF(O511&lt;20,"低",IF(O511&lt;51,"中","高")),IF(O511&lt;20,"中","高")))),"不计算")))</f>
        <v/>
      </c>
      <c r="Q511" s="172">
        <f>IFERROR(IF(J511="EI",IF(P511="低",3,IF(P511="中",4,6)),IF(J511="EO",IF(P511="低",4,IF(P511="中",5,7)),IF(J511="EQ",IF(P511="低",3,IF(P511="中",4,6)),IF(J511="ILF",IF(P511="低",7,IF(P511="中",10,15)),IF(J511="EIF",IF(P511="低",5,IF(P511="中",7,10)),"不计算")))))*R511,"不计算")</f>
        <v/>
      </c>
      <c r="R511" s="172" t="n">
        <v>1</v>
      </c>
      <c r="S511" s="173">
        <f>调整因子!$F$13</f>
        <v/>
      </c>
      <c r="T511" s="92" t="n">
        <v>1</v>
      </c>
      <c r="U511" s="174">
        <f>IFERROR(Q511*S511,0)</f>
        <v/>
      </c>
      <c r="V511" s="174">
        <f>U511*T511</f>
        <v/>
      </c>
      <c r="W511" s="98" t="n"/>
      <c r="X511" s="93" t="inlineStr">
        <is>
          <t>用户资产表</t>
        </is>
      </c>
      <c r="Y511" s="93" t="inlineStr">
        <is>
          <t>用户资产表{主键id、用户id、资产类型（IP/网站等）、资产名称、资产描述、创建时间、最后更新时间}</t>
        </is>
      </c>
      <c r="Z511" s="90">
        <f>IF(COUNTIFS(W:W,"*"&amp;I511&amp;"*")&gt;0,"存在","不存在")</f>
        <v/>
      </c>
      <c r="AA511" s="90">
        <f>IF(COUNTIFS(AB:AB,"*"&amp;I511&amp;"*")&gt;0,"存在","不存在")</f>
        <v/>
      </c>
      <c r="AB511" s="92" t="n"/>
      <c r="AC511" s="66" t="n"/>
    </row>
    <row r="512" customFormat="1" s="66">
      <c r="A512" s="72">
        <f>ROW()-1</f>
        <v/>
      </c>
      <c r="B512" s="175" t="n"/>
      <c r="C512" s="80" t="n">
        <v>2025</v>
      </c>
      <c r="D512" s="80" t="inlineStr">
        <is>
          <t>窦鹏岐</t>
        </is>
      </c>
      <c r="E512" s="81">
        <f>VLOOKUP(I512,'25年交付功能（不含废弃）'!A:A,1,FALSE)</f>
        <v/>
      </c>
      <c r="F512" s="175" t="n"/>
      <c r="G512" s="175" t="n"/>
      <c r="H512" s="175" t="n"/>
      <c r="I512" s="81" t="inlineStr">
        <is>
          <t>IP资产表</t>
        </is>
      </c>
      <c r="J512" s="98" t="inlineStr">
        <is>
          <t>ILF</t>
        </is>
      </c>
      <c r="K512" s="84" t="n"/>
      <c r="L512" s="84" t="inlineStr">
        <is>
          <t>数据库表未被本系统所维护</t>
        </is>
      </c>
      <c r="M512" s="85">
        <f>IF(OR(Y512="估算法",Y512="算法类",Y512="无法识别"),"",IF(W512="",IF(OR(J512="EI",J512="EO",J512="EQ"),0,""),LEN(W512)-LEN(SUBSTITUTE(W512,"、",""))+1))</f>
        <v/>
      </c>
      <c r="N512" s="85">
        <f>IF(OR(Y512="估算法",Y512="算法类",Y512="无法识别"),"",IF(X512="",IF(OR(J512="ILF",J512="EIF"),0,""),LEN(X512)-LEN(SUBSTITUTE(X512,"、",""))+1))</f>
        <v/>
      </c>
      <c r="O512" s="85">
        <f>IF(OR(Y512="估算法",Y512="算法类",Y512="无法识别"),"",IF(Y512="",IF(OR(J512="ILF",J512="EIF",J512="EI",J512="EO",J512="EQ"),0,""),LEN(Y512)-LEN(SUBSTITUTE(SUBSTITUTE(SUBSTITUTE(SUBSTITUTE(SUBSTITUTE(Y512,"|}","--"),"{|","--"),CHAR(10),""),"、",""),"|",""))+IF(AND(OR(J512="EI",J512="EO",J512="EQ"),$AE$1="NESMA"),2,1)))</f>
        <v/>
      </c>
      <c r="P512" s="86">
        <f>IF(J512="EI",IF(OR(Y512="估算法",Y512="算法类"),"中",IF(Y512="无法识别","低",IF(M512&lt;2,IF(O512&lt;16,"低","中"),IF(M512&lt;3,IF(O512&lt;5,"低",IF(O512&lt;16,"中","高")),IF(O512&lt;5,"中","高"))))),IF(OR(J512="EO",J512="EQ"),IF(OR(Y512="估算法",Y512="算法类"),"中",IF(Y512="无法识别","低",IF(M512&lt;2,IF(O512&lt;20,"低","中"),IF(M512&lt;4,IF(O512&lt;6,"低",IF(O512&lt;20,"中","高")),IF(O512&lt;6,"中","高"))))),IF(OR(J512="ILF",J512="EIF"),IF(OR(Y512="估算法",Y512="算法类",Y512="无法识别"),"低",IF(N512&lt;2,IF(O512&lt;51,"低","中"),IF(N512&lt;6,IF(O512&lt;20,"低",IF(O512&lt;51,"中","高")),IF(O512&lt;20,"中","高")))),"不计算")))</f>
        <v/>
      </c>
      <c r="Q512" s="172">
        <f>IFERROR(IF(J512="EI",IF(P512="低",3,IF(P512="中",4,6)),IF(J512="EO",IF(P512="低",4,IF(P512="中",5,7)),IF(J512="EQ",IF(P512="低",3,IF(P512="中",4,6)),IF(J512="ILF",IF(P512="低",7,IF(P512="中",10,15)),IF(J512="EIF",IF(P512="低",5,IF(P512="中",7,10)),"不计算")))))*R512,"不计算")</f>
        <v/>
      </c>
      <c r="R512" s="172" t="n">
        <v>0</v>
      </c>
      <c r="S512" s="173">
        <f>调整因子!$F$13</f>
        <v/>
      </c>
      <c r="T512" s="93" t="n">
        <v>1</v>
      </c>
      <c r="U512" s="174">
        <f>IFERROR(Q512*S512,0)</f>
        <v/>
      </c>
      <c r="V512" s="174">
        <f>U512*T512</f>
        <v/>
      </c>
      <c r="W512" s="98" t="n"/>
      <c r="X512" s="93" t="inlineStr">
        <is>
          <t>IP资产表</t>
        </is>
      </c>
      <c r="Y512" s="93" t="inlineStr">
        <is>
          <t>IP资产表{主键id、用户id、IP地址、资产名称、资产描述、创建时间、最后更新时间}</t>
        </is>
      </c>
      <c r="Z512" s="90">
        <f>IF(COUNTIFS(W:W,"*"&amp;I512&amp;"*")&gt;0,"存在","不存在")</f>
        <v/>
      </c>
      <c r="AA512" s="90">
        <f>IF(COUNTIFS(AB:AB,"*"&amp;I512&amp;"*")&gt;0,"存在","不存在")</f>
        <v/>
      </c>
      <c r="AB512" s="92" t="n"/>
      <c r="AC512" s="66" t="n"/>
    </row>
    <row r="513" customFormat="1" s="66">
      <c r="A513" s="72">
        <f>ROW()-1</f>
        <v/>
      </c>
      <c r="B513" s="175" t="n"/>
      <c r="C513" s="80" t="n">
        <v>2025</v>
      </c>
      <c r="D513" s="80" t="inlineStr">
        <is>
          <t>窦鹏岐</t>
        </is>
      </c>
      <c r="E513" s="81">
        <f>VLOOKUP(I513,'25年交付功能（不含废弃）'!A:A,1,FALSE)</f>
        <v/>
      </c>
      <c r="F513" s="175" t="n"/>
      <c r="G513" s="175" t="n"/>
      <c r="H513" s="175" t="n"/>
      <c r="I513" s="81" t="inlineStr">
        <is>
          <t>网站资产表</t>
        </is>
      </c>
      <c r="J513" s="98" t="inlineStr">
        <is>
          <t>ILF</t>
        </is>
      </c>
      <c r="K513" s="84" t="n"/>
      <c r="L513" s="84" t="inlineStr">
        <is>
          <t>数据库表未被本系统所维护</t>
        </is>
      </c>
      <c r="M513" s="85">
        <f>IF(OR(Y513="估算法",Y513="算法类",Y513="无法识别"),"",IF(W513="",IF(OR(J513="EI",J513="EO",J513="EQ"),0,""),LEN(W513)-LEN(SUBSTITUTE(W513,"、",""))+1))</f>
        <v/>
      </c>
      <c r="N513" s="85">
        <f>IF(OR(Y513="估算法",Y513="算法类",Y513="无法识别"),"",IF(X513="",IF(OR(J513="ILF",J513="EIF"),0,""),LEN(X513)-LEN(SUBSTITUTE(X513,"、",""))+1))</f>
        <v/>
      </c>
      <c r="O513" s="85">
        <f>IF(OR(Y513="估算法",Y513="算法类",Y513="无法识别"),"",IF(Y513="",IF(OR(J513="ILF",J513="EIF",J513="EI",J513="EO",J513="EQ"),0,""),LEN(Y513)-LEN(SUBSTITUTE(SUBSTITUTE(SUBSTITUTE(SUBSTITUTE(SUBSTITUTE(Y513,"|}","--"),"{|","--"),CHAR(10),""),"、",""),"|",""))+IF(AND(OR(J513="EI",J513="EO",J513="EQ"),$AE$1="NESMA"),2,1)))</f>
        <v/>
      </c>
      <c r="P513" s="86">
        <f>IF(J513="EI",IF(OR(Y513="估算法",Y513="算法类"),"中",IF(Y513="无法识别","低",IF(M513&lt;2,IF(O513&lt;16,"低","中"),IF(M513&lt;3,IF(O513&lt;5,"低",IF(O513&lt;16,"中","高")),IF(O513&lt;5,"中","高"))))),IF(OR(J513="EO",J513="EQ"),IF(OR(Y513="估算法",Y513="算法类"),"中",IF(Y513="无法识别","低",IF(M513&lt;2,IF(O513&lt;20,"低","中"),IF(M513&lt;4,IF(O513&lt;6,"低",IF(O513&lt;20,"中","高")),IF(O513&lt;6,"中","高"))))),IF(OR(J513="ILF",J513="EIF"),IF(OR(Y513="估算法",Y513="算法类",Y513="无法识别"),"低",IF(N513&lt;2,IF(O513&lt;51,"低","中"),IF(N513&lt;6,IF(O513&lt;20,"低",IF(O513&lt;51,"中","高")),IF(O513&lt;20,"中","高")))),"不计算")))</f>
        <v/>
      </c>
      <c r="Q513" s="172">
        <f>IFERROR(IF(J513="EI",IF(P513="低",3,IF(P513="中",4,6)),IF(J513="EO",IF(P513="低",4,IF(P513="中",5,7)),IF(J513="EQ",IF(P513="低",3,IF(P513="中",4,6)),IF(J513="ILF",IF(P513="低",7,IF(P513="中",10,15)),IF(J513="EIF",IF(P513="低",5,IF(P513="中",7,10)),"不计算")))))*R513,"不计算")</f>
        <v/>
      </c>
      <c r="R513" s="172" t="n">
        <v>0</v>
      </c>
      <c r="S513" s="173">
        <f>调整因子!$F$13</f>
        <v/>
      </c>
      <c r="T513" s="92" t="n">
        <v>1</v>
      </c>
      <c r="U513" s="174">
        <f>IFERROR(Q513*S513,0)</f>
        <v/>
      </c>
      <c r="V513" s="174">
        <f>U513*T513</f>
        <v/>
      </c>
      <c r="W513" s="98" t="n"/>
      <c r="X513" s="93" t="inlineStr">
        <is>
          <t>网站资产表</t>
        </is>
      </c>
      <c r="Y513" s="93" t="inlineStr">
        <is>
          <t>网站资产表{主键id、用户id、网站域名、资产名称、资产描述、创建时间、最后更新时间}</t>
        </is>
      </c>
      <c r="Z513" s="90">
        <f>IF(COUNTIFS(W:W,"*"&amp;I513&amp;"*")&gt;0,"存在","不存在")</f>
        <v/>
      </c>
      <c r="AA513" s="90">
        <f>IF(COUNTIFS(AB:AB,"*"&amp;I513&amp;"*")&gt;0,"存在","不存在")</f>
        <v/>
      </c>
      <c r="AB513" s="92" t="n"/>
      <c r="AC513" s="66" t="n"/>
    </row>
    <row r="514" customFormat="1" s="66">
      <c r="A514" s="72">
        <f>ROW()-1</f>
        <v/>
      </c>
      <c r="B514" s="175" t="n"/>
      <c r="C514" s="80" t="n">
        <v>2025</v>
      </c>
      <c r="D514" s="80" t="inlineStr">
        <is>
          <t>窦鹏岐</t>
        </is>
      </c>
      <c r="E514" s="81">
        <f>VLOOKUP(I514,'25年交付功能（不含废弃）'!A:A,1,FALSE)</f>
        <v/>
      </c>
      <c r="F514" s="175" t="n"/>
      <c r="G514" s="175" t="n"/>
      <c r="H514" s="175" t="n"/>
      <c r="I514" s="81" t="inlineStr">
        <is>
          <t>开放端口表</t>
        </is>
      </c>
      <c r="J514" s="98" t="inlineStr">
        <is>
          <t>ILF</t>
        </is>
      </c>
      <c r="K514" s="84" t="n"/>
      <c r="L514" s="84" t="inlineStr">
        <is>
          <t>数据库表未被本系统所维护</t>
        </is>
      </c>
      <c r="M514" s="85">
        <f>IF(OR(Y514="估算法",Y514="算法类",Y514="无法识别"),"",IF(W514="",IF(OR(J514="EI",J514="EO",J514="EQ"),0,""),LEN(W514)-LEN(SUBSTITUTE(W514,"、",""))+1))</f>
        <v/>
      </c>
      <c r="N514" s="85">
        <f>IF(OR(Y514="估算法",Y514="算法类",Y514="无法识别"),"",IF(X514="",IF(OR(J514="ILF",J514="EIF"),0,""),LEN(X514)-LEN(SUBSTITUTE(X514,"、",""))+1))</f>
        <v/>
      </c>
      <c r="O514" s="85">
        <f>IF(OR(Y514="估算法",Y514="算法类",Y514="无法识别"),"",IF(Y514="",IF(OR(J514="ILF",J514="EIF",J514="EI",J514="EO",J514="EQ"),0,""),LEN(Y514)-LEN(SUBSTITUTE(SUBSTITUTE(SUBSTITUTE(SUBSTITUTE(SUBSTITUTE(Y514,"|}","--"),"{|","--"),CHAR(10),""),"、",""),"|",""))+IF(AND(OR(J514="EI",J514="EO",J514="EQ"),$AE$1="NESMA"),2,1)))</f>
        <v/>
      </c>
      <c r="P514" s="86">
        <f>IF(J514="EI",IF(OR(Y514="估算法",Y514="算法类"),"中",IF(Y514="无法识别","低",IF(M514&lt;2,IF(O514&lt;16,"低","中"),IF(M514&lt;3,IF(O514&lt;5,"低",IF(O514&lt;16,"中","高")),IF(O514&lt;5,"中","高"))))),IF(OR(J514="EO",J514="EQ"),IF(OR(Y514="估算法",Y514="算法类"),"中",IF(Y514="无法识别","低",IF(M514&lt;2,IF(O514&lt;20,"低","中"),IF(M514&lt;4,IF(O514&lt;6,"低",IF(O514&lt;20,"中","高")),IF(O514&lt;6,"中","高"))))),IF(OR(J514="ILF",J514="EIF"),IF(OR(Y514="估算法",Y514="算法类",Y514="无法识别"),"低",IF(N514&lt;2,IF(O514&lt;51,"低","中"),IF(N514&lt;6,IF(O514&lt;20,"低",IF(O514&lt;51,"中","高")),IF(O514&lt;20,"中","高")))),"不计算")))</f>
        <v/>
      </c>
      <c r="Q514" s="172">
        <f>IFERROR(IF(J514="EI",IF(P514="低",3,IF(P514="中",4,6)),IF(J514="EO",IF(P514="低",4,IF(P514="中",5,7)),IF(J514="EQ",IF(P514="低",3,IF(P514="中",4,6)),IF(J514="ILF",IF(P514="低",7,IF(P514="中",10,15)),IF(J514="EIF",IF(P514="低",5,IF(P514="中",7,10)),"不计算")))))*R514,"不计算")</f>
        <v/>
      </c>
      <c r="R514" s="172" t="n">
        <v>0</v>
      </c>
      <c r="S514" s="173">
        <f>调整因子!$F$13</f>
        <v/>
      </c>
      <c r="T514" s="92" t="n">
        <v>1</v>
      </c>
      <c r="U514" s="174">
        <f>IFERROR(Q514*S514,0)</f>
        <v/>
      </c>
      <c r="V514" s="174">
        <f>U514*T514</f>
        <v/>
      </c>
      <c r="W514" s="98" t="n"/>
      <c r="X514" s="93" t="inlineStr">
        <is>
          <t>开放端口表</t>
        </is>
      </c>
      <c r="Y514" s="93" t="inlineStr">
        <is>
          <t>开放端口表{主键id、资产id、端口号、协议、服务名称、状态、创建时间}</t>
        </is>
      </c>
      <c r="Z514" s="90">
        <f>IF(COUNTIFS(W:W,"*"&amp;I514&amp;"*")&gt;0,"存在","不存在")</f>
        <v/>
      </c>
      <c r="AA514" s="90">
        <f>IF(COUNTIFS(AB:AB,"*"&amp;I514&amp;"*")&gt;0,"存在","不存在")</f>
        <v/>
      </c>
      <c r="AB514" s="92" t="n"/>
      <c r="AC514" s="66" t="n"/>
    </row>
    <row r="515" customFormat="1" s="66">
      <c r="A515" s="72">
        <f>ROW()-1</f>
        <v/>
      </c>
      <c r="B515" s="175" t="n"/>
      <c r="C515" s="80" t="n">
        <v>2025</v>
      </c>
      <c r="D515" s="80" t="inlineStr">
        <is>
          <t>窦鹏岐</t>
        </is>
      </c>
      <c r="E515" s="81">
        <f>VLOOKUP(I515,'25年交付功能（不含废弃）'!A:A,1,FALSE)</f>
        <v/>
      </c>
      <c r="F515" s="175" t="n"/>
      <c r="G515" s="175" t="n"/>
      <c r="H515" s="175" t="n"/>
      <c r="I515" s="81" t="inlineStr">
        <is>
          <t>漏洞端口表</t>
        </is>
      </c>
      <c r="J515" s="98" t="inlineStr">
        <is>
          <t>ILF</t>
        </is>
      </c>
      <c r="K515" s="84" t="n"/>
      <c r="L515" s="84" t="inlineStr">
        <is>
          <t>数据库表未被本系统所维护</t>
        </is>
      </c>
      <c r="M515" s="85">
        <f>IF(OR(Y515="估算法",Y515="算法类",Y515="无法识别"),"",IF(W515="",IF(OR(J515="EI",J515="EO",J515="EQ"),0,""),LEN(W515)-LEN(SUBSTITUTE(W515,"、",""))+1))</f>
        <v/>
      </c>
      <c r="N515" s="85">
        <f>IF(OR(Y515="估算法",Y515="算法类",Y515="无法识别"),"",IF(X515="",IF(OR(J515="ILF",J515="EIF"),0,""),LEN(X515)-LEN(SUBSTITUTE(X515,"、",""))+1))</f>
        <v/>
      </c>
      <c r="O515" s="85">
        <f>IF(OR(Y515="估算法",Y515="算法类",Y515="无法识别"),"",IF(Y515="",IF(OR(J515="ILF",J515="EIF",J515="EI",J515="EO",J515="EQ"),0,""),LEN(Y515)-LEN(SUBSTITUTE(SUBSTITUTE(SUBSTITUTE(SUBSTITUTE(SUBSTITUTE(Y515,"|}","--"),"{|","--"),CHAR(10),""),"、",""),"|",""))+IF(AND(OR(J515="EI",J515="EO",J515="EQ"),$AE$1="NESMA"),2,1)))</f>
        <v/>
      </c>
      <c r="P515" s="86">
        <f>IF(J515="EI",IF(OR(Y515="估算法",Y515="算法类"),"中",IF(Y515="无法识别","低",IF(M515&lt;2,IF(O515&lt;16,"低","中"),IF(M515&lt;3,IF(O515&lt;5,"低",IF(O515&lt;16,"中","高")),IF(O515&lt;5,"中","高"))))),IF(OR(J515="EO",J515="EQ"),IF(OR(Y515="估算法",Y515="算法类"),"中",IF(Y515="无法识别","低",IF(M515&lt;2,IF(O515&lt;20,"低","中"),IF(M515&lt;4,IF(O515&lt;6,"低",IF(O515&lt;20,"中","高")),IF(O515&lt;6,"中","高"))))),IF(OR(J515="ILF",J515="EIF"),IF(OR(Y515="估算法",Y515="算法类",Y515="无法识别"),"低",IF(N515&lt;2,IF(O515&lt;51,"低","中"),IF(N515&lt;6,IF(O515&lt;20,"低",IF(O515&lt;51,"中","高")),IF(O515&lt;20,"中","高")))),"不计算")))</f>
        <v/>
      </c>
      <c r="Q515" s="172">
        <f>IFERROR(IF(J515="EI",IF(P515="低",3,IF(P515="中",4,6)),IF(J515="EO",IF(P515="低",4,IF(P515="中",5,7)),IF(J515="EQ",IF(P515="低",3,IF(P515="中",4,6)),IF(J515="ILF",IF(P515="低",7,IF(P515="中",10,15)),IF(J515="EIF",IF(P515="低",5,IF(P515="中",7,10)),"不计算")))))*R515,"不计算")</f>
        <v/>
      </c>
      <c r="R515" s="172" t="n">
        <v>0</v>
      </c>
      <c r="S515" s="173">
        <f>调整因子!$F$13</f>
        <v/>
      </c>
      <c r="T515" s="93" t="n">
        <v>1</v>
      </c>
      <c r="U515" s="174">
        <f>IFERROR(Q515*S515,0)</f>
        <v/>
      </c>
      <c r="V515" s="174">
        <f>U515*T515</f>
        <v/>
      </c>
      <c r="W515" s="98" t="n"/>
      <c r="X515" s="93" t="inlineStr">
        <is>
          <t>漏洞端口表</t>
        </is>
      </c>
      <c r="Y515" s="93" t="inlineStr">
        <is>
          <t>漏洞端口表{主键id、资产id、端口号、协议、服务名称、漏洞描述、风险等级、创建时间}</t>
        </is>
      </c>
      <c r="Z515" s="90">
        <f>IF(COUNTIFS(W:W,"*"&amp;I515&amp;"*")&gt;0,"存在","不存在")</f>
        <v/>
      </c>
      <c r="AA515" s="90">
        <f>IF(COUNTIFS(AB:AB,"*"&amp;I515&amp;"*")&gt;0,"存在","不存在")</f>
        <v/>
      </c>
      <c r="AB515" s="92" t="n"/>
      <c r="AC515" s="66" t="n"/>
    </row>
    <row r="516" customFormat="1" s="66">
      <c r="A516" s="72">
        <f>ROW()-1</f>
        <v/>
      </c>
      <c r="B516" s="175" t="n"/>
      <c r="C516" s="80" t="n">
        <v>2025</v>
      </c>
      <c r="D516" s="80" t="inlineStr">
        <is>
          <t>窦鹏岐</t>
        </is>
      </c>
      <c r="E516" s="81">
        <f>VLOOKUP(I516,'25年交付功能（不含废弃）'!A:A,1,FALSE)</f>
        <v/>
      </c>
      <c r="F516" s="175" t="n"/>
      <c r="G516" s="175" t="n"/>
      <c r="H516" s="175" t="n"/>
      <c r="I516" s="81" t="inlineStr">
        <is>
          <t>节点风险等级表</t>
        </is>
      </c>
      <c r="J516" s="98" t="inlineStr">
        <is>
          <t>ILF</t>
        </is>
      </c>
      <c r="K516" s="84" t="n"/>
      <c r="L516" s="84" t="inlineStr">
        <is>
          <t>数据库表未被本系统所维护</t>
        </is>
      </c>
      <c r="M516" s="85">
        <f>IF(OR(Y516="估算法",Y516="算法类",Y516="无法识别"),"",IF(W516="",IF(OR(J516="EI",J516="EO",J516="EQ"),0,""),LEN(W516)-LEN(SUBSTITUTE(W516,"、",""))+1))</f>
        <v/>
      </c>
      <c r="N516" s="85">
        <f>IF(OR(Y516="估算法",Y516="算法类",Y516="无法识别"),"",IF(X516="",IF(OR(J516="ILF",J516="EIF"),0,""),LEN(X516)-LEN(SUBSTITUTE(X516,"、",""))+1))</f>
        <v/>
      </c>
      <c r="O516" s="85">
        <f>IF(OR(Y516="估算法",Y516="算法类",Y516="无法识别"),"",IF(Y516="",IF(OR(J516="ILF",J516="EIF",J516="EI",J516="EO",J516="EQ"),0,""),LEN(Y516)-LEN(SUBSTITUTE(SUBSTITUTE(SUBSTITUTE(SUBSTITUTE(SUBSTITUTE(Y516,"|}","--"),"{|","--"),CHAR(10),""),"、",""),"|",""))+IF(AND(OR(J516="EI",J516="EO",J516="EQ"),$AE$1="NESMA"),2,1)))</f>
        <v/>
      </c>
      <c r="P516" s="86">
        <f>IF(J516="EI",IF(OR(Y516="估算法",Y516="算法类"),"中",IF(Y516="无法识别","低",IF(M516&lt;2,IF(O516&lt;16,"低","中"),IF(M516&lt;3,IF(O516&lt;5,"低",IF(O516&lt;16,"中","高")),IF(O516&lt;5,"中","高"))))),IF(OR(J516="EO",J516="EQ"),IF(OR(Y516="估算法",Y516="算法类"),"中",IF(Y516="无法识别","低",IF(M516&lt;2,IF(O516&lt;20,"低","中"),IF(M516&lt;4,IF(O516&lt;6,"低",IF(O516&lt;20,"中","高")),IF(O516&lt;6,"中","高"))))),IF(OR(J516="ILF",J516="EIF"),IF(OR(Y516="估算法",Y516="算法类",Y516="无法识别"),"低",IF(N516&lt;2,IF(O516&lt;51,"低","中"),IF(N516&lt;6,IF(O516&lt;20,"低",IF(O516&lt;51,"中","高")),IF(O516&lt;20,"中","高")))),"不计算")))</f>
        <v/>
      </c>
      <c r="Q516" s="172">
        <f>IFERROR(IF(J516="EI",IF(P516="低",3,IF(P516="中",4,6)),IF(J516="EO",IF(P516="低",4,IF(P516="中",5,7)),IF(J516="EQ",IF(P516="低",3,IF(P516="中",4,6)),IF(J516="ILF",IF(P516="低",7,IF(P516="中",10,15)),IF(J516="EIF",IF(P516="低",5,IF(P516="中",7,10)),"不计算")))))*R516,"不计算")</f>
        <v/>
      </c>
      <c r="R516" s="172" t="n">
        <v>0</v>
      </c>
      <c r="S516" s="173">
        <f>调整因子!$F$13</f>
        <v/>
      </c>
      <c r="T516" s="92" t="n">
        <v>1</v>
      </c>
      <c r="U516" s="174">
        <f>IFERROR(Q516*S516,0)</f>
        <v/>
      </c>
      <c r="V516" s="174">
        <f>U516*T516</f>
        <v/>
      </c>
      <c r="W516" s="98" t="n"/>
      <c r="X516" s="93" t="inlineStr">
        <is>
          <t>节点风险等级表</t>
        </is>
      </c>
      <c r="Y516" s="93" t="inlineStr">
        <is>
          <t>节点风险等级表{主键id、节点id、风险等级、评估时间、评估描述}</t>
        </is>
      </c>
      <c r="Z516" s="90">
        <f>IF(COUNTIFS(W:W,"*"&amp;I516&amp;"*")&gt;0,"存在","不存在")</f>
        <v/>
      </c>
      <c r="AA516" s="90">
        <f>IF(COUNTIFS(AB:AB,"*"&amp;I516&amp;"*")&gt;0,"存在","不存在")</f>
        <v/>
      </c>
      <c r="AB516" s="92" t="n"/>
      <c r="AC516" s="66" t="n"/>
    </row>
    <row r="517" customFormat="1" s="66">
      <c r="A517" s="72">
        <f>ROW()-1</f>
        <v/>
      </c>
      <c r="B517" s="175" t="n"/>
      <c r="C517" s="80" t="n">
        <v>2025</v>
      </c>
      <c r="D517" s="80" t="inlineStr">
        <is>
          <t>窦鹏岐</t>
        </is>
      </c>
      <c r="E517" s="81">
        <f>VLOOKUP(I517,'25年交付功能（不含废弃）'!A:A,1,FALSE)</f>
        <v/>
      </c>
      <c r="F517" s="175" t="n"/>
      <c r="G517" s="175" t="n"/>
      <c r="H517" s="175" t="n"/>
      <c r="I517" s="81" t="inlineStr">
        <is>
          <t>主机风险评估表</t>
        </is>
      </c>
      <c r="J517" s="98" t="inlineStr">
        <is>
          <t>ILF</t>
        </is>
      </c>
      <c r="K517" s="84" t="n"/>
      <c r="L517" s="84" t="inlineStr">
        <is>
          <t>数据库表未被本系统所维护</t>
        </is>
      </c>
      <c r="M517" s="85">
        <f>IF(OR(Y517="估算法",Y517="算法类",Y517="无法识别"),"",IF(W517="",IF(OR(J517="EI",J517="EO",J517="EQ"),0,""),LEN(W517)-LEN(SUBSTITUTE(W517,"、",""))+1))</f>
        <v/>
      </c>
      <c r="N517" s="85">
        <f>IF(OR(Y517="估算法",Y517="算法类",Y517="无法识别"),"",IF(X517="",IF(OR(J517="ILF",J517="EIF"),0,""),LEN(X517)-LEN(SUBSTITUTE(X517,"、",""))+1))</f>
        <v/>
      </c>
      <c r="O517" s="85">
        <f>IF(OR(Y517="估算法",Y517="算法类",Y517="无法识别"),"",IF(Y517="",IF(OR(J517="ILF",J517="EIF",J517="EI",J517="EO",J517="EQ"),0,""),LEN(Y517)-LEN(SUBSTITUTE(SUBSTITUTE(SUBSTITUTE(SUBSTITUTE(SUBSTITUTE(Y517,"|}","--"),"{|","--"),CHAR(10),""),"、",""),"|",""))+IF(AND(OR(J517="EI",J517="EO",J517="EQ"),$AE$1="NESMA"),2,1)))</f>
        <v/>
      </c>
      <c r="P517" s="86">
        <f>IF(J517="EI",IF(OR(Y517="估算法",Y517="算法类"),"中",IF(Y517="无法识别","低",IF(M517&lt;2,IF(O517&lt;16,"低","中"),IF(M517&lt;3,IF(O517&lt;5,"低",IF(O517&lt;16,"中","高")),IF(O517&lt;5,"中","高"))))),IF(OR(J517="EO",J517="EQ"),IF(OR(Y517="估算法",Y517="算法类"),"中",IF(Y517="无法识别","低",IF(M517&lt;2,IF(O517&lt;20,"低","中"),IF(M517&lt;4,IF(O517&lt;6,"低",IF(O517&lt;20,"中","高")),IF(O517&lt;6,"中","高"))))),IF(OR(J517="ILF",J517="EIF"),IF(OR(Y517="估算法",Y517="算法类",Y517="无法识别"),"低",IF(N517&lt;2,IF(O517&lt;51,"低","中"),IF(N517&lt;6,IF(O517&lt;20,"低",IF(O517&lt;51,"中","高")),IF(O517&lt;20,"中","高")))),"不计算")))</f>
        <v/>
      </c>
      <c r="Q517" s="172">
        <f>IFERROR(IF(J517="EI",IF(P517="低",3,IF(P517="中",4,6)),IF(J517="EO",IF(P517="低",4,IF(P517="中",5,7)),IF(J517="EQ",IF(P517="低",3,IF(P517="中",4,6)),IF(J517="ILF",IF(P517="低",7,IF(P517="中",10,15)),IF(J517="EIF",IF(P517="低",5,IF(P517="中",7,10)),"不计算")))))*R517,"不计算")</f>
        <v/>
      </c>
      <c r="R517" s="172" t="n">
        <v>0</v>
      </c>
      <c r="S517" s="173">
        <f>调整因子!$F$13</f>
        <v/>
      </c>
      <c r="T517" s="92" t="n">
        <v>1</v>
      </c>
      <c r="U517" s="174">
        <f>IFERROR(Q517*S517,0)</f>
        <v/>
      </c>
      <c r="V517" s="174">
        <f>U517*T517</f>
        <v/>
      </c>
      <c r="W517" s="98" t="n"/>
      <c r="X517" s="93" t="inlineStr">
        <is>
          <t>主机风险评估表</t>
        </is>
      </c>
      <c r="Y517" s="93" t="inlineStr">
        <is>
          <t>主机风险评估表{主键id、主机id、风险等级、评估时间、评估描述}</t>
        </is>
      </c>
      <c r="Z517" s="90">
        <f>IF(COUNTIFS(W:W,"*"&amp;I517&amp;"*")&gt;0,"存在","不存在")</f>
        <v/>
      </c>
      <c r="AA517" s="90">
        <f>IF(COUNTIFS(AB:AB,"*"&amp;I517&amp;"*")&gt;0,"存在","不存在")</f>
        <v/>
      </c>
      <c r="AB517" s="92" t="n"/>
      <c r="AC517" s="66" t="n"/>
    </row>
    <row r="518" customFormat="1" s="66">
      <c r="A518" s="72">
        <f>ROW()-1</f>
        <v/>
      </c>
      <c r="B518" s="175" t="n"/>
      <c r="C518" s="80" t="n">
        <v>2025</v>
      </c>
      <c r="D518" s="80" t="inlineStr">
        <is>
          <t>窦鹏岐</t>
        </is>
      </c>
      <c r="E518" s="81">
        <f>VLOOKUP(I518,'25年交付功能（不含废弃）'!A:A,1,FALSE)</f>
        <v/>
      </c>
      <c r="F518" s="175" t="n"/>
      <c r="G518" s="175" t="n"/>
      <c r="H518" s="175" t="n"/>
      <c r="I518" s="81" t="inlineStr">
        <is>
          <t>主机漏洞表</t>
        </is>
      </c>
      <c r="J518" s="98" t="inlineStr">
        <is>
          <t>ILF</t>
        </is>
      </c>
      <c r="K518" s="84" t="n"/>
      <c r="L518" s="84" t="inlineStr">
        <is>
          <t>数据库表未被本系统所维护</t>
        </is>
      </c>
      <c r="M518" s="85">
        <f>IF(OR(Y518="估算法",Y518="算法类",Y518="无法识别"),"",IF(W518="",IF(OR(J518="EI",J518="EO",J518="EQ"),0,""),LEN(W518)-LEN(SUBSTITUTE(W518,"、",""))+1))</f>
        <v/>
      </c>
      <c r="N518" s="85">
        <f>IF(OR(Y518="估算法",Y518="算法类",Y518="无法识别"),"",IF(X518="",IF(OR(J518="ILF",J518="EIF"),0,""),LEN(X518)-LEN(SUBSTITUTE(X518,"、",""))+1))</f>
        <v/>
      </c>
      <c r="O518" s="85">
        <f>IF(OR(Y518="估算法",Y518="算法类",Y518="无法识别"),"",IF(Y518="",IF(OR(J518="ILF",J518="EIF",J518="EI",J518="EO",J518="EQ"),0,""),LEN(Y518)-LEN(SUBSTITUTE(SUBSTITUTE(SUBSTITUTE(SUBSTITUTE(SUBSTITUTE(Y518,"|}","--"),"{|","--"),CHAR(10),""),"、",""),"|",""))+IF(AND(OR(J518="EI",J518="EO",J518="EQ"),$AE$1="NESMA"),2,1)))</f>
        <v/>
      </c>
      <c r="P518" s="86">
        <f>IF(J518="EI",IF(OR(Y518="估算法",Y518="算法类"),"中",IF(Y518="无法识别","低",IF(M518&lt;2,IF(O518&lt;16,"低","中"),IF(M518&lt;3,IF(O518&lt;5,"低",IF(O518&lt;16,"中","高")),IF(O518&lt;5,"中","高"))))),IF(OR(J518="EO",J518="EQ"),IF(OR(Y518="估算法",Y518="算法类"),"中",IF(Y518="无法识别","低",IF(M518&lt;2,IF(O518&lt;20,"低","中"),IF(M518&lt;4,IF(O518&lt;6,"低",IF(O518&lt;20,"中","高")),IF(O518&lt;6,"中","高"))))),IF(OR(J518="ILF",J518="EIF"),IF(OR(Y518="估算法",Y518="算法类",Y518="无法识别"),"低",IF(N518&lt;2,IF(O518&lt;51,"低","中"),IF(N518&lt;6,IF(O518&lt;20,"低",IF(O518&lt;51,"中","高")),IF(O518&lt;20,"中","高")))),"不计算")))</f>
        <v/>
      </c>
      <c r="Q518" s="172">
        <f>IFERROR(IF(J518="EI",IF(P518="低",3,IF(P518="中",4,6)),IF(J518="EO",IF(P518="低",4,IF(P518="中",5,7)),IF(J518="EQ",IF(P518="低",3,IF(P518="中",4,6)),IF(J518="ILF",IF(P518="低",7,IF(P518="中",10,15)),IF(J518="EIF",IF(P518="低",5,IF(P518="中",7,10)),"不计算")))))*R518,"不计算")</f>
        <v/>
      </c>
      <c r="R518" s="172" t="n">
        <v>0</v>
      </c>
      <c r="S518" s="173">
        <f>调整因子!$F$13</f>
        <v/>
      </c>
      <c r="T518" s="93" t="n">
        <v>1</v>
      </c>
      <c r="U518" s="174">
        <f>IFERROR(Q518*S518,0)</f>
        <v/>
      </c>
      <c r="V518" s="174">
        <f>U518*T518</f>
        <v/>
      </c>
      <c r="W518" s="98" t="n"/>
      <c r="X518" s="93" t="inlineStr">
        <is>
          <t>主机漏洞表</t>
        </is>
      </c>
      <c r="Y518" s="93" t="inlineStr">
        <is>
          <t>主机漏洞表{主机漏洞表{主键id、主机id、漏洞名称、漏洞描述、风险等级、发现时间、状态}}</t>
        </is>
      </c>
      <c r="Z518" s="90">
        <f>IF(COUNTIFS(W:W,"*"&amp;I518&amp;"*")&gt;0,"存在","不存在")</f>
        <v/>
      </c>
      <c r="AA518" s="90">
        <f>IF(COUNTIFS(AB:AB,"*"&amp;I518&amp;"*")&gt;0,"存在","不存在")</f>
        <v/>
      </c>
      <c r="AB518" s="92" t="n"/>
      <c r="AC518" s="66" t="n"/>
    </row>
    <row r="519" customFormat="1" s="66">
      <c r="A519" s="72">
        <f>ROW()-1</f>
        <v/>
      </c>
      <c r="B519" s="175" t="n"/>
      <c r="C519" s="80" t="n">
        <v>2025</v>
      </c>
      <c r="D519" s="80" t="inlineStr">
        <is>
          <t>窦鹏岐</t>
        </is>
      </c>
      <c r="E519" s="81">
        <f>VLOOKUP(I519,'25年交付功能（不含废弃）'!A:A,1,FALSE)</f>
        <v/>
      </c>
      <c r="F519" s="175" t="n"/>
      <c r="G519" s="175" t="n"/>
      <c r="H519" s="175" t="n"/>
      <c r="I519" s="81" t="inlineStr">
        <is>
          <t>漏洞分类统计表</t>
        </is>
      </c>
      <c r="J519" s="98" t="n"/>
      <c r="K519" s="84" t="n"/>
      <c r="L519" s="84" t="inlineStr">
        <is>
          <t>数据库表未被本系统所使用</t>
        </is>
      </c>
      <c r="M519" s="85">
        <f>IF(OR(Y519="估算法",Y519="算法类",Y519="无法识别"),"",IF(W519="",IF(OR(J519="EI",J519="EO",J519="EQ"),0,""),LEN(W519)-LEN(SUBSTITUTE(W519,"、",""))+1))</f>
        <v/>
      </c>
      <c r="N519" s="85">
        <f>IF(OR(Y519="估算法",Y519="算法类",Y519="无法识别"),"",IF(X519="",IF(OR(J519="ILF",J519="EIF"),0,""),LEN(X519)-LEN(SUBSTITUTE(X519,"、",""))+1))</f>
        <v/>
      </c>
      <c r="O519" s="85">
        <f>IF(OR(Y519="估算法",Y519="算法类",Y519="无法识别"),"",IF(Y519="",IF(OR(J519="ILF",J519="EIF",J519="EI",J519="EO",J519="EQ"),0,""),LEN(Y519)-LEN(SUBSTITUTE(SUBSTITUTE(SUBSTITUTE(SUBSTITUTE(SUBSTITUTE(Y519,"|}","--"),"{|","--"),CHAR(10),""),"、",""),"|",""))+IF(AND(OR(J519="EI",J519="EO",J519="EQ"),$AE$1="NESMA"),2,1)))</f>
        <v/>
      </c>
      <c r="P519" s="86">
        <f>IF(J519="EI",IF(OR(Y519="估算法",Y519="算法类"),"中",IF(Y519="无法识别","低",IF(M519&lt;2,IF(O519&lt;16,"低","中"),IF(M519&lt;3,IF(O519&lt;5,"低",IF(O519&lt;16,"中","高")),IF(O519&lt;5,"中","高"))))),IF(OR(J519="EO",J519="EQ"),IF(OR(Y519="估算法",Y519="算法类"),"中",IF(Y519="无法识别","低",IF(M519&lt;2,IF(O519&lt;20,"低","中"),IF(M519&lt;4,IF(O519&lt;6,"低",IF(O519&lt;20,"中","高")),IF(O519&lt;6,"中","高"))))),IF(OR(J519="ILF",J519="EIF"),IF(OR(Y519="估算法",Y519="算法类",Y519="无法识别"),"低",IF(N519&lt;2,IF(O519&lt;51,"低","中"),IF(N519&lt;6,IF(O519&lt;20,"低",IF(O519&lt;51,"中","高")),IF(O519&lt;20,"中","高")))),"不计算")))</f>
        <v/>
      </c>
      <c r="Q519" s="172">
        <f>IFERROR(IF(J519="EI",IF(P519="低",3,IF(P519="中",4,6)),IF(J519="EO",IF(P519="低",4,IF(P519="中",5,7)),IF(J519="EQ",IF(P519="低",3,IF(P519="中",4,6)),IF(J519="ILF",IF(P519="低",7,IF(P519="中",10,15)),IF(J519="EIF",IF(P519="低",5,IF(P519="中",7,10)),"不计算")))))*R519,"不计算")</f>
        <v/>
      </c>
      <c r="R519" s="172" t="n">
        <v>1</v>
      </c>
      <c r="S519" s="173">
        <f>调整因子!$F$13</f>
        <v/>
      </c>
      <c r="T519" s="92" t="n">
        <v>1</v>
      </c>
      <c r="U519" s="174">
        <f>IFERROR(Q519*S519,0)</f>
        <v/>
      </c>
      <c r="V519" s="174">
        <f>U519*T519</f>
        <v/>
      </c>
      <c r="W519" s="98" t="n"/>
      <c r="X519" s="93" t="inlineStr">
        <is>
          <t>漏洞分类统计表</t>
        </is>
      </c>
      <c r="Y519" s="93" t="inlineStr">
        <is>
          <t>漏洞分类统计表{主键id、节点id、分类类型（服务/应用/系统/威胁/时间/CVE年份）、分类名称、风险等级、漏洞数量、统计时间}</t>
        </is>
      </c>
      <c r="Z519" s="90">
        <f>IF(COUNTIFS(W:W,"*"&amp;I519&amp;"*")&gt;0,"存在","不存在")</f>
        <v/>
      </c>
      <c r="AA519" s="90">
        <f>IF(COUNTIFS(AB:AB,"*"&amp;I519&amp;"*")&gt;0,"存在","不存在")</f>
        <v/>
      </c>
      <c r="AB519" s="92" t="n"/>
      <c r="AC519" s="66" t="n"/>
    </row>
    <row r="520" customFormat="1" s="66">
      <c r="A520" s="72">
        <f>ROW()-1</f>
        <v/>
      </c>
      <c r="B520" s="175" t="n"/>
      <c r="C520" s="80" t="n">
        <v>2025</v>
      </c>
      <c r="D520" s="80" t="inlineStr">
        <is>
          <t>窦鹏岐</t>
        </is>
      </c>
      <c r="E520" s="81">
        <f>VLOOKUP(I520,'25年交付功能（不含废弃）'!A:A,1,FALSE)</f>
        <v/>
      </c>
      <c r="F520" s="175" t="n"/>
      <c r="G520" s="175" t="n"/>
      <c r="H520" s="175" t="n"/>
      <c r="I520" s="81" t="inlineStr">
        <is>
          <t>脆弱账号表</t>
        </is>
      </c>
      <c r="J520" s="98" t="inlineStr">
        <is>
          <t>ILF</t>
        </is>
      </c>
      <c r="K520" s="84" t="n"/>
      <c r="L520" s="84" t="inlineStr">
        <is>
          <t>数据库表未被本系统所维护</t>
        </is>
      </c>
      <c r="M520" s="85">
        <f>IF(OR(Y520="估算法",Y520="算法类",Y520="无法识别"),"",IF(W520="",IF(OR(J520="EI",J520="EO",J520="EQ"),0,""),LEN(W520)-LEN(SUBSTITUTE(W520,"、",""))+1))</f>
        <v/>
      </c>
      <c r="N520" s="85">
        <f>IF(OR(Y520="估算法",Y520="算法类",Y520="无法识别"),"",IF(X520="",IF(OR(J520="ILF",J520="EIF"),0,""),LEN(X520)-LEN(SUBSTITUTE(X520,"、",""))+1))</f>
        <v/>
      </c>
      <c r="O520" s="85">
        <f>IF(OR(Y520="估算法",Y520="算法类",Y520="无法识别"),"",IF(Y520="",IF(OR(J520="ILF",J520="EIF",J520="EI",J520="EO",J520="EQ"),0,""),LEN(Y520)-LEN(SUBSTITUTE(SUBSTITUTE(SUBSTITUTE(SUBSTITUTE(SUBSTITUTE(Y520,"|}","--"),"{|","--"),CHAR(10),""),"、",""),"|",""))+IF(AND(OR(J520="EI",J520="EO",J520="EQ"),$AE$1="NESMA"),2,1)))</f>
        <v/>
      </c>
      <c r="P520" s="86">
        <f>IF(J520="EI",IF(OR(Y520="估算法",Y520="算法类"),"中",IF(Y520="无法识别","低",IF(M520&lt;2,IF(O520&lt;16,"低","中"),IF(M520&lt;3,IF(O520&lt;5,"低",IF(O520&lt;16,"中","高")),IF(O520&lt;5,"中","高"))))),IF(OR(J520="EO",J520="EQ"),IF(OR(Y520="估算法",Y520="算法类"),"中",IF(Y520="无法识别","低",IF(M520&lt;2,IF(O520&lt;20,"低","中"),IF(M520&lt;4,IF(O520&lt;6,"低",IF(O520&lt;20,"中","高")),IF(O520&lt;6,"中","高"))))),IF(OR(J520="ILF",J520="EIF"),IF(OR(Y520="估算法",Y520="算法类",Y520="无法识别"),"低",IF(N520&lt;2,IF(O520&lt;51,"低","中"),IF(N520&lt;6,IF(O520&lt;20,"低",IF(O520&lt;51,"中","高")),IF(O520&lt;20,"中","高")))),"不计算")))</f>
        <v/>
      </c>
      <c r="Q520" s="172">
        <f>IFERROR(IF(J520="EI",IF(P520="低",3,IF(P520="中",4,6)),IF(J520="EO",IF(P520="低",4,IF(P520="中",5,7)),IF(J520="EQ",IF(P520="低",3,IF(P520="中",4,6)),IF(J520="ILF",IF(P520="低",7,IF(P520="中",10,15)),IF(J520="EIF",IF(P520="低",5,IF(P520="中",7,10)),"不计算")))))*R520,"不计算")</f>
        <v/>
      </c>
      <c r="R520" s="172" t="n">
        <v>0</v>
      </c>
      <c r="S520" s="173">
        <f>调整因子!$F$13</f>
        <v/>
      </c>
      <c r="T520" s="92" t="n">
        <v>1</v>
      </c>
      <c r="U520" s="174">
        <f>IFERROR(Q520*S520,0)</f>
        <v/>
      </c>
      <c r="V520" s="174">
        <f>U520*T520</f>
        <v/>
      </c>
      <c r="W520" s="98" t="n"/>
      <c r="X520" s="93" t="inlineStr">
        <is>
          <t>脆弱账号表</t>
        </is>
      </c>
      <c r="Y520" s="93" t="inlineStr">
        <is>
          <t>脆弱账号表{主键id、节点id、账号名称、账号类型、风险等级、发现时间、状态}</t>
        </is>
      </c>
      <c r="Z520" s="90">
        <f>IF(COUNTIFS(W:W,"*"&amp;I520&amp;"*")&gt;0,"存在","不存在")</f>
        <v/>
      </c>
      <c r="AA520" s="90">
        <f>IF(COUNTIFS(AB:AB,"*"&amp;I520&amp;"*")&gt;0,"存在","不存在")</f>
        <v/>
      </c>
      <c r="AB520" s="92" t="n"/>
      <c r="AC520" s="66" t="n"/>
    </row>
    <row r="521" customFormat="1" s="66">
      <c r="A521" s="72">
        <f>ROW()-1</f>
        <v/>
      </c>
      <c r="B521" s="175" t="n"/>
      <c r="C521" s="80" t="n">
        <v>2025</v>
      </c>
      <c r="D521" s="80" t="inlineStr">
        <is>
          <t>窦鹏岐</t>
        </is>
      </c>
      <c r="E521" s="81">
        <f>VLOOKUP(I521,'25年交付功能（不含废弃）'!A:A,1,FALSE)</f>
        <v/>
      </c>
      <c r="F521" s="175" t="n"/>
      <c r="G521" s="175" t="n"/>
      <c r="H521" s="175" t="n"/>
      <c r="I521" s="81" t="inlineStr">
        <is>
          <t>节点属性表</t>
        </is>
      </c>
      <c r="J521" s="98" t="inlineStr">
        <is>
          <t>ILF</t>
        </is>
      </c>
      <c r="K521" s="84" t="n"/>
      <c r="L521" s="84" t="inlineStr">
        <is>
          <t>数据库表未被本系统所维护</t>
        </is>
      </c>
      <c r="M521" s="85">
        <f>IF(OR(Y521="估算法",Y521="算法类",Y521="无法识别"),"",IF(W521="",IF(OR(J521="EI",J521="EO",J521="EQ"),0,""),LEN(W521)-LEN(SUBSTITUTE(W521,"、",""))+1))</f>
        <v/>
      </c>
      <c r="N521" s="85">
        <f>IF(OR(Y521="估算法",Y521="算法类",Y521="无法识别"),"",IF(X521="",IF(OR(J521="ILF",J521="EIF"),0,""),LEN(X521)-LEN(SUBSTITUTE(X521,"、",""))+1))</f>
        <v/>
      </c>
      <c r="O521" s="85">
        <f>IF(OR(Y521="估算法",Y521="算法类",Y521="无法识别"),"",IF(Y521="",IF(OR(J521="ILF",J521="EIF",J521="EI",J521="EO",J521="EQ"),0,""),LEN(Y521)-LEN(SUBSTITUTE(SUBSTITUTE(SUBSTITUTE(SUBSTITUTE(SUBSTITUTE(Y521,"|}","--"),"{|","--"),CHAR(10),""),"、",""),"|",""))+IF(AND(OR(J521="EI",J521="EO",J521="EQ"),$AE$1="NESMA"),2,1)))</f>
        <v/>
      </c>
      <c r="P521" s="86">
        <f>IF(J521="EI",IF(OR(Y521="估算法",Y521="算法类"),"中",IF(Y521="无法识别","低",IF(M521&lt;2,IF(O521&lt;16,"低","中"),IF(M521&lt;3,IF(O521&lt;5,"低",IF(O521&lt;16,"中","高")),IF(O521&lt;5,"中","高"))))),IF(OR(J521="EO",J521="EQ"),IF(OR(Y521="估算法",Y521="算法类"),"中",IF(Y521="无法识别","低",IF(M521&lt;2,IF(O521&lt;20,"低","中"),IF(M521&lt;4,IF(O521&lt;6,"低",IF(O521&lt;20,"中","高")),IF(O521&lt;6,"中","高"))))),IF(OR(J521="ILF",J521="EIF"),IF(OR(Y521="估算法",Y521="算法类",Y521="无法识别"),"低",IF(N521&lt;2,IF(O521&lt;51,"低","中"),IF(N521&lt;6,IF(O521&lt;20,"低",IF(O521&lt;51,"中","高")),IF(O521&lt;20,"中","高")))),"不计算")))</f>
        <v/>
      </c>
      <c r="Q521" s="172">
        <f>IFERROR(IF(J521="EI",IF(P521="低",3,IF(P521="中",4,6)),IF(J521="EO",IF(P521="低",4,IF(P521="中",5,7)),IF(J521="EQ",IF(P521="低",3,IF(P521="中",4,6)),IF(J521="ILF",IF(P521="低",7,IF(P521="中",10,15)),IF(J521="EIF",IF(P521="低",5,IF(P521="中",7,10)),"不计算")))))*R521,"不计算")</f>
        <v/>
      </c>
      <c r="R521" s="172" t="n">
        <v>0</v>
      </c>
      <c r="S521" s="173">
        <f>调整因子!$F$13</f>
        <v/>
      </c>
      <c r="T521" s="93" t="n">
        <v>1</v>
      </c>
      <c r="U521" s="174">
        <f>IFERROR(Q521*S521,0)</f>
        <v/>
      </c>
      <c r="V521" s="174">
        <f>U521*T521</f>
        <v/>
      </c>
      <c r="W521" s="98" t="n"/>
      <c r="X521" s="93" t="inlineStr">
        <is>
          <t>节点属性表</t>
        </is>
      </c>
      <c r="Y521" s="93" t="inlineStr">
        <is>
          <t>节点属性表{主键id、节点id、属性名称、属性值、创建时间、最后更新时间}</t>
        </is>
      </c>
      <c r="Z521" s="90">
        <f>IF(COUNTIFS(W:W,"*"&amp;I521&amp;"*")&gt;0,"存在","不存在")</f>
        <v/>
      </c>
      <c r="AA521" s="90">
        <f>IF(COUNTIFS(AB:AB,"*"&amp;I521&amp;"*")&gt;0,"存在","不存在")</f>
        <v/>
      </c>
      <c r="AB521" s="92" t="n"/>
      <c r="AC521" s="66" t="n"/>
    </row>
    <row r="522" customFormat="1" s="66">
      <c r="A522" s="72">
        <f>ROW()-1</f>
        <v/>
      </c>
      <c r="B522" s="175" t="n"/>
      <c r="C522" s="80" t="n">
        <v>2025</v>
      </c>
      <c r="D522" s="80" t="inlineStr">
        <is>
          <t>窦鹏岐</t>
        </is>
      </c>
      <c r="E522" s="81">
        <f>VLOOKUP(I522,'25年交付功能（不含废弃）'!A:A,1,FALSE)</f>
        <v/>
      </c>
      <c r="F522" s="175" t="n"/>
      <c r="G522" s="175" t="n"/>
      <c r="H522" s="175" t="n"/>
      <c r="I522" s="81" t="inlineStr">
        <is>
          <t>节点关系表</t>
        </is>
      </c>
      <c r="J522" s="98" t="inlineStr">
        <is>
          <t>ILF</t>
        </is>
      </c>
      <c r="K522" s="84" t="n"/>
      <c r="L522" s="84" t="inlineStr">
        <is>
          <t>数据库表未被本系统所维护</t>
        </is>
      </c>
      <c r="M522" s="85">
        <f>IF(OR(Y522="估算法",Y522="算法类",Y522="无法识别"),"",IF(W522="",IF(OR(J522="EI",J522="EO",J522="EQ"),0,""),LEN(W522)-LEN(SUBSTITUTE(W522,"、",""))+1))</f>
        <v/>
      </c>
      <c r="N522" s="85">
        <f>IF(OR(Y522="估算法",Y522="算法类",Y522="无法识别"),"",IF(X522="",IF(OR(J522="ILF",J522="EIF"),0,""),LEN(X522)-LEN(SUBSTITUTE(X522,"、",""))+1))</f>
        <v/>
      </c>
      <c r="O522" s="85">
        <f>IF(OR(Y522="估算法",Y522="算法类",Y522="无法识别"),"",IF(Y522="",IF(OR(J522="ILF",J522="EIF",J522="EI",J522="EO",J522="EQ"),0,""),LEN(Y522)-LEN(SUBSTITUTE(SUBSTITUTE(SUBSTITUTE(SUBSTITUTE(SUBSTITUTE(Y522,"|}","--"),"{|","--"),CHAR(10),""),"、",""),"|",""))+IF(AND(OR(J522="EI",J522="EO",J522="EQ"),$AE$1="NESMA"),2,1)))</f>
        <v/>
      </c>
      <c r="P522" s="86">
        <f>IF(J522="EI",IF(OR(Y522="估算法",Y522="算法类"),"中",IF(Y522="无法识别","低",IF(M522&lt;2,IF(O522&lt;16,"低","中"),IF(M522&lt;3,IF(O522&lt;5,"低",IF(O522&lt;16,"中","高")),IF(O522&lt;5,"中","高"))))),IF(OR(J522="EO",J522="EQ"),IF(OR(Y522="估算法",Y522="算法类"),"中",IF(Y522="无法识别","低",IF(M522&lt;2,IF(O522&lt;20,"低","中"),IF(M522&lt;4,IF(O522&lt;6,"低",IF(O522&lt;20,"中","高")),IF(O522&lt;6,"中","高"))))),IF(OR(J522="ILF",J522="EIF"),IF(OR(Y522="估算法",Y522="算法类",Y522="无法识别"),"低",IF(N522&lt;2,IF(O522&lt;51,"低","中"),IF(N522&lt;6,IF(O522&lt;20,"低",IF(O522&lt;51,"中","高")),IF(O522&lt;20,"中","高")))),"不计算")))</f>
        <v/>
      </c>
      <c r="Q522" s="172">
        <f>IFERROR(IF(J522="EI",IF(P522="低",3,IF(P522="中",4,6)),IF(J522="EO",IF(P522="低",4,IF(P522="中",5,7)),IF(J522="EQ",IF(P522="低",3,IF(P522="中",4,6)),IF(J522="ILF",IF(P522="低",7,IF(P522="中",10,15)),IF(J522="EIF",IF(P522="低",5,IF(P522="中",7,10)),"不计算")))))*R522,"不计算")</f>
        <v/>
      </c>
      <c r="R522" s="172" t="n">
        <v>0</v>
      </c>
      <c r="S522" s="173">
        <f>调整因子!$F$13</f>
        <v/>
      </c>
      <c r="T522" s="92" t="n">
        <v>1</v>
      </c>
      <c r="U522" s="174">
        <f>IFERROR(Q522*S522,0)</f>
        <v/>
      </c>
      <c r="V522" s="174">
        <f>U522*T522</f>
        <v/>
      </c>
      <c r="W522" s="98" t="n"/>
      <c r="X522" s="93" t="inlineStr">
        <is>
          <t>节点关系表</t>
        </is>
      </c>
      <c r="Y522" s="93" t="inlineStr">
        <is>
          <t>节点关系表{主键id、父节点id、子节点id、关系类型、创建时间}</t>
        </is>
      </c>
      <c r="Z522" s="90">
        <f>IF(COUNTIFS(W:W,"*"&amp;I522&amp;"*")&gt;0,"存在","不存在")</f>
        <v/>
      </c>
      <c r="AA522" s="90">
        <f>IF(COUNTIFS(AB:AB,"*"&amp;I522&amp;"*")&gt;0,"存在","不存在")</f>
        <v/>
      </c>
      <c r="AB522" s="92" t="n"/>
      <c r="AC522" s="66" t="n"/>
    </row>
    <row r="523" customFormat="1" s="66">
      <c r="A523" s="72">
        <f>ROW()-1</f>
        <v/>
      </c>
      <c r="B523" s="175" t="n"/>
      <c r="C523" s="80" t="n">
        <v>2025</v>
      </c>
      <c r="D523" s="80" t="inlineStr">
        <is>
          <t>窦鹏岐</t>
        </is>
      </c>
      <c r="E523" s="81">
        <f>VLOOKUP(I523,'25年交付功能（不含废弃）'!A:A,1,FALSE)</f>
        <v/>
      </c>
      <c r="F523" s="175" t="n"/>
      <c r="G523" s="175" t="n"/>
      <c r="H523" s="175" t="n"/>
      <c r="I523" s="81" t="inlineStr">
        <is>
          <t>节点漏洞分布表</t>
        </is>
      </c>
      <c r="J523" s="98" t="inlineStr">
        <is>
          <t>ILF</t>
        </is>
      </c>
      <c r="K523" s="84" t="n"/>
      <c r="L523" s="84" t="inlineStr">
        <is>
          <t>数据库表未被本系统所维护</t>
        </is>
      </c>
      <c r="M523" s="85">
        <f>IF(OR(Y523="估算法",Y523="算法类",Y523="无法识别"),"",IF(W523="",IF(OR(J523="EI",J523="EO",J523="EQ"),0,""),LEN(W523)-LEN(SUBSTITUTE(W523,"、",""))+1))</f>
        <v/>
      </c>
      <c r="N523" s="85">
        <f>IF(OR(Y523="估算法",Y523="算法类",Y523="无法识别"),"",IF(X523="",IF(OR(J523="ILF",J523="EIF"),0,""),LEN(X523)-LEN(SUBSTITUTE(X523,"、",""))+1))</f>
        <v/>
      </c>
      <c r="O523" s="85">
        <f>IF(OR(Y523="估算法",Y523="算法类",Y523="无法识别"),"",IF(Y523="",IF(OR(J523="ILF",J523="EIF",J523="EI",J523="EO",J523="EQ"),0,""),LEN(Y523)-LEN(SUBSTITUTE(SUBSTITUTE(SUBSTITUTE(SUBSTITUTE(SUBSTITUTE(Y523,"|}","--"),"{|","--"),CHAR(10),""),"、",""),"|",""))+IF(AND(OR(J523="EI",J523="EO",J523="EQ"),$AE$1="NESMA"),2,1)))</f>
        <v/>
      </c>
      <c r="P523" s="86">
        <f>IF(J523="EI",IF(OR(Y523="估算法",Y523="算法类"),"中",IF(Y523="无法识别","低",IF(M523&lt;2,IF(O523&lt;16,"低","中"),IF(M523&lt;3,IF(O523&lt;5,"低",IF(O523&lt;16,"中","高")),IF(O523&lt;5,"中","高"))))),IF(OR(J523="EO",J523="EQ"),IF(OR(Y523="估算法",Y523="算法类"),"中",IF(Y523="无法识别","低",IF(M523&lt;2,IF(O523&lt;20,"低","中"),IF(M523&lt;4,IF(O523&lt;6,"低",IF(O523&lt;20,"中","高")),IF(O523&lt;6,"中","高"))))),IF(OR(J523="ILF",J523="EIF"),IF(OR(Y523="估算法",Y523="算法类",Y523="无法识别"),"低",IF(N523&lt;2,IF(O523&lt;51,"低","中"),IF(N523&lt;6,IF(O523&lt;20,"低",IF(O523&lt;51,"中","高")),IF(O523&lt;20,"中","高")))),"不计算")))</f>
        <v/>
      </c>
      <c r="Q523" s="172">
        <f>IFERROR(IF(J523="EI",IF(P523="低",3,IF(P523="中",4,6)),IF(J523="EO",IF(P523="低",4,IF(P523="中",5,7)),IF(J523="EQ",IF(P523="低",3,IF(P523="中",4,6)),IF(J523="ILF",IF(P523="低",7,IF(P523="中",10,15)),IF(J523="EIF",IF(P523="低",5,IF(P523="中",7,10)),"不计算")))))*R523,"不计算")</f>
        <v/>
      </c>
      <c r="R523" s="172" t="n">
        <v>0</v>
      </c>
      <c r="S523" s="173">
        <f>调整因子!$F$13</f>
        <v/>
      </c>
      <c r="T523" s="92" t="n">
        <v>1</v>
      </c>
      <c r="U523" s="174">
        <f>IFERROR(Q523*S523,0)</f>
        <v/>
      </c>
      <c r="V523" s="174">
        <f>U523*T523</f>
        <v/>
      </c>
      <c r="W523" s="98" t="n"/>
      <c r="X523" s="93" t="inlineStr">
        <is>
          <t>节点漏洞分布表</t>
        </is>
      </c>
      <c r="Y523" s="93" t="inlineStr">
        <is>
          <t>节点漏洞分布表{主键id、节点id、漏洞id、风险等级、发现时间、状态}</t>
        </is>
      </c>
      <c r="Z523" s="90">
        <f>IF(COUNTIFS(W:W,"*"&amp;I523&amp;"*")&gt;0,"存在","不存在")</f>
        <v/>
      </c>
      <c r="AA523" s="90">
        <f>IF(COUNTIFS(AB:AB,"*"&amp;I523&amp;"*")&gt;0,"存在","不存在")</f>
        <v/>
      </c>
      <c r="AB523" s="92" t="n"/>
      <c r="AC523" s="66" t="n"/>
    </row>
    <row r="524" customFormat="1" s="66">
      <c r="A524" s="72">
        <f>ROW()-1</f>
        <v/>
      </c>
      <c r="B524" s="175" t="n"/>
      <c r="C524" s="80" t="n">
        <v>2025</v>
      </c>
      <c r="D524" s="80" t="inlineStr">
        <is>
          <t>窦鹏岐</t>
        </is>
      </c>
      <c r="E524" s="81">
        <f>VLOOKUP(I524,'25年交付功能（不含废弃）'!A:A,1,FALSE)</f>
        <v/>
      </c>
      <c r="F524" s="175" t="n"/>
      <c r="G524" s="175" t="n"/>
      <c r="H524" s="175" t="n"/>
      <c r="I524" s="81" t="inlineStr">
        <is>
          <t>主机漏洞详情表</t>
        </is>
      </c>
      <c r="J524" s="98" t="inlineStr">
        <is>
          <t>ILF</t>
        </is>
      </c>
      <c r="K524" s="84" t="n"/>
      <c r="L524" s="84" t="inlineStr">
        <is>
          <t>数据库表未被本系统所维护</t>
        </is>
      </c>
      <c r="M524" s="85">
        <f>IF(OR(Y524="估算法",Y524="算法类",Y524="无法识别"),"",IF(W524="",IF(OR(J524="EI",J524="EO",J524="EQ"),0,""),LEN(W524)-LEN(SUBSTITUTE(W524,"、",""))+1))</f>
        <v/>
      </c>
      <c r="N524" s="85">
        <f>IF(OR(Y524="估算法",Y524="算法类",Y524="无法识别"),"",IF(X524="",IF(OR(J524="ILF",J524="EIF"),0,""),LEN(X524)-LEN(SUBSTITUTE(X524,"、",""))+1))</f>
        <v/>
      </c>
      <c r="O524" s="85">
        <f>IF(OR(Y524="估算法",Y524="算法类",Y524="无法识别"),"",IF(Y524="",IF(OR(J524="ILF",J524="EIF",J524="EI",J524="EO",J524="EQ"),0,""),LEN(Y524)-LEN(SUBSTITUTE(SUBSTITUTE(SUBSTITUTE(SUBSTITUTE(SUBSTITUTE(Y524,"|}","--"),"{|","--"),CHAR(10),""),"、",""),"|",""))+IF(AND(OR(J524="EI",J524="EO",J524="EQ"),$AE$1="NESMA"),2,1)))</f>
        <v/>
      </c>
      <c r="P524" s="86">
        <f>IF(J524="EI",IF(OR(Y524="估算法",Y524="算法类"),"中",IF(Y524="无法识别","低",IF(M524&lt;2,IF(O524&lt;16,"低","中"),IF(M524&lt;3,IF(O524&lt;5,"低",IF(O524&lt;16,"中","高")),IF(O524&lt;5,"中","高"))))),IF(OR(J524="EO",J524="EQ"),IF(OR(Y524="估算法",Y524="算法类"),"中",IF(Y524="无法识别","低",IF(M524&lt;2,IF(O524&lt;20,"低","中"),IF(M524&lt;4,IF(O524&lt;6,"低",IF(O524&lt;20,"中","高")),IF(O524&lt;6,"中","高"))))),IF(OR(J524="ILF",J524="EIF"),IF(OR(Y524="估算法",Y524="算法类",Y524="无法识别"),"低",IF(N524&lt;2,IF(O524&lt;51,"低","中"),IF(N524&lt;6,IF(O524&lt;20,"低",IF(O524&lt;51,"中","高")),IF(O524&lt;20,"中","高")))),"不计算")))</f>
        <v/>
      </c>
      <c r="Q524" s="172">
        <f>IFERROR(IF(J524="EI",IF(P524="低",3,IF(P524="中",4,6)),IF(J524="EO",IF(P524="低",4,IF(P524="中",5,7)),IF(J524="EQ",IF(P524="低",3,IF(P524="中",4,6)),IF(J524="ILF",IF(P524="低",7,IF(P524="中",10,15)),IF(J524="EIF",IF(P524="低",5,IF(P524="中",7,10)),"不计算")))))*R524,"不计算")</f>
        <v/>
      </c>
      <c r="R524" s="172" t="n">
        <v>0</v>
      </c>
      <c r="S524" s="173">
        <f>调整因子!$F$13</f>
        <v/>
      </c>
      <c r="T524" s="93" t="n">
        <v>1</v>
      </c>
      <c r="U524" s="174">
        <f>IFERROR(Q524*S524,0)</f>
        <v/>
      </c>
      <c r="V524" s="174">
        <f>U524*T524</f>
        <v/>
      </c>
      <c r="W524" s="98" t="n"/>
      <c r="X524" s="93" t="inlineStr">
        <is>
          <t>主机漏洞详情表</t>
        </is>
      </c>
      <c r="Y524" s="93" t="inlineStr">
        <is>
          <t>主机漏洞详情表{主键id、主机id、漏洞id、漏洞名称、漏洞描述、风险等级、发现时间、状态、修复建议}</t>
        </is>
      </c>
      <c r="Z524" s="90">
        <f>IF(COUNTIFS(W:W,"*"&amp;I524&amp;"*")&gt;0,"存在","不存在")</f>
        <v/>
      </c>
      <c r="AA524" s="90">
        <f>IF(COUNTIFS(AB:AB,"*"&amp;I524&amp;"*")&gt;0,"存在","不存在")</f>
        <v/>
      </c>
      <c r="AB524" s="92" t="n"/>
      <c r="AC524" s="66" t="n"/>
    </row>
    <row r="525" customFormat="1" s="66">
      <c r="A525" s="72">
        <f>ROW()-1</f>
        <v/>
      </c>
      <c r="B525" s="175" t="n"/>
      <c r="C525" s="80" t="n">
        <v>2025</v>
      </c>
      <c r="D525" s="80" t="inlineStr">
        <is>
          <t>窦鹏岐</t>
        </is>
      </c>
      <c r="E525" s="81">
        <f>VLOOKUP(I525,'25年交付功能（不含废弃）'!A:A,1,FALSE)</f>
        <v/>
      </c>
      <c r="F525" s="175" t="n"/>
      <c r="G525" s="175" t="n"/>
      <c r="H525" s="175" t="n"/>
      <c r="I525" s="81" t="inlineStr">
        <is>
          <t>主机资产列表表</t>
        </is>
      </c>
      <c r="J525" s="98" t="inlineStr">
        <is>
          <t>ILF</t>
        </is>
      </c>
      <c r="K525" s="84" t="n"/>
      <c r="L525" s="84" t="inlineStr">
        <is>
          <t>数据库表未被本系统所维护</t>
        </is>
      </c>
      <c r="M525" s="85">
        <f>IF(OR(Y525="估算法",Y525="算法类",Y525="无法识别"),"",IF(W525="",IF(OR(J525="EI",J525="EO",J525="EQ"),0,""),LEN(W525)-LEN(SUBSTITUTE(W525,"、",""))+1))</f>
        <v/>
      </c>
      <c r="N525" s="85">
        <f>IF(OR(Y525="估算法",Y525="算法类",Y525="无法识别"),"",IF(X525="",IF(OR(J525="ILF",J525="EIF"),0,""),LEN(X525)-LEN(SUBSTITUTE(X525,"、",""))+1))</f>
        <v/>
      </c>
      <c r="O525" s="85">
        <f>IF(OR(Y525="估算法",Y525="算法类",Y525="无法识别"),"",IF(Y525="",IF(OR(J525="ILF",J525="EIF",J525="EI",J525="EO",J525="EQ"),0,""),LEN(Y525)-LEN(SUBSTITUTE(SUBSTITUTE(SUBSTITUTE(SUBSTITUTE(SUBSTITUTE(Y525,"|}","--"),"{|","--"),CHAR(10),""),"、",""),"|",""))+IF(AND(OR(J525="EI",J525="EO",J525="EQ"),$AE$1="NESMA"),2,1)))</f>
        <v/>
      </c>
      <c r="P525" s="86">
        <f>IF(J525="EI",IF(OR(Y525="估算法",Y525="算法类"),"中",IF(Y525="无法识别","低",IF(M525&lt;2,IF(O525&lt;16,"低","中"),IF(M525&lt;3,IF(O525&lt;5,"低",IF(O525&lt;16,"中","高")),IF(O525&lt;5,"中","高"))))),IF(OR(J525="EO",J525="EQ"),IF(OR(Y525="估算法",Y525="算法类"),"中",IF(Y525="无法识别","低",IF(M525&lt;2,IF(O525&lt;20,"低","中"),IF(M525&lt;4,IF(O525&lt;6,"低",IF(O525&lt;20,"中","高")),IF(O525&lt;6,"中","高"))))),IF(OR(J525="ILF",J525="EIF"),IF(OR(Y525="估算法",Y525="算法类",Y525="无法识别"),"低",IF(N525&lt;2,IF(O525&lt;51,"低","中"),IF(N525&lt;6,IF(O525&lt;20,"低",IF(O525&lt;51,"中","高")),IF(O525&lt;20,"中","高")))),"不计算")))</f>
        <v/>
      </c>
      <c r="Q525" s="172">
        <f>IFERROR(IF(J525="EI",IF(P525="低",3,IF(P525="中",4,6)),IF(J525="EO",IF(P525="低",4,IF(P525="中",5,7)),IF(J525="EQ",IF(P525="低",3,IF(P525="中",4,6)),IF(J525="ILF",IF(P525="低",7,IF(P525="中",10,15)),IF(J525="EIF",IF(P525="低",5,IF(P525="中",7,10)),"不计算")))))*R525,"不计算")</f>
        <v/>
      </c>
      <c r="R525" s="172" t="n">
        <v>0</v>
      </c>
      <c r="S525" s="173">
        <f>调整因子!$F$13</f>
        <v/>
      </c>
      <c r="T525" s="92" t="n">
        <v>1</v>
      </c>
      <c r="U525" s="174">
        <f>IFERROR(Q525*S525,0)</f>
        <v/>
      </c>
      <c r="V525" s="174">
        <f>U525*T525</f>
        <v/>
      </c>
      <c r="W525" s="98" t="n"/>
      <c r="X525" s="93" t="inlineStr">
        <is>
          <t>主机资产列表表</t>
        </is>
      </c>
      <c r="Y525" s="93" t="inlineStr">
        <is>
          <t>主机资产列表表{主键id、用户id、主机名称、IP地址、操作系统、设备类型、状态、创建时间、最后更新时间}</t>
        </is>
      </c>
      <c r="Z525" s="90">
        <f>IF(COUNTIFS(W:W,"*"&amp;I525&amp;"*")&gt;0,"存在","不存在")</f>
        <v/>
      </c>
      <c r="AA525" s="90">
        <f>IF(COUNTIFS(AB:AB,"*"&amp;I525&amp;"*")&gt;0,"存在","不存在")</f>
        <v/>
      </c>
      <c r="AB525" s="92" t="n"/>
      <c r="AC525" s="66" t="n"/>
    </row>
    <row r="526" customFormat="1" s="66">
      <c r="A526" s="72">
        <f>ROW()-1</f>
        <v/>
      </c>
      <c r="B526" s="175" t="n"/>
      <c r="C526" s="80" t="n">
        <v>2025</v>
      </c>
      <c r="D526" s="80" t="inlineStr">
        <is>
          <t>窦鹏岐</t>
        </is>
      </c>
      <c r="E526" s="81">
        <f>VLOOKUP(I526,'25年交付功能（不含废弃）'!A:A,1,FALSE)</f>
        <v/>
      </c>
      <c r="F526" s="175" t="n"/>
      <c r="G526" s="176" t="n"/>
      <c r="H526" s="176" t="n"/>
      <c r="I526" s="81" t="inlineStr">
        <is>
          <t>Web资产列表表</t>
        </is>
      </c>
      <c r="J526" s="98" t="inlineStr">
        <is>
          <t>ILF</t>
        </is>
      </c>
      <c r="K526" s="84" t="n"/>
      <c r="L526" s="84" t="inlineStr">
        <is>
          <t>数据库表未被本系统所维护</t>
        </is>
      </c>
      <c r="M526" s="85">
        <f>IF(OR(Y526="估算法",Y526="算法类",Y526="无法识别"),"",IF(W526="",IF(OR(J526="EI",J526="EO",J526="EQ"),0,""),LEN(W526)-LEN(SUBSTITUTE(W526,"、",""))+1))</f>
        <v/>
      </c>
      <c r="N526" s="85">
        <f>IF(OR(Y526="估算法",Y526="算法类",Y526="无法识别"),"",IF(X526="",IF(OR(J526="ILF",J526="EIF"),0,""),LEN(X526)-LEN(SUBSTITUTE(X526,"、",""))+1))</f>
        <v/>
      </c>
      <c r="O526" s="85">
        <f>IF(OR(Y526="估算法",Y526="算法类",Y526="无法识别"),"",IF(Y526="",IF(OR(J526="ILF",J526="EIF",J526="EI",J526="EO",J526="EQ"),0,""),LEN(Y526)-LEN(SUBSTITUTE(SUBSTITUTE(SUBSTITUTE(SUBSTITUTE(SUBSTITUTE(Y526,"|}","--"),"{|","--"),CHAR(10),""),"、",""),"|",""))+IF(AND(OR(J526="EI",J526="EO",J526="EQ"),$AE$1="NESMA"),2,1)))</f>
        <v/>
      </c>
      <c r="P526" s="86">
        <f>IF(J526="EI",IF(OR(Y526="估算法",Y526="算法类"),"中",IF(Y526="无法识别","低",IF(M526&lt;2,IF(O526&lt;16,"低","中"),IF(M526&lt;3,IF(O526&lt;5,"低",IF(O526&lt;16,"中","高")),IF(O526&lt;5,"中","高"))))),IF(OR(J526="EO",J526="EQ"),IF(OR(Y526="估算法",Y526="算法类"),"中",IF(Y526="无法识别","低",IF(M526&lt;2,IF(O526&lt;20,"低","中"),IF(M526&lt;4,IF(O526&lt;6,"低",IF(O526&lt;20,"中","高")),IF(O526&lt;6,"中","高"))))),IF(OR(J526="ILF",J526="EIF"),IF(OR(Y526="估算法",Y526="算法类",Y526="无法识别"),"低",IF(N526&lt;2,IF(O526&lt;51,"低","中"),IF(N526&lt;6,IF(O526&lt;20,"低",IF(O526&lt;51,"中","高")),IF(O526&lt;20,"中","高")))),"不计算")))</f>
        <v/>
      </c>
      <c r="Q526" s="172">
        <f>IFERROR(IF(J526="EI",IF(P526="低",3,IF(P526="中",4,6)),IF(J526="EO",IF(P526="低",4,IF(P526="中",5,7)),IF(J526="EQ",IF(P526="低",3,IF(P526="中",4,6)),IF(J526="ILF",IF(P526="低",7,IF(P526="中",10,15)),IF(J526="EIF",IF(P526="低",5,IF(P526="中",7,10)),"不计算")))))*R526,"不计算")</f>
        <v/>
      </c>
      <c r="R526" s="172" t="n">
        <v>0</v>
      </c>
      <c r="S526" s="173">
        <f>调整因子!$F$13</f>
        <v/>
      </c>
      <c r="T526" s="92" t="n">
        <v>1</v>
      </c>
      <c r="U526" s="174">
        <f>IFERROR(Q526*S526,0)</f>
        <v/>
      </c>
      <c r="V526" s="174">
        <f>U526*T526</f>
        <v/>
      </c>
      <c r="W526" s="98" t="n"/>
      <c r="X526" s="93" t="inlineStr">
        <is>
          <t>Web资产列表表</t>
        </is>
      </c>
      <c r="Y526" s="93" t="inlineStr">
        <is>
          <t>Web资产列表表{主键id、用户id、网站名称、域名、服务器类型、状态、创建时间、最后更新时间}</t>
        </is>
      </c>
      <c r="Z526" s="90">
        <f>IF(COUNTIFS(W:W,"*"&amp;I526&amp;"*")&gt;0,"存在","不存在")</f>
        <v/>
      </c>
      <c r="AA526" s="90">
        <f>IF(COUNTIFS(AB:AB,"*"&amp;I526&amp;"*")&gt;0,"存在","不存在")</f>
        <v/>
      </c>
      <c r="AB526" s="92" t="n"/>
      <c r="AC526" s="66" t="n"/>
    </row>
    <row r="527" customFormat="1" s="66">
      <c r="A527" s="72">
        <f>ROW()-1</f>
        <v/>
      </c>
      <c r="B527" s="175" t="n"/>
      <c r="C527" s="80" t="n">
        <v>2025</v>
      </c>
      <c r="D527" s="80" t="inlineStr">
        <is>
          <t>窦鹏岐</t>
        </is>
      </c>
      <c r="E527" s="81">
        <f>VLOOKUP(I527,'25年交付功能（不含废弃）'!A:A,1,FALSE)</f>
        <v/>
      </c>
      <c r="F527" s="175" t="n"/>
      <c r="G527" s="82" t="inlineStr">
        <is>
          <t>靶标资产管理</t>
        </is>
      </c>
      <c r="H527" s="82" t="inlineStr">
        <is>
          <t>靶标资产同步与接口管理</t>
        </is>
      </c>
      <c r="I527" s="81" t="inlineStr">
        <is>
          <t>上报靶标资产</t>
        </is>
      </c>
      <c r="J527" s="93" t="inlineStr">
        <is>
          <t>EI</t>
        </is>
      </c>
      <c r="K527" s="84" t="n"/>
      <c r="L527" s="84" t="n"/>
      <c r="M527" s="85">
        <f>IF(OR(Y527="估算法",Y527="算法类",Y527="无法识别"),"",IF(W527="",IF(OR(J527="EI",J527="EO",J527="EQ"),0,""),LEN(W527)-LEN(SUBSTITUTE(W527,"、",""))+1))</f>
        <v/>
      </c>
      <c r="N527" s="85">
        <f>IF(OR(Y527="估算法",Y527="算法类",Y527="无法识别"),"",IF(X527="",IF(OR(J527="ILF",J527="EIF"),0,""),LEN(X527)-LEN(SUBSTITUTE(X527,"、",""))+1))</f>
        <v/>
      </c>
      <c r="O527" s="85">
        <f>IF(OR(Y527="估算法",Y527="算法类",Y527="无法识别"),"",IF(Y527="",IF(OR(J527="ILF",J527="EIF",J527="EI",J527="EO",J527="EQ"),0,""),LEN(Y527)-LEN(SUBSTITUTE(SUBSTITUTE(SUBSTITUTE(SUBSTITUTE(SUBSTITUTE(Y527,"|}","--"),"{|","--"),CHAR(10),""),"、",""),"|",""))+IF(AND(OR(J527="EI",J527="EO",J527="EQ"),$AE$1="NESMA"),2,1)))</f>
        <v/>
      </c>
      <c r="P527" s="86">
        <f>IF(J527="EI",IF(OR(Y527="估算法",Y527="算法类"),"中",IF(Y527="无法识别","低",IF(M527&lt;2,IF(O527&lt;16,"低","中"),IF(M527&lt;3,IF(O527&lt;5,"低",IF(O527&lt;16,"中","高")),IF(O527&lt;5,"中","高"))))),IF(OR(J527="EO",J527="EQ"),IF(OR(Y527="估算法",Y527="算法类"),"中",IF(Y527="无法识别","低",IF(M527&lt;2,IF(O527&lt;20,"低","中"),IF(M527&lt;4,IF(O527&lt;6,"低",IF(O527&lt;20,"中","高")),IF(O527&lt;6,"中","高"))))),IF(OR(J527="ILF",J527="EIF"),IF(OR(Y527="估算法",Y527="算法类",Y527="无法识别"),"低",IF(N527&lt;2,IF(O527&lt;51,"低","中"),IF(N527&lt;6,IF(O527&lt;20,"低",IF(O527&lt;51,"中","高")),IF(O527&lt;20,"中","高")))),"不计算")))</f>
        <v/>
      </c>
      <c r="Q527" s="172">
        <f>IFERROR(IF(J527="EI",IF(P527="低",3,IF(P527="中",4,6)),IF(J527="EO",IF(P527="低",4,IF(P527="中",5,7)),IF(J527="EQ",IF(P527="低",3,IF(P527="中",4,6)),IF(J527="ILF",IF(P527="低",7,IF(P527="中",10,15)),IF(J527="EIF",IF(P527="低",5,IF(P527="中",7,10)),"不计算")))))*R527,"不计算")</f>
        <v/>
      </c>
      <c r="R527" s="172" t="n">
        <v>1</v>
      </c>
      <c r="S527" s="173">
        <f>调整因子!$F$13</f>
        <v/>
      </c>
      <c r="T527" s="93" t="n">
        <v>1</v>
      </c>
      <c r="U527" s="174">
        <f>IFERROR(Q527*S527,0)</f>
        <v/>
      </c>
      <c r="V527" s="174">
        <f>U527*T527</f>
        <v/>
      </c>
      <c r="W527" s="93" t="inlineStr">
        <is>
          <t>靶标资产表、靶标资产同步记录表</t>
        </is>
      </c>
      <c r="X527" s="98" t="n"/>
      <c r="Y527" s="93" t="inlineStr">
        <is>
          <t>靶标资产表{主键 id 、资产名称、资产类型 IP 地址、资产描述、最后更新时间}
靶标资产同步记录表{主键 id 、同步时间同步类型（上报/接收）、同步状态（成功/失败）、同步源、同步数量、同步目标}</t>
        </is>
      </c>
      <c r="Z527" s="90" t="n"/>
      <c r="AA527" s="90" t="n"/>
      <c r="AB527" s="92" t="n"/>
      <c r="AC527" s="66" t="n"/>
    </row>
    <row r="528" customFormat="1" s="66">
      <c r="A528" s="72">
        <f>ROW()-1</f>
        <v/>
      </c>
      <c r="B528" s="175" t="n"/>
      <c r="C528" s="80" t="n">
        <v>2025</v>
      </c>
      <c r="D528" s="80" t="inlineStr">
        <is>
          <t>窦鹏岐</t>
        </is>
      </c>
      <c r="E528" s="81">
        <f>VLOOKUP(I528,'25年交付功能（不含废弃）'!A:A,1,FALSE)</f>
        <v/>
      </c>
      <c r="F528" s="175" t="n"/>
      <c r="G528" s="175" t="n"/>
      <c r="H528" s="175" t="n"/>
      <c r="I528" s="81" t="inlineStr">
        <is>
          <t>接收部侧靶标报文</t>
        </is>
      </c>
      <c r="J528" s="93" t="inlineStr">
        <is>
          <t>EI</t>
        </is>
      </c>
      <c r="K528" s="84" t="n"/>
      <c r="L528" s="84" t="n"/>
      <c r="M528" s="85">
        <f>IF(OR(Y528="估算法",Y528="算法类",Y528="无法识别"),"",IF(W528="",IF(OR(J528="EI",J528="EO",J528="EQ"),0,""),LEN(W528)-LEN(SUBSTITUTE(W528,"、",""))+1))</f>
        <v/>
      </c>
      <c r="N528" s="85">
        <f>IF(OR(Y528="估算法",Y528="算法类",Y528="无法识别"),"",IF(X528="",IF(OR(J528="ILF",J528="EIF"),0,""),LEN(X528)-LEN(SUBSTITUTE(X528,"、",""))+1))</f>
        <v/>
      </c>
      <c r="O528" s="85">
        <f>IF(OR(Y528="估算法",Y528="算法类",Y528="无法识别"),"",IF(Y528="",IF(OR(J528="ILF",J528="EIF",J528="EI",J528="EO",J528="EQ"),0,""),LEN(Y528)-LEN(SUBSTITUTE(SUBSTITUTE(SUBSTITUTE(SUBSTITUTE(SUBSTITUTE(Y528,"|}","--"),"{|","--"),CHAR(10),""),"、",""),"|",""))+IF(AND(OR(J528="EI",J528="EO",J528="EQ"),$AE$1="NESMA"),2,1)))</f>
        <v/>
      </c>
      <c r="P528" s="86">
        <f>IF(J528="EI",IF(OR(Y528="估算法",Y528="算法类"),"中",IF(Y528="无法识别","低",IF(M528&lt;2,IF(O528&lt;16,"低","中"),IF(M528&lt;3,IF(O528&lt;5,"低",IF(O528&lt;16,"中","高")),IF(O528&lt;5,"中","高"))))),IF(OR(J528="EO",J528="EQ"),IF(OR(Y528="估算法",Y528="算法类"),"中",IF(Y528="无法识别","低",IF(M528&lt;2,IF(O528&lt;20,"低","中"),IF(M528&lt;4,IF(O528&lt;6,"低",IF(O528&lt;20,"中","高")),IF(O528&lt;6,"中","高"))))),IF(OR(J528="ILF",J528="EIF"),IF(OR(Y528="估算法",Y528="算法类",Y528="无法识别"),"低",IF(N528&lt;2,IF(O528&lt;51,"低","中"),IF(N528&lt;6,IF(O528&lt;20,"低",IF(O528&lt;51,"中","高")),IF(O528&lt;20,"中","高")))),"不计算")))</f>
        <v/>
      </c>
      <c r="Q528" s="172">
        <f>IFERROR(IF(J528="EI",IF(P528="低",3,IF(P528="中",4,6)),IF(J528="EO",IF(P528="低",4,IF(P528="中",5,7)),IF(J528="EQ",IF(P528="低",3,IF(P528="中",4,6)),IF(J528="ILF",IF(P528="低",7,IF(P528="中",10,15)),IF(J528="EIF",IF(P528="低",5,IF(P528="中",7,10)),"不计算")))))*R528,"不计算")</f>
        <v/>
      </c>
      <c r="R528" s="172" t="n">
        <v>1</v>
      </c>
      <c r="S528" s="173">
        <f>调整因子!$F$13</f>
        <v/>
      </c>
      <c r="T528" s="92" t="n">
        <v>1</v>
      </c>
      <c r="U528" s="174">
        <f>IFERROR(Q528*S528,0)</f>
        <v/>
      </c>
      <c r="V528" s="174">
        <f>U528*T528</f>
        <v/>
      </c>
      <c r="W528" s="93" t="inlineStr">
        <is>
          <t>靶标资产表、靶标资产接收记录表</t>
        </is>
      </c>
      <c r="X528" s="98" t="n"/>
      <c r="Y528" s="93" t="inlineStr">
        <is>
          <t>靶标资产表{主键 id 、资产名称、资产类型 IP 地址、资产描述、最后更新时间}
靶标资产接收记录表{主键 id 、接收时间、接收来源、接收状态（成功/失败）、接收报文内容}</t>
        </is>
      </c>
      <c r="Z528" s="90" t="n"/>
      <c r="AA528" s="90" t="n"/>
      <c r="AB528" s="92" t="n"/>
      <c r="AC528" s="66" t="n"/>
    </row>
    <row r="529" customFormat="1" s="66">
      <c r="A529" s="72">
        <f>ROW()-1</f>
        <v/>
      </c>
      <c r="B529" s="175" t="n"/>
      <c r="C529" s="80" t="n">
        <v>2025</v>
      </c>
      <c r="D529" s="80" t="inlineStr">
        <is>
          <t>窦鹏岐</t>
        </is>
      </c>
      <c r="E529" s="81">
        <f>VLOOKUP(I529,'25年交付功能（不含废弃）'!A:A,1,FALSE)</f>
        <v/>
      </c>
      <c r="F529" s="175" t="n"/>
      <c r="G529" s="175" t="n"/>
      <c r="H529" s="175" t="n"/>
      <c r="I529" s="81" t="inlineStr">
        <is>
          <t>显示靶标资产列表</t>
        </is>
      </c>
      <c r="J529" s="93" t="inlineStr">
        <is>
          <t>EQ</t>
        </is>
      </c>
      <c r="K529" s="84" t="n"/>
      <c r="L529" s="84" t="n"/>
      <c r="M529" s="85">
        <f>IF(OR(Y529="估算法",Y529="算法类",Y529="无法识别"),"",IF(W529="",IF(OR(J529="EI",J529="EO",J529="EQ"),0,""),LEN(W529)-LEN(SUBSTITUTE(W529,"、",""))+1))</f>
        <v/>
      </c>
      <c r="N529" s="85">
        <f>IF(OR(Y529="估算法",Y529="算法类",Y529="无法识别"),"",IF(X529="",IF(OR(J529="ILF",J529="EIF"),0,""),LEN(X529)-LEN(SUBSTITUTE(X529,"、",""))+1))</f>
        <v/>
      </c>
      <c r="O529" s="85">
        <f>IF(OR(Y529="估算法",Y529="算法类",Y529="无法识别"),"",IF(Y529="",IF(OR(J529="ILF",J529="EIF",J529="EI",J529="EO",J529="EQ"),0,""),LEN(Y529)-LEN(SUBSTITUTE(SUBSTITUTE(SUBSTITUTE(SUBSTITUTE(SUBSTITUTE(Y529,"|}","--"),"{|","--"),CHAR(10),""),"、",""),"|",""))+IF(AND(OR(J529="EI",J529="EO",J529="EQ"),$AE$1="NESMA"),2,1)))</f>
        <v/>
      </c>
      <c r="P529" s="86">
        <f>IF(J529="EI",IF(OR(Y529="估算法",Y529="算法类"),"中",IF(Y529="无法识别","低",IF(M529&lt;2,IF(O529&lt;16,"低","中"),IF(M529&lt;3,IF(O529&lt;5,"低",IF(O529&lt;16,"中","高")),IF(O529&lt;5,"中","高"))))),IF(OR(J529="EO",J529="EQ"),IF(OR(Y529="估算法",Y529="算法类"),"中",IF(Y529="无法识别","低",IF(M529&lt;2,IF(O529&lt;20,"低","中"),IF(M529&lt;4,IF(O529&lt;6,"低",IF(O529&lt;20,"中","高")),IF(O529&lt;6,"中","高"))))),IF(OR(J529="ILF",J529="EIF"),IF(OR(Y529="估算法",Y529="算法类",Y529="无法识别"),"低",IF(N529&lt;2,IF(O529&lt;51,"低","中"),IF(N529&lt;6,IF(O529&lt;20,"低",IF(O529&lt;51,"中","高")),IF(O529&lt;20,"中","高")))),"不计算")))</f>
        <v/>
      </c>
      <c r="Q529" s="172">
        <f>IFERROR(IF(J529="EI",IF(P529="低",3,IF(P529="中",4,6)),IF(J529="EO",IF(P529="低",4,IF(P529="中",5,7)),IF(J529="EQ",IF(P529="低",3,IF(P529="中",4,6)),IF(J529="ILF",IF(P529="低",7,IF(P529="中",10,15)),IF(J529="EIF",IF(P529="低",5,IF(P529="中",7,10)),"不计算")))))*R529,"不计算")</f>
        <v/>
      </c>
      <c r="R529" s="172" t="n">
        <v>1</v>
      </c>
      <c r="S529" s="173">
        <f>调整因子!$F$13</f>
        <v/>
      </c>
      <c r="T529" s="92" t="n">
        <v>1</v>
      </c>
      <c r="U529" s="174">
        <f>IFERROR(Q529*S529,0)</f>
        <v/>
      </c>
      <c r="V529" s="174">
        <f>U529*T529</f>
        <v/>
      </c>
      <c r="W529" s="93" t="inlineStr">
        <is>
          <t>靶标资产表</t>
        </is>
      </c>
      <c r="X529" s="98" t="n"/>
      <c r="Y529" s="93" t="inlineStr">
        <is>
          <t>靶标资产表{主键 id 、资产名称、资产类型 IP 地址、资产描述、最后更新时间}</t>
        </is>
      </c>
      <c r="Z529" s="90" t="n"/>
      <c r="AA529" s="90" t="n"/>
      <c r="AB529" s="92" t="n"/>
      <c r="AC529" s="66" t="n"/>
    </row>
    <row r="530" customFormat="1" s="66">
      <c r="A530" s="72">
        <f>ROW()-1</f>
        <v/>
      </c>
      <c r="B530" s="175" t="n"/>
      <c r="C530" s="80" t="n">
        <v>2025</v>
      </c>
      <c r="D530" s="80" t="inlineStr">
        <is>
          <t>窦鹏岐</t>
        </is>
      </c>
      <c r="E530" s="81">
        <f>VLOOKUP(I530,'25年交付功能（不含废弃）'!A:A,1,FALSE)</f>
        <v/>
      </c>
      <c r="F530" s="175" t="n"/>
      <c r="G530" s="175" t="n"/>
      <c r="H530" s="176" t="n"/>
      <c r="I530" s="81" t="inlineStr">
        <is>
          <t>解析部侧靶标文件数据</t>
        </is>
      </c>
      <c r="J530" s="93" t="n"/>
      <c r="K530" s="84" t="n"/>
      <c r="L530" s="84" t="inlineStr">
        <is>
          <t>非事务功能</t>
        </is>
      </c>
      <c r="M530" s="85">
        <f>IF(OR(Y530="估算法",Y530="算法类",Y530="无法识别"),"",IF(W530="",IF(OR(J530="EI",J530="EO",J530="EQ"),0,""),LEN(W530)-LEN(SUBSTITUTE(W530,"、",""))+1))</f>
        <v/>
      </c>
      <c r="N530" s="85">
        <f>IF(OR(Y530="估算法",Y530="算法类",Y530="无法识别"),"",IF(X530="",IF(OR(J530="ILF",J530="EIF"),0,""),LEN(X530)-LEN(SUBSTITUTE(X530,"、",""))+1))</f>
        <v/>
      </c>
      <c r="O530" s="85">
        <f>IF(OR(Y530="估算法",Y530="算法类",Y530="无法识别"),"",IF(Y530="",IF(OR(J530="ILF",J530="EIF",J530="EI",J530="EO",J530="EQ"),0,""),LEN(Y530)-LEN(SUBSTITUTE(SUBSTITUTE(SUBSTITUTE(SUBSTITUTE(SUBSTITUTE(Y530,"|}","--"),"{|","--"),CHAR(10),""),"、",""),"|",""))+IF(AND(OR(J530="EI",J530="EO",J530="EQ"),$AE$1="NESMA"),2,1)))</f>
        <v/>
      </c>
      <c r="P530" s="86">
        <f>IF(J530="EI",IF(OR(Y530="估算法",Y530="算法类"),"中",IF(Y530="无法识别","低",IF(M530&lt;2,IF(O530&lt;16,"低","中"),IF(M530&lt;3,IF(O530&lt;5,"低",IF(O530&lt;16,"中","高")),IF(O530&lt;5,"中","高"))))),IF(OR(J530="EO",J530="EQ"),IF(OR(Y530="估算法",Y530="算法类"),"中",IF(Y530="无法识别","低",IF(M530&lt;2,IF(O530&lt;20,"低","中"),IF(M530&lt;4,IF(O530&lt;6,"低",IF(O530&lt;20,"中","高")),IF(O530&lt;6,"中","高"))))),IF(OR(J530="ILF",J530="EIF"),IF(OR(Y530="估算法",Y530="算法类",Y530="无法识别"),"低",IF(N530&lt;2,IF(O530&lt;51,"低","中"),IF(N530&lt;6,IF(O530&lt;20,"低",IF(O530&lt;51,"中","高")),IF(O530&lt;20,"中","高")))),"不计算")))</f>
        <v/>
      </c>
      <c r="Q530" s="172">
        <f>IFERROR(IF(J530="EI",IF(P530="低",3,IF(P530="中",4,6)),IF(J530="EO",IF(P530="低",4,IF(P530="中",5,7)),IF(J530="EQ",IF(P530="低",3,IF(P530="中",4,6)),IF(J530="ILF",IF(P530="低",7,IF(P530="中",10,15)),IF(J530="EIF",IF(P530="低",5,IF(P530="中",7,10)),"不计算")))))*R530,"不计算")</f>
        <v/>
      </c>
      <c r="R530" s="172" t="n">
        <v>1</v>
      </c>
      <c r="S530" s="173">
        <f>调整因子!$F$13</f>
        <v/>
      </c>
      <c r="T530" s="93" t="n">
        <v>1</v>
      </c>
      <c r="U530" s="174">
        <f>IFERROR(Q530*S530,0)</f>
        <v/>
      </c>
      <c r="V530" s="174">
        <f>U530*T530</f>
        <v/>
      </c>
      <c r="W530" s="93" t="inlineStr">
        <is>
          <t>靶标资产表、靶标资产接收记录表</t>
        </is>
      </c>
      <c r="X530" s="98" t="n"/>
      <c r="Y530" s="93" t="inlineStr">
        <is>
          <t>靶标资产表{主键 id 、资产名称、资产类型 IP 地址、资产描述、最后更新时间}
靶标资产接收记录表{主键 id 、接收时间、接收来源、接收状态（成功/失败）、接收报文内容}</t>
        </is>
      </c>
      <c r="Z530" s="90" t="n"/>
      <c r="AA530" s="90" t="n"/>
      <c r="AB530" s="92" t="n"/>
      <c r="AC530" s="66" t="n"/>
    </row>
    <row r="531" customFormat="1" s="66">
      <c r="A531" s="72">
        <f>ROW()-1</f>
        <v/>
      </c>
      <c r="B531" s="175" t="n"/>
      <c r="C531" s="80" t="n">
        <v>2025</v>
      </c>
      <c r="D531" s="80" t="inlineStr">
        <is>
          <t>窦鹏岐</t>
        </is>
      </c>
      <c r="E531" s="81">
        <f>VLOOKUP(I531,'25年交付功能（不含废弃）'!A:A,1,FALSE)</f>
        <v/>
      </c>
      <c r="F531" s="175" t="n"/>
      <c r="G531" s="175" t="n"/>
      <c r="H531" s="82" t="inlineStr">
        <is>
          <t>靶标资产信息管理</t>
        </is>
      </c>
      <c r="I531" s="81" t="inlineStr">
        <is>
          <t>上报下载</t>
        </is>
      </c>
      <c r="J531" s="93" t="inlineStr">
        <is>
          <t>EO</t>
        </is>
      </c>
      <c r="K531" s="84" t="n"/>
      <c r="L531" s="84" t="n"/>
      <c r="M531" s="85">
        <f>IF(OR(Y531="估算法",Y531="算法类",Y531="无法识别"),"",IF(W531="",IF(OR(J531="EI",J531="EO",J531="EQ"),0,""),LEN(W531)-LEN(SUBSTITUTE(W531,"、",""))+1))</f>
        <v/>
      </c>
      <c r="N531" s="85">
        <f>IF(OR(Y531="估算法",Y531="算法类",Y531="无法识别"),"",IF(X531="",IF(OR(J531="ILF",J531="EIF"),0,""),LEN(X531)-LEN(SUBSTITUTE(X531,"、",""))+1))</f>
        <v/>
      </c>
      <c r="O531" s="85">
        <f>IF(OR(Y531="估算法",Y531="算法类",Y531="无法识别"),"",IF(Y531="",IF(OR(J531="ILF",J531="EIF",J531="EI",J531="EO",J531="EQ"),0,""),LEN(Y531)-LEN(SUBSTITUTE(SUBSTITUTE(SUBSTITUTE(SUBSTITUTE(SUBSTITUTE(Y531,"|}","--"),"{|","--"),CHAR(10),""),"、",""),"|",""))+IF(AND(OR(J531="EI",J531="EO",J531="EQ"),$AE$1="NESMA"),2,1)))</f>
        <v/>
      </c>
      <c r="P531" s="86">
        <f>IF(J531="EI",IF(OR(Y531="估算法",Y531="算法类"),"中",IF(Y531="无法识别","低",IF(M531&lt;2,IF(O531&lt;16,"低","中"),IF(M531&lt;3,IF(O531&lt;5,"低",IF(O531&lt;16,"中","高")),IF(O531&lt;5,"中","高"))))),IF(OR(J531="EO",J531="EQ"),IF(OR(Y531="估算法",Y531="算法类"),"中",IF(Y531="无法识别","低",IF(M531&lt;2,IF(O531&lt;20,"低","中"),IF(M531&lt;4,IF(O531&lt;6,"低",IF(O531&lt;20,"中","高")),IF(O531&lt;6,"中","高"))))),IF(OR(J531="ILF",J531="EIF"),IF(OR(Y531="估算法",Y531="算法类",Y531="无法识别"),"低",IF(N531&lt;2,IF(O531&lt;51,"低","中"),IF(N531&lt;6,IF(O531&lt;20,"低",IF(O531&lt;51,"中","高")),IF(O531&lt;20,"中","高")))),"不计算")))</f>
        <v/>
      </c>
      <c r="Q531" s="172">
        <f>IFERROR(IF(J531="EI",IF(P531="低",3,IF(P531="中",4,6)),IF(J531="EO",IF(P531="低",4,IF(P531="中",5,7)),IF(J531="EQ",IF(P531="低",3,IF(P531="中",4,6)),IF(J531="ILF",IF(P531="低",7,IF(P531="中",10,15)),IF(J531="EIF",IF(P531="低",5,IF(P531="中",7,10)),"不计算")))))*R531,"不计算")</f>
        <v/>
      </c>
      <c r="R531" s="172" t="n">
        <v>1</v>
      </c>
      <c r="S531" s="173">
        <f>调整因子!$F$13</f>
        <v/>
      </c>
      <c r="T531" s="92" t="n">
        <v>1</v>
      </c>
      <c r="U531" s="174">
        <f>IFERROR(Q531*S531,0)</f>
        <v/>
      </c>
      <c r="V531" s="174">
        <f>U531*T531</f>
        <v/>
      </c>
      <c r="W531" s="93" t="inlineStr">
        <is>
          <t>靶标资产表</t>
        </is>
      </c>
      <c r="X531" s="98" t="n"/>
      <c r="Y531" s="93" t="inlineStr">
        <is>
          <t>靶标资产表{主键 id 、资产名称、资产类型 IP 地址、资产描述、最后更新时间}</t>
        </is>
      </c>
      <c r="Z531" s="90" t="n"/>
      <c r="AA531" s="90" t="n"/>
      <c r="AB531" s="92" t="n"/>
      <c r="AC531" s="66" t="n"/>
    </row>
    <row r="532" customFormat="1" s="66">
      <c r="A532" s="72">
        <f>ROW()-1</f>
        <v/>
      </c>
      <c r="B532" s="175" t="n"/>
      <c r="C532" s="80" t="n">
        <v>2025</v>
      </c>
      <c r="D532" s="80" t="inlineStr">
        <is>
          <t>窦鹏岐</t>
        </is>
      </c>
      <c r="E532" s="81">
        <f>VLOOKUP(I532,'25年交付功能（不含废弃）'!A:A,1,FALSE)</f>
        <v/>
      </c>
      <c r="F532" s="175" t="n"/>
      <c r="G532" s="175" t="n"/>
      <c r="H532" s="175" t="n"/>
      <c r="I532" s="81" t="inlineStr">
        <is>
          <t>导入靶标</t>
        </is>
      </c>
      <c r="J532" s="93" t="inlineStr">
        <is>
          <t>EI</t>
        </is>
      </c>
      <c r="K532" s="84" t="n"/>
      <c r="L532" s="84" t="n"/>
      <c r="M532" s="85">
        <f>IF(OR(Y532="估算法",Y532="算法类",Y532="无法识别"),"",IF(W532="",IF(OR(J532="EI",J532="EO",J532="EQ"),0,""),LEN(W532)-LEN(SUBSTITUTE(W532,"、",""))+1))</f>
        <v/>
      </c>
      <c r="N532" s="85">
        <f>IF(OR(Y532="估算法",Y532="算法类",Y532="无法识别"),"",IF(X532="",IF(OR(J532="ILF",J532="EIF"),0,""),LEN(X532)-LEN(SUBSTITUTE(X532,"、",""))+1))</f>
        <v/>
      </c>
      <c r="O532" s="85">
        <f>IF(OR(Y532="估算法",Y532="算法类",Y532="无法识别"),"",IF(Y532="",IF(OR(J532="ILF",J532="EIF",J532="EI",J532="EO",J532="EQ"),0,""),LEN(Y532)-LEN(SUBSTITUTE(SUBSTITUTE(SUBSTITUTE(SUBSTITUTE(SUBSTITUTE(Y532,"|}","--"),"{|","--"),CHAR(10),""),"、",""),"|",""))+IF(AND(OR(J532="EI",J532="EO",J532="EQ"),$AE$1="NESMA"),2,1)))</f>
        <v/>
      </c>
      <c r="P532" s="86">
        <f>IF(J532="EI",IF(OR(Y532="估算法",Y532="算法类"),"中",IF(Y532="无法识别","低",IF(M532&lt;2,IF(O532&lt;16,"低","中"),IF(M532&lt;3,IF(O532&lt;5,"低",IF(O532&lt;16,"中","高")),IF(O532&lt;5,"中","高"))))),IF(OR(J532="EO",J532="EQ"),IF(OR(Y532="估算法",Y532="算法类"),"中",IF(Y532="无法识别","低",IF(M532&lt;2,IF(O532&lt;20,"低","中"),IF(M532&lt;4,IF(O532&lt;6,"低",IF(O532&lt;20,"中","高")),IF(O532&lt;6,"中","高"))))),IF(OR(J532="ILF",J532="EIF"),IF(OR(Y532="估算法",Y532="算法类",Y532="无法识别"),"低",IF(N532&lt;2,IF(O532&lt;51,"低","中"),IF(N532&lt;6,IF(O532&lt;20,"低",IF(O532&lt;51,"中","高")),IF(O532&lt;20,"中","高")))),"不计算")))</f>
        <v/>
      </c>
      <c r="Q532" s="172">
        <f>IFERROR(IF(J532="EI",IF(P532="低",3,IF(P532="中",4,6)),IF(J532="EO",IF(P532="低",4,IF(P532="中",5,7)),IF(J532="EQ",IF(P532="低",3,IF(P532="中",4,6)),IF(J532="ILF",IF(P532="低",7,IF(P532="中",10,15)),IF(J532="EIF",IF(P532="低",5,IF(P532="中",7,10)),"不计算")))))*R532,"不计算")</f>
        <v/>
      </c>
      <c r="R532" s="172" t="n">
        <v>1</v>
      </c>
      <c r="S532" s="173">
        <f>调整因子!$F$13</f>
        <v/>
      </c>
      <c r="T532" s="92" t="n">
        <v>1</v>
      </c>
      <c r="U532" s="174">
        <f>IFERROR(Q532*S532,0)</f>
        <v/>
      </c>
      <c r="V532" s="174">
        <f>U532*T532</f>
        <v/>
      </c>
      <c r="W532" s="93" t="inlineStr">
        <is>
          <t>靶标资产表、靶标资产导入记录表、靶标资产同步记录表</t>
        </is>
      </c>
      <c r="X532" s="98" t="n"/>
      <c r="Y532" s="93" t="inlineStr">
        <is>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is>
      </c>
      <c r="Z532" s="90" t="n"/>
      <c r="AA532" s="90" t="n"/>
      <c r="AB532" s="92" t="n"/>
      <c r="AC532" s="66" t="n"/>
    </row>
    <row r="533" customFormat="1" s="66">
      <c r="A533" s="72">
        <f>ROW()-1</f>
        <v/>
      </c>
      <c r="B533" s="175" t="n"/>
      <c r="C533" s="80" t="n">
        <v>2025</v>
      </c>
      <c r="D533" s="80" t="inlineStr">
        <is>
          <t>窦鹏岐</t>
        </is>
      </c>
      <c r="E533" s="81">
        <f>VLOOKUP(I533,'25年交付功能（不含废弃）'!A:A,1,FALSE)</f>
        <v/>
      </c>
      <c r="F533" s="175" t="n"/>
      <c r="G533" s="175" t="n"/>
      <c r="H533" s="175" t="n"/>
      <c r="I533" s="81" t="inlineStr">
        <is>
          <t>导出靶标</t>
        </is>
      </c>
      <c r="J533" s="93" t="inlineStr">
        <is>
          <t>EO</t>
        </is>
      </c>
      <c r="K533" s="84" t="n"/>
      <c r="L533" s="84" t="n"/>
      <c r="M533" s="85">
        <f>IF(OR(Y533="估算法",Y533="算法类",Y533="无法识别"),"",IF(W533="",IF(OR(J533="EI",J533="EO",J533="EQ"),0,""),LEN(W533)-LEN(SUBSTITUTE(W533,"、",""))+1))</f>
        <v/>
      </c>
      <c r="N533" s="85">
        <f>IF(OR(Y533="估算法",Y533="算法类",Y533="无法识别"),"",IF(X533="",IF(OR(J533="ILF",J533="EIF"),0,""),LEN(X533)-LEN(SUBSTITUTE(X533,"、",""))+1))</f>
        <v/>
      </c>
      <c r="O533" s="85">
        <f>IF(OR(Y533="估算法",Y533="算法类",Y533="无法识别"),"",IF(Y533="",IF(OR(J533="ILF",J533="EIF",J533="EI",J533="EO",J533="EQ"),0,""),LEN(Y533)-LEN(SUBSTITUTE(SUBSTITUTE(SUBSTITUTE(SUBSTITUTE(SUBSTITUTE(Y533,"|}","--"),"{|","--"),CHAR(10),""),"、",""),"|",""))+IF(AND(OR(J533="EI",J533="EO",J533="EQ"),$AE$1="NESMA"),2,1)))</f>
        <v/>
      </c>
      <c r="P533" s="86">
        <f>IF(J533="EI",IF(OR(Y533="估算法",Y533="算法类"),"中",IF(Y533="无法识别","低",IF(M533&lt;2,IF(O533&lt;16,"低","中"),IF(M533&lt;3,IF(O533&lt;5,"低",IF(O533&lt;16,"中","高")),IF(O533&lt;5,"中","高"))))),IF(OR(J533="EO",J533="EQ"),IF(OR(Y533="估算法",Y533="算法类"),"中",IF(Y533="无法识别","低",IF(M533&lt;2,IF(O533&lt;20,"低","中"),IF(M533&lt;4,IF(O533&lt;6,"低",IF(O533&lt;20,"中","高")),IF(O533&lt;6,"中","高"))))),IF(OR(J533="ILF",J533="EIF"),IF(OR(Y533="估算法",Y533="算法类",Y533="无法识别"),"低",IF(N533&lt;2,IF(O533&lt;51,"低","中"),IF(N533&lt;6,IF(O533&lt;20,"低",IF(O533&lt;51,"中","高")),IF(O533&lt;20,"中","高")))),"不计算")))</f>
        <v/>
      </c>
      <c r="Q533" s="172">
        <f>IFERROR(IF(J533="EI",IF(P533="低",3,IF(P533="中",4,6)),IF(J533="EO",IF(P533="低",4,IF(P533="中",5,7)),IF(J533="EQ",IF(P533="低",3,IF(P533="中",4,6)),IF(J533="ILF",IF(P533="低",7,IF(P533="中",10,15)),IF(J533="EIF",IF(P533="低",5,IF(P533="中",7,10)),"不计算")))))*R533,"不计算")</f>
        <v/>
      </c>
      <c r="R533" s="172" t="n">
        <v>1</v>
      </c>
      <c r="S533" s="173">
        <f>调整因子!$F$13</f>
        <v/>
      </c>
      <c r="T533" s="93" t="n">
        <v>1</v>
      </c>
      <c r="U533" s="174">
        <f>IFERROR(Q533*S533,0)</f>
        <v/>
      </c>
      <c r="V533" s="174">
        <f>U533*T533</f>
        <v/>
      </c>
      <c r="W533" s="93" t="inlineStr">
        <is>
          <t>靶标资产表</t>
        </is>
      </c>
      <c r="X533" s="98" t="n"/>
      <c r="Y533" s="93" t="inlineStr">
        <is>
          <t>靶标资产表{主键 id 、资产名称、资产类型 IP 地址、资产描述、最后更新时间}</t>
        </is>
      </c>
      <c r="Z533" s="90" t="n"/>
      <c r="AA533" s="90" t="n"/>
      <c r="AB533" s="92" t="n"/>
      <c r="AC533" s="66" t="n"/>
    </row>
    <row r="534" customFormat="1" s="66">
      <c r="A534" s="72">
        <f>ROW()-1</f>
        <v/>
      </c>
      <c r="B534" s="175" t="n"/>
      <c r="C534" s="80" t="n">
        <v>2025</v>
      </c>
      <c r="D534" s="80" t="inlineStr">
        <is>
          <t>窦鹏岐</t>
        </is>
      </c>
      <c r="E534" s="81">
        <f>VLOOKUP(I534,'25年交付功能（不含废弃）'!A:A,1,FALSE)</f>
        <v/>
      </c>
      <c r="F534" s="175" t="n"/>
      <c r="G534" s="175" t="n"/>
      <c r="H534" s="175" t="n"/>
      <c r="I534" s="81" t="inlineStr">
        <is>
          <t>查看靶标</t>
        </is>
      </c>
      <c r="J534" s="93" t="inlineStr">
        <is>
          <t>EQ</t>
        </is>
      </c>
      <c r="K534" s="84" t="n"/>
      <c r="L534" s="84" t="n"/>
      <c r="M534" s="85">
        <f>IF(OR(Y534="估算法",Y534="算法类",Y534="无法识别"),"",IF(W534="",IF(OR(J534="EI",J534="EO",J534="EQ"),0,""),LEN(W534)-LEN(SUBSTITUTE(W534,"、",""))+1))</f>
        <v/>
      </c>
      <c r="N534" s="85">
        <f>IF(OR(Y534="估算法",Y534="算法类",Y534="无法识别"),"",IF(X534="",IF(OR(J534="ILF",J534="EIF"),0,""),LEN(X534)-LEN(SUBSTITUTE(X534,"、",""))+1))</f>
        <v/>
      </c>
      <c r="O534" s="85">
        <f>IF(OR(Y534="估算法",Y534="算法类",Y534="无法识别"),"",IF(Y534="",IF(OR(J534="ILF",J534="EIF",J534="EI",J534="EO",J534="EQ"),0,""),LEN(Y534)-LEN(SUBSTITUTE(SUBSTITUTE(SUBSTITUTE(SUBSTITUTE(SUBSTITUTE(Y534,"|}","--"),"{|","--"),CHAR(10),""),"、",""),"|",""))+IF(AND(OR(J534="EI",J534="EO",J534="EQ"),$AE$1="NESMA"),2,1)))</f>
        <v/>
      </c>
      <c r="P534" s="86">
        <f>IF(J534="EI",IF(OR(Y534="估算法",Y534="算法类"),"中",IF(Y534="无法识别","低",IF(M534&lt;2,IF(O534&lt;16,"低","中"),IF(M534&lt;3,IF(O534&lt;5,"低",IF(O534&lt;16,"中","高")),IF(O534&lt;5,"中","高"))))),IF(OR(J534="EO",J534="EQ"),IF(OR(Y534="估算法",Y534="算法类"),"中",IF(Y534="无法识别","低",IF(M534&lt;2,IF(O534&lt;20,"低","中"),IF(M534&lt;4,IF(O534&lt;6,"低",IF(O534&lt;20,"中","高")),IF(O534&lt;6,"中","高"))))),IF(OR(J534="ILF",J534="EIF"),IF(OR(Y534="估算法",Y534="算法类",Y534="无法识别"),"低",IF(N534&lt;2,IF(O534&lt;51,"低","中"),IF(N534&lt;6,IF(O534&lt;20,"低",IF(O534&lt;51,"中","高")),IF(O534&lt;20,"中","高")))),"不计算")))</f>
        <v/>
      </c>
      <c r="Q534" s="172">
        <f>IFERROR(IF(J534="EI",IF(P534="低",3,IF(P534="中",4,6)),IF(J534="EO",IF(P534="低",4,IF(P534="中",5,7)),IF(J534="EQ",IF(P534="低",3,IF(P534="中",4,6)),IF(J534="ILF",IF(P534="低",7,IF(P534="中",10,15)),IF(J534="EIF",IF(P534="低",5,IF(P534="中",7,10)),"不计算")))))*R534,"不计算")</f>
        <v/>
      </c>
      <c r="R534" s="172" t="n">
        <v>1</v>
      </c>
      <c r="S534" s="173">
        <f>调整因子!$F$13</f>
        <v/>
      </c>
      <c r="T534" s="92" t="n">
        <v>1</v>
      </c>
      <c r="U534" s="174">
        <f>IFERROR(Q534*S534,0)</f>
        <v/>
      </c>
      <c r="V534" s="174">
        <f>U534*T534</f>
        <v/>
      </c>
      <c r="W534" s="93" t="inlineStr">
        <is>
          <t>靶标资产表</t>
        </is>
      </c>
      <c r="X534" s="98" t="n"/>
      <c r="Y534" s="93" t="inlineStr">
        <is>
          <t>靶标资产表{主键 id 、资产名称、资产类型 IP 地址、资产描述、最后更新时间}</t>
        </is>
      </c>
      <c r="Z534" s="90" t="n"/>
      <c r="AA534" s="90" t="n"/>
      <c r="AB534" s="92" t="n"/>
      <c r="AC534" s="66" t="n"/>
    </row>
    <row r="535" customFormat="1" s="66">
      <c r="A535" s="72">
        <f>ROW()-1</f>
        <v/>
      </c>
      <c r="B535" s="175" t="n"/>
      <c r="C535" s="80" t="n">
        <v>2025</v>
      </c>
      <c r="D535" s="80" t="inlineStr">
        <is>
          <t>窦鹏岐</t>
        </is>
      </c>
      <c r="E535" s="81">
        <f>VLOOKUP(I535,'25年交付功能（不含废弃）'!A:A,1,FALSE)</f>
        <v/>
      </c>
      <c r="F535" s="175" t="n"/>
      <c r="G535" s="175" t="n"/>
      <c r="H535" s="176" t="n"/>
      <c r="I535" s="81" t="inlineStr">
        <is>
          <t>编辑靶标</t>
        </is>
      </c>
      <c r="J535" s="93" t="inlineStr">
        <is>
          <t>EI</t>
        </is>
      </c>
      <c r="K535" s="84" t="n"/>
      <c r="L535" s="84" t="n"/>
      <c r="M535" s="85">
        <f>IF(OR(Y535="估算法",Y535="算法类",Y535="无法识别"),"",IF(W535="",IF(OR(J535="EI",J535="EO",J535="EQ"),0,""),LEN(W535)-LEN(SUBSTITUTE(W535,"、",""))+1))</f>
        <v/>
      </c>
      <c r="N535" s="85">
        <f>IF(OR(Y535="估算法",Y535="算法类",Y535="无法识别"),"",IF(X535="",IF(OR(J535="ILF",J535="EIF"),0,""),LEN(X535)-LEN(SUBSTITUTE(X535,"、",""))+1))</f>
        <v/>
      </c>
      <c r="O535" s="85">
        <f>IF(OR(Y535="估算法",Y535="算法类",Y535="无法识别"),"",IF(Y535="",IF(OR(J535="ILF",J535="EIF",J535="EI",J535="EO",J535="EQ"),0,""),LEN(Y535)-LEN(SUBSTITUTE(SUBSTITUTE(SUBSTITUTE(SUBSTITUTE(SUBSTITUTE(Y535,"|}","--"),"{|","--"),CHAR(10),""),"、",""),"|",""))+IF(AND(OR(J535="EI",J535="EO",J535="EQ"),$AE$1="NESMA"),2,1)))</f>
        <v/>
      </c>
      <c r="P535" s="86">
        <f>IF(J535="EI",IF(OR(Y535="估算法",Y535="算法类"),"中",IF(Y535="无法识别","低",IF(M535&lt;2,IF(O535&lt;16,"低","中"),IF(M535&lt;3,IF(O535&lt;5,"低",IF(O535&lt;16,"中","高")),IF(O535&lt;5,"中","高"))))),IF(OR(J535="EO",J535="EQ"),IF(OR(Y535="估算法",Y535="算法类"),"中",IF(Y535="无法识别","低",IF(M535&lt;2,IF(O535&lt;20,"低","中"),IF(M535&lt;4,IF(O535&lt;6,"低",IF(O535&lt;20,"中","高")),IF(O535&lt;6,"中","高"))))),IF(OR(J535="ILF",J535="EIF"),IF(OR(Y535="估算法",Y535="算法类",Y535="无法识别"),"低",IF(N535&lt;2,IF(O535&lt;51,"低","中"),IF(N535&lt;6,IF(O535&lt;20,"低",IF(O535&lt;51,"中","高")),IF(O535&lt;20,"中","高")))),"不计算")))</f>
        <v/>
      </c>
      <c r="Q535" s="172">
        <f>IFERROR(IF(J535="EI",IF(P535="低",3,IF(P535="中",4,6)),IF(J535="EO",IF(P535="低",4,IF(P535="中",5,7)),IF(J535="EQ",IF(P535="低",3,IF(P535="中",4,6)),IF(J535="ILF",IF(P535="低",7,IF(P535="中",10,15)),IF(J535="EIF",IF(P535="低",5,IF(P535="中",7,10)),"不计算")))))*R535,"不计算")</f>
        <v/>
      </c>
      <c r="R535" s="172" t="n">
        <v>1</v>
      </c>
      <c r="S535" s="173">
        <f>调整因子!$F$13</f>
        <v/>
      </c>
      <c r="T535" s="92" t="n">
        <v>1</v>
      </c>
      <c r="U535" s="174">
        <f>IFERROR(Q535*S535,0)</f>
        <v/>
      </c>
      <c r="V535" s="174">
        <f>U535*T535</f>
        <v/>
      </c>
      <c r="W535" s="93" t="inlineStr">
        <is>
          <t>靶标资产表、靶标资产修改记录表</t>
        </is>
      </c>
      <c r="X535" s="98" t="n"/>
      <c r="Y535" s="93" t="inlineStr">
        <is>
          <t>靶标资产表{主键 id 、资产名称、资产类型 IP 地址、资产描述、最后更新时间}
靶标资产修改记录表{主键 id 、编辑时间、编辑人、编辑的资产 id、 编辑内容}</t>
        </is>
      </c>
      <c r="Z535" s="90" t="n"/>
      <c r="AA535" s="90" t="n"/>
      <c r="AB535" s="92" t="n"/>
      <c r="AC535" s="66" t="n"/>
    </row>
    <row r="536" customFormat="1" s="66">
      <c r="A536" s="72">
        <f>ROW()-1</f>
        <v/>
      </c>
      <c r="B536" s="175" t="n"/>
      <c r="C536" s="80" t="n">
        <v>2025</v>
      </c>
      <c r="D536" s="80" t="inlineStr">
        <is>
          <t>窦鹏岐</t>
        </is>
      </c>
      <c r="E536" s="81">
        <f>VLOOKUP(I536,'25年交付功能（不含废弃）'!A:A,1,FALSE)</f>
        <v/>
      </c>
      <c r="F536" s="175" t="n"/>
      <c r="G536" s="175" t="n"/>
      <c r="H536" s="82" t="inlineStr">
        <is>
          <t>漏洞攻防环境管理</t>
        </is>
      </c>
      <c r="I536" s="81" t="inlineStr">
        <is>
          <t>创建靶标环境</t>
        </is>
      </c>
      <c r="J536" s="93" t="inlineStr">
        <is>
          <t>EI</t>
        </is>
      </c>
      <c r="K536" s="84" t="n"/>
      <c r="L536" s="84" t="n"/>
      <c r="M536" s="85">
        <f>IF(OR(Y536="估算法",Y536="算法类",Y536="无法识别"),"",IF(W536="",IF(OR(J536="EI",J536="EO",J536="EQ"),0,""),LEN(W536)-LEN(SUBSTITUTE(W536,"、",""))+1))</f>
        <v/>
      </c>
      <c r="N536" s="85">
        <f>IF(OR(Y536="估算法",Y536="算法类",Y536="无法识别"),"",IF(X536="",IF(OR(J536="ILF",J536="EIF"),0,""),LEN(X536)-LEN(SUBSTITUTE(X536,"、",""))+1))</f>
        <v/>
      </c>
      <c r="O536" s="85">
        <f>IF(OR(Y536="估算法",Y536="算法类",Y536="无法识别"),"",IF(Y536="",IF(OR(J536="ILF",J536="EIF",J536="EI",J536="EO",J536="EQ"),0,""),LEN(Y536)-LEN(SUBSTITUTE(SUBSTITUTE(SUBSTITUTE(SUBSTITUTE(SUBSTITUTE(Y536,"|}","--"),"{|","--"),CHAR(10),""),"、",""),"|",""))+IF(AND(OR(J536="EI",J536="EO",J536="EQ"),$AE$1="NESMA"),2,1)))</f>
        <v/>
      </c>
      <c r="P536" s="86">
        <f>IF(J536="EI",IF(OR(Y536="估算法",Y536="算法类"),"中",IF(Y536="无法识别","低",IF(M536&lt;2,IF(O536&lt;16,"低","中"),IF(M536&lt;3,IF(O536&lt;5,"低",IF(O536&lt;16,"中","高")),IF(O536&lt;5,"中","高"))))),IF(OR(J536="EO",J536="EQ"),IF(OR(Y536="估算法",Y536="算法类"),"中",IF(Y536="无法识别","低",IF(M536&lt;2,IF(O536&lt;20,"低","中"),IF(M536&lt;4,IF(O536&lt;6,"低",IF(O536&lt;20,"中","高")),IF(O536&lt;6,"中","高"))))),IF(OR(J536="ILF",J536="EIF"),IF(OR(Y536="估算法",Y536="算法类",Y536="无法识别"),"低",IF(N536&lt;2,IF(O536&lt;51,"低","中"),IF(N536&lt;6,IF(O536&lt;20,"低",IF(O536&lt;51,"中","高")),IF(O536&lt;20,"中","高")))),"不计算")))</f>
        <v/>
      </c>
      <c r="Q536" s="172">
        <f>IFERROR(IF(J536="EI",IF(P536="低",3,IF(P536="中",4,6)),IF(J536="EO",IF(P536="低",4,IF(P536="中",5,7)),IF(J536="EQ",IF(P536="低",3,IF(P536="中",4,6)),IF(J536="ILF",IF(P536="低",7,IF(P536="中",10,15)),IF(J536="EIF",IF(P536="低",5,IF(P536="中",7,10)),"不计算")))))*R536,"不计算")</f>
        <v/>
      </c>
      <c r="R536" s="172" t="n">
        <v>1</v>
      </c>
      <c r="S536" s="173">
        <f>调整因子!$F$13</f>
        <v/>
      </c>
      <c r="T536" s="93" t="n">
        <v>1</v>
      </c>
      <c r="U536" s="174">
        <f>IFERROR(Q536*S536,0)</f>
        <v/>
      </c>
      <c r="V536" s="174">
        <f>U536*T536</f>
        <v/>
      </c>
      <c r="W536" s="93" t="inlineStr">
        <is>
          <t>靶标资产表、靶标环境调整记录表</t>
        </is>
      </c>
      <c r="X536" s="98" t="n"/>
      <c r="Y536" s="93" t="inlineStr">
        <is>
          <t>靶标资产表{主键 id 、资产名称、资产类型 IP 地址、资产描述、最后更新时间}
靶标环境调整记录表{主键 id 、调整时间、调整人、调整的环境 id 、调整内容、调整前状态、调整后状态}</t>
        </is>
      </c>
      <c r="Z536" s="90" t="n"/>
      <c r="AA536" s="90" t="n"/>
      <c r="AB536" s="92" t="n"/>
      <c r="AC536" s="66" t="n"/>
    </row>
    <row r="537" customFormat="1" s="66">
      <c r="A537" s="72">
        <f>ROW()-1</f>
        <v/>
      </c>
      <c r="B537" s="175" t="n"/>
      <c r="C537" s="80" t="n">
        <v>2025</v>
      </c>
      <c r="D537" s="80" t="inlineStr">
        <is>
          <t>窦鹏岐</t>
        </is>
      </c>
      <c r="E537" s="81">
        <f>VLOOKUP(I537,'25年交付功能（不含废弃）'!A:A,1,FALSE)</f>
        <v/>
      </c>
      <c r="F537" s="175" t="n"/>
      <c r="G537" s="175" t="n"/>
      <c r="H537" s="175" t="n"/>
      <c r="I537" s="81" t="inlineStr">
        <is>
          <t>调整靶标环境</t>
        </is>
      </c>
      <c r="J537" s="93" t="inlineStr">
        <is>
          <t>EI</t>
        </is>
      </c>
      <c r="K537" s="84" t="n"/>
      <c r="L537" s="84" t="n"/>
      <c r="M537" s="85">
        <f>IF(OR(Y537="估算法",Y537="算法类",Y537="无法识别"),"",IF(W537="",IF(OR(J537="EI",J537="EO",J537="EQ"),0,""),LEN(W537)-LEN(SUBSTITUTE(W537,"、",""))+1))</f>
        <v/>
      </c>
      <c r="N537" s="85">
        <f>IF(OR(Y537="估算法",Y537="算法类",Y537="无法识别"),"",IF(X537="",IF(OR(J537="ILF",J537="EIF"),0,""),LEN(X537)-LEN(SUBSTITUTE(X537,"、",""))+1))</f>
        <v/>
      </c>
      <c r="O537" s="85">
        <f>IF(OR(Y537="估算法",Y537="算法类",Y537="无法识别"),"",IF(Y537="",IF(OR(J537="ILF",J537="EIF",J537="EI",J537="EO",J537="EQ"),0,""),LEN(Y537)-LEN(SUBSTITUTE(SUBSTITUTE(SUBSTITUTE(SUBSTITUTE(SUBSTITUTE(Y537,"|}","--"),"{|","--"),CHAR(10),""),"、",""),"|",""))+IF(AND(OR(J537="EI",J537="EO",J537="EQ"),$AE$1="NESMA"),2,1)))</f>
        <v/>
      </c>
      <c r="P537" s="86">
        <f>IF(J537="EI",IF(OR(Y537="估算法",Y537="算法类"),"中",IF(Y537="无法识别","低",IF(M537&lt;2,IF(O537&lt;16,"低","中"),IF(M537&lt;3,IF(O537&lt;5,"低",IF(O537&lt;16,"中","高")),IF(O537&lt;5,"中","高"))))),IF(OR(J537="EO",J537="EQ"),IF(OR(Y537="估算法",Y537="算法类"),"中",IF(Y537="无法识别","低",IF(M537&lt;2,IF(O537&lt;20,"低","中"),IF(M537&lt;4,IF(O537&lt;6,"低",IF(O537&lt;20,"中","高")),IF(O537&lt;6,"中","高"))))),IF(OR(J537="ILF",J537="EIF"),IF(OR(Y537="估算法",Y537="算法类",Y537="无法识别"),"低",IF(N537&lt;2,IF(O537&lt;51,"低","中"),IF(N537&lt;6,IF(O537&lt;20,"低",IF(O537&lt;51,"中","高")),IF(O537&lt;20,"中","高")))),"不计算")))</f>
        <v/>
      </c>
      <c r="Q537" s="172">
        <f>IFERROR(IF(J537="EI",IF(P537="低",3,IF(P537="中",4,6)),IF(J537="EO",IF(P537="低",4,IF(P537="中",5,7)),IF(J537="EQ",IF(P537="低",3,IF(P537="中",4,6)),IF(J537="ILF",IF(P537="低",7,IF(P537="中",10,15)),IF(J537="EIF",IF(P537="低",5,IF(P537="中",7,10)),"不计算")))))*R537,"不计算")</f>
        <v/>
      </c>
      <c r="R537" s="172" t="n">
        <v>1</v>
      </c>
      <c r="S537" s="173">
        <f>调整因子!$F$13</f>
        <v/>
      </c>
      <c r="T537" s="92" t="n">
        <v>1</v>
      </c>
      <c r="U537" s="174">
        <f>IFERROR(Q537*S537,0)</f>
        <v/>
      </c>
      <c r="V537" s="174">
        <f>U537*T537</f>
        <v/>
      </c>
      <c r="W537" s="93" t="inlineStr">
        <is>
          <t>靶标资产表、靶标环境调整记录表</t>
        </is>
      </c>
      <c r="X537" s="98" t="n"/>
      <c r="Y537" s="93" t="inlineStr">
        <is>
          <t>靶标资产表{主键 id 、资产名称、资产类型 IP 地址、资产描述、最后更新时间}
靶标环境调整记录表{主键 id 、调整时间、调整人、调整的环境 id 、调整内容、调整前状态、调整后状态}</t>
        </is>
      </c>
      <c r="Z537" s="90" t="n"/>
      <c r="AA537" s="90" t="n"/>
      <c r="AB537" s="92" t="n"/>
      <c r="AC537" s="66" t="n"/>
    </row>
    <row r="538" customFormat="1" s="66">
      <c r="A538" s="72">
        <f>ROW()-1</f>
        <v/>
      </c>
      <c r="B538" s="175" t="n"/>
      <c r="C538" s="80" t="n">
        <v>2025</v>
      </c>
      <c r="D538" s="80" t="inlineStr">
        <is>
          <t>窦鹏岐</t>
        </is>
      </c>
      <c r="E538" s="81">
        <f>VLOOKUP(I538,'25年交付功能（不含废弃）'!A:A,1,FALSE)</f>
        <v/>
      </c>
      <c r="F538" s="175" t="n"/>
      <c r="G538" s="175" t="n"/>
      <c r="H538" s="175" t="n"/>
      <c r="I538" s="81" t="inlineStr">
        <is>
          <t>靶标资产表</t>
        </is>
      </c>
      <c r="J538" s="98" t="inlineStr">
        <is>
          <t>ILF</t>
        </is>
      </c>
      <c r="K538" s="84" t="n"/>
      <c r="L538" s="84" t="n"/>
      <c r="M538" s="85">
        <f>IF(OR(Y538="估算法",Y538="算法类",Y538="无法识别"),"",IF(W538="",IF(OR(J538="EI",J538="EO",J538="EQ"),0,""),LEN(W538)-LEN(SUBSTITUTE(W538,"、",""))+1))</f>
        <v/>
      </c>
      <c r="N538" s="85">
        <f>IF(OR(Y538="估算法",Y538="算法类",Y538="无法识别"),"",IF(X538="",IF(OR(J538="ILF",J538="EIF"),0,""),LEN(X538)-LEN(SUBSTITUTE(X538,"、",""))+1))</f>
        <v/>
      </c>
      <c r="O538" s="85">
        <f>IF(OR(Y538="估算法",Y538="算法类",Y538="无法识别"),"",IF(Y538="",IF(OR(J538="ILF",J538="EIF",J538="EI",J538="EO",J538="EQ"),0,""),LEN(Y538)-LEN(SUBSTITUTE(SUBSTITUTE(SUBSTITUTE(SUBSTITUTE(SUBSTITUTE(Y538,"|}","--"),"{|","--"),CHAR(10),""),"、",""),"|",""))+IF(AND(OR(J538="EI",J538="EO",J538="EQ"),$AE$1="NESMA"),2,1)))</f>
        <v/>
      </c>
      <c r="P538" s="86">
        <f>IF(J538="EI",IF(OR(Y538="估算法",Y538="算法类"),"中",IF(Y538="无法识别","低",IF(M538&lt;2,IF(O538&lt;16,"低","中"),IF(M538&lt;3,IF(O538&lt;5,"低",IF(O538&lt;16,"中","高")),IF(O538&lt;5,"中","高"))))),IF(OR(J538="EO",J538="EQ"),IF(OR(Y538="估算法",Y538="算法类"),"中",IF(Y538="无法识别","低",IF(M538&lt;2,IF(O538&lt;20,"低","中"),IF(M538&lt;4,IF(O538&lt;6,"低",IF(O538&lt;20,"中","高")),IF(O538&lt;6,"中","高"))))),IF(OR(J538="ILF",J538="EIF"),IF(OR(Y538="估算法",Y538="算法类",Y538="无法识别"),"低",IF(N538&lt;2,IF(O538&lt;51,"低","中"),IF(N538&lt;6,IF(O538&lt;20,"低",IF(O538&lt;51,"中","高")),IF(O538&lt;20,"中","高")))),"不计算")))</f>
        <v/>
      </c>
      <c r="Q538" s="172">
        <f>IFERROR(IF(J538="EI",IF(P538="低",3,IF(P538="中",4,6)),IF(J538="EO",IF(P538="低",4,IF(P538="中",5,7)),IF(J538="EQ",IF(P538="低",3,IF(P538="中",4,6)),IF(J538="ILF",IF(P538="低",7,IF(P538="中",10,15)),IF(J538="EIF",IF(P538="低",5,IF(P538="中",7,10)),"不计算")))))*R538,"不计算")</f>
        <v/>
      </c>
      <c r="R538" s="172" t="n">
        <v>1</v>
      </c>
      <c r="S538" s="173">
        <f>调整因子!$F$13</f>
        <v/>
      </c>
      <c r="T538" s="92" t="n">
        <v>1</v>
      </c>
      <c r="U538" s="174">
        <f>IFERROR(Q538*S538,0)</f>
        <v/>
      </c>
      <c r="V538" s="174">
        <f>U538*T538</f>
        <v/>
      </c>
      <c r="W538" s="98" t="n"/>
      <c r="X538" s="93" t="inlineStr">
        <is>
          <t>靶标资产表</t>
        </is>
      </c>
      <c r="Y538" s="93" t="inlineStr">
        <is>
          <t>靶标资产表{主键 id 、资产名称、资产类型 IP 地址、资产描述、最后更新时间}</t>
        </is>
      </c>
      <c r="Z538" s="90">
        <f>IF(COUNTIFS(W:W,"*"&amp;I538&amp;"*")&gt;0,"存在","不存在")</f>
        <v/>
      </c>
      <c r="AA538" s="90">
        <f>IF(COUNTIFS(AB:AB,"*"&amp;I538&amp;"*")&gt;0,"存在","不存在")</f>
        <v/>
      </c>
      <c r="AB538" s="92" t="n"/>
      <c r="AC538" s="66" t="n"/>
    </row>
    <row r="539" customFormat="1" s="66">
      <c r="A539" s="72">
        <f>ROW()-1</f>
        <v/>
      </c>
      <c r="B539" s="175" t="n"/>
      <c r="C539" s="80" t="n">
        <v>2025</v>
      </c>
      <c r="D539" s="80" t="inlineStr">
        <is>
          <t>窦鹏岐</t>
        </is>
      </c>
      <c r="E539" s="81">
        <f>VLOOKUP(I539,'25年交付功能（不含废弃）'!A:A,1,FALSE)</f>
        <v/>
      </c>
      <c r="F539" s="175" t="n"/>
      <c r="G539" s="175" t="n"/>
      <c r="H539" s="175" t="n"/>
      <c r="I539" s="81" t="inlineStr">
        <is>
          <t>靶标资产同步记录表</t>
        </is>
      </c>
      <c r="J539" s="98" t="n"/>
      <c r="K539" s="84" t="n"/>
      <c r="L539" s="84" t="inlineStr">
        <is>
          <t>非ILF-流水</t>
        </is>
      </c>
      <c r="M539" s="85">
        <f>IF(OR(Y539="估算法",Y539="算法类",Y539="无法识别"),"",IF(W539="",IF(OR(J539="EI",J539="EO",J539="EQ"),0,""),LEN(W539)-LEN(SUBSTITUTE(W539,"、",""))+1))</f>
        <v/>
      </c>
      <c r="N539" s="85">
        <f>IF(OR(Y539="估算法",Y539="算法类",Y539="无法识别"),"",IF(X539="",IF(OR(J539="ILF",J539="EIF"),0,""),LEN(X539)-LEN(SUBSTITUTE(X539,"、",""))+1))</f>
        <v/>
      </c>
      <c r="O539" s="85">
        <f>IF(OR(Y539="估算法",Y539="算法类",Y539="无法识别"),"",IF(Y539="",IF(OR(J539="ILF",J539="EIF",J539="EI",J539="EO",J539="EQ"),0,""),LEN(Y539)-LEN(SUBSTITUTE(SUBSTITUTE(SUBSTITUTE(SUBSTITUTE(SUBSTITUTE(Y539,"|}","--"),"{|","--"),CHAR(10),""),"、",""),"|",""))+IF(AND(OR(J539="EI",J539="EO",J539="EQ"),$AE$1="NESMA"),2,1)))</f>
        <v/>
      </c>
      <c r="P539" s="86">
        <f>IF(J539="EI",IF(OR(Y539="估算法",Y539="算法类"),"中",IF(Y539="无法识别","低",IF(M539&lt;2,IF(O539&lt;16,"低","中"),IF(M539&lt;3,IF(O539&lt;5,"低",IF(O539&lt;16,"中","高")),IF(O539&lt;5,"中","高"))))),IF(OR(J539="EO",J539="EQ"),IF(OR(Y539="估算法",Y539="算法类"),"中",IF(Y539="无法识别","低",IF(M539&lt;2,IF(O539&lt;20,"低","中"),IF(M539&lt;4,IF(O539&lt;6,"低",IF(O539&lt;20,"中","高")),IF(O539&lt;6,"中","高"))))),IF(OR(J539="ILF",J539="EIF"),IF(OR(Y539="估算法",Y539="算法类",Y539="无法识别"),"低",IF(N539&lt;2,IF(O539&lt;51,"低","中"),IF(N539&lt;6,IF(O539&lt;20,"低",IF(O539&lt;51,"中","高")),IF(O539&lt;20,"中","高")))),"不计算")))</f>
        <v/>
      </c>
      <c r="Q539" s="172">
        <f>IFERROR(IF(J539="EI",IF(P539="低",3,IF(P539="中",4,6)),IF(J539="EO",IF(P539="低",4,IF(P539="中",5,7)),IF(J539="EQ",IF(P539="低",3,IF(P539="中",4,6)),IF(J539="ILF",IF(P539="低",7,IF(P539="中",10,15)),IF(J539="EIF",IF(P539="低",5,IF(P539="中",7,10)),"不计算")))))*R539,"不计算")</f>
        <v/>
      </c>
      <c r="R539" s="172" t="n">
        <v>1</v>
      </c>
      <c r="S539" s="173">
        <f>调整因子!$F$13</f>
        <v/>
      </c>
      <c r="T539" s="93" t="n">
        <v>1</v>
      </c>
      <c r="U539" s="174">
        <f>IFERROR(Q539*S539,0)</f>
        <v/>
      </c>
      <c r="V539" s="174">
        <f>U539*T539</f>
        <v/>
      </c>
      <c r="W539" s="98" t="n"/>
      <c r="X539" s="93" t="inlineStr">
        <is>
          <t>靶标资产同步记录表</t>
        </is>
      </c>
      <c r="Y539" s="93" t="inlineStr">
        <is>
          <t>靶标资产同步记录表{主键 id 、同步时间同步类型（上报/接收）、同步状态（成功/失败）、同步源、同步数量、同步目标}</t>
        </is>
      </c>
      <c r="Z539" s="90">
        <f>IF(COUNTIFS(W:W,"*"&amp;I539&amp;"*")&gt;0,"存在","不存在")</f>
        <v/>
      </c>
      <c r="AA539" s="90">
        <f>IF(COUNTIFS(AB:AB,"*"&amp;I539&amp;"*")&gt;0,"存在","不存在")</f>
        <v/>
      </c>
      <c r="AB539" s="115" t="n"/>
      <c r="AC539" s="66" t="n"/>
    </row>
    <row r="540" s="112">
      <c r="A540" s="72">
        <f>ROW()-1</f>
        <v/>
      </c>
      <c r="B540" s="175" t="n"/>
      <c r="C540" s="80" t="n">
        <v>2025</v>
      </c>
      <c r="D540" s="80" t="inlineStr">
        <is>
          <t>窦鹏岐</t>
        </is>
      </c>
      <c r="E540" s="81">
        <f>VLOOKUP(I540,'25年交付功能（不含废弃）'!A:A,1,FALSE)</f>
        <v/>
      </c>
      <c r="F540" s="175" t="n"/>
      <c r="G540" s="175" t="n"/>
      <c r="H540" s="175" t="n"/>
      <c r="I540" s="81" t="inlineStr">
        <is>
          <t>靶标资产接收记录表</t>
        </is>
      </c>
      <c r="J540" s="98" t="n"/>
      <c r="K540" s="84" t="n"/>
      <c r="L540" s="84" t="inlineStr">
        <is>
          <t>非ILF-流水</t>
        </is>
      </c>
      <c r="M540" s="85">
        <f>IF(OR(Y540="估算法",Y540="算法类",Y540="无法识别"),"",IF(W540="",IF(OR(J540="EI",J540="EO",J540="EQ"),0,""),LEN(W540)-LEN(SUBSTITUTE(W540,"、",""))+1))</f>
        <v/>
      </c>
      <c r="N540" s="85">
        <f>IF(OR(Y540="估算法",Y540="算法类",Y540="无法识别"),"",IF(X540="",IF(OR(J540="ILF",J540="EIF"),0,""),LEN(X540)-LEN(SUBSTITUTE(X540,"、",""))+1))</f>
        <v/>
      </c>
      <c r="O540" s="85">
        <f>IF(OR(Y540="估算法",Y540="算法类",Y540="无法识别"),"",IF(Y540="",IF(OR(J540="ILF",J540="EIF",J540="EI",J540="EO",J540="EQ"),0,""),LEN(Y540)-LEN(SUBSTITUTE(SUBSTITUTE(SUBSTITUTE(SUBSTITUTE(SUBSTITUTE(Y540,"|}","--"),"{|","--"),CHAR(10),""),"、",""),"|",""))+IF(AND(OR(J540="EI",J540="EO",J540="EQ"),$AE$1="NESMA"),2,1)))</f>
        <v/>
      </c>
      <c r="P540" s="86">
        <f>IF(J540="EI",IF(OR(Y540="估算法",Y540="算法类"),"中",IF(Y540="无法识别","低",IF(M540&lt;2,IF(O540&lt;16,"低","中"),IF(M540&lt;3,IF(O540&lt;5,"低",IF(O540&lt;16,"中","高")),IF(O540&lt;5,"中","高"))))),IF(OR(J540="EO",J540="EQ"),IF(OR(Y540="估算法",Y540="算法类"),"中",IF(Y540="无法识别","低",IF(M540&lt;2,IF(O540&lt;20,"低","中"),IF(M540&lt;4,IF(O540&lt;6,"低",IF(O540&lt;20,"中","高")),IF(O540&lt;6,"中","高"))))),IF(OR(J540="ILF",J540="EIF"),IF(OR(Y540="估算法",Y540="算法类",Y540="无法识别"),"低",IF(N540&lt;2,IF(O540&lt;51,"低","中"),IF(N540&lt;6,IF(O540&lt;20,"低",IF(O540&lt;51,"中","高")),IF(O540&lt;20,"中","高")))),"不计算")))</f>
        <v/>
      </c>
      <c r="Q540" s="172">
        <f>IFERROR(IF(J540="EI",IF(P540="低",3,IF(P540="中",4,6)),IF(J540="EO",IF(P540="低",4,IF(P540="中",5,7)),IF(J540="EQ",IF(P540="低",3,IF(P540="中",4,6)),IF(J540="ILF",IF(P540="低",7,IF(P540="中",10,15)),IF(J540="EIF",IF(P540="低",5,IF(P540="中",7,10)),"不计算")))))*R540,"不计算")</f>
        <v/>
      </c>
      <c r="R540" s="172" t="n">
        <v>1</v>
      </c>
      <c r="S540" s="173">
        <f>调整因子!$F$13</f>
        <v/>
      </c>
      <c r="T540" s="92" t="n">
        <v>1</v>
      </c>
      <c r="U540" s="174">
        <f>IFERROR(Q540*S540,0)</f>
        <v/>
      </c>
      <c r="V540" s="174">
        <f>U540*T540</f>
        <v/>
      </c>
      <c r="W540" s="98" t="n"/>
      <c r="X540" s="93" t="inlineStr">
        <is>
          <t>靶标资产接收记录表</t>
        </is>
      </c>
      <c r="Y540" s="93" t="inlineStr">
        <is>
          <t>靶标资产接收记录表{主键 id 、接收时间、接收来源、接收状态（成功/失败）、接收报文内容}</t>
        </is>
      </c>
      <c r="Z540" s="90">
        <f>IF(COUNTIFS(W:W,"*"&amp;I540&amp;"*")&gt;0,"存在","不存在")</f>
        <v/>
      </c>
      <c r="AA540" s="90">
        <f>IF(COUNTIFS(AB:AB,"*"&amp;I540&amp;"*")&gt;0,"存在","不存在")</f>
        <v/>
      </c>
      <c r="AB540" s="92" t="n"/>
    </row>
    <row r="541" s="112">
      <c r="A541" s="72">
        <f>ROW()-1</f>
        <v/>
      </c>
      <c r="B541" s="175" t="n"/>
      <c r="C541" s="80" t="n">
        <v>2025</v>
      </c>
      <c r="D541" s="80" t="inlineStr">
        <is>
          <t>窦鹏岐</t>
        </is>
      </c>
      <c r="E541" s="81">
        <f>VLOOKUP(I541,'25年交付功能（不含废弃）'!A:A,1,FALSE)</f>
        <v/>
      </c>
      <c r="F541" s="175" t="n"/>
      <c r="G541" s="175" t="n"/>
      <c r="H541" s="175" t="n"/>
      <c r="I541" s="81" t="inlineStr">
        <is>
          <t>靶标资产导入记录表</t>
        </is>
      </c>
      <c r="J541" s="98" t="n"/>
      <c r="K541" s="84" t="n"/>
      <c r="L541" s="84" t="inlineStr">
        <is>
          <t>非ILF-流水</t>
        </is>
      </c>
      <c r="M541" s="85">
        <f>IF(OR(Y541="估算法",Y541="算法类",Y541="无法识别"),"",IF(W541="",IF(OR(J541="EI",J541="EO",J541="EQ"),0,""),LEN(W541)-LEN(SUBSTITUTE(W541,"、",""))+1))</f>
        <v/>
      </c>
      <c r="N541" s="85">
        <f>IF(OR(Y541="估算法",Y541="算法类",Y541="无法识别"),"",IF(X541="",IF(OR(J541="ILF",J541="EIF"),0,""),LEN(X541)-LEN(SUBSTITUTE(X541,"、",""))+1))</f>
        <v/>
      </c>
      <c r="O541" s="85">
        <f>IF(OR(Y541="估算法",Y541="算法类",Y541="无法识别"),"",IF(Y541="",IF(OR(J541="ILF",J541="EIF",J541="EI",J541="EO",J541="EQ"),0,""),LEN(Y541)-LEN(SUBSTITUTE(SUBSTITUTE(SUBSTITUTE(SUBSTITUTE(SUBSTITUTE(Y541,"|}","--"),"{|","--"),CHAR(10),""),"、",""),"|",""))+IF(AND(OR(J541="EI",J541="EO",J541="EQ"),$AE$1="NESMA"),2,1)))</f>
        <v/>
      </c>
      <c r="P541" s="86">
        <f>IF(J541="EI",IF(OR(Y541="估算法",Y541="算法类"),"中",IF(Y541="无法识别","低",IF(M541&lt;2,IF(O541&lt;16,"低","中"),IF(M541&lt;3,IF(O541&lt;5,"低",IF(O541&lt;16,"中","高")),IF(O541&lt;5,"中","高"))))),IF(OR(J541="EO",J541="EQ"),IF(OR(Y541="估算法",Y541="算法类"),"中",IF(Y541="无法识别","低",IF(M541&lt;2,IF(O541&lt;20,"低","中"),IF(M541&lt;4,IF(O541&lt;6,"低",IF(O541&lt;20,"中","高")),IF(O541&lt;6,"中","高"))))),IF(OR(J541="ILF",J541="EIF"),IF(OR(Y541="估算法",Y541="算法类",Y541="无法识别"),"低",IF(N541&lt;2,IF(O541&lt;51,"低","中"),IF(N541&lt;6,IF(O541&lt;20,"低",IF(O541&lt;51,"中","高")),IF(O541&lt;20,"中","高")))),"不计算")))</f>
        <v/>
      </c>
      <c r="Q541" s="172">
        <f>IFERROR(IF(J541="EI",IF(P541="低",3,IF(P541="中",4,6)),IF(J541="EO",IF(P541="低",4,IF(P541="中",5,7)),IF(J541="EQ",IF(P541="低",3,IF(P541="中",4,6)),IF(J541="ILF",IF(P541="低",7,IF(P541="中",10,15)),IF(J541="EIF",IF(P541="低",5,IF(P541="中",7,10)),"不计算")))))*R541,"不计算")</f>
        <v/>
      </c>
      <c r="R541" s="172" t="n">
        <v>1</v>
      </c>
      <c r="S541" s="173">
        <f>调整因子!$F$13</f>
        <v/>
      </c>
      <c r="T541" s="92" t="n">
        <v>1</v>
      </c>
      <c r="U541" s="174">
        <f>IFERROR(Q541*S541,0)</f>
        <v/>
      </c>
      <c r="V541" s="174">
        <f>U541*T541</f>
        <v/>
      </c>
      <c r="W541" s="98" t="n"/>
      <c r="X541" s="93" t="inlineStr">
        <is>
          <t>靶标资产导入记录表</t>
        </is>
      </c>
      <c r="Y541" s="93" t="inlineStr">
        <is>
          <t>靶标资产导入记录表{主键 id 、导入时间、导入人、导入文件名、导入状态（成功/失败）}</t>
        </is>
      </c>
      <c r="Z541" s="90">
        <f>IF(COUNTIFS(W:W,"*"&amp;I541&amp;"*")&gt;0,"存在","不存在")</f>
        <v/>
      </c>
      <c r="AA541" s="90">
        <f>IF(COUNTIFS(AB:AB,"*"&amp;I541&amp;"*")&gt;0,"存在","不存在")</f>
        <v/>
      </c>
      <c r="AB541" s="115" t="n"/>
    </row>
    <row r="542" s="112">
      <c r="A542" s="72">
        <f>ROW()-1</f>
        <v/>
      </c>
      <c r="B542" s="175" t="n"/>
      <c r="C542" s="80" t="n">
        <v>2025</v>
      </c>
      <c r="D542" s="80" t="inlineStr">
        <is>
          <t>窦鹏岐</t>
        </is>
      </c>
      <c r="E542" s="81">
        <f>VLOOKUP(I542,'25年交付功能（不含废弃）'!A:A,1,FALSE)</f>
        <v/>
      </c>
      <c r="F542" s="175" t="n"/>
      <c r="G542" s="175" t="n"/>
      <c r="H542" s="175" t="n"/>
      <c r="I542" s="81" t="inlineStr">
        <is>
          <t>靶标环境调整记录表</t>
        </is>
      </c>
      <c r="J542" s="98" t="n"/>
      <c r="K542" s="84" t="n"/>
      <c r="L542" s="84" t="inlineStr">
        <is>
          <t>非ILF-流水</t>
        </is>
      </c>
      <c r="M542" s="85">
        <f>IF(OR(Y542="估算法",Y542="算法类",Y542="无法识别"),"",IF(W542="",IF(OR(J542="EI",J542="EO",J542="EQ"),0,""),LEN(W542)-LEN(SUBSTITUTE(W542,"、",""))+1))</f>
        <v/>
      </c>
      <c r="N542" s="85">
        <f>IF(OR(Y542="估算法",Y542="算法类",Y542="无法识别"),"",IF(X542="",IF(OR(J542="ILF",J542="EIF"),0,""),LEN(X542)-LEN(SUBSTITUTE(X542,"、",""))+1))</f>
        <v/>
      </c>
      <c r="O542" s="85">
        <f>IF(OR(Y542="估算法",Y542="算法类",Y542="无法识别"),"",IF(Y542="",IF(OR(J542="ILF",J542="EIF",J542="EI",J542="EO",J542="EQ"),0,""),LEN(Y542)-LEN(SUBSTITUTE(SUBSTITUTE(SUBSTITUTE(SUBSTITUTE(SUBSTITUTE(Y542,"|}","--"),"{|","--"),CHAR(10),""),"、",""),"|",""))+IF(AND(OR(J542="EI",J542="EO",J542="EQ"),$AE$1="NESMA"),2,1)))</f>
        <v/>
      </c>
      <c r="P542" s="86">
        <f>IF(J542="EI",IF(OR(Y542="估算法",Y542="算法类"),"中",IF(Y542="无法识别","低",IF(M542&lt;2,IF(O542&lt;16,"低","中"),IF(M542&lt;3,IF(O542&lt;5,"低",IF(O542&lt;16,"中","高")),IF(O542&lt;5,"中","高"))))),IF(OR(J542="EO",J542="EQ"),IF(OR(Y542="估算法",Y542="算法类"),"中",IF(Y542="无法识别","低",IF(M542&lt;2,IF(O542&lt;20,"低","中"),IF(M542&lt;4,IF(O542&lt;6,"低",IF(O542&lt;20,"中","高")),IF(O542&lt;6,"中","高"))))),IF(OR(J542="ILF",J542="EIF"),IF(OR(Y542="估算法",Y542="算法类",Y542="无法识别"),"低",IF(N542&lt;2,IF(O542&lt;51,"低","中"),IF(N542&lt;6,IF(O542&lt;20,"低",IF(O542&lt;51,"中","高")),IF(O542&lt;20,"中","高")))),"不计算")))</f>
        <v/>
      </c>
      <c r="Q542" s="172">
        <f>IFERROR(IF(J542="EI",IF(P542="低",3,IF(P542="中",4,6)),IF(J542="EO",IF(P542="低",4,IF(P542="中",5,7)),IF(J542="EQ",IF(P542="低",3,IF(P542="中",4,6)),IF(J542="ILF",IF(P542="低",7,IF(P542="中",10,15)),IF(J542="EIF",IF(P542="低",5,IF(P542="中",7,10)),"不计算")))))*R542,"不计算")</f>
        <v/>
      </c>
      <c r="R542" s="172" t="n">
        <v>1</v>
      </c>
      <c r="S542" s="173">
        <f>调整因子!$F$13</f>
        <v/>
      </c>
      <c r="T542" s="93" t="n">
        <v>1</v>
      </c>
      <c r="U542" s="174">
        <f>IFERROR(Q542*S542,0)</f>
        <v/>
      </c>
      <c r="V542" s="174">
        <f>U542*T542</f>
        <v/>
      </c>
      <c r="W542" s="98" t="n"/>
      <c r="X542" s="93" t="inlineStr">
        <is>
          <t>靶标环境调整记录表</t>
        </is>
      </c>
      <c r="Y542" s="93" t="inlineStr">
        <is>
          <t>靶标环境调整记录表{主键 id 、调整时间、调整人、调整的环境 id 、调整内容、调整前状态、调整后状态}</t>
        </is>
      </c>
      <c r="Z542" s="90">
        <f>IF(COUNTIFS(W:W,"*"&amp;I542&amp;"*")&gt;0,"存在","不存在")</f>
        <v/>
      </c>
      <c r="AA542" s="90">
        <f>IF(COUNTIFS(AB:AB,"*"&amp;I542&amp;"*")&gt;0,"存在","不存在")</f>
        <v/>
      </c>
      <c r="AB542" s="92" t="n"/>
    </row>
    <row r="543" s="112">
      <c r="A543" s="72">
        <f>ROW()-1</f>
        <v/>
      </c>
      <c r="B543" s="175" t="n"/>
      <c r="C543" s="80" t="n">
        <v>2025</v>
      </c>
      <c r="D543" s="80" t="inlineStr">
        <is>
          <t>窦鹏岐</t>
        </is>
      </c>
      <c r="E543" s="81">
        <f>VLOOKUP(I543,'25年交付功能（不含废弃）'!A:A,1,FALSE)</f>
        <v/>
      </c>
      <c r="F543" s="176" t="n"/>
      <c r="G543" s="176" t="n"/>
      <c r="H543" s="176" t="n"/>
      <c r="I543" s="81" t="inlineStr">
        <is>
          <t>靶标资产修改记录表</t>
        </is>
      </c>
      <c r="J543" s="98" t="n"/>
      <c r="K543" s="84" t="n"/>
      <c r="L543" s="84" t="inlineStr">
        <is>
          <t>非ILF-流水</t>
        </is>
      </c>
      <c r="M543" s="85">
        <f>IF(OR(Y543="估算法",Y543="算法类",Y543="无法识别"),"",IF(W543="",IF(OR(J543="EI",J543="EO",J543="EQ"),0,""),LEN(W543)-LEN(SUBSTITUTE(W543,"、",""))+1))</f>
        <v/>
      </c>
      <c r="N543" s="85">
        <f>IF(OR(Y543="估算法",Y543="算法类",Y543="无法识别"),"",IF(X543="",IF(OR(J543="ILF",J543="EIF"),0,""),LEN(X543)-LEN(SUBSTITUTE(X543,"、",""))+1))</f>
        <v/>
      </c>
      <c r="O543" s="85">
        <f>IF(OR(Y543="估算法",Y543="算法类",Y543="无法识别"),"",IF(Y543="",IF(OR(J543="ILF",J543="EIF",J543="EI",J543="EO",J543="EQ"),0,""),LEN(Y543)-LEN(SUBSTITUTE(SUBSTITUTE(SUBSTITUTE(SUBSTITUTE(SUBSTITUTE(Y543,"|}","--"),"{|","--"),CHAR(10),""),"、",""),"|",""))+IF(AND(OR(J543="EI",J543="EO",J543="EQ"),$AE$1="NESMA"),2,1)))</f>
        <v/>
      </c>
      <c r="P543" s="86">
        <f>IF(J543="EI",IF(OR(Y543="估算法",Y543="算法类"),"中",IF(Y543="无法识别","低",IF(M543&lt;2,IF(O543&lt;16,"低","中"),IF(M543&lt;3,IF(O543&lt;5,"低",IF(O543&lt;16,"中","高")),IF(O543&lt;5,"中","高"))))),IF(OR(J543="EO",J543="EQ"),IF(OR(Y543="估算法",Y543="算法类"),"中",IF(Y543="无法识别","低",IF(M543&lt;2,IF(O543&lt;20,"低","中"),IF(M543&lt;4,IF(O543&lt;6,"低",IF(O543&lt;20,"中","高")),IF(O543&lt;6,"中","高"))))),IF(OR(J543="ILF",J543="EIF"),IF(OR(Y543="估算法",Y543="算法类",Y543="无法识别"),"低",IF(N543&lt;2,IF(O543&lt;51,"低","中"),IF(N543&lt;6,IF(O543&lt;20,"低",IF(O543&lt;51,"中","高")),IF(O543&lt;20,"中","高")))),"不计算")))</f>
        <v/>
      </c>
      <c r="Q543" s="172">
        <f>IFERROR(IF(J543="EI",IF(P543="低",3,IF(P543="中",4,6)),IF(J543="EO",IF(P543="低",4,IF(P543="中",5,7)),IF(J543="EQ",IF(P543="低",3,IF(P543="中",4,6)),IF(J543="ILF",IF(P543="低",7,IF(P543="中",10,15)),IF(J543="EIF",IF(P543="低",5,IF(P543="中",7,10)),"不计算")))))*R543,"不计算")</f>
        <v/>
      </c>
      <c r="R543" s="172" t="n">
        <v>0.333333333333333</v>
      </c>
      <c r="S543" s="173">
        <f>调整因子!$F$13</f>
        <v/>
      </c>
      <c r="T543" s="92" t="n">
        <v>1</v>
      </c>
      <c r="U543" s="174">
        <f>IFERROR(Q543*S543,0)</f>
        <v/>
      </c>
      <c r="V543" s="174">
        <f>U543*T543</f>
        <v/>
      </c>
      <c r="W543" s="98" t="n"/>
      <c r="X543" s="93" t="inlineStr">
        <is>
          <t>靶标资产修改记录表</t>
        </is>
      </c>
      <c r="Y543" s="93" t="inlineStr">
        <is>
          <t>靶标资产修改记录表{主键 id 、编辑时间、编辑人、编辑的资产 id、 编辑内容}</t>
        </is>
      </c>
      <c r="Z543" s="90">
        <f>IF(COUNTIFS(W:W,"*"&amp;I543&amp;"*")&gt;0,"存在","不存在")</f>
        <v/>
      </c>
      <c r="AA543" s="90">
        <f>IF(COUNTIFS(AB:AB,"*"&amp;I543&amp;"*")&gt;0,"存在","不存在")</f>
        <v/>
      </c>
      <c r="AB543" s="115" t="n"/>
    </row>
    <row r="544" s="112">
      <c r="A544" s="72">
        <f>ROW()-1</f>
        <v/>
      </c>
      <c r="B544" s="175" t="n"/>
      <c r="C544" s="80" t="n">
        <v>2025</v>
      </c>
      <c r="D544" s="80" t="inlineStr">
        <is>
          <t>汤凤欣</t>
        </is>
      </c>
      <c r="E544" s="81">
        <f>VLOOKUP(I544,'25年交付功能（不含废弃）'!A:A,1,FALSE)</f>
        <v/>
      </c>
      <c r="F544" s="93" t="inlineStr">
        <is>
          <t>漏洞处置修复效果核验</t>
        </is>
      </c>
      <c r="G544" s="82" t="inlineStr">
        <is>
          <t>漏洞等效防护</t>
        </is>
      </c>
      <c r="H544" s="82" t="inlineStr">
        <is>
          <t>漏洞等效防护处置</t>
        </is>
      </c>
      <c r="I544" s="116" t="inlineStr">
        <is>
          <t>系统漏洞等效防护处置</t>
        </is>
      </c>
      <c r="J544" s="93" t="n"/>
      <c r="K544" s="84" t="n"/>
      <c r="L544" s="84" t="inlineStr">
        <is>
          <t>非事务功能，非用户感知或触发</t>
        </is>
      </c>
      <c r="M544" s="85">
        <f>IF(OR(Y544="估算法",Y544="算法类",Y544="无法识别"),"",IF(W544="",IF(OR(J544="EI",J544="EO",J544="EQ"),0,""),LEN(W544)-LEN(SUBSTITUTE(W544,"、",""))+1))</f>
        <v/>
      </c>
      <c r="N544" s="85">
        <f>IF(OR(Y544="估算法",Y544="算法类",Y544="无法识别"),"",IF(X544="",IF(OR(J544="ILF",J544="EIF"),0,""),LEN(X544)-LEN(SUBSTITUTE(X544,"、",""))+1))</f>
        <v/>
      </c>
      <c r="O544" s="85">
        <f>IF(OR(Y544="估算法",Y544="算法类",Y544="无法识别"),"",IF(Y544="",IF(OR(J544="ILF",J544="EIF",J544="EI",J544="EO",J544="EQ"),0,""),LEN(Y544)-LEN(SUBSTITUTE(SUBSTITUTE(SUBSTITUTE(SUBSTITUTE(SUBSTITUTE(Y544,"|}","--"),"{|","--"),CHAR(10),""),"、",""),"|",""))+IF(AND(OR(J544="EI",J544="EO",J544="EQ"),$AE$1="NESMA"),2,1)))</f>
        <v/>
      </c>
      <c r="P544" s="86">
        <f>IF(J544="EI",IF(OR(Y544="估算法",Y544="算法类"),"中",IF(Y544="无法识别","低",IF(M544&lt;2,IF(O544&lt;16,"低","中"),IF(M544&lt;3,IF(O544&lt;5,"低",IF(O544&lt;16,"中","高")),IF(O544&lt;5,"中","高"))))),IF(OR(J544="EO",J544="EQ"),IF(OR(Y544="估算法",Y544="算法类"),"中",IF(Y544="无法识别","低",IF(M544&lt;2,IF(O544&lt;20,"低","中"),IF(M544&lt;4,IF(O544&lt;6,"低",IF(O544&lt;20,"中","高")),IF(O544&lt;6,"中","高"))))),IF(OR(J544="ILF",J544="EIF"),IF(OR(Y544="估算法",Y544="算法类",Y544="无法识别"),"低",IF(N544&lt;2,IF(O544&lt;51,"低","中"),IF(N544&lt;6,IF(O544&lt;20,"低",IF(O544&lt;51,"中","高")),IF(O544&lt;20,"中","高")))),"不计算")))</f>
        <v/>
      </c>
      <c r="Q544" s="172">
        <f>IFERROR(IF(J544="EI",IF(P544="低",3,IF(P544="中",4,6)),IF(J544="EO",IF(P544="低",4,IF(P544="中",5,7)),IF(J544="EQ",IF(P544="低",3,IF(P544="中",4,6)),IF(J544="ILF",IF(P544="低",7,IF(P544="中",10,15)),IF(J544="EIF",IF(P544="低",5,IF(P544="中",7,10)),"不计算")))))*R544,"不计算")</f>
        <v/>
      </c>
      <c r="R544" s="172" t="n">
        <v>1</v>
      </c>
      <c r="S544" s="173">
        <f>调整因子!$F$13</f>
        <v/>
      </c>
      <c r="T544" s="92" t="n">
        <v>1</v>
      </c>
      <c r="U544" s="174">
        <f>IFERROR(Q544*S544,0)</f>
        <v/>
      </c>
      <c r="V544" s="174">
        <f>U544*T544</f>
        <v/>
      </c>
      <c r="W544" s="90" t="inlineStr">
        <is>
          <t>防护处置接口文件</t>
        </is>
      </c>
      <c r="X544" s="91" t="n"/>
      <c r="Y544" s="90" t="inlineStr">
        <is>
          <t>防护处置接口文件{处置目标、端口、处置方式、防护时间|}</t>
        </is>
      </c>
      <c r="Z544" s="90" t="n"/>
      <c r="AA544" s="90" t="n"/>
      <c r="AB544" s="92" t="n"/>
    </row>
    <row r="545" s="112">
      <c r="A545" s="72">
        <f>ROW()-1</f>
        <v/>
      </c>
      <c r="B545" s="175" t="n"/>
      <c r="C545" s="80" t="n">
        <v>2025</v>
      </c>
      <c r="D545" s="80" t="inlineStr">
        <is>
          <t>汤凤欣</t>
        </is>
      </c>
      <c r="E545" s="81">
        <f>VLOOKUP(I545,'25年交付功能（不含废弃）'!A:A,1,FALSE)</f>
        <v/>
      </c>
      <c r="F545" s="175" t="n"/>
      <c r="G545" s="175" t="n"/>
      <c r="H545" s="176" t="n"/>
      <c r="I545" s="98" t="inlineStr">
        <is>
          <t>防护处置接口文件</t>
        </is>
      </c>
      <c r="J545" s="93" t="inlineStr">
        <is>
          <t>EIF</t>
        </is>
      </c>
      <c r="K545" s="84" t="n"/>
      <c r="L545" s="84" t="n"/>
      <c r="M545" s="85">
        <f>IF(OR(Y545="估算法",Y545="算法类",Y545="无法识别"),"",IF(W545="",IF(OR(J545="EI",J545="EO",J545="EQ"),0,""),LEN(W545)-LEN(SUBSTITUTE(W545,"、",""))+1))</f>
        <v/>
      </c>
      <c r="N545" s="85">
        <f>IF(OR(Y545="估算法",Y545="算法类",Y545="无法识别"),"",IF(X545="",IF(OR(J545="ILF",J545="EIF"),0,""),LEN(X545)-LEN(SUBSTITUTE(X545,"、",""))+1))</f>
        <v/>
      </c>
      <c r="O545" s="85">
        <f>IF(OR(Y545="估算法",Y545="算法类",Y545="无法识别"),"",IF(Y545="",IF(OR(J545="ILF",J545="EIF",J545="EI",J545="EO",J545="EQ"),0,""),LEN(Y545)-LEN(SUBSTITUTE(SUBSTITUTE(SUBSTITUTE(SUBSTITUTE(SUBSTITUTE(Y545,"|}","--"),"{|","--"),CHAR(10),""),"、",""),"|",""))+IF(AND(OR(J545="EI",J545="EO",J545="EQ"),$AE$1="NESMA"),2,1)))</f>
        <v/>
      </c>
      <c r="P545" s="86">
        <f>IF(J545="EI",IF(OR(Y545="估算法",Y545="算法类"),"中",IF(Y545="无法识别","低",IF(M545&lt;2,IF(O545&lt;16,"低","中"),IF(M545&lt;3,IF(O545&lt;5,"低",IF(O545&lt;16,"中","高")),IF(O545&lt;5,"中","高"))))),IF(OR(J545="EO",J545="EQ"),IF(OR(Y545="估算法",Y545="算法类"),"中",IF(Y545="无法识别","低",IF(M545&lt;2,IF(O545&lt;20,"低","中"),IF(M545&lt;4,IF(O545&lt;6,"低",IF(O545&lt;20,"中","高")),IF(O545&lt;6,"中","高"))))),IF(OR(J545="ILF",J545="EIF"),IF(OR(Y545="估算法",Y545="算法类",Y545="无法识别"),"低",IF(N545&lt;2,IF(O545&lt;51,"低","中"),IF(N545&lt;6,IF(O545&lt;20,"低",IF(O545&lt;51,"中","高")),IF(O545&lt;20,"中","高")))),"不计算")))</f>
        <v/>
      </c>
      <c r="Q545" s="172">
        <f>IFERROR(IF(J545="EI",IF(P545="低",3,IF(P545="中",4,6)),IF(J545="EO",IF(P545="低",4,IF(P545="中",5,7)),IF(J545="EQ",IF(P545="低",3,IF(P545="中",4,6)),IF(J545="ILF",IF(P545="低",7,IF(P545="中",10,15)),IF(J545="EIF",IF(P545="低",5,IF(P545="中",7,10)),"不计算")))))*R545,"不计算")</f>
        <v/>
      </c>
      <c r="R545" s="172" t="n">
        <v>1</v>
      </c>
      <c r="S545" s="173">
        <f>调整因子!$F$13</f>
        <v/>
      </c>
      <c r="T545" s="93" t="n">
        <v>1</v>
      </c>
      <c r="U545" s="174">
        <f>IFERROR(Q545*S545,0)</f>
        <v/>
      </c>
      <c r="V545" s="174">
        <f>U545*T545</f>
        <v/>
      </c>
      <c r="W545" s="91" t="n"/>
      <c r="X545" s="90" t="inlineStr">
        <is>
          <t>防护处置接口文件</t>
        </is>
      </c>
      <c r="Y545" s="90" t="inlineStr">
        <is>
          <t>防护处置接口文件{处置目标、端口、处置方式、防护时间|}</t>
        </is>
      </c>
      <c r="Z545" s="90">
        <f>IF(COUNTIFS(W:W,"*"&amp;I545&amp;"*")&gt;0,"存在","不存在")</f>
        <v/>
      </c>
      <c r="AA545" s="90">
        <f>IF(COUNTIFS(AB:AB,"*"&amp;I545&amp;"*")&gt;0,"存在","不存在")</f>
        <v/>
      </c>
      <c r="AB545" s="115" t="n"/>
    </row>
    <row r="546" s="112">
      <c r="A546" s="72">
        <f>ROW()-1</f>
        <v/>
      </c>
      <c r="B546" s="175" t="n"/>
      <c r="C546" s="80" t="n">
        <v>2025</v>
      </c>
      <c r="D546" s="80" t="inlineStr">
        <is>
          <t>汤凤欣</t>
        </is>
      </c>
      <c r="E546" s="81">
        <f>VLOOKUP(I546,'25年交付功能（不含废弃）'!A:A,1,FALSE)</f>
        <v/>
      </c>
      <c r="F546" s="175" t="n"/>
      <c r="G546" s="175" t="n"/>
      <c r="H546" s="82" t="inlineStr">
        <is>
          <t>等效防护策略配置</t>
        </is>
      </c>
      <c r="I546" s="116" t="inlineStr">
        <is>
          <t>配置漏洞等效防护策略</t>
        </is>
      </c>
      <c r="J546" s="93" t="inlineStr">
        <is>
          <t>EI</t>
        </is>
      </c>
      <c r="K546" s="84" t="n"/>
      <c r="L546" s="84" t="n"/>
      <c r="M546" s="85">
        <f>IF(OR(Y546="估算法",Y546="算法类",Y546="无法识别"),"",IF(W546="",IF(OR(J546="EI",J546="EO",J546="EQ"),0,""),LEN(W546)-LEN(SUBSTITUTE(W546,"、",""))+1))</f>
        <v/>
      </c>
      <c r="N546" s="85">
        <f>IF(OR(Y546="估算法",Y546="算法类",Y546="无法识别"),"",IF(X546="",IF(OR(J546="ILF",J546="EIF"),0,""),LEN(X546)-LEN(SUBSTITUTE(X546,"、",""))+1))</f>
        <v/>
      </c>
      <c r="O546" s="85">
        <f>IF(OR(Y546="估算法",Y546="算法类",Y546="无法识别"),"",IF(Y546="",IF(OR(J546="ILF",J546="EIF",J546="EI",J546="EO",J546="EQ"),0,""),LEN(Y546)-LEN(SUBSTITUTE(SUBSTITUTE(SUBSTITUTE(SUBSTITUTE(SUBSTITUTE(Y546,"|}","--"),"{|","--"),CHAR(10),""),"、",""),"|",""))+IF(AND(OR(J546="EI",J546="EO",J546="EQ"),$AE$1="NESMA"),2,1)))</f>
        <v/>
      </c>
      <c r="P546" s="86">
        <f>IF(J546="EI",IF(OR(Y546="估算法",Y546="算法类"),"中",IF(Y546="无法识别","低",IF(M546&lt;2,IF(O546&lt;16,"低","中"),IF(M546&lt;3,IF(O546&lt;5,"低",IF(O546&lt;16,"中","高")),IF(O546&lt;5,"中","高"))))),IF(OR(J546="EO",J546="EQ"),IF(OR(Y546="估算法",Y546="算法类"),"中",IF(Y546="无法识别","低",IF(M546&lt;2,IF(O546&lt;20,"低","中"),IF(M546&lt;4,IF(O546&lt;6,"低",IF(O546&lt;20,"中","高")),IF(O546&lt;6,"中","高"))))),IF(OR(J546="ILF",J546="EIF"),IF(OR(Y546="估算法",Y546="算法类",Y546="无法识别"),"低",IF(N546&lt;2,IF(O546&lt;51,"低","中"),IF(N546&lt;6,IF(O546&lt;20,"低",IF(O546&lt;51,"中","高")),IF(O546&lt;20,"中","高")))),"不计算")))</f>
        <v/>
      </c>
      <c r="Q546" s="172">
        <f>IFERROR(IF(J546="EI",IF(P546="低",3,IF(P546="中",4,6)),IF(J546="EO",IF(P546="低",4,IF(P546="中",5,7)),IF(J546="EQ",IF(P546="低",3,IF(P546="中",4,6)),IF(J546="ILF",IF(P546="低",7,IF(P546="中",10,15)),IF(J546="EIF",IF(P546="低",5,IF(P546="中",7,10)),"不计算")))))*R546,"不计算")</f>
        <v/>
      </c>
      <c r="R546" s="172" t="n">
        <v>1</v>
      </c>
      <c r="S546" s="173">
        <f>调整因子!$F$13</f>
        <v/>
      </c>
      <c r="T546" s="92" t="n">
        <v>1</v>
      </c>
      <c r="U546" s="174">
        <f>IFERROR(Q546*S546,0)</f>
        <v/>
      </c>
      <c r="V546" s="174">
        <f>U546*T546</f>
        <v/>
      </c>
      <c r="W546" s="90" t="inlineStr">
        <is>
          <t>等效防护策略数据表</t>
        </is>
      </c>
      <c r="X546" s="91" t="n"/>
      <c r="Y546" s="90" t="inlineStr">
        <is>
          <t>等效防护策略表{策略ID、策略名称、策略编码、业务场景编码、厂商、名称、型号、系统版本、规则包版本|}</t>
        </is>
      </c>
      <c r="Z546" s="90" t="n"/>
      <c r="AA546" s="90" t="n"/>
      <c r="AB546" s="92" t="n"/>
    </row>
    <row r="547" s="112">
      <c r="A547" s="72">
        <f>ROW()-1</f>
        <v/>
      </c>
      <c r="B547" s="175" t="n"/>
      <c r="C547" s="80" t="n">
        <v>2025</v>
      </c>
      <c r="D547" s="80" t="inlineStr">
        <is>
          <t>汤凤欣</t>
        </is>
      </c>
      <c r="E547" s="81">
        <f>VLOOKUP(I547,'25年交付功能（不含废弃）'!A:A,1,FALSE)</f>
        <v/>
      </c>
      <c r="F547" s="175" t="n"/>
      <c r="G547" s="175" t="n"/>
      <c r="H547" s="176" t="n"/>
      <c r="I547" s="98" t="inlineStr">
        <is>
          <t>等效防护策略数据表</t>
        </is>
      </c>
      <c r="J547" s="93" t="inlineStr">
        <is>
          <t>ILF</t>
        </is>
      </c>
      <c r="K547" s="84" t="n"/>
      <c r="L547" s="84" t="n"/>
      <c r="M547" s="85">
        <f>IF(OR(Y547="估算法",Y547="算法类",Y547="无法识别"),"",IF(W547="",IF(OR(J547="EI",J547="EO",J547="EQ"),0,""),LEN(W547)-LEN(SUBSTITUTE(W547,"、",""))+1))</f>
        <v/>
      </c>
      <c r="N547" s="85">
        <f>IF(OR(Y547="估算法",Y547="算法类",Y547="无法识别"),"",IF(X547="",IF(OR(J547="ILF",J547="EIF"),0,""),LEN(X547)-LEN(SUBSTITUTE(X547,"、",""))+1))</f>
        <v/>
      </c>
      <c r="O547" s="85">
        <f>IF(OR(Y547="估算法",Y547="算法类",Y547="无法识别"),"",IF(Y547="",IF(OR(J547="ILF",J547="EIF",J547="EI",J547="EO",J547="EQ"),0,""),LEN(Y547)-LEN(SUBSTITUTE(SUBSTITUTE(SUBSTITUTE(SUBSTITUTE(SUBSTITUTE(Y547,"|}","--"),"{|","--"),CHAR(10),""),"、",""),"|",""))+IF(AND(OR(J547="EI",J547="EO",J547="EQ"),$AE$1="NESMA"),2,1)))</f>
        <v/>
      </c>
      <c r="P547" s="86">
        <f>IF(J547="EI",IF(OR(Y547="估算法",Y547="算法类"),"中",IF(Y547="无法识别","低",IF(M547&lt;2,IF(O547&lt;16,"低","中"),IF(M547&lt;3,IF(O547&lt;5,"低",IF(O547&lt;16,"中","高")),IF(O547&lt;5,"中","高"))))),IF(OR(J547="EO",J547="EQ"),IF(OR(Y547="估算法",Y547="算法类"),"中",IF(Y547="无法识别","低",IF(M547&lt;2,IF(O547&lt;20,"低","中"),IF(M547&lt;4,IF(O547&lt;6,"低",IF(O547&lt;20,"中","高")),IF(O547&lt;6,"中","高"))))),IF(OR(J547="ILF",J547="EIF"),IF(OR(Y547="估算法",Y547="算法类",Y547="无法识别"),"低",IF(N547&lt;2,IF(O547&lt;51,"低","中"),IF(N547&lt;6,IF(O547&lt;20,"低",IF(O547&lt;51,"中","高")),IF(O547&lt;20,"中","高")))),"不计算")))</f>
        <v/>
      </c>
      <c r="Q547" s="172">
        <f>IFERROR(IF(J547="EI",IF(P547="低",3,IF(P547="中",4,6)),IF(J547="EO",IF(P547="低",4,IF(P547="中",5,7)),IF(J547="EQ",IF(P547="低",3,IF(P547="中",4,6)),IF(J547="ILF",IF(P547="低",7,IF(P547="中",10,15)),IF(J547="EIF",IF(P547="低",5,IF(P547="中",7,10)),"不计算")))))*R547,"不计算")</f>
        <v/>
      </c>
      <c r="R547" s="172" t="n">
        <v>1</v>
      </c>
      <c r="S547" s="173">
        <f>调整因子!$F$13</f>
        <v/>
      </c>
      <c r="T547" s="92" t="n">
        <v>1</v>
      </c>
      <c r="U547" s="174">
        <f>IFERROR(Q547*S547,0)</f>
        <v/>
      </c>
      <c r="V547" s="174">
        <f>U547*T547</f>
        <v/>
      </c>
      <c r="W547" s="91" t="n"/>
      <c r="X547" s="90" t="inlineStr">
        <is>
          <t>等效防护策略表</t>
        </is>
      </c>
      <c r="Y547" s="90" t="inlineStr">
        <is>
          <t>等效防护策略表{策略ID、策略名称、策略编码、业务场景编码、厂商、名称、型号、系统版本、规则包版本|}</t>
        </is>
      </c>
      <c r="Z547" s="90">
        <f>IF(COUNTIFS(W:W,"*"&amp;I547&amp;"*")&gt;0,"存在","不存在")</f>
        <v/>
      </c>
      <c r="AA547" s="90">
        <f>IF(COUNTIFS(AB:AB,"*"&amp;I547&amp;"*")&gt;0,"存在","不存在")</f>
        <v/>
      </c>
      <c r="AB547" s="115" t="n"/>
    </row>
    <row r="548" s="112">
      <c r="A548" s="72">
        <f>ROW()-1</f>
        <v/>
      </c>
      <c r="B548" s="175" t="n"/>
      <c r="C548" s="80" t="n">
        <v>2025</v>
      </c>
      <c r="D548" s="80" t="inlineStr">
        <is>
          <t>汤凤欣</t>
        </is>
      </c>
      <c r="E548" s="81">
        <f>VLOOKUP(I548,'25年交付功能（不含废弃）'!A:A,1,FALSE)</f>
        <v/>
      </c>
      <c r="F548" s="175" t="n"/>
      <c r="G548" s="175" t="n"/>
      <c r="H548" s="82" t="inlineStr">
        <is>
          <t>第三方安全设备接口配置</t>
        </is>
      </c>
      <c r="I548" s="116" t="inlineStr">
        <is>
          <t>修改处置接口配置</t>
        </is>
      </c>
      <c r="J548" s="93" t="inlineStr">
        <is>
          <t>EI</t>
        </is>
      </c>
      <c r="K548" s="84" t="n"/>
      <c r="L548" s="84" t="n"/>
      <c r="M548" s="85">
        <f>IF(OR(Y548="估算法",Y548="算法类",Y548="无法识别"),"",IF(W548="",IF(OR(J548="EI",J548="EO",J548="EQ"),0,""),LEN(W548)-LEN(SUBSTITUTE(W548,"、",""))+1))</f>
        <v/>
      </c>
      <c r="N548" s="85">
        <f>IF(OR(Y548="估算法",Y548="算法类",Y548="无法识别"),"",IF(X548="",IF(OR(J548="ILF",J548="EIF"),0,""),LEN(X548)-LEN(SUBSTITUTE(X548,"、",""))+1))</f>
        <v/>
      </c>
      <c r="O548" s="85">
        <f>IF(OR(Y548="估算法",Y548="算法类",Y548="无法识别"),"",IF(Y548="",IF(OR(J548="ILF",J548="EIF",J548="EI",J548="EO",J548="EQ"),0,""),LEN(Y548)-LEN(SUBSTITUTE(SUBSTITUTE(SUBSTITUTE(SUBSTITUTE(SUBSTITUTE(Y548,"|}","--"),"{|","--"),CHAR(10),""),"、",""),"|",""))+IF(AND(OR(J548="EI",J548="EO",J548="EQ"),$AE$1="NESMA"),2,1)))</f>
        <v/>
      </c>
      <c r="P548" s="86">
        <f>IF(J548="EI",IF(OR(Y548="估算法",Y548="算法类"),"中",IF(Y548="无法识别","低",IF(M548&lt;2,IF(O548&lt;16,"低","中"),IF(M548&lt;3,IF(O548&lt;5,"低",IF(O548&lt;16,"中","高")),IF(O548&lt;5,"中","高"))))),IF(OR(J548="EO",J548="EQ"),IF(OR(Y548="估算法",Y548="算法类"),"中",IF(Y548="无法识别","低",IF(M548&lt;2,IF(O548&lt;20,"低","中"),IF(M548&lt;4,IF(O548&lt;6,"低",IF(O548&lt;20,"中","高")),IF(O548&lt;6,"中","高"))))),IF(OR(J548="ILF",J548="EIF"),IF(OR(Y548="估算法",Y548="算法类",Y548="无法识别"),"低",IF(N548&lt;2,IF(O548&lt;51,"低","中"),IF(N548&lt;6,IF(O548&lt;20,"低",IF(O548&lt;51,"中","高")),IF(O548&lt;20,"中","高")))),"不计算")))</f>
        <v/>
      </c>
      <c r="Q548" s="172">
        <f>IFERROR(IF(J548="EI",IF(P548="低",3,IF(P548="中",4,6)),IF(J548="EO",IF(P548="低",4,IF(P548="中",5,7)),IF(J548="EQ",IF(P548="低",3,IF(P548="中",4,6)),IF(J548="ILF",IF(P548="低",7,IF(P548="中",10,15)),IF(J548="EIF",IF(P548="低",5,IF(P548="中",7,10)),"不计算")))))*R548,"不计算")</f>
        <v/>
      </c>
      <c r="R548" s="172" t="n">
        <v>0.333333333333333</v>
      </c>
      <c r="S548" s="173">
        <f>调整因子!$F$13</f>
        <v/>
      </c>
      <c r="T548" s="93" t="n">
        <v>1</v>
      </c>
      <c r="U548" s="174">
        <f>IFERROR(Q548*S548,0)</f>
        <v/>
      </c>
      <c r="V548" s="174">
        <f>U548*T548</f>
        <v/>
      </c>
      <c r="W548" s="90" t="inlineStr">
        <is>
          <t>安全设备接口配置数据表、安全设备类型数据表、安全设备信息数据表</t>
        </is>
      </c>
      <c r="X548" s="91" t="n"/>
      <c r="Y548"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48" s="90" t="n"/>
      <c r="AA548" s="90" t="n"/>
      <c r="AB548" s="92" t="n"/>
    </row>
    <row r="549" s="112">
      <c r="A549" s="72">
        <f>ROW()-1</f>
        <v/>
      </c>
      <c r="B549" s="175" t="n"/>
      <c r="C549" s="80" t="n">
        <v>2025</v>
      </c>
      <c r="D549" s="80" t="inlineStr">
        <is>
          <t>汤凤欣</t>
        </is>
      </c>
      <c r="E549" s="81">
        <f>VLOOKUP(I549,'25年交付功能（不含废弃）'!A:A,1,FALSE)</f>
        <v/>
      </c>
      <c r="F549" s="175" t="n"/>
      <c r="G549" s="175" t="n"/>
      <c r="H549" s="175" t="n"/>
      <c r="I549" s="116" t="inlineStr">
        <is>
          <t>停用处置接口配置</t>
        </is>
      </c>
      <c r="J549" s="93" t="n"/>
      <c r="K549" s="102" t="n"/>
      <c r="L549" s="102" t="inlineStr">
        <is>
          <t>和启动合并，启停为相同功能</t>
        </is>
      </c>
      <c r="M549" s="85">
        <f>IF(OR(Y549="估算法",Y549="算法类",Y549="无法识别"),"",IF(W549="",IF(OR(J549="EI",J549="EO",J549="EQ"),0,""),LEN(W549)-LEN(SUBSTITUTE(W549,"、",""))+1))</f>
        <v/>
      </c>
      <c r="N549" s="85">
        <f>IF(OR(Y549="估算法",Y549="算法类",Y549="无法识别"),"",IF(X549="",IF(OR(J549="ILF",J549="EIF"),0,""),LEN(X549)-LEN(SUBSTITUTE(X549,"、",""))+1))</f>
        <v/>
      </c>
      <c r="O549" s="85">
        <f>IF(OR(Y549="估算法",Y549="算法类",Y549="无法识别"),"",IF(Y549="",IF(OR(J549="ILF",J549="EIF",J549="EI",J549="EO",J549="EQ"),0,""),LEN(Y549)-LEN(SUBSTITUTE(SUBSTITUTE(SUBSTITUTE(SUBSTITUTE(SUBSTITUTE(Y549,"|}","--"),"{|","--"),CHAR(10),""),"、",""),"|",""))+IF(AND(OR(J549="EI",J549="EO",J549="EQ"),$AE$1="NESMA"),2,1)))</f>
        <v/>
      </c>
      <c r="P549" s="86">
        <f>IF(J549="EI",IF(OR(Y549="估算法",Y549="算法类"),"中",IF(Y549="无法识别","低",IF(M549&lt;2,IF(O549&lt;16,"低","中"),IF(M549&lt;3,IF(O549&lt;5,"低",IF(O549&lt;16,"中","高")),IF(O549&lt;5,"中","高"))))),IF(OR(J549="EO",J549="EQ"),IF(OR(Y549="估算法",Y549="算法类"),"中",IF(Y549="无法识别","低",IF(M549&lt;2,IF(O549&lt;20,"低","中"),IF(M549&lt;4,IF(O549&lt;6,"低",IF(O549&lt;20,"中","高")),IF(O549&lt;6,"中","高"))))),IF(OR(J549="ILF",J549="EIF"),IF(OR(Y549="估算法",Y549="算法类",Y549="无法识别"),"低",IF(N549&lt;2,IF(O549&lt;51,"低","中"),IF(N549&lt;6,IF(O549&lt;20,"低",IF(O549&lt;51,"中","高")),IF(O549&lt;20,"中","高")))),"不计算")))</f>
        <v/>
      </c>
      <c r="Q549" s="172">
        <f>IFERROR(IF(J549="EI",IF(P549="低",3,IF(P549="中",4,6)),IF(J549="EO",IF(P549="低",4,IF(P549="中",5,7)),IF(J549="EQ",IF(P549="低",3,IF(P549="中",4,6)),IF(J549="ILF",IF(P549="低",7,IF(P549="中",10,15)),IF(J549="EIF",IF(P549="低",5,IF(P549="中",7,10)),"不计算")))))*R549,"不计算")</f>
        <v/>
      </c>
      <c r="R549" s="172" t="n">
        <v>0.333333333333333</v>
      </c>
      <c r="S549" s="173">
        <f>调整因子!$F$13</f>
        <v/>
      </c>
      <c r="T549" s="92" t="n">
        <v>1</v>
      </c>
      <c r="U549" s="174">
        <f>IFERROR(Q549*S549,0)</f>
        <v/>
      </c>
      <c r="V549" s="174">
        <f>U549*T549</f>
        <v/>
      </c>
      <c r="W549" s="90" t="inlineStr">
        <is>
          <t>安全设备接口配置数据表、安全设备类型数据表、安全设备信息数据表</t>
        </is>
      </c>
      <c r="X549" s="91" t="n"/>
      <c r="Y549"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49" s="90" t="n"/>
      <c r="AA549" s="90" t="n"/>
      <c r="AB549" s="115" t="n"/>
    </row>
    <row r="550" s="112">
      <c r="A550" s="72">
        <f>ROW()-1</f>
        <v/>
      </c>
      <c r="B550" s="175" t="n"/>
      <c r="C550" s="80" t="n">
        <v>2025</v>
      </c>
      <c r="D550" s="80" t="inlineStr">
        <is>
          <t>汤凤欣</t>
        </is>
      </c>
      <c r="E550" s="81">
        <f>VLOOKUP(I550,'25年交付功能（不含废弃）'!A:A,1,FALSE)</f>
        <v/>
      </c>
      <c r="F550" s="175" t="n"/>
      <c r="G550" s="175" t="n"/>
      <c r="H550" s="175" t="n"/>
      <c r="I550" s="116" t="inlineStr">
        <is>
          <t>删除处置接口配置</t>
        </is>
      </c>
      <c r="J550" s="93" t="inlineStr">
        <is>
          <t>EI</t>
        </is>
      </c>
      <c r="K550" s="84" t="n"/>
      <c r="L550" s="84" t="n"/>
      <c r="M550" s="85">
        <f>IF(OR(Y550="估算法",Y550="算法类",Y550="无法识别"),"",IF(W550="",IF(OR(J550="EI",J550="EO",J550="EQ"),0,""),LEN(W550)-LEN(SUBSTITUTE(W550,"、",""))+1))</f>
        <v/>
      </c>
      <c r="N550" s="85">
        <f>IF(OR(Y550="估算法",Y550="算法类",Y550="无法识别"),"",IF(X550="",IF(OR(J550="ILF",J550="EIF"),0,""),LEN(X550)-LEN(SUBSTITUTE(X550,"、",""))+1))</f>
        <v/>
      </c>
      <c r="O550" s="85">
        <f>IF(OR(Y550="估算法",Y550="算法类",Y550="无法识别"),"",IF(Y550="",IF(OR(J550="ILF",J550="EIF",J550="EI",J550="EO",J550="EQ"),0,""),LEN(Y550)-LEN(SUBSTITUTE(SUBSTITUTE(SUBSTITUTE(SUBSTITUTE(SUBSTITUTE(Y550,"|}","--"),"{|","--"),CHAR(10),""),"、",""),"|",""))+IF(AND(OR(J550="EI",J550="EO",J550="EQ"),$AE$1="NESMA"),2,1)))</f>
        <v/>
      </c>
      <c r="P550" s="86">
        <f>IF(J550="EI",IF(OR(Y550="估算法",Y550="算法类"),"中",IF(Y550="无法识别","低",IF(M550&lt;2,IF(O550&lt;16,"低","中"),IF(M550&lt;3,IF(O550&lt;5,"低",IF(O550&lt;16,"中","高")),IF(O550&lt;5,"中","高"))))),IF(OR(J550="EO",J550="EQ"),IF(OR(Y550="估算法",Y550="算法类"),"中",IF(Y550="无法识别","低",IF(M550&lt;2,IF(O550&lt;20,"低","中"),IF(M550&lt;4,IF(O550&lt;6,"低",IF(O550&lt;20,"中","高")),IF(O550&lt;6,"中","高"))))),IF(OR(J550="ILF",J550="EIF"),IF(OR(Y550="估算法",Y550="算法类",Y550="无法识别"),"低",IF(N550&lt;2,IF(O550&lt;51,"低","中"),IF(N550&lt;6,IF(O550&lt;20,"低",IF(O550&lt;51,"中","高")),IF(O550&lt;20,"中","高")))),"不计算")))</f>
        <v/>
      </c>
      <c r="Q550" s="172">
        <f>IFERROR(IF(J550="EI",IF(P550="低",3,IF(P550="中",4,6)),IF(J550="EO",IF(P550="低",4,IF(P550="中",5,7)),IF(J550="EQ",IF(P550="低",3,IF(P550="中",4,6)),IF(J550="ILF",IF(P550="低",7,IF(P550="中",10,15)),IF(J550="EIF",IF(P550="低",5,IF(P550="中",7,10)),"不计算")))))*R550,"不计算")</f>
        <v/>
      </c>
      <c r="R550" s="172" t="n">
        <v>0.333333333333333</v>
      </c>
      <c r="S550" s="173">
        <f>调整因子!$F$13</f>
        <v/>
      </c>
      <c r="T550" s="92" t="n">
        <v>1</v>
      </c>
      <c r="U550" s="174">
        <f>IFERROR(Q550*S550,0)</f>
        <v/>
      </c>
      <c r="V550" s="174">
        <f>U550*T550</f>
        <v/>
      </c>
      <c r="W550" s="90" t="inlineStr">
        <is>
          <t>安全设备接口配置数据表、安全设备类型数据表、安全设备信息数据表</t>
        </is>
      </c>
      <c r="X550" s="91" t="n"/>
      <c r="Y550"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0" s="90" t="n"/>
      <c r="AA550" s="90" t="n"/>
      <c r="AB550" s="92" t="n"/>
    </row>
    <row r="551" s="112">
      <c r="A551" s="72">
        <f>ROW()-1</f>
        <v/>
      </c>
      <c r="B551" s="175" t="n"/>
      <c r="C551" s="80" t="n">
        <v>2025</v>
      </c>
      <c r="D551" s="80" t="inlineStr">
        <is>
          <t>汤凤欣</t>
        </is>
      </c>
      <c r="E551" s="81">
        <f>VLOOKUP(I551,'25年交付功能（不含废弃）'!A:A,1,FALSE)</f>
        <v/>
      </c>
      <c r="F551" s="175" t="n"/>
      <c r="G551" s="175" t="n"/>
      <c r="H551" s="175" t="n"/>
      <c r="I551" s="81" t="inlineStr">
        <is>
          <t>启用处置接口配置</t>
        </is>
      </c>
      <c r="J551" s="93" t="inlineStr">
        <is>
          <t>EI</t>
        </is>
      </c>
      <c r="K551" s="84" t="n"/>
      <c r="L551" s="84" t="n"/>
      <c r="M551" s="85">
        <f>IF(OR(Y551="估算法",Y551="算法类",Y551="无法识别"),"",IF(W551="",IF(OR(J551="EI",J551="EO",J551="EQ"),0,""),LEN(W551)-LEN(SUBSTITUTE(W551,"、",""))+1))</f>
        <v/>
      </c>
      <c r="N551" s="85">
        <f>IF(OR(Y551="估算法",Y551="算法类",Y551="无法识别"),"",IF(X551="",IF(OR(J551="ILF",J551="EIF"),0,""),LEN(X551)-LEN(SUBSTITUTE(X551,"、",""))+1))</f>
        <v/>
      </c>
      <c r="O551" s="85">
        <f>IF(OR(Y551="估算法",Y551="算法类",Y551="无法识别"),"",IF(Y551="",IF(OR(J551="ILF",J551="EIF",J551="EI",J551="EO",J551="EQ"),0,""),LEN(Y551)-LEN(SUBSTITUTE(SUBSTITUTE(SUBSTITUTE(SUBSTITUTE(SUBSTITUTE(Y551,"|}","--"),"{|","--"),CHAR(10),""),"、",""),"|",""))+IF(AND(OR(J551="EI",J551="EO",J551="EQ"),$AE$1="NESMA"),2,1)))</f>
        <v/>
      </c>
      <c r="P551" s="86">
        <f>IF(J551="EI",IF(OR(Y551="估算法",Y551="算法类"),"中",IF(Y551="无法识别","低",IF(M551&lt;2,IF(O551&lt;16,"低","中"),IF(M551&lt;3,IF(O551&lt;5,"低",IF(O551&lt;16,"中","高")),IF(O551&lt;5,"中","高"))))),IF(OR(J551="EO",J551="EQ"),IF(OR(Y551="估算法",Y551="算法类"),"中",IF(Y551="无法识别","低",IF(M551&lt;2,IF(O551&lt;20,"低","中"),IF(M551&lt;4,IF(O551&lt;6,"低",IF(O551&lt;20,"中","高")),IF(O551&lt;6,"中","高"))))),IF(OR(J551="ILF",J551="EIF"),IF(OR(Y551="估算法",Y551="算法类",Y551="无法识别"),"低",IF(N551&lt;2,IF(O551&lt;51,"低","中"),IF(N551&lt;6,IF(O551&lt;20,"低",IF(O551&lt;51,"中","高")),IF(O551&lt;20,"中","高")))),"不计算")))</f>
        <v/>
      </c>
      <c r="Q551" s="172">
        <f>IFERROR(IF(J551="EI",IF(P551="低",3,IF(P551="中",4,6)),IF(J551="EO",IF(P551="低",4,IF(P551="中",5,7)),IF(J551="EQ",IF(P551="低",3,IF(P551="中",4,6)),IF(J551="ILF",IF(P551="低",7,IF(P551="中",10,15)),IF(J551="EIF",IF(P551="低",5,IF(P551="中",7,10)),"不计算")))))*R551,"不计算")</f>
        <v/>
      </c>
      <c r="R551" s="172" t="n">
        <v>1</v>
      </c>
      <c r="S551" s="173">
        <f>调整因子!$F$13</f>
        <v/>
      </c>
      <c r="T551" s="93" t="n">
        <v>1</v>
      </c>
      <c r="U551" s="174">
        <f>IFERROR(Q551*S551,0)</f>
        <v/>
      </c>
      <c r="V551" s="174">
        <f>U551*T551</f>
        <v/>
      </c>
      <c r="W551" s="90" t="inlineStr">
        <is>
          <t>安全设备接口配置数据表、安全设备类型数据表、安全设备信息数据表</t>
        </is>
      </c>
      <c r="X551" s="91" t="n"/>
      <c r="Y551"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1" s="90" t="n"/>
      <c r="AA551" s="90" t="n"/>
      <c r="AB551" s="115" t="n"/>
    </row>
    <row r="552" s="112">
      <c r="A552" s="72">
        <f>ROW()-1</f>
        <v/>
      </c>
      <c r="B552" s="175" t="n"/>
      <c r="C552" s="80" t="n">
        <v>2025</v>
      </c>
      <c r="D552" s="80" t="inlineStr">
        <is>
          <t>汤凤欣</t>
        </is>
      </c>
      <c r="E552" s="81">
        <f>VLOOKUP(I552,'25年交付功能（不含废弃）'!A:A,1,FALSE)</f>
        <v/>
      </c>
      <c r="F552" s="175" t="n"/>
      <c r="G552" s="175" t="n"/>
      <c r="H552" s="175" t="n"/>
      <c r="I552" s="116" t="inlineStr">
        <is>
          <t>新增处置接口配置</t>
        </is>
      </c>
      <c r="J552" s="93" t="inlineStr">
        <is>
          <t>EI</t>
        </is>
      </c>
      <c r="K552" s="84" t="n"/>
      <c r="L552" s="84" t="n"/>
      <c r="M552" s="85">
        <f>IF(OR(Y552="估算法",Y552="算法类",Y552="无法识别"),"",IF(W552="",IF(OR(J552="EI",J552="EO",J552="EQ"),0,""),LEN(W552)-LEN(SUBSTITUTE(W552,"、",""))+1))</f>
        <v/>
      </c>
      <c r="N552" s="85">
        <f>IF(OR(Y552="估算法",Y552="算法类",Y552="无法识别"),"",IF(X552="",IF(OR(J552="ILF",J552="EIF"),0,""),LEN(X552)-LEN(SUBSTITUTE(X552,"、",""))+1))</f>
        <v/>
      </c>
      <c r="O552" s="85">
        <f>IF(OR(Y552="估算法",Y552="算法类",Y552="无法识别"),"",IF(Y552="",IF(OR(J552="ILF",J552="EIF",J552="EI",J552="EO",J552="EQ"),0,""),LEN(Y552)-LEN(SUBSTITUTE(SUBSTITUTE(SUBSTITUTE(SUBSTITUTE(SUBSTITUTE(Y552,"|}","--"),"{|","--"),CHAR(10),""),"、",""),"|",""))+IF(AND(OR(J552="EI",J552="EO",J552="EQ"),$AE$1="NESMA"),2,1)))</f>
        <v/>
      </c>
      <c r="P552" s="86">
        <f>IF(J552="EI",IF(OR(Y552="估算法",Y552="算法类"),"中",IF(Y552="无法识别","低",IF(M552&lt;2,IF(O552&lt;16,"低","中"),IF(M552&lt;3,IF(O552&lt;5,"低",IF(O552&lt;16,"中","高")),IF(O552&lt;5,"中","高"))))),IF(OR(J552="EO",J552="EQ"),IF(OR(Y552="估算法",Y552="算法类"),"中",IF(Y552="无法识别","低",IF(M552&lt;2,IF(O552&lt;20,"低","中"),IF(M552&lt;4,IF(O552&lt;6,"低",IF(O552&lt;20,"中","高")),IF(O552&lt;6,"中","高"))))),IF(OR(J552="ILF",J552="EIF"),IF(OR(Y552="估算法",Y552="算法类",Y552="无法识别"),"低",IF(N552&lt;2,IF(O552&lt;51,"低","中"),IF(N552&lt;6,IF(O552&lt;20,"低",IF(O552&lt;51,"中","高")),IF(O552&lt;20,"中","高")))),"不计算")))</f>
        <v/>
      </c>
      <c r="Q552" s="172">
        <f>IFERROR(IF(J552="EI",IF(P552="低",3,IF(P552="中",4,6)),IF(J552="EO",IF(P552="低",4,IF(P552="中",5,7)),IF(J552="EQ",IF(P552="低",3,IF(P552="中",4,6)),IF(J552="ILF",IF(P552="低",7,IF(P552="中",10,15)),IF(J552="EIF",IF(P552="低",5,IF(P552="中",7,10)),"不计算")))))*R552,"不计算")</f>
        <v/>
      </c>
      <c r="R552" s="172" t="n">
        <v>0.333333333333333</v>
      </c>
      <c r="S552" s="173">
        <f>调整因子!$F$13</f>
        <v/>
      </c>
      <c r="T552" s="92" t="n">
        <v>1</v>
      </c>
      <c r="U552" s="174">
        <f>IFERROR(Q552*S552,0)</f>
        <v/>
      </c>
      <c r="V552" s="174">
        <f>U552*T552</f>
        <v/>
      </c>
      <c r="W552" s="90" t="inlineStr">
        <is>
          <t>安全设备接口配置数据表、安全设备类型数据表、安全设备信息数据表</t>
        </is>
      </c>
      <c r="X552" s="91" t="n"/>
      <c r="Y552"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2" s="90" t="n"/>
      <c r="AA552" s="90" t="n"/>
      <c r="AB552" s="92" t="n"/>
    </row>
    <row r="553" s="112">
      <c r="A553" s="72">
        <f>ROW()-1</f>
        <v/>
      </c>
      <c r="B553" s="175" t="n"/>
      <c r="C553" s="80" t="n">
        <v>2025</v>
      </c>
      <c r="D553" s="80" t="inlineStr">
        <is>
          <t>汤凤欣</t>
        </is>
      </c>
      <c r="E553" s="81">
        <f>VLOOKUP(I553,'25年交付功能（不含废弃）'!A:A,1,FALSE)</f>
        <v/>
      </c>
      <c r="F553" s="175" t="n"/>
      <c r="G553" s="175" t="n"/>
      <c r="H553" s="175" t="n"/>
      <c r="I553" s="116" t="inlineStr">
        <is>
          <t>查询处置接口配置</t>
        </is>
      </c>
      <c r="J553" s="93" t="inlineStr">
        <is>
          <t>EQ</t>
        </is>
      </c>
      <c r="K553" s="84" t="n"/>
      <c r="L553" s="84" t="n"/>
      <c r="M553" s="85">
        <f>IF(OR(Y553="估算法",Y553="算法类",Y553="无法识别"),"",IF(W553="",IF(OR(J553="EI",J553="EO",J553="EQ"),0,""),LEN(W553)-LEN(SUBSTITUTE(W553,"、",""))+1))</f>
        <v/>
      </c>
      <c r="N553" s="85">
        <f>IF(OR(Y553="估算法",Y553="算法类",Y553="无法识别"),"",IF(X553="",IF(OR(J553="ILF",J553="EIF"),0,""),LEN(X553)-LEN(SUBSTITUTE(X553,"、",""))+1))</f>
        <v/>
      </c>
      <c r="O553" s="85">
        <f>IF(OR(Y553="估算法",Y553="算法类",Y553="无法识别"),"",IF(Y553="",IF(OR(J553="ILF",J553="EIF",J553="EI",J553="EO",J553="EQ"),0,""),LEN(Y553)-LEN(SUBSTITUTE(SUBSTITUTE(SUBSTITUTE(SUBSTITUTE(SUBSTITUTE(Y553,"|}","--"),"{|","--"),CHAR(10),""),"、",""),"|",""))+IF(AND(OR(J553="EI",J553="EO",J553="EQ"),$AE$1="NESMA"),2,1)))</f>
        <v/>
      </c>
      <c r="P553" s="86">
        <f>IF(J553="EI",IF(OR(Y553="估算法",Y553="算法类"),"中",IF(Y553="无法识别","低",IF(M553&lt;2,IF(O553&lt;16,"低","中"),IF(M553&lt;3,IF(O553&lt;5,"低",IF(O553&lt;16,"中","高")),IF(O553&lt;5,"中","高"))))),IF(OR(J553="EO",J553="EQ"),IF(OR(Y553="估算法",Y553="算法类"),"中",IF(Y553="无法识别","低",IF(M553&lt;2,IF(O553&lt;20,"低","中"),IF(M553&lt;4,IF(O553&lt;6,"低",IF(O553&lt;20,"中","高")),IF(O553&lt;6,"中","高"))))),IF(OR(J553="ILF",J553="EIF"),IF(OR(Y553="估算法",Y553="算法类",Y553="无法识别"),"低",IF(N553&lt;2,IF(O553&lt;51,"低","中"),IF(N553&lt;6,IF(O553&lt;20,"低",IF(O553&lt;51,"中","高")),IF(O553&lt;20,"中","高")))),"不计算")))</f>
        <v/>
      </c>
      <c r="Q553" s="172">
        <f>IFERROR(IF(J553="EI",IF(P553="低",3,IF(P553="中",4,6)),IF(J553="EO",IF(P553="低",4,IF(P553="中",5,7)),IF(J553="EQ",IF(P553="低",3,IF(P553="中",4,6)),IF(J553="ILF",IF(P553="低",7,IF(P553="中",10,15)),IF(J553="EIF",IF(P553="低",5,IF(P553="中",7,10)),"不计算")))))*R553,"不计算")</f>
        <v/>
      </c>
      <c r="R553" s="172" t="n">
        <v>1</v>
      </c>
      <c r="S553" s="173">
        <f>调整因子!$F$13</f>
        <v/>
      </c>
      <c r="T553" s="92" t="n">
        <v>1</v>
      </c>
      <c r="U553" s="174">
        <f>IFERROR(Q553*S553,0)</f>
        <v/>
      </c>
      <c r="V553" s="174">
        <f>U553*T553</f>
        <v/>
      </c>
      <c r="W553" s="90" t="inlineStr">
        <is>
          <t>安全设备接口配置数据表、安全设备类型数据表、安全设备信息数据表</t>
        </is>
      </c>
      <c r="X553" s="91" t="n"/>
      <c r="Y553" s="90" t="inlineStr">
        <is>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is>
      </c>
      <c r="Z553" s="90" t="n"/>
      <c r="AA553" s="90" t="n"/>
      <c r="AB553" s="115" t="n"/>
    </row>
    <row r="554" s="112">
      <c r="A554" s="72">
        <f>ROW()-1</f>
        <v/>
      </c>
      <c r="B554" s="175" t="n"/>
      <c r="C554" s="80" t="n">
        <v>2025</v>
      </c>
      <c r="D554" s="80" t="inlineStr">
        <is>
          <t>汤凤欣</t>
        </is>
      </c>
      <c r="E554" s="81">
        <f>VLOOKUP(I554,'25年交付功能（不含废弃）'!A:A,1,FALSE)</f>
        <v/>
      </c>
      <c r="F554" s="175" t="n"/>
      <c r="G554" s="176" t="n"/>
      <c r="H554" s="176" t="n"/>
      <c r="I554" s="98" t="inlineStr">
        <is>
          <t>安全设备接口配置数据表</t>
        </is>
      </c>
      <c r="J554" s="93" t="inlineStr">
        <is>
          <t>ILF</t>
        </is>
      </c>
      <c r="K554" s="84" t="n"/>
      <c r="L554" s="84" t="n"/>
      <c r="M554" s="85">
        <f>IF(OR(Y554="估算法",Y554="算法类",Y554="无法识别"),"",IF(W554="",IF(OR(J554="EI",J554="EO",J554="EQ"),0,""),LEN(W554)-LEN(SUBSTITUTE(W554,"、",""))+1))</f>
        <v/>
      </c>
      <c r="N554" s="85">
        <f>IF(OR(Y554="估算法",Y554="算法类",Y554="无法识别"),"",IF(X554="",IF(OR(J554="ILF",J554="EIF"),0,""),LEN(X554)-LEN(SUBSTITUTE(X554,"、",""))+1))</f>
        <v/>
      </c>
      <c r="O554" s="85">
        <f>IF(OR(Y554="估算法",Y554="算法类",Y554="无法识别"),"",IF(Y554="",IF(OR(J554="ILF",J554="EIF",J554="EI",J554="EO",J554="EQ"),0,""),LEN(Y554)-LEN(SUBSTITUTE(SUBSTITUTE(SUBSTITUTE(SUBSTITUTE(SUBSTITUTE(Y554,"|}","--"),"{|","--"),CHAR(10),""),"、",""),"|",""))+IF(AND(OR(J554="EI",J554="EO",J554="EQ"),$AE$1="NESMA"),2,1)))</f>
        <v/>
      </c>
      <c r="P554" s="86">
        <f>IF(J554="EI",IF(OR(Y554="估算法",Y554="算法类"),"中",IF(Y554="无法识别","低",IF(M554&lt;2,IF(O554&lt;16,"低","中"),IF(M554&lt;3,IF(O554&lt;5,"低",IF(O554&lt;16,"中","高")),IF(O554&lt;5,"中","高"))))),IF(OR(J554="EO",J554="EQ"),IF(OR(Y554="估算法",Y554="算法类"),"中",IF(Y554="无法识别","低",IF(M554&lt;2,IF(O554&lt;20,"低","中"),IF(M554&lt;4,IF(O554&lt;6,"低",IF(O554&lt;20,"中","高")),IF(O554&lt;6,"中","高"))))),IF(OR(J554="ILF",J554="EIF"),IF(OR(Y554="估算法",Y554="算法类",Y554="无法识别"),"低",IF(N554&lt;2,IF(O554&lt;51,"低","中"),IF(N554&lt;6,IF(O554&lt;20,"低",IF(O554&lt;51,"中","高")),IF(O554&lt;20,"中","高")))),"不计算")))</f>
        <v/>
      </c>
      <c r="Q554" s="172">
        <f>IFERROR(IF(J554="EI",IF(P554="低",3,IF(P554="中",4,6)),IF(J554="EO",IF(P554="低",4,IF(P554="中",5,7)),IF(J554="EQ",IF(P554="低",3,IF(P554="中",4,6)),IF(J554="ILF",IF(P554="低",7,IF(P554="中",10,15)),IF(J554="EIF",IF(P554="低",5,IF(P554="中",7,10)),"不计算")))))*R554,"不计算")</f>
        <v/>
      </c>
      <c r="R554" s="172" t="n">
        <v>1</v>
      </c>
      <c r="S554" s="173">
        <f>调整因子!$F$13</f>
        <v/>
      </c>
      <c r="T554" s="93" t="n">
        <v>1</v>
      </c>
      <c r="U554" s="174">
        <f>IFERROR(Q554*S554,0)</f>
        <v/>
      </c>
      <c r="V554" s="174">
        <f>U554*T554</f>
        <v/>
      </c>
      <c r="W554" s="91" t="n"/>
      <c r="X554" s="90" t="inlineStr">
        <is>
          <t>安全设备接口配置数据表</t>
        </is>
      </c>
      <c r="Y554" s="90" t="inlineStr">
        <is>
          <t>安全设备接口配置数据表{配置ID、配置名称、配置编码、安全设备ID、接口名称、接口URL、接口参数|}</t>
        </is>
      </c>
      <c r="Z554" s="90">
        <f>IF(COUNTIFS(W:W,"*"&amp;I554&amp;"*")&gt;0,"存在","不存在")</f>
        <v/>
      </c>
      <c r="AA554" s="90">
        <f>IF(COUNTIFS(AB:AB,"*"&amp;I554&amp;"*")&gt;0,"存在","不存在")</f>
        <v/>
      </c>
      <c r="AB554" s="92" t="n"/>
    </row>
    <row r="555" s="112">
      <c r="A555" s="72">
        <f>ROW()-1</f>
        <v/>
      </c>
      <c r="B555" s="175" t="n"/>
      <c r="C555" s="80" t="n">
        <v>2025</v>
      </c>
      <c r="D555" s="80" t="inlineStr">
        <is>
          <t>汤凤欣</t>
        </is>
      </c>
      <c r="E555" s="81">
        <f>VLOOKUP(I555,'25年交付功能（不含废弃）'!A:A,1,FALSE)</f>
        <v/>
      </c>
      <c r="F555" s="175" t="n"/>
      <c r="G555" s="82" t="inlineStr">
        <is>
          <t>响应过程审计</t>
        </is>
      </c>
      <c r="H555" s="82" t="inlineStr">
        <is>
          <t>响应过程操作日志记录</t>
        </is>
      </c>
      <c r="I555" s="98" t="inlineStr">
        <is>
          <t>产品漏洞验证下发调用记录查询</t>
        </is>
      </c>
      <c r="J555" s="93" t="inlineStr">
        <is>
          <t>EQ</t>
        </is>
      </c>
      <c r="K555" s="84" t="n"/>
      <c r="L555" s="84" t="inlineStr">
        <is>
          <t>日志记录，非事务功能</t>
        </is>
      </c>
      <c r="M555" s="85">
        <f>IF(OR(Y555="估算法",Y555="算法类",Y555="无法识别"),"",IF(W555="",IF(OR(J555="EI",J555="EO",J555="EQ"),0,""),LEN(W555)-LEN(SUBSTITUTE(W555,"、",""))+1))</f>
        <v/>
      </c>
      <c r="N555" s="85">
        <f>IF(OR(Y555="估算法",Y555="算法类",Y555="无法识别"),"",IF(X555="",IF(OR(J555="ILF",J555="EIF"),0,""),LEN(X555)-LEN(SUBSTITUTE(X555,"、",""))+1))</f>
        <v/>
      </c>
      <c r="O555" s="85">
        <f>IF(OR(Y555="估算法",Y555="算法类",Y555="无法识别"),"",IF(Y555="",IF(OR(J555="ILF",J555="EIF",J555="EI",J555="EO",J555="EQ"),0,""),LEN(Y555)-LEN(SUBSTITUTE(SUBSTITUTE(SUBSTITUTE(SUBSTITUTE(SUBSTITUTE(Y555,"|}","--"),"{|","--"),CHAR(10),""),"、",""),"|",""))+IF(AND(OR(J555="EI",J555="EO",J555="EQ"),$AE$1="NESMA"),2,1)))</f>
        <v/>
      </c>
      <c r="P555" s="86">
        <f>IF(J555="EI",IF(OR(Y555="估算法",Y555="算法类"),"中",IF(Y555="无法识别","低",IF(M555&lt;2,IF(O555&lt;16,"低","中"),IF(M555&lt;3,IF(O555&lt;5,"低",IF(O555&lt;16,"中","高")),IF(O555&lt;5,"中","高"))))),IF(OR(J555="EO",J555="EQ"),IF(OR(Y555="估算法",Y555="算法类"),"中",IF(Y555="无法识别","低",IF(M555&lt;2,IF(O555&lt;20,"低","中"),IF(M555&lt;4,IF(O555&lt;6,"低",IF(O555&lt;20,"中","高")),IF(O555&lt;6,"中","高"))))),IF(OR(J555="ILF",J555="EIF"),IF(OR(Y555="估算法",Y555="算法类",Y555="无法识别"),"低",IF(N555&lt;2,IF(O555&lt;51,"低","中"),IF(N555&lt;6,IF(O555&lt;20,"低",IF(O555&lt;51,"中","高")),IF(O555&lt;20,"中","高")))),"不计算")))</f>
        <v/>
      </c>
      <c r="Q555" s="172">
        <f>IFERROR(IF(J555="EI",IF(P555="低",3,IF(P555="中",4,6)),IF(J555="EO",IF(P555="低",4,IF(P555="中",5,7)),IF(J555="EQ",IF(P555="低",3,IF(P555="中",4,6)),IF(J555="ILF",IF(P555="低",7,IF(P555="中",10,15)),IF(J555="EIF",IF(P555="低",5,IF(P555="中",7,10)),"不计算")))))*R555,"不计算")</f>
        <v/>
      </c>
      <c r="R555" s="172" t="n">
        <v>1</v>
      </c>
      <c r="S555" s="173">
        <f>调整因子!$F$13</f>
        <v/>
      </c>
      <c r="T555" s="92" t="n">
        <v>1</v>
      </c>
      <c r="U555" s="174">
        <f>IFERROR(Q555*S555,0)</f>
        <v/>
      </c>
      <c r="V555" s="174">
        <f>U555*T555</f>
        <v/>
      </c>
      <c r="W555" s="93" t="inlineStr">
        <is>
          <t>产品漏洞验证响应数据表</t>
        </is>
      </c>
      <c r="X555" s="91" t="n"/>
      <c r="Y555" s="93" t="inlineStr">
        <is>
          <t>产品漏洞验证响应数据表{记录ID、记录时间、角色编码、处置人信息、所属部门、源角色、处置漏洞总数、目标状态、到达状态数量分布、工单处置结果、工单说明|}</t>
        </is>
      </c>
      <c r="Z555" s="90" t="n"/>
      <c r="AA555" s="90" t="n"/>
      <c r="AB555" s="115" t="n"/>
    </row>
    <row r="556" s="112">
      <c r="A556" s="72">
        <f>ROW()-1</f>
        <v/>
      </c>
      <c r="B556" s="175" t="n"/>
      <c r="C556" s="80" t="n">
        <v>2025</v>
      </c>
      <c r="D556" s="80" t="inlineStr">
        <is>
          <t>汤凤欣</t>
        </is>
      </c>
      <c r="E556" s="81">
        <f>VLOOKUP(I556,'25年交付功能（不含废弃）'!A:A,1,FALSE)</f>
        <v/>
      </c>
      <c r="F556" s="175" t="n"/>
      <c r="G556" s="175" t="n"/>
      <c r="H556" s="175" t="n"/>
      <c r="I556" s="98" t="inlineStr">
        <is>
          <t>记录修复工单回传响应数据</t>
        </is>
      </c>
      <c r="J556" s="93" t="n"/>
      <c r="K556" s="84" t="n"/>
      <c r="L556" s="84" t="inlineStr">
        <is>
          <t>日志记录，非事务功能</t>
        </is>
      </c>
      <c r="M556" s="85">
        <f>IF(OR(Y556="估算法",Y556="算法类",Y556="无法识别"),"",IF(W556="",IF(OR(J556="EI",J556="EO",J556="EQ"),0,""),LEN(W556)-LEN(SUBSTITUTE(W556,"、",""))+1))</f>
        <v/>
      </c>
      <c r="N556" s="85">
        <f>IF(OR(Y556="估算法",Y556="算法类",Y556="无法识别"),"",IF(X556="",IF(OR(J556="ILF",J556="EIF"),0,""),LEN(X556)-LEN(SUBSTITUTE(X556,"、",""))+1))</f>
        <v/>
      </c>
      <c r="O556" s="85">
        <f>IF(OR(Y556="估算法",Y556="算法类",Y556="无法识别"),"",IF(Y556="",IF(OR(J556="ILF",J556="EIF",J556="EI",J556="EO",J556="EQ"),0,""),LEN(Y556)-LEN(SUBSTITUTE(SUBSTITUTE(SUBSTITUTE(SUBSTITUTE(SUBSTITUTE(Y556,"|}","--"),"{|","--"),CHAR(10),""),"、",""),"|",""))+IF(AND(OR(J556="EI",J556="EO",J556="EQ"),$AE$1="NESMA"),2,1)))</f>
        <v/>
      </c>
      <c r="P556" s="86">
        <f>IF(J556="EI",IF(OR(Y556="估算法",Y556="算法类"),"中",IF(Y556="无法识别","低",IF(M556&lt;2,IF(O556&lt;16,"低","中"),IF(M556&lt;3,IF(O556&lt;5,"低",IF(O556&lt;16,"中","高")),IF(O556&lt;5,"中","高"))))),IF(OR(J556="EO",J556="EQ"),IF(OR(Y556="估算法",Y556="算法类"),"中",IF(Y556="无法识别","低",IF(M556&lt;2,IF(O556&lt;20,"低","中"),IF(M556&lt;4,IF(O556&lt;6,"低",IF(O556&lt;20,"中","高")),IF(O556&lt;6,"中","高"))))),IF(OR(J556="ILF",J556="EIF"),IF(OR(Y556="估算法",Y556="算法类",Y556="无法识别"),"低",IF(N556&lt;2,IF(O556&lt;51,"低","中"),IF(N556&lt;6,IF(O556&lt;20,"低",IF(O556&lt;51,"中","高")),IF(O556&lt;20,"中","高")))),"不计算")))</f>
        <v/>
      </c>
      <c r="Q556" s="172">
        <f>IFERROR(IF(J556="EI",IF(P556="低",3,IF(P556="中",4,6)),IF(J556="EO",IF(P556="低",4,IF(P556="中",5,7)),IF(J556="EQ",IF(P556="低",3,IF(P556="中",4,6)),IF(J556="ILF",IF(P556="低",7,IF(P556="中",10,15)),IF(J556="EIF",IF(P556="低",5,IF(P556="中",7,10)),"不计算")))))*R556,"不计算")</f>
        <v/>
      </c>
      <c r="R556" s="172" t="n">
        <v>1</v>
      </c>
      <c r="S556" s="173">
        <f>调整因子!$F$13</f>
        <v/>
      </c>
      <c r="T556" s="92" t="n">
        <v>1</v>
      </c>
      <c r="U556" s="174">
        <f>IFERROR(Q556*S556,0)</f>
        <v/>
      </c>
      <c r="V556" s="174">
        <f>U556*T556</f>
        <v/>
      </c>
      <c r="W556" s="93" t="inlineStr">
        <is>
          <t>修复工单回传响应数据表</t>
        </is>
      </c>
      <c r="X556" s="91" t="n"/>
      <c r="Y556" s="93"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56" s="90" t="n"/>
      <c r="AA556" s="90" t="n"/>
      <c r="AB556" s="92" t="n"/>
    </row>
    <row r="557" s="112">
      <c r="A557" s="72">
        <f>ROW()-1</f>
        <v/>
      </c>
      <c r="B557" s="175" t="n"/>
      <c r="C557" s="80" t="n">
        <v>2025</v>
      </c>
      <c r="D557" s="80" t="inlineStr">
        <is>
          <t>汤凤欣</t>
        </is>
      </c>
      <c r="E557" s="81">
        <f>VLOOKUP(I557,'25年交付功能（不含废弃）'!A:A,1,FALSE)</f>
        <v/>
      </c>
      <c r="F557" s="175" t="n"/>
      <c r="G557" s="175" t="n"/>
      <c r="H557" s="175" t="n"/>
      <c r="I557" s="98" t="inlineStr">
        <is>
          <t>记录修复工单指派响应数据</t>
        </is>
      </c>
      <c r="J557" s="93" t="n"/>
      <c r="K557" s="84" t="n"/>
      <c r="L557" s="84" t="inlineStr">
        <is>
          <t>日志记录，非事务功能</t>
        </is>
      </c>
      <c r="M557" s="85">
        <f>IF(OR(Y557="估算法",Y557="算法类",Y557="无法识别"),"",IF(W557="",IF(OR(J557="EI",J557="EO",J557="EQ"),0,""),LEN(W557)-LEN(SUBSTITUTE(W557,"、",""))+1))</f>
        <v/>
      </c>
      <c r="N557" s="85">
        <f>IF(OR(Y557="估算法",Y557="算法类",Y557="无法识别"),"",IF(X557="",IF(OR(J557="ILF",J557="EIF"),0,""),LEN(X557)-LEN(SUBSTITUTE(X557,"、",""))+1))</f>
        <v/>
      </c>
      <c r="O557" s="85">
        <f>IF(OR(Y557="估算法",Y557="算法类",Y557="无法识别"),"",IF(Y557="",IF(OR(J557="ILF",J557="EIF",J557="EI",J557="EO",J557="EQ"),0,""),LEN(Y557)-LEN(SUBSTITUTE(SUBSTITUTE(SUBSTITUTE(SUBSTITUTE(SUBSTITUTE(Y557,"|}","--"),"{|","--"),CHAR(10),""),"、",""),"|",""))+IF(AND(OR(J557="EI",J557="EO",J557="EQ"),$AE$1="NESMA"),2,1)))</f>
        <v/>
      </c>
      <c r="P557" s="86">
        <f>IF(J557="EI",IF(OR(Y557="估算法",Y557="算法类"),"中",IF(Y557="无法识别","低",IF(M557&lt;2,IF(O557&lt;16,"低","中"),IF(M557&lt;3,IF(O557&lt;5,"低",IF(O557&lt;16,"中","高")),IF(O557&lt;5,"中","高"))))),IF(OR(J557="EO",J557="EQ"),IF(OR(Y557="估算法",Y557="算法类"),"中",IF(Y557="无法识别","低",IF(M557&lt;2,IF(O557&lt;20,"低","中"),IF(M557&lt;4,IF(O557&lt;6,"低",IF(O557&lt;20,"中","高")),IF(O557&lt;6,"中","高"))))),IF(OR(J557="ILF",J557="EIF"),IF(OR(Y557="估算法",Y557="算法类",Y557="无法识别"),"低",IF(N557&lt;2,IF(O557&lt;51,"低","中"),IF(N557&lt;6,IF(O557&lt;20,"低",IF(O557&lt;51,"中","高")),IF(O557&lt;20,"中","高")))),"不计算")))</f>
        <v/>
      </c>
      <c r="Q557" s="172">
        <f>IFERROR(IF(J557="EI",IF(P557="低",3,IF(P557="中",4,6)),IF(J557="EO",IF(P557="低",4,IF(P557="中",5,7)),IF(J557="EQ",IF(P557="低",3,IF(P557="中",4,6)),IF(J557="ILF",IF(P557="低",7,IF(P557="中",10,15)),IF(J557="EIF",IF(P557="低",5,IF(P557="中",7,10)),"不计算")))))*R557,"不计算")</f>
        <v/>
      </c>
      <c r="R557" s="172" t="n">
        <v>1</v>
      </c>
      <c r="S557" s="173">
        <f>调整因子!$F$13</f>
        <v/>
      </c>
      <c r="T557" s="93" t="n">
        <v>1</v>
      </c>
      <c r="U557" s="174">
        <f>IFERROR(Q557*S557,0)</f>
        <v/>
      </c>
      <c r="V557" s="174">
        <f>U557*T557</f>
        <v/>
      </c>
      <c r="W557" s="93" t="inlineStr">
        <is>
          <t>修复工单指派响应数据表</t>
        </is>
      </c>
      <c r="X557" s="91" t="n"/>
      <c r="Y557" s="93"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57" s="90" t="n"/>
      <c r="AA557" s="90" t="n"/>
      <c r="AB557" s="115" t="n"/>
    </row>
    <row r="558" s="112">
      <c r="A558" s="72">
        <f>ROW()-1</f>
        <v/>
      </c>
      <c r="B558" s="175" t="n"/>
      <c r="C558" s="80" t="n">
        <v>2025</v>
      </c>
      <c r="D558" s="80" t="inlineStr">
        <is>
          <t>汤凤欣</t>
        </is>
      </c>
      <c r="E558" s="81">
        <f>VLOOKUP(I558,'25年交付功能（不含废弃）'!A:A,1,FALSE)</f>
        <v/>
      </c>
      <c r="F558" s="175" t="n"/>
      <c r="G558" s="175" t="n"/>
      <c r="H558" s="175" t="n"/>
      <c r="I558" s="98" t="inlineStr">
        <is>
          <t>记录弱口令扫描任务下发响应数据</t>
        </is>
      </c>
      <c r="J558" s="93" t="n"/>
      <c r="K558" s="84" t="n"/>
      <c r="L558" s="84" t="inlineStr">
        <is>
          <t>日志记录，非事务功能</t>
        </is>
      </c>
      <c r="M558" s="85">
        <f>IF(OR(Y558="估算法",Y558="算法类",Y558="无法识别"),"",IF(W558="",IF(OR(J558="EI",J558="EO",J558="EQ"),0,""),LEN(W558)-LEN(SUBSTITUTE(W558,"、",""))+1))</f>
        <v/>
      </c>
      <c r="N558" s="85">
        <f>IF(OR(Y558="估算法",Y558="算法类",Y558="无法识别"),"",IF(X558="",IF(OR(J558="ILF",J558="EIF"),0,""),LEN(X558)-LEN(SUBSTITUTE(X558,"、",""))+1))</f>
        <v/>
      </c>
      <c r="O558" s="85">
        <f>IF(OR(Y558="估算法",Y558="算法类",Y558="无法识别"),"",IF(Y558="",IF(OR(J558="ILF",J558="EIF",J558="EI",J558="EO",J558="EQ"),0,""),LEN(Y558)-LEN(SUBSTITUTE(SUBSTITUTE(SUBSTITUTE(SUBSTITUTE(SUBSTITUTE(Y558,"|}","--"),"{|","--"),CHAR(10),""),"、",""),"|",""))+IF(AND(OR(J558="EI",J558="EO",J558="EQ"),$AE$1="NESMA"),2,1)))</f>
        <v/>
      </c>
      <c r="P558" s="86">
        <f>IF(J558="EI",IF(OR(Y558="估算法",Y558="算法类"),"中",IF(Y558="无法识别","低",IF(M558&lt;2,IF(O558&lt;16,"低","中"),IF(M558&lt;3,IF(O558&lt;5,"低",IF(O558&lt;16,"中","高")),IF(O558&lt;5,"中","高"))))),IF(OR(J558="EO",J558="EQ"),IF(OR(Y558="估算法",Y558="算法类"),"中",IF(Y558="无法识别","低",IF(M558&lt;2,IF(O558&lt;20,"低","中"),IF(M558&lt;4,IF(O558&lt;6,"低",IF(O558&lt;20,"中","高")),IF(O558&lt;6,"中","高"))))),IF(OR(J558="ILF",J558="EIF"),IF(OR(Y558="估算法",Y558="算法类",Y558="无法识别"),"低",IF(N558&lt;2,IF(O558&lt;51,"低","中"),IF(N558&lt;6,IF(O558&lt;20,"低",IF(O558&lt;51,"中","高")),IF(O558&lt;20,"中","高")))),"不计算")))</f>
        <v/>
      </c>
      <c r="Q558" s="172">
        <f>IFERROR(IF(J558="EI",IF(P558="低",3,IF(P558="中",4,6)),IF(J558="EO",IF(P558="低",4,IF(P558="中",5,7)),IF(J558="EQ",IF(P558="低",3,IF(P558="中",4,6)),IF(J558="ILF",IF(P558="低",7,IF(P558="中",10,15)),IF(J558="EIF",IF(P558="低",5,IF(P558="中",7,10)),"不计算")))))*R558,"不计算")</f>
        <v/>
      </c>
      <c r="R558" s="172" t="n">
        <v>1</v>
      </c>
      <c r="S558" s="173">
        <f>调整因子!$F$13</f>
        <v/>
      </c>
      <c r="T558" s="92" t="n">
        <v>1</v>
      </c>
      <c r="U558" s="174">
        <f>IFERROR(Q558*S558,0)</f>
        <v/>
      </c>
      <c r="V558" s="174">
        <f>U558*T558</f>
        <v/>
      </c>
      <c r="W558" s="93" t="inlineStr">
        <is>
          <t>弱口令扫描任务下发响应数据表</t>
        </is>
      </c>
      <c r="X558" s="91" t="n"/>
      <c r="Y558" s="93" t="inlineStr">
        <is>
          <t>弱口令扫描任务下发响应数据表{记录ID、记录时间、弱口令任务ID、下发时间、响应耗时、响应状态|}</t>
        </is>
      </c>
      <c r="Z558" s="90" t="n"/>
      <c r="AA558" s="90" t="n"/>
      <c r="AB558" s="92" t="n"/>
    </row>
    <row r="559" s="112">
      <c r="A559" s="72">
        <f>ROW()-1</f>
        <v/>
      </c>
      <c r="B559" s="175" t="n"/>
      <c r="C559" s="80" t="n">
        <v>2025</v>
      </c>
      <c r="D559" s="80" t="inlineStr">
        <is>
          <t>汤凤欣</t>
        </is>
      </c>
      <c r="E559" s="81">
        <f>VLOOKUP(I559,'25年交付功能（不含废弃）'!A:A,1,FALSE)</f>
        <v/>
      </c>
      <c r="F559" s="175" t="n"/>
      <c r="G559" s="175" t="n"/>
      <c r="H559" s="175" t="n"/>
      <c r="I559" s="98" t="inlineStr">
        <is>
          <t>记录弱口令扫描结果获取响应数据</t>
        </is>
      </c>
      <c r="J559" s="93" t="n"/>
      <c r="K559" s="84" t="n"/>
      <c r="L559" s="84" t="inlineStr">
        <is>
          <t>日志记录，非事务功能</t>
        </is>
      </c>
      <c r="M559" s="85">
        <f>IF(OR(Y559="估算法",Y559="算法类",Y559="无法识别"),"",IF(W559="",IF(OR(J559="EI",J559="EO",J559="EQ"),0,""),LEN(W559)-LEN(SUBSTITUTE(W559,"、",""))+1))</f>
        <v/>
      </c>
      <c r="N559" s="85">
        <f>IF(OR(Y559="估算法",Y559="算法类",Y559="无法识别"),"",IF(X559="",IF(OR(J559="ILF",J559="EIF"),0,""),LEN(X559)-LEN(SUBSTITUTE(X559,"、",""))+1))</f>
        <v/>
      </c>
      <c r="O559" s="85">
        <f>IF(OR(Y559="估算法",Y559="算法类",Y559="无法识别"),"",IF(Y559="",IF(OR(J559="ILF",J559="EIF",J559="EI",J559="EO",J559="EQ"),0,""),LEN(Y559)-LEN(SUBSTITUTE(SUBSTITUTE(SUBSTITUTE(SUBSTITUTE(SUBSTITUTE(Y559,"|}","--"),"{|","--"),CHAR(10),""),"、",""),"|",""))+IF(AND(OR(J559="EI",J559="EO",J559="EQ"),$AE$1="NESMA"),2,1)))</f>
        <v/>
      </c>
      <c r="P559" s="86">
        <f>IF(J559="EI",IF(OR(Y559="估算法",Y559="算法类"),"中",IF(Y559="无法识别","低",IF(M559&lt;2,IF(O559&lt;16,"低","中"),IF(M559&lt;3,IF(O559&lt;5,"低",IF(O559&lt;16,"中","高")),IF(O559&lt;5,"中","高"))))),IF(OR(J559="EO",J559="EQ"),IF(OR(Y559="估算法",Y559="算法类"),"中",IF(Y559="无法识别","低",IF(M559&lt;2,IF(O559&lt;20,"低","中"),IF(M559&lt;4,IF(O559&lt;6,"低",IF(O559&lt;20,"中","高")),IF(O559&lt;6,"中","高"))))),IF(OR(J559="ILF",J559="EIF"),IF(OR(Y559="估算法",Y559="算法类",Y559="无法识别"),"低",IF(N559&lt;2,IF(O559&lt;51,"低","中"),IF(N559&lt;6,IF(O559&lt;20,"低",IF(O559&lt;51,"中","高")),IF(O559&lt;20,"中","高")))),"不计算")))</f>
        <v/>
      </c>
      <c r="Q559" s="172">
        <f>IFERROR(IF(J559="EI",IF(P559="低",3,IF(P559="中",4,6)),IF(J559="EO",IF(P559="低",4,IF(P559="中",5,7)),IF(J559="EQ",IF(P559="低",3,IF(P559="中",4,6)),IF(J559="ILF",IF(P559="低",7,IF(P559="中",10,15)),IF(J559="EIF",IF(P559="低",5,IF(P559="中",7,10)),"不计算")))))*R559,"不计算")</f>
        <v/>
      </c>
      <c r="R559" s="172" t="n">
        <v>1</v>
      </c>
      <c r="S559" s="173">
        <f>调整因子!$F$13</f>
        <v/>
      </c>
      <c r="T559" s="92" t="n">
        <v>1</v>
      </c>
      <c r="U559" s="174">
        <f>IFERROR(Q559*S559,0)</f>
        <v/>
      </c>
      <c r="V559" s="174">
        <f>U559*T559</f>
        <v/>
      </c>
      <c r="W559" s="93" t="inlineStr">
        <is>
          <t>弱口令扫描结果获取响应数据表</t>
        </is>
      </c>
      <c r="X559" s="91" t="n"/>
      <c r="Y559" s="93" t="inlineStr">
        <is>
          <t>弱口令扫描结果获取响应数据表{记录ID、记录时间、响应耗时、扫描结果数量、扫描任务ID、任务下发时间、响应状态|}</t>
        </is>
      </c>
      <c r="Z559" s="90" t="n"/>
      <c r="AA559" s="90" t="n"/>
      <c r="AB559" s="115" t="n"/>
    </row>
    <row r="560" s="112">
      <c r="A560" s="72">
        <f>ROW()-1</f>
        <v/>
      </c>
      <c r="B560" s="175" t="n"/>
      <c r="C560" s="80" t="n">
        <v>2025</v>
      </c>
      <c r="D560" s="80" t="inlineStr">
        <is>
          <t>汤凤欣</t>
        </is>
      </c>
      <c r="E560" s="81">
        <f>VLOOKUP(I560,'25年交付功能（不含废弃）'!A:A,1,FALSE)</f>
        <v/>
      </c>
      <c r="F560" s="175" t="n"/>
      <c r="G560" s="175" t="n"/>
      <c r="H560" s="175" t="n"/>
      <c r="I560" s="98" t="inlineStr">
        <is>
          <t>记录弱口令扫描进度获取响应数据</t>
        </is>
      </c>
      <c r="J560" s="93" t="n"/>
      <c r="K560" s="84" t="n"/>
      <c r="L560" s="84" t="inlineStr">
        <is>
          <t>日志记录，非事务功能</t>
        </is>
      </c>
      <c r="M560" s="85">
        <f>IF(OR(Y560="估算法",Y560="算法类",Y560="无法识别"),"",IF(W560="",IF(OR(J560="EI",J560="EO",J560="EQ"),0,""),LEN(W560)-LEN(SUBSTITUTE(W560,"、",""))+1))</f>
        <v/>
      </c>
      <c r="N560" s="85">
        <f>IF(OR(Y560="估算法",Y560="算法类",Y560="无法识别"),"",IF(X560="",IF(OR(J560="ILF",J560="EIF"),0,""),LEN(X560)-LEN(SUBSTITUTE(X560,"、",""))+1))</f>
        <v/>
      </c>
      <c r="O560" s="85">
        <f>IF(OR(Y560="估算法",Y560="算法类",Y560="无法识别"),"",IF(Y560="",IF(OR(J560="ILF",J560="EIF",J560="EI",J560="EO",J560="EQ"),0,""),LEN(Y560)-LEN(SUBSTITUTE(SUBSTITUTE(SUBSTITUTE(SUBSTITUTE(SUBSTITUTE(Y560,"|}","--"),"{|","--"),CHAR(10),""),"、",""),"|",""))+IF(AND(OR(J560="EI",J560="EO",J560="EQ"),$AE$1="NESMA"),2,1)))</f>
        <v/>
      </c>
      <c r="P560" s="86">
        <f>IF(J560="EI",IF(OR(Y560="估算法",Y560="算法类"),"中",IF(Y560="无法识别","低",IF(M560&lt;2,IF(O560&lt;16,"低","中"),IF(M560&lt;3,IF(O560&lt;5,"低",IF(O560&lt;16,"中","高")),IF(O560&lt;5,"中","高"))))),IF(OR(J560="EO",J560="EQ"),IF(OR(Y560="估算法",Y560="算法类"),"中",IF(Y560="无法识别","低",IF(M560&lt;2,IF(O560&lt;20,"低","中"),IF(M560&lt;4,IF(O560&lt;6,"低",IF(O560&lt;20,"中","高")),IF(O560&lt;6,"中","高"))))),IF(OR(J560="ILF",J560="EIF"),IF(OR(Y560="估算法",Y560="算法类",Y560="无法识别"),"低",IF(N560&lt;2,IF(O560&lt;51,"低","中"),IF(N560&lt;6,IF(O560&lt;20,"低",IF(O560&lt;51,"中","高")),IF(O560&lt;20,"中","高")))),"不计算")))</f>
        <v/>
      </c>
      <c r="Q560" s="172">
        <f>IFERROR(IF(J560="EI",IF(P560="低",3,IF(P560="中",4,6)),IF(J560="EO",IF(P560="低",4,IF(P560="中",5,7)),IF(J560="EQ",IF(P560="低",3,IF(P560="中",4,6)),IF(J560="ILF",IF(P560="低",7,IF(P560="中",10,15)),IF(J560="EIF",IF(P560="低",5,IF(P560="中",7,10)),"不计算")))))*R560,"不计算")</f>
        <v/>
      </c>
      <c r="R560" s="172" t="n">
        <v>1</v>
      </c>
      <c r="S560" s="173">
        <f>调整因子!$F$13</f>
        <v/>
      </c>
      <c r="T560" s="93" t="n">
        <v>1</v>
      </c>
      <c r="U560" s="174">
        <f>IFERROR(Q560*S560,0)</f>
        <v/>
      </c>
      <c r="V560" s="174">
        <f>U560*T560</f>
        <v/>
      </c>
      <c r="W560" s="93" t="inlineStr">
        <is>
          <t>弱口令扫描进度获取响应数据表</t>
        </is>
      </c>
      <c r="X560" s="91" t="n"/>
      <c r="Y560" s="93" t="inlineStr">
        <is>
          <t>弱口令扫描进度获取响应数据表{记录ID、记录时间、扫描任务ID、请求时间、响应耗时、进度信息、响应状态|}</t>
        </is>
      </c>
      <c r="Z560" s="90" t="n"/>
      <c r="AA560" s="90" t="n"/>
      <c r="AB560" s="92" t="n"/>
    </row>
    <row r="561" s="112">
      <c r="A561" s="72">
        <f>ROW()-1</f>
        <v/>
      </c>
      <c r="B561" s="175" t="n"/>
      <c r="C561" s="80" t="n">
        <v>2025</v>
      </c>
      <c r="D561" s="80" t="inlineStr">
        <is>
          <t>汤凤欣</t>
        </is>
      </c>
      <c r="E561" s="81">
        <f>VLOOKUP(I561,'25年交付功能（不含废弃）'!A:A,1,FALSE)</f>
        <v/>
      </c>
      <c r="F561" s="175" t="n"/>
      <c r="G561" s="175" t="n"/>
      <c r="H561" s="175" t="n"/>
      <c r="I561" s="98" t="inlineStr">
        <is>
          <t>记录漏洞扫描任务下发响应数据</t>
        </is>
      </c>
      <c r="J561" s="93" t="n"/>
      <c r="K561" s="84" t="n"/>
      <c r="L561" s="84" t="inlineStr">
        <is>
          <t>日志记录，非事务功能</t>
        </is>
      </c>
      <c r="M561" s="85">
        <f>IF(OR(Y561="估算法",Y561="算法类",Y561="无法识别"),"",IF(W561="",IF(OR(J561="EI",J561="EO",J561="EQ"),0,""),LEN(W561)-LEN(SUBSTITUTE(W561,"、",""))+1))</f>
        <v/>
      </c>
      <c r="N561" s="85">
        <f>IF(OR(Y561="估算法",Y561="算法类",Y561="无法识别"),"",IF(X561="",IF(OR(J561="ILF",J561="EIF"),0,""),LEN(X561)-LEN(SUBSTITUTE(X561,"、",""))+1))</f>
        <v/>
      </c>
      <c r="O561" s="85">
        <f>IF(OR(Y561="估算法",Y561="算法类",Y561="无法识别"),"",IF(Y561="",IF(OR(J561="ILF",J561="EIF",J561="EI",J561="EO",J561="EQ"),0,""),LEN(Y561)-LEN(SUBSTITUTE(SUBSTITUTE(SUBSTITUTE(SUBSTITUTE(SUBSTITUTE(Y561,"|}","--"),"{|","--"),CHAR(10),""),"、",""),"|",""))+IF(AND(OR(J561="EI",J561="EO",J561="EQ"),$AE$1="NESMA"),2,1)))</f>
        <v/>
      </c>
      <c r="P561" s="86">
        <f>IF(J561="EI",IF(OR(Y561="估算法",Y561="算法类"),"中",IF(Y561="无法识别","低",IF(M561&lt;2,IF(O561&lt;16,"低","中"),IF(M561&lt;3,IF(O561&lt;5,"低",IF(O561&lt;16,"中","高")),IF(O561&lt;5,"中","高"))))),IF(OR(J561="EO",J561="EQ"),IF(OR(Y561="估算法",Y561="算法类"),"中",IF(Y561="无法识别","低",IF(M561&lt;2,IF(O561&lt;20,"低","中"),IF(M561&lt;4,IF(O561&lt;6,"低",IF(O561&lt;20,"中","高")),IF(O561&lt;6,"中","高"))))),IF(OR(J561="ILF",J561="EIF"),IF(OR(Y561="估算法",Y561="算法类",Y561="无法识别"),"低",IF(N561&lt;2,IF(O561&lt;51,"低","中"),IF(N561&lt;6,IF(O561&lt;20,"低",IF(O561&lt;51,"中","高")),IF(O561&lt;20,"中","高")))),"不计算")))</f>
        <v/>
      </c>
      <c r="Q561" s="172">
        <f>IFERROR(IF(J561="EI",IF(P561="低",3,IF(P561="中",4,6)),IF(J561="EO",IF(P561="低",4,IF(P561="中",5,7)),IF(J561="EQ",IF(P561="低",3,IF(P561="中",4,6)),IF(J561="ILF",IF(P561="低",7,IF(P561="中",10,15)),IF(J561="EIF",IF(P561="低",5,IF(P561="中",7,10)),"不计算")))))*R561,"不计算")</f>
        <v/>
      </c>
      <c r="R561" s="172" t="n">
        <v>1</v>
      </c>
      <c r="S561" s="173">
        <f>调整因子!$F$13</f>
        <v/>
      </c>
      <c r="T561" s="92" t="n">
        <v>1</v>
      </c>
      <c r="U561" s="174">
        <f>IFERROR(Q561*S561,0)</f>
        <v/>
      </c>
      <c r="V561" s="174">
        <f>U561*T561</f>
        <v/>
      </c>
      <c r="W561" s="93" t="inlineStr">
        <is>
          <t>漏洞扫描任务下发响应数据表</t>
        </is>
      </c>
      <c r="X561" s="91" t="n"/>
      <c r="Y561" s="93" t="inlineStr">
        <is>
          <t>漏洞扫描任务下发响应数据表{记录ID、记录时间、漏洞扫描任务ID、下发时间、响应耗时、响应状态|}</t>
        </is>
      </c>
      <c r="Z561" s="90" t="n"/>
      <c r="AA561" s="90" t="n"/>
      <c r="AB561" s="115" t="n"/>
    </row>
    <row r="562" s="112">
      <c r="A562" s="72">
        <f>ROW()-1</f>
        <v/>
      </c>
      <c r="B562" s="175" t="n"/>
      <c r="C562" s="80" t="n">
        <v>2025</v>
      </c>
      <c r="D562" s="80" t="inlineStr">
        <is>
          <t>汤凤欣</t>
        </is>
      </c>
      <c r="E562" s="81">
        <f>VLOOKUP(I562,'25年交付功能（不含废弃）'!A:A,1,FALSE)</f>
        <v/>
      </c>
      <c r="F562" s="175" t="n"/>
      <c r="G562" s="175" t="n"/>
      <c r="H562" s="175" t="n"/>
      <c r="I562" s="98" t="inlineStr">
        <is>
          <t>记录漏洞扫描结果获取响应数据</t>
        </is>
      </c>
      <c r="J562" s="93" t="n"/>
      <c r="K562" s="84" t="n"/>
      <c r="L562" s="84" t="inlineStr">
        <is>
          <t>日志记录，非事务功能</t>
        </is>
      </c>
      <c r="M562" s="85">
        <f>IF(OR(Y562="估算法",Y562="算法类",Y562="无法识别"),"",IF(W562="",IF(OR(J562="EI",J562="EO",J562="EQ"),0,""),LEN(W562)-LEN(SUBSTITUTE(W562,"、",""))+1))</f>
        <v/>
      </c>
      <c r="N562" s="85">
        <f>IF(OR(Y562="估算法",Y562="算法类",Y562="无法识别"),"",IF(X562="",IF(OR(J562="ILF",J562="EIF"),0,""),LEN(X562)-LEN(SUBSTITUTE(X562,"、",""))+1))</f>
        <v/>
      </c>
      <c r="O562" s="85">
        <f>IF(OR(Y562="估算法",Y562="算法类",Y562="无法识别"),"",IF(Y562="",IF(OR(J562="ILF",J562="EIF",J562="EI",J562="EO",J562="EQ"),0,""),LEN(Y562)-LEN(SUBSTITUTE(SUBSTITUTE(SUBSTITUTE(SUBSTITUTE(SUBSTITUTE(Y562,"|}","--"),"{|","--"),CHAR(10),""),"、",""),"|",""))+IF(AND(OR(J562="EI",J562="EO",J562="EQ"),$AE$1="NESMA"),2,1)))</f>
        <v/>
      </c>
      <c r="P562" s="86">
        <f>IF(J562="EI",IF(OR(Y562="估算法",Y562="算法类"),"中",IF(Y562="无法识别","低",IF(M562&lt;2,IF(O562&lt;16,"低","中"),IF(M562&lt;3,IF(O562&lt;5,"低",IF(O562&lt;16,"中","高")),IF(O562&lt;5,"中","高"))))),IF(OR(J562="EO",J562="EQ"),IF(OR(Y562="估算法",Y562="算法类"),"中",IF(Y562="无法识别","低",IF(M562&lt;2,IF(O562&lt;20,"低","中"),IF(M562&lt;4,IF(O562&lt;6,"低",IF(O562&lt;20,"中","高")),IF(O562&lt;6,"中","高"))))),IF(OR(J562="ILF",J562="EIF"),IF(OR(Y562="估算法",Y562="算法类",Y562="无法识别"),"低",IF(N562&lt;2,IF(O562&lt;51,"低","中"),IF(N562&lt;6,IF(O562&lt;20,"低",IF(O562&lt;51,"中","高")),IF(O562&lt;20,"中","高")))),"不计算")))</f>
        <v/>
      </c>
      <c r="Q562" s="172">
        <f>IFERROR(IF(J562="EI",IF(P562="低",3,IF(P562="中",4,6)),IF(J562="EO",IF(P562="低",4,IF(P562="中",5,7)),IF(J562="EQ",IF(P562="低",3,IF(P562="中",4,6)),IF(J562="ILF",IF(P562="低",7,IF(P562="中",10,15)),IF(J562="EIF",IF(P562="低",5,IF(P562="中",7,10)),"不计算")))))*R562,"不计算")</f>
        <v/>
      </c>
      <c r="R562" s="172" t="n">
        <v>1</v>
      </c>
      <c r="S562" s="173">
        <f>调整因子!$F$13</f>
        <v/>
      </c>
      <c r="T562" s="92" t="n">
        <v>1</v>
      </c>
      <c r="U562" s="174">
        <f>IFERROR(Q562*S562,0)</f>
        <v/>
      </c>
      <c r="V562" s="174">
        <f>U562*T562</f>
        <v/>
      </c>
      <c r="W562" s="93" t="inlineStr">
        <is>
          <t>漏洞扫描结果获取响应数据表</t>
        </is>
      </c>
      <c r="X562" s="91" t="n"/>
      <c r="Y562" s="93" t="inlineStr">
        <is>
          <t>漏洞扫描结果获取响应数据表{记录ID、记录时间、漏洞扫描任务ID、下发时间、任务耗时、请求时间、响应耗时、响应状态、结果数量|}</t>
        </is>
      </c>
      <c r="Z562" s="90" t="n"/>
      <c r="AA562" s="90" t="n"/>
      <c r="AB562" s="92" t="n"/>
    </row>
    <row r="563" s="112">
      <c r="A563" s="72">
        <f>ROW()-1</f>
        <v/>
      </c>
      <c r="B563" s="175" t="n"/>
      <c r="C563" s="80" t="n">
        <v>2025</v>
      </c>
      <c r="D563" s="80" t="inlineStr">
        <is>
          <t>汤凤欣</t>
        </is>
      </c>
      <c r="E563" s="81">
        <f>VLOOKUP(I563,'25年交付功能（不含废弃）'!A:A,1,FALSE)</f>
        <v/>
      </c>
      <c r="F563" s="175" t="n"/>
      <c r="G563" s="175" t="n"/>
      <c r="H563" s="175" t="n"/>
      <c r="I563" s="98" t="inlineStr">
        <is>
          <t>记录漏洞扫描进度获取响应数据</t>
        </is>
      </c>
      <c r="J563" s="93" t="n"/>
      <c r="K563" s="84" t="n"/>
      <c r="L563" s="84" t="inlineStr">
        <is>
          <t>日志记录，非事务功能</t>
        </is>
      </c>
      <c r="M563" s="85">
        <f>IF(OR(Y563="估算法",Y563="算法类",Y563="无法识别"),"",IF(W563="",IF(OR(J563="EI",J563="EO",J563="EQ"),0,""),LEN(W563)-LEN(SUBSTITUTE(W563,"、",""))+1))</f>
        <v/>
      </c>
      <c r="N563" s="85">
        <f>IF(OR(Y563="估算法",Y563="算法类",Y563="无法识别"),"",IF(X563="",IF(OR(J563="ILF",J563="EIF"),0,""),LEN(X563)-LEN(SUBSTITUTE(X563,"、",""))+1))</f>
        <v/>
      </c>
      <c r="O563" s="85">
        <f>IF(OR(Y563="估算法",Y563="算法类",Y563="无法识别"),"",IF(Y563="",IF(OR(J563="ILF",J563="EIF",J563="EI",J563="EO",J563="EQ"),0,""),LEN(Y563)-LEN(SUBSTITUTE(SUBSTITUTE(SUBSTITUTE(SUBSTITUTE(SUBSTITUTE(Y563,"|}","--"),"{|","--"),CHAR(10),""),"、",""),"|",""))+IF(AND(OR(J563="EI",J563="EO",J563="EQ"),$AE$1="NESMA"),2,1)))</f>
        <v/>
      </c>
      <c r="P563" s="86">
        <f>IF(J563="EI",IF(OR(Y563="估算法",Y563="算法类"),"中",IF(Y563="无法识别","低",IF(M563&lt;2,IF(O563&lt;16,"低","中"),IF(M563&lt;3,IF(O563&lt;5,"低",IF(O563&lt;16,"中","高")),IF(O563&lt;5,"中","高"))))),IF(OR(J563="EO",J563="EQ"),IF(OR(Y563="估算法",Y563="算法类"),"中",IF(Y563="无法识别","低",IF(M563&lt;2,IF(O563&lt;20,"低","中"),IF(M563&lt;4,IF(O563&lt;6,"低",IF(O563&lt;20,"中","高")),IF(O563&lt;6,"中","高"))))),IF(OR(J563="ILF",J563="EIF"),IF(OR(Y563="估算法",Y563="算法类",Y563="无法识别"),"低",IF(N563&lt;2,IF(O563&lt;51,"低","中"),IF(N563&lt;6,IF(O563&lt;20,"低",IF(O563&lt;51,"中","高")),IF(O563&lt;20,"中","高")))),"不计算")))</f>
        <v/>
      </c>
      <c r="Q563" s="172">
        <f>IFERROR(IF(J563="EI",IF(P563="低",3,IF(P563="中",4,6)),IF(J563="EO",IF(P563="低",4,IF(P563="中",5,7)),IF(J563="EQ",IF(P563="低",3,IF(P563="中",4,6)),IF(J563="ILF",IF(P563="低",7,IF(P563="中",10,15)),IF(J563="EIF",IF(P563="低",5,IF(P563="中",7,10)),"不计算")))))*R563,"不计算")</f>
        <v/>
      </c>
      <c r="R563" s="172" t="n">
        <v>1</v>
      </c>
      <c r="S563" s="173">
        <f>调整因子!$F$13</f>
        <v/>
      </c>
      <c r="T563" s="93" t="n">
        <v>1</v>
      </c>
      <c r="U563" s="174">
        <f>IFERROR(Q563*S563,0)</f>
        <v/>
      </c>
      <c r="V563" s="174">
        <f>U563*T563</f>
        <v/>
      </c>
      <c r="W563" s="93" t="inlineStr">
        <is>
          <t>漏洞扫描进度获取响应数据表</t>
        </is>
      </c>
      <c r="X563" s="91" t="n"/>
      <c r="Y563" s="93" t="inlineStr">
        <is>
          <t>漏洞扫描进度获取响应数据表{记录ID、记录时间、漏洞扫描任务ID、请求时间、响应耗时、响应装填、进度信息、任务下发时间、扫描目标数量|}</t>
        </is>
      </c>
      <c r="Z563" s="90" t="n"/>
      <c r="AA563" s="90" t="n"/>
      <c r="AB563" s="115" t="n"/>
    </row>
    <row r="564" s="112">
      <c r="A564" s="72">
        <f>ROW()-1</f>
        <v/>
      </c>
      <c r="B564" s="175" t="n"/>
      <c r="C564" s="80" t="n">
        <v>2025</v>
      </c>
      <c r="D564" s="80" t="inlineStr">
        <is>
          <t>汤凤欣</t>
        </is>
      </c>
      <c r="E564" s="81">
        <f>VLOOKUP(I564,'25年交付功能（不含废弃）'!A:A,1,FALSE)</f>
        <v/>
      </c>
      <c r="F564" s="175" t="n"/>
      <c r="G564" s="175" t="n"/>
      <c r="H564" s="175" t="n"/>
      <c r="I564" s="98" t="inlineStr">
        <is>
          <t>记录漏洞预警任务下发响应数据</t>
        </is>
      </c>
      <c r="J564" s="93" t="n"/>
      <c r="K564" s="84" t="n"/>
      <c r="L564" s="84" t="inlineStr">
        <is>
          <t>日志记录，非事务功能</t>
        </is>
      </c>
      <c r="M564" s="85">
        <f>IF(OR(Y564="估算法",Y564="算法类",Y564="无法识别"),"",IF(W564="",IF(OR(J564="EI",J564="EO",J564="EQ"),0,""),LEN(W564)-LEN(SUBSTITUTE(W564,"、",""))+1))</f>
        <v/>
      </c>
      <c r="N564" s="85">
        <f>IF(OR(Y564="估算法",Y564="算法类",Y564="无法识别"),"",IF(X564="",IF(OR(J564="ILF",J564="EIF"),0,""),LEN(X564)-LEN(SUBSTITUTE(X564,"、",""))+1))</f>
        <v/>
      </c>
      <c r="O564" s="85">
        <f>IF(OR(Y564="估算法",Y564="算法类",Y564="无法识别"),"",IF(Y564="",IF(OR(J564="ILF",J564="EIF",J564="EI",J564="EO",J564="EQ"),0,""),LEN(Y564)-LEN(SUBSTITUTE(SUBSTITUTE(SUBSTITUTE(SUBSTITUTE(SUBSTITUTE(Y564,"|}","--"),"{|","--"),CHAR(10),""),"、",""),"|",""))+IF(AND(OR(J564="EI",J564="EO",J564="EQ"),$AE$1="NESMA"),2,1)))</f>
        <v/>
      </c>
      <c r="P564" s="86">
        <f>IF(J564="EI",IF(OR(Y564="估算法",Y564="算法类"),"中",IF(Y564="无法识别","低",IF(M564&lt;2,IF(O564&lt;16,"低","中"),IF(M564&lt;3,IF(O564&lt;5,"低",IF(O564&lt;16,"中","高")),IF(O564&lt;5,"中","高"))))),IF(OR(J564="EO",J564="EQ"),IF(OR(Y564="估算法",Y564="算法类"),"中",IF(Y564="无法识别","低",IF(M564&lt;2,IF(O564&lt;20,"低","中"),IF(M564&lt;4,IF(O564&lt;6,"低",IF(O564&lt;20,"中","高")),IF(O564&lt;6,"中","高"))))),IF(OR(J564="ILF",J564="EIF"),IF(OR(Y564="估算法",Y564="算法类",Y564="无法识别"),"低",IF(N564&lt;2,IF(O564&lt;51,"低","中"),IF(N564&lt;6,IF(O564&lt;20,"低",IF(O564&lt;51,"中","高")),IF(O564&lt;20,"中","高")))),"不计算")))</f>
        <v/>
      </c>
      <c r="Q564" s="172">
        <f>IFERROR(IF(J564="EI",IF(P564="低",3,IF(P564="中",4,6)),IF(J564="EO",IF(P564="低",4,IF(P564="中",5,7)),IF(J564="EQ",IF(P564="低",3,IF(P564="中",4,6)),IF(J564="ILF",IF(P564="低",7,IF(P564="中",10,15)),IF(J564="EIF",IF(P564="低",5,IF(P564="中",7,10)),"不计算")))))*R564,"不计算")</f>
        <v/>
      </c>
      <c r="R564" s="172" t="n">
        <v>1</v>
      </c>
      <c r="S564" s="173">
        <f>调整因子!$F$13</f>
        <v/>
      </c>
      <c r="T564" s="92" t="n">
        <v>1</v>
      </c>
      <c r="U564" s="174">
        <f>IFERROR(Q564*S564,0)</f>
        <v/>
      </c>
      <c r="V564" s="174">
        <f>U564*T564</f>
        <v/>
      </c>
      <c r="W564" s="93" t="inlineStr">
        <is>
          <t>漏洞预警任务下发响应数据表</t>
        </is>
      </c>
      <c r="X564" s="91" t="n"/>
      <c r="Y564" s="93" t="inlineStr">
        <is>
          <t>漏洞预警任务下发响应数据表{记录ID、记录时间、预警任务ID、请求时间、响应耗时、响应状态|}</t>
        </is>
      </c>
      <c r="Z564" s="90" t="n"/>
      <c r="AA564" s="90" t="n"/>
      <c r="AB564" s="92" t="n"/>
    </row>
    <row r="565" s="112">
      <c r="A565" s="72">
        <f>ROW()-1</f>
        <v/>
      </c>
      <c r="B565" s="175" t="n"/>
      <c r="C565" s="80" t="n">
        <v>2025</v>
      </c>
      <c r="D565" s="80" t="inlineStr">
        <is>
          <t>汤凤欣</t>
        </is>
      </c>
      <c r="E565" s="81">
        <f>VLOOKUP(I565,'25年交付功能（不含废弃）'!A:A,1,FALSE)</f>
        <v/>
      </c>
      <c r="F565" s="175" t="n"/>
      <c r="G565" s="175" t="n"/>
      <c r="H565" s="175" t="n"/>
      <c r="I565" s="98" t="inlineStr">
        <is>
          <t>记录漏洞预警任务结果获取响应数据</t>
        </is>
      </c>
      <c r="J565" s="93" t="n"/>
      <c r="K565" s="84" t="n"/>
      <c r="L565" s="84" t="inlineStr">
        <is>
          <t>日志记录，非事务功能</t>
        </is>
      </c>
      <c r="M565" s="85">
        <f>IF(OR(Y565="估算法",Y565="算法类",Y565="无法识别"),"",IF(W565="",IF(OR(J565="EI",J565="EO",J565="EQ"),0,""),LEN(W565)-LEN(SUBSTITUTE(W565,"、",""))+1))</f>
        <v/>
      </c>
      <c r="N565" s="85">
        <f>IF(OR(Y565="估算法",Y565="算法类",Y565="无法识别"),"",IF(X565="",IF(OR(J565="ILF",J565="EIF"),0,""),LEN(X565)-LEN(SUBSTITUTE(X565,"、",""))+1))</f>
        <v/>
      </c>
      <c r="O565" s="85">
        <f>IF(OR(Y565="估算法",Y565="算法类",Y565="无法识别"),"",IF(Y565="",IF(OR(J565="ILF",J565="EIF",J565="EI",J565="EO",J565="EQ"),0,""),LEN(Y565)-LEN(SUBSTITUTE(SUBSTITUTE(SUBSTITUTE(SUBSTITUTE(SUBSTITUTE(Y565,"|}","--"),"{|","--"),CHAR(10),""),"、",""),"|",""))+IF(AND(OR(J565="EI",J565="EO",J565="EQ"),$AE$1="NESMA"),2,1)))</f>
        <v/>
      </c>
      <c r="P565" s="86">
        <f>IF(J565="EI",IF(OR(Y565="估算法",Y565="算法类"),"中",IF(Y565="无法识别","低",IF(M565&lt;2,IF(O565&lt;16,"低","中"),IF(M565&lt;3,IF(O565&lt;5,"低",IF(O565&lt;16,"中","高")),IF(O565&lt;5,"中","高"))))),IF(OR(J565="EO",J565="EQ"),IF(OR(Y565="估算法",Y565="算法类"),"中",IF(Y565="无法识别","低",IF(M565&lt;2,IF(O565&lt;20,"低","中"),IF(M565&lt;4,IF(O565&lt;6,"低",IF(O565&lt;20,"中","高")),IF(O565&lt;6,"中","高"))))),IF(OR(J565="ILF",J565="EIF"),IF(OR(Y565="估算法",Y565="算法类",Y565="无法识别"),"低",IF(N565&lt;2,IF(O565&lt;51,"低","中"),IF(N565&lt;6,IF(O565&lt;20,"低",IF(O565&lt;51,"中","高")),IF(O565&lt;20,"中","高")))),"不计算")))</f>
        <v/>
      </c>
      <c r="Q565" s="172">
        <f>IFERROR(IF(J565="EI",IF(P565="低",3,IF(P565="中",4,6)),IF(J565="EO",IF(P565="低",4,IF(P565="中",5,7)),IF(J565="EQ",IF(P565="低",3,IF(P565="中",4,6)),IF(J565="ILF",IF(P565="低",7,IF(P565="中",10,15)),IF(J565="EIF",IF(P565="低",5,IF(P565="中",7,10)),"不计算")))))*R565,"不计算")</f>
        <v/>
      </c>
      <c r="R565" s="172" t="n">
        <v>1</v>
      </c>
      <c r="S565" s="173">
        <f>调整因子!$F$13</f>
        <v/>
      </c>
      <c r="T565" s="92" t="n">
        <v>1</v>
      </c>
      <c r="U565" s="174">
        <f>IFERROR(Q565*S565,0)</f>
        <v/>
      </c>
      <c r="V565" s="174">
        <f>U565*T565</f>
        <v/>
      </c>
      <c r="W565" s="93" t="inlineStr">
        <is>
          <t>漏洞预警任务结果获取响应数据表</t>
        </is>
      </c>
      <c r="X565" s="91" t="n"/>
      <c r="Y565" s="93" t="inlineStr">
        <is>
          <t>漏洞预警任务结果获取响应数据表{记录ID、记录时间、预警任务ID、请求时间、响应耗时、结果数量、下发时间|}</t>
        </is>
      </c>
      <c r="Z565" s="90" t="n"/>
      <c r="AA565" s="90" t="n"/>
      <c r="AB565" s="115" t="n"/>
    </row>
    <row r="566" s="112">
      <c r="A566" s="72">
        <f>ROW()-1</f>
        <v/>
      </c>
      <c r="B566" s="175" t="n"/>
      <c r="C566" s="80" t="n">
        <v>2025</v>
      </c>
      <c r="D566" s="80" t="inlineStr">
        <is>
          <t>汤凤欣</t>
        </is>
      </c>
      <c r="E566" s="81">
        <f>VLOOKUP(I566,'25年交付功能（不含废弃）'!A:A,1,FALSE)</f>
        <v/>
      </c>
      <c r="F566" s="175" t="n"/>
      <c r="G566" s="175" t="n"/>
      <c r="H566" s="175" t="n"/>
      <c r="I566" s="98" t="inlineStr">
        <is>
          <t>记录漏洞预警任务进度获取响应数据</t>
        </is>
      </c>
      <c r="J566" s="93" t="n"/>
      <c r="K566" s="84" t="n"/>
      <c r="L566" s="84" t="inlineStr">
        <is>
          <t>日志记录，非事务功能</t>
        </is>
      </c>
      <c r="M566" s="85">
        <f>IF(OR(Y566="估算法",Y566="算法类",Y566="无法识别"),"",IF(W566="",IF(OR(J566="EI",J566="EO",J566="EQ"),0,""),LEN(W566)-LEN(SUBSTITUTE(W566,"、",""))+1))</f>
        <v/>
      </c>
      <c r="N566" s="85">
        <f>IF(OR(Y566="估算法",Y566="算法类",Y566="无法识别"),"",IF(X566="",IF(OR(J566="ILF",J566="EIF"),0,""),LEN(X566)-LEN(SUBSTITUTE(X566,"、",""))+1))</f>
        <v/>
      </c>
      <c r="O566" s="85">
        <f>IF(OR(Y566="估算法",Y566="算法类",Y566="无法识别"),"",IF(Y566="",IF(OR(J566="ILF",J566="EIF",J566="EI",J566="EO",J566="EQ"),0,""),LEN(Y566)-LEN(SUBSTITUTE(SUBSTITUTE(SUBSTITUTE(SUBSTITUTE(SUBSTITUTE(Y566,"|}","--"),"{|","--"),CHAR(10),""),"、",""),"|",""))+IF(AND(OR(J566="EI",J566="EO",J566="EQ"),$AE$1="NESMA"),2,1)))</f>
        <v/>
      </c>
      <c r="P566" s="86">
        <f>IF(J566="EI",IF(OR(Y566="估算法",Y566="算法类"),"中",IF(Y566="无法识别","低",IF(M566&lt;2,IF(O566&lt;16,"低","中"),IF(M566&lt;3,IF(O566&lt;5,"低",IF(O566&lt;16,"中","高")),IF(O566&lt;5,"中","高"))))),IF(OR(J566="EO",J566="EQ"),IF(OR(Y566="估算法",Y566="算法类"),"中",IF(Y566="无法识别","低",IF(M566&lt;2,IF(O566&lt;20,"低","中"),IF(M566&lt;4,IF(O566&lt;6,"低",IF(O566&lt;20,"中","高")),IF(O566&lt;6,"中","高"))))),IF(OR(J566="ILF",J566="EIF"),IF(OR(Y566="估算法",Y566="算法类",Y566="无法识别"),"低",IF(N566&lt;2,IF(O566&lt;51,"低","中"),IF(N566&lt;6,IF(O566&lt;20,"低",IF(O566&lt;51,"中","高")),IF(O566&lt;20,"中","高")))),"不计算")))</f>
        <v/>
      </c>
      <c r="Q566" s="172">
        <f>IFERROR(IF(J566="EI",IF(P566="低",3,IF(P566="中",4,6)),IF(J566="EO",IF(P566="低",4,IF(P566="中",5,7)),IF(J566="EQ",IF(P566="低",3,IF(P566="中",4,6)),IF(J566="ILF",IF(P566="低",7,IF(P566="中",10,15)),IF(J566="EIF",IF(P566="低",5,IF(P566="中",7,10)),"不计算")))))*R566,"不计算")</f>
        <v/>
      </c>
      <c r="R566" s="172" t="n">
        <v>1</v>
      </c>
      <c r="S566" s="173">
        <f>调整因子!$F$13</f>
        <v/>
      </c>
      <c r="T566" s="93" t="n">
        <v>1</v>
      </c>
      <c r="U566" s="174">
        <f>IFERROR(Q566*S566,0)</f>
        <v/>
      </c>
      <c r="V566" s="174">
        <f>U566*T566</f>
        <v/>
      </c>
      <c r="W566" s="93" t="inlineStr">
        <is>
          <t>漏洞预警任务进度获取响应数据表</t>
        </is>
      </c>
      <c r="X566" s="91" t="n"/>
      <c r="Y566" s="93" t="inlineStr">
        <is>
          <t>漏洞预警任务进度获取响应数据表{记录ID、记录时间、预警任务ID、进度获取请求时间、响应耗时、进度信息、响应状态|}</t>
        </is>
      </c>
      <c r="Z566" s="90" t="n"/>
      <c r="AA566" s="90" t="n"/>
      <c r="AB566" s="92" t="n"/>
    </row>
    <row r="567" s="112">
      <c r="A567" s="72">
        <f>ROW()-1</f>
        <v/>
      </c>
      <c r="B567" s="175" t="n"/>
      <c r="C567" s="80" t="n">
        <v>2025</v>
      </c>
      <c r="D567" s="80" t="inlineStr">
        <is>
          <t>汤凤欣</t>
        </is>
      </c>
      <c r="E567" s="81">
        <f>VLOOKUP(I567,'25年交付功能（不含废弃）'!A:A,1,FALSE)</f>
        <v/>
      </c>
      <c r="F567" s="175" t="n"/>
      <c r="G567" s="175" t="n"/>
      <c r="H567" s="175" t="n"/>
      <c r="I567" s="98" t="inlineStr">
        <is>
          <t>记录防护策略下发响应数据</t>
        </is>
      </c>
      <c r="J567" s="93" t="n"/>
      <c r="K567" s="84" t="n"/>
      <c r="L567" s="84" t="inlineStr">
        <is>
          <t>日志记录，非事务功能</t>
        </is>
      </c>
      <c r="M567" s="85">
        <f>IF(OR(Y567="估算法",Y567="算法类",Y567="无法识别"),"",IF(W567="",IF(OR(J567="EI",J567="EO",J567="EQ"),0,""),LEN(W567)-LEN(SUBSTITUTE(W567,"、",""))+1))</f>
        <v/>
      </c>
      <c r="N567" s="85">
        <f>IF(OR(Y567="估算法",Y567="算法类",Y567="无法识别"),"",IF(X567="",IF(OR(J567="ILF",J567="EIF"),0,""),LEN(X567)-LEN(SUBSTITUTE(X567,"、",""))+1))</f>
        <v/>
      </c>
      <c r="O567" s="85">
        <f>IF(OR(Y567="估算法",Y567="算法类",Y567="无法识别"),"",IF(Y567="",IF(OR(J567="ILF",J567="EIF",J567="EI",J567="EO",J567="EQ"),0,""),LEN(Y567)-LEN(SUBSTITUTE(SUBSTITUTE(SUBSTITUTE(SUBSTITUTE(SUBSTITUTE(Y567,"|}","--"),"{|","--"),CHAR(10),""),"、",""),"|",""))+IF(AND(OR(J567="EI",J567="EO",J567="EQ"),$AE$1="NESMA"),2,1)))</f>
        <v/>
      </c>
      <c r="P567" s="86">
        <f>IF(J567="EI",IF(OR(Y567="估算法",Y567="算法类"),"中",IF(Y567="无法识别","低",IF(M567&lt;2,IF(O567&lt;16,"低","中"),IF(M567&lt;3,IF(O567&lt;5,"低",IF(O567&lt;16,"中","高")),IF(O567&lt;5,"中","高"))))),IF(OR(J567="EO",J567="EQ"),IF(OR(Y567="估算法",Y567="算法类"),"中",IF(Y567="无法识别","低",IF(M567&lt;2,IF(O567&lt;20,"低","中"),IF(M567&lt;4,IF(O567&lt;6,"低",IF(O567&lt;20,"中","高")),IF(O567&lt;6,"中","高"))))),IF(OR(J567="ILF",J567="EIF"),IF(OR(Y567="估算法",Y567="算法类",Y567="无法识别"),"低",IF(N567&lt;2,IF(O567&lt;51,"低","中"),IF(N567&lt;6,IF(O567&lt;20,"低",IF(O567&lt;51,"中","高")),IF(O567&lt;20,"中","高")))),"不计算")))</f>
        <v/>
      </c>
      <c r="Q567" s="172">
        <f>IFERROR(IF(J567="EI",IF(P567="低",3,IF(P567="中",4,6)),IF(J567="EO",IF(P567="低",4,IF(P567="中",5,7)),IF(J567="EQ",IF(P567="低",3,IF(P567="中",4,6)),IF(J567="ILF",IF(P567="低",7,IF(P567="中",10,15)),IF(J567="EIF",IF(P567="低",5,IF(P567="中",7,10)),"不计算")))))*R567,"不计算")</f>
        <v/>
      </c>
      <c r="R567" s="172" t="n">
        <v>1</v>
      </c>
      <c r="S567" s="173">
        <f>调整因子!$F$13</f>
        <v/>
      </c>
      <c r="T567" s="92" t="n">
        <v>1</v>
      </c>
      <c r="U567" s="174">
        <f>IFERROR(Q567*S567,0)</f>
        <v/>
      </c>
      <c r="V567" s="174">
        <f>U567*T567</f>
        <v/>
      </c>
      <c r="W567" s="93" t="inlineStr">
        <is>
          <t>防护策略下发响应数据表</t>
        </is>
      </c>
      <c r="X567" s="91" t="n"/>
      <c r="Y567" s="93" t="inlineStr">
        <is>
          <t>防护策略下发响应数据表{记录ID、记录时间、相应状态、下发时间、响应耗时、响应状态|}</t>
        </is>
      </c>
      <c r="Z567" s="90" t="n"/>
      <c r="AA567" s="90" t="n"/>
      <c r="AB567" s="115" t="n"/>
    </row>
    <row r="568" s="112">
      <c r="A568" s="72">
        <f>ROW()-1</f>
        <v/>
      </c>
      <c r="B568" s="175" t="n"/>
      <c r="C568" s="80" t="n">
        <v>2025</v>
      </c>
      <c r="D568" s="80" t="inlineStr">
        <is>
          <t>汤凤欣</t>
        </is>
      </c>
      <c r="E568" s="81">
        <f>VLOOKUP(I568,'25年交付功能（不含废弃）'!A:A,1,FALSE)</f>
        <v/>
      </c>
      <c r="F568" s="175" t="n"/>
      <c r="G568" s="175" t="n"/>
      <c r="H568" s="175" t="n"/>
      <c r="I568" s="98" t="inlineStr">
        <is>
          <t>产品漏洞验证响应数据表</t>
        </is>
      </c>
      <c r="J568" s="93" t="inlineStr">
        <is>
          <t>ILF</t>
        </is>
      </c>
      <c r="K568" s="84" t="n"/>
      <c r="L568" s="84" t="inlineStr">
        <is>
          <t>数据库表未被本系统所维护</t>
        </is>
      </c>
      <c r="M568" s="85">
        <f>IF(OR(Y568="估算法",Y568="算法类",Y568="无法识别"),"",IF(W568="",IF(OR(J568="EI",J568="EO",J568="EQ"),0,""),LEN(W568)-LEN(SUBSTITUTE(W568,"、",""))+1))</f>
        <v/>
      </c>
      <c r="N568" s="85">
        <f>IF(OR(Y568="估算法",Y568="算法类",Y568="无法识别"),"",IF(X568="",IF(OR(J568="ILF",J568="EIF"),0,""),LEN(X568)-LEN(SUBSTITUTE(X568,"、",""))+1))</f>
        <v/>
      </c>
      <c r="O568" s="85">
        <f>IF(OR(Y568="估算法",Y568="算法类",Y568="无法识别"),"",IF(Y568="",IF(OR(J568="ILF",J568="EIF",J568="EI",J568="EO",J568="EQ"),0,""),LEN(Y568)-LEN(SUBSTITUTE(SUBSTITUTE(SUBSTITUTE(SUBSTITUTE(SUBSTITUTE(Y568,"|}","--"),"{|","--"),CHAR(10),""),"、",""),"|",""))+IF(AND(OR(J568="EI",J568="EO",J568="EQ"),$AE$1="NESMA"),2,1)))</f>
        <v/>
      </c>
      <c r="P568" s="86">
        <f>IF(J568="EI",IF(OR(Y568="估算法",Y568="算法类"),"中",IF(Y568="无法识别","低",IF(M568&lt;2,IF(O568&lt;16,"低","中"),IF(M568&lt;3,IF(O568&lt;5,"低",IF(O568&lt;16,"中","高")),IF(O568&lt;5,"中","高"))))),IF(OR(J568="EO",J568="EQ"),IF(OR(Y568="估算法",Y568="算法类"),"中",IF(Y568="无法识别","低",IF(M568&lt;2,IF(O568&lt;20,"低","中"),IF(M568&lt;4,IF(O568&lt;6,"低",IF(O568&lt;20,"中","高")),IF(O568&lt;6,"中","高"))))),IF(OR(J568="ILF",J568="EIF"),IF(OR(Y568="估算法",Y568="算法类",Y568="无法识别"),"低",IF(N568&lt;2,IF(O568&lt;51,"低","中"),IF(N568&lt;6,IF(O568&lt;20,"低",IF(O568&lt;51,"中","高")),IF(O568&lt;20,"中","高")))),"不计算")))</f>
        <v/>
      </c>
      <c r="Q568" s="172">
        <f>IFERROR(IF(J568="EI",IF(P568="低",3,IF(P568="中",4,6)),IF(J568="EO",IF(P568="低",4,IF(P568="中",5,7)),IF(J568="EQ",IF(P568="低",3,IF(P568="中",4,6)),IF(J568="ILF",IF(P568="低",7,IF(P568="中",10,15)),IF(J568="EIF",IF(P568="低",5,IF(P568="中",7,10)),"不计算")))))*R568,"不计算")</f>
        <v/>
      </c>
      <c r="R568" s="172" t="n">
        <v>0</v>
      </c>
      <c r="S568" s="173">
        <f>调整因子!$F$13</f>
        <v/>
      </c>
      <c r="T568" s="92" t="n">
        <v>1</v>
      </c>
      <c r="U568" s="174">
        <f>IFERROR(Q568*S568,0)</f>
        <v/>
      </c>
      <c r="V568" s="174">
        <f>U568*T568</f>
        <v/>
      </c>
      <c r="W568" s="91" t="n"/>
      <c r="X568" s="93"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is>
      </c>
      <c r="Y568" s="93" t="inlineStr">
        <is>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is>
      </c>
      <c r="Z568" s="90">
        <f>IF(COUNTIFS(W:W,"*"&amp;I568&amp;"*")&gt;0,"存在","不存在")</f>
        <v/>
      </c>
      <c r="AA568" s="90">
        <f>IF(COUNTIFS(AB:AB,"*"&amp;I568&amp;"*")&gt;0,"存在","不存在")</f>
        <v/>
      </c>
      <c r="AB568" s="92" t="n"/>
    </row>
    <row r="569" s="112">
      <c r="A569" s="72">
        <f>ROW()-1</f>
        <v/>
      </c>
      <c r="B569" s="175" t="n"/>
      <c r="C569" s="80" t="n">
        <v>2025</v>
      </c>
      <c r="D569" s="80" t="inlineStr">
        <is>
          <t>汤凤欣</t>
        </is>
      </c>
      <c r="E569" s="81">
        <f>VLOOKUP(I569,'25年交付功能（不含废弃）'!A:A,1,FALSE)</f>
        <v/>
      </c>
      <c r="F569" s="175" t="n"/>
      <c r="G569" s="175" t="n"/>
      <c r="H569" s="175" t="n"/>
      <c r="I569" s="98" t="inlineStr">
        <is>
          <t>修复工单回传响应数据表</t>
        </is>
      </c>
      <c r="J569" s="93" t="inlineStr">
        <is>
          <t>ILF</t>
        </is>
      </c>
      <c r="K569" s="84" t="n"/>
      <c r="L569" s="84" t="inlineStr">
        <is>
          <t>数据库表未被本系统所维护</t>
        </is>
      </c>
      <c r="M569" s="85">
        <f>IF(OR(Y569="估算法",Y569="算法类",Y569="无法识别"),"",IF(W569="",IF(OR(J569="EI",J569="EO",J569="EQ"),0,""),LEN(W569)-LEN(SUBSTITUTE(W569,"、",""))+1))</f>
        <v/>
      </c>
      <c r="N569" s="85">
        <f>IF(OR(Y569="估算法",Y569="算法类",Y569="无法识别"),"",IF(X569="",IF(OR(J569="ILF",J569="EIF"),0,""),LEN(X569)-LEN(SUBSTITUTE(X569,"、",""))+1))</f>
        <v/>
      </c>
      <c r="O569" s="85">
        <f>IF(OR(Y569="估算法",Y569="算法类",Y569="无法识别"),"",IF(Y569="",IF(OR(J569="ILF",J569="EIF",J569="EI",J569="EO",J569="EQ"),0,""),LEN(Y569)-LEN(SUBSTITUTE(SUBSTITUTE(SUBSTITUTE(SUBSTITUTE(SUBSTITUTE(Y569,"|}","--"),"{|","--"),CHAR(10),""),"、",""),"|",""))+IF(AND(OR(J569="EI",J569="EO",J569="EQ"),$AE$1="NESMA"),2,1)))</f>
        <v/>
      </c>
      <c r="P569" s="86">
        <f>IF(J569="EI",IF(OR(Y569="估算法",Y569="算法类"),"中",IF(Y569="无法识别","低",IF(M569&lt;2,IF(O569&lt;16,"低","中"),IF(M569&lt;3,IF(O569&lt;5,"低",IF(O569&lt;16,"中","高")),IF(O569&lt;5,"中","高"))))),IF(OR(J569="EO",J569="EQ"),IF(OR(Y569="估算法",Y569="算法类"),"中",IF(Y569="无法识别","低",IF(M569&lt;2,IF(O569&lt;20,"低","中"),IF(M569&lt;4,IF(O569&lt;6,"低",IF(O569&lt;20,"中","高")),IF(O569&lt;6,"中","高"))))),IF(OR(J569="ILF",J569="EIF"),IF(OR(Y569="估算法",Y569="算法类",Y569="无法识别"),"低",IF(N569&lt;2,IF(O569&lt;51,"低","中"),IF(N569&lt;6,IF(O569&lt;20,"低",IF(O569&lt;51,"中","高")),IF(O569&lt;20,"中","高")))),"不计算")))</f>
        <v/>
      </c>
      <c r="Q569" s="172">
        <f>IFERROR(IF(J569="EI",IF(P569="低",3,IF(P569="中",4,6)),IF(J569="EO",IF(P569="低",4,IF(P569="中",5,7)),IF(J569="EQ",IF(P569="低",3,IF(P569="中",4,6)),IF(J569="ILF",IF(P569="低",7,IF(P569="中",10,15)),IF(J569="EIF",IF(P569="低",5,IF(P569="中",7,10)),"不计算")))))*R569,"不计算")</f>
        <v/>
      </c>
      <c r="R569" s="172" t="n">
        <v>0</v>
      </c>
      <c r="S569" s="173">
        <f>调整因子!$F$13</f>
        <v/>
      </c>
      <c r="T569" s="93" t="n">
        <v>1</v>
      </c>
      <c r="U569" s="174">
        <f>IFERROR(Q569*S569,0)</f>
        <v/>
      </c>
      <c r="V569" s="174">
        <f>U569*T569</f>
        <v/>
      </c>
      <c r="W569" s="91" t="n"/>
      <c r="X569" s="93" t="inlineStr">
        <is>
          <t>修复工单回传响应数据表</t>
        </is>
      </c>
      <c r="Y569" s="93" t="inlineStr">
        <is>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69" s="90">
        <f>IF(COUNTIFS(W:W,"*"&amp;I569&amp;"*")&gt;0,"存在","不存在")</f>
        <v/>
      </c>
      <c r="AA569" s="90">
        <f>IF(COUNTIFS(AB:AB,"*"&amp;I569&amp;"*")&gt;0,"存在","不存在")</f>
        <v/>
      </c>
      <c r="AB569" s="115" t="n"/>
    </row>
    <row r="570" s="112">
      <c r="A570" s="72">
        <f>ROW()-1</f>
        <v/>
      </c>
      <c r="B570" s="175" t="n"/>
      <c r="C570" s="80" t="n">
        <v>2025</v>
      </c>
      <c r="D570" s="80" t="inlineStr">
        <is>
          <t>汤凤欣</t>
        </is>
      </c>
      <c r="E570" s="81">
        <f>VLOOKUP(I570,'25年交付功能（不含废弃）'!A:A,1,FALSE)</f>
        <v/>
      </c>
      <c r="F570" s="175" t="n"/>
      <c r="G570" s="175" t="n"/>
      <c r="H570" s="175" t="n"/>
      <c r="I570" s="98" t="inlineStr">
        <is>
          <t>修复工单指派响应数据表</t>
        </is>
      </c>
      <c r="J570" s="93" t="inlineStr">
        <is>
          <t>ILF</t>
        </is>
      </c>
      <c r="K570" s="84" t="n"/>
      <c r="L570" s="84" t="inlineStr">
        <is>
          <t>数据库表未被本系统所维护</t>
        </is>
      </c>
      <c r="M570" s="85">
        <f>IF(OR(Y570="估算法",Y570="算法类",Y570="无法识别"),"",IF(W570="",IF(OR(J570="EI",J570="EO",J570="EQ"),0,""),LEN(W570)-LEN(SUBSTITUTE(W570,"、",""))+1))</f>
        <v/>
      </c>
      <c r="N570" s="85">
        <f>IF(OR(Y570="估算法",Y570="算法类",Y570="无法识别"),"",IF(X570="",IF(OR(J570="ILF",J570="EIF"),0,""),LEN(X570)-LEN(SUBSTITUTE(X570,"、",""))+1))</f>
        <v/>
      </c>
      <c r="O570" s="85">
        <f>IF(OR(Y570="估算法",Y570="算法类",Y570="无法识别"),"",IF(Y570="",IF(OR(J570="ILF",J570="EIF",J570="EI",J570="EO",J570="EQ"),0,""),LEN(Y570)-LEN(SUBSTITUTE(SUBSTITUTE(SUBSTITUTE(SUBSTITUTE(SUBSTITUTE(Y570,"|}","--"),"{|","--"),CHAR(10),""),"、",""),"|",""))+IF(AND(OR(J570="EI",J570="EO",J570="EQ"),$AE$1="NESMA"),2,1)))</f>
        <v/>
      </c>
      <c r="P570" s="86">
        <f>IF(J570="EI",IF(OR(Y570="估算法",Y570="算法类"),"中",IF(Y570="无法识别","低",IF(M570&lt;2,IF(O570&lt;16,"低","中"),IF(M570&lt;3,IF(O570&lt;5,"低",IF(O570&lt;16,"中","高")),IF(O570&lt;5,"中","高"))))),IF(OR(J570="EO",J570="EQ"),IF(OR(Y570="估算法",Y570="算法类"),"中",IF(Y570="无法识别","低",IF(M570&lt;2,IF(O570&lt;20,"低","中"),IF(M570&lt;4,IF(O570&lt;6,"低",IF(O570&lt;20,"中","高")),IF(O570&lt;6,"中","高"))))),IF(OR(J570="ILF",J570="EIF"),IF(OR(Y570="估算法",Y570="算法类",Y570="无法识别"),"低",IF(N570&lt;2,IF(O570&lt;51,"低","中"),IF(N570&lt;6,IF(O570&lt;20,"低",IF(O570&lt;51,"中","高")),IF(O570&lt;20,"中","高")))),"不计算")))</f>
        <v/>
      </c>
      <c r="Q570" s="172">
        <f>IFERROR(IF(J570="EI",IF(P570="低",3,IF(P570="中",4,6)),IF(J570="EO",IF(P570="低",4,IF(P570="中",5,7)),IF(J570="EQ",IF(P570="低",3,IF(P570="中",4,6)),IF(J570="ILF",IF(P570="低",7,IF(P570="中",10,15)),IF(J570="EIF",IF(P570="低",5,IF(P570="中",7,10)),"不计算")))))*R570,"不计算")</f>
        <v/>
      </c>
      <c r="R570" s="172" t="n">
        <v>0</v>
      </c>
      <c r="S570" s="173">
        <f>调整因子!$F$13</f>
        <v/>
      </c>
      <c r="T570" s="92" t="n">
        <v>1</v>
      </c>
      <c r="U570" s="174">
        <f>IFERROR(Q570*S570,0)</f>
        <v/>
      </c>
      <c r="V570" s="174">
        <f>U570*T570</f>
        <v/>
      </c>
      <c r="W570" s="91" t="n"/>
      <c r="X570" s="93" t="inlineStr">
        <is>
          <t>修复工单指派响应数据表</t>
        </is>
      </c>
      <c r="Y570" s="93" t="inlineStr">
        <is>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is>
      </c>
      <c r="Z570" s="90">
        <f>IF(COUNTIFS(W:W,"*"&amp;I570&amp;"*")&gt;0,"存在","不存在")</f>
        <v/>
      </c>
      <c r="AA570" s="90">
        <f>IF(COUNTIFS(AB:AB,"*"&amp;I570&amp;"*")&gt;0,"存在","不存在")</f>
        <v/>
      </c>
      <c r="AB570" s="92" t="n"/>
    </row>
    <row r="571" s="112">
      <c r="A571" s="72">
        <f>ROW()-1</f>
        <v/>
      </c>
      <c r="B571" s="175" t="n"/>
      <c r="C571" s="80" t="n">
        <v>2025</v>
      </c>
      <c r="D571" s="80" t="inlineStr">
        <is>
          <t>汤凤欣</t>
        </is>
      </c>
      <c r="E571" s="81">
        <f>VLOOKUP(I571,'25年交付功能（不含废弃）'!A:A,1,FALSE)</f>
        <v/>
      </c>
      <c r="F571" s="175" t="n"/>
      <c r="G571" s="175" t="n"/>
      <c r="H571" s="175" t="n"/>
      <c r="I571" s="98" t="inlineStr">
        <is>
          <t>弱口令扫描任务下发响应数据表</t>
        </is>
      </c>
      <c r="J571" s="93" t="inlineStr">
        <is>
          <t>ILF</t>
        </is>
      </c>
      <c r="K571" s="84" t="n"/>
      <c r="L571" s="84" t="inlineStr">
        <is>
          <t>数据库表未被本系统所维护</t>
        </is>
      </c>
      <c r="M571" s="85">
        <f>IF(OR(Y571="估算法",Y571="算法类",Y571="无法识别"),"",IF(W571="",IF(OR(J571="EI",J571="EO",J571="EQ"),0,""),LEN(W571)-LEN(SUBSTITUTE(W571,"、",""))+1))</f>
        <v/>
      </c>
      <c r="N571" s="85">
        <f>IF(OR(Y571="估算法",Y571="算法类",Y571="无法识别"),"",IF(X571="",IF(OR(J571="ILF",J571="EIF"),0,""),LEN(X571)-LEN(SUBSTITUTE(X571,"、",""))+1))</f>
        <v/>
      </c>
      <c r="O571" s="85">
        <f>IF(OR(Y571="估算法",Y571="算法类",Y571="无法识别"),"",IF(Y571="",IF(OR(J571="ILF",J571="EIF",J571="EI",J571="EO",J571="EQ"),0,""),LEN(Y571)-LEN(SUBSTITUTE(SUBSTITUTE(SUBSTITUTE(SUBSTITUTE(SUBSTITUTE(Y571,"|}","--"),"{|","--"),CHAR(10),""),"、",""),"|",""))+IF(AND(OR(J571="EI",J571="EO",J571="EQ"),$AE$1="NESMA"),2,1)))</f>
        <v/>
      </c>
      <c r="P571" s="86">
        <f>IF(J571="EI",IF(OR(Y571="估算法",Y571="算法类"),"中",IF(Y571="无法识别","低",IF(M571&lt;2,IF(O571&lt;16,"低","中"),IF(M571&lt;3,IF(O571&lt;5,"低",IF(O571&lt;16,"中","高")),IF(O571&lt;5,"中","高"))))),IF(OR(J571="EO",J571="EQ"),IF(OR(Y571="估算法",Y571="算法类"),"中",IF(Y571="无法识别","低",IF(M571&lt;2,IF(O571&lt;20,"低","中"),IF(M571&lt;4,IF(O571&lt;6,"低",IF(O571&lt;20,"中","高")),IF(O571&lt;6,"中","高"))))),IF(OR(J571="ILF",J571="EIF"),IF(OR(Y571="估算法",Y571="算法类",Y571="无法识别"),"低",IF(N571&lt;2,IF(O571&lt;51,"低","中"),IF(N571&lt;6,IF(O571&lt;20,"低",IF(O571&lt;51,"中","高")),IF(O571&lt;20,"中","高")))),"不计算")))</f>
        <v/>
      </c>
      <c r="Q571" s="172">
        <f>IFERROR(IF(J571="EI",IF(P571="低",3,IF(P571="中",4,6)),IF(J571="EO",IF(P571="低",4,IF(P571="中",5,7)),IF(J571="EQ",IF(P571="低",3,IF(P571="中",4,6)),IF(J571="ILF",IF(P571="低",7,IF(P571="中",10,15)),IF(J571="EIF",IF(P571="低",5,IF(P571="中",7,10)),"不计算")))))*R571,"不计算")</f>
        <v/>
      </c>
      <c r="R571" s="172" t="n">
        <v>0</v>
      </c>
      <c r="S571" s="173">
        <f>调整因子!$F$13</f>
        <v/>
      </c>
      <c r="T571" s="92" t="n">
        <v>1</v>
      </c>
      <c r="U571" s="174">
        <f>IFERROR(Q571*S571,0)</f>
        <v/>
      </c>
      <c r="V571" s="174">
        <f>U571*T571</f>
        <v/>
      </c>
      <c r="W571" s="91" t="n"/>
      <c r="X571" s="93" t="inlineStr">
        <is>
          <t>弱口令扫描任务下发响应数据表</t>
        </is>
      </c>
      <c r="Y571" s="93" t="inlineStr">
        <is>
          <t>弱口令扫描任务下发响应数据表{记录ID、记录时间、弱口令任务ID、下发时间、响应耗时、响应状态|}</t>
        </is>
      </c>
      <c r="Z571" s="90">
        <f>IF(COUNTIFS(W:W,"*"&amp;I571&amp;"*")&gt;0,"存在","不存在")</f>
        <v/>
      </c>
      <c r="AA571" s="90">
        <f>IF(COUNTIFS(AB:AB,"*"&amp;I571&amp;"*")&gt;0,"存在","不存在")</f>
        <v/>
      </c>
      <c r="AB571" s="115" t="n"/>
    </row>
    <row r="572" s="112">
      <c r="A572" s="72">
        <f>ROW()-1</f>
        <v/>
      </c>
      <c r="B572" s="175" t="n"/>
      <c r="C572" s="80" t="n">
        <v>2025</v>
      </c>
      <c r="D572" s="80" t="inlineStr">
        <is>
          <t>汤凤欣</t>
        </is>
      </c>
      <c r="E572" s="81">
        <f>VLOOKUP(I572,'25年交付功能（不含废弃）'!A:A,1,FALSE)</f>
        <v/>
      </c>
      <c r="F572" s="175" t="n"/>
      <c r="G572" s="175" t="n"/>
      <c r="H572" s="175" t="n"/>
      <c r="I572" s="98" t="inlineStr">
        <is>
          <t>弱口令扫描结果获取响应数据表</t>
        </is>
      </c>
      <c r="J572" s="93" t="inlineStr">
        <is>
          <t>ILF</t>
        </is>
      </c>
      <c r="K572" s="84" t="n"/>
      <c r="L572" s="84" t="inlineStr">
        <is>
          <t>数据库表未被本系统所维护</t>
        </is>
      </c>
      <c r="M572" s="85">
        <f>IF(OR(Y572="估算法",Y572="算法类",Y572="无法识别"),"",IF(W572="",IF(OR(J572="EI",J572="EO",J572="EQ"),0,""),LEN(W572)-LEN(SUBSTITUTE(W572,"、",""))+1))</f>
        <v/>
      </c>
      <c r="N572" s="85">
        <f>IF(OR(Y572="估算法",Y572="算法类",Y572="无法识别"),"",IF(X572="",IF(OR(J572="ILF",J572="EIF"),0,""),LEN(X572)-LEN(SUBSTITUTE(X572,"、",""))+1))</f>
        <v/>
      </c>
      <c r="O572" s="85">
        <f>IF(OR(Y572="估算法",Y572="算法类",Y572="无法识别"),"",IF(Y572="",IF(OR(J572="ILF",J572="EIF",J572="EI",J572="EO",J572="EQ"),0,""),LEN(Y572)-LEN(SUBSTITUTE(SUBSTITUTE(SUBSTITUTE(SUBSTITUTE(SUBSTITUTE(Y572,"|}","--"),"{|","--"),CHAR(10),""),"、",""),"|",""))+IF(AND(OR(J572="EI",J572="EO",J572="EQ"),$AE$1="NESMA"),2,1)))</f>
        <v/>
      </c>
      <c r="P572" s="86">
        <f>IF(J572="EI",IF(OR(Y572="估算法",Y572="算法类"),"中",IF(Y572="无法识别","低",IF(M572&lt;2,IF(O572&lt;16,"低","中"),IF(M572&lt;3,IF(O572&lt;5,"低",IF(O572&lt;16,"中","高")),IF(O572&lt;5,"中","高"))))),IF(OR(J572="EO",J572="EQ"),IF(OR(Y572="估算法",Y572="算法类"),"中",IF(Y572="无法识别","低",IF(M572&lt;2,IF(O572&lt;20,"低","中"),IF(M572&lt;4,IF(O572&lt;6,"低",IF(O572&lt;20,"中","高")),IF(O572&lt;6,"中","高"))))),IF(OR(J572="ILF",J572="EIF"),IF(OR(Y572="估算法",Y572="算法类",Y572="无法识别"),"低",IF(N572&lt;2,IF(O572&lt;51,"低","中"),IF(N572&lt;6,IF(O572&lt;20,"低",IF(O572&lt;51,"中","高")),IF(O572&lt;20,"中","高")))),"不计算")))</f>
        <v/>
      </c>
      <c r="Q572" s="172">
        <f>IFERROR(IF(J572="EI",IF(P572="低",3,IF(P572="中",4,6)),IF(J572="EO",IF(P572="低",4,IF(P572="中",5,7)),IF(J572="EQ",IF(P572="低",3,IF(P572="中",4,6)),IF(J572="ILF",IF(P572="低",7,IF(P572="中",10,15)),IF(J572="EIF",IF(P572="低",5,IF(P572="中",7,10)),"不计算")))))*R572,"不计算")</f>
        <v/>
      </c>
      <c r="R572" s="172" t="n">
        <v>0</v>
      </c>
      <c r="S572" s="173">
        <f>调整因子!$F$13</f>
        <v/>
      </c>
      <c r="T572" s="93" t="n">
        <v>1</v>
      </c>
      <c r="U572" s="174">
        <f>IFERROR(Q572*S572,0)</f>
        <v/>
      </c>
      <c r="V572" s="174">
        <f>U572*T572</f>
        <v/>
      </c>
      <c r="W572" s="91" t="n"/>
      <c r="X572" s="93" t="inlineStr">
        <is>
          <t>弱口令扫描结果获取响应数据表</t>
        </is>
      </c>
      <c r="Y572" s="93" t="inlineStr">
        <is>
          <t>弱口令扫描结果获取响应数据表{记录ID、记录时间、响应耗时、扫描结果数量、扫描任务ID、任务下发时间、响应状态|}</t>
        </is>
      </c>
      <c r="Z572" s="90">
        <f>IF(COUNTIFS(W:W,"*"&amp;I572&amp;"*")&gt;0,"存在","不存在")</f>
        <v/>
      </c>
      <c r="AA572" s="90">
        <f>IF(COUNTIFS(AB:AB,"*"&amp;I572&amp;"*")&gt;0,"存在","不存在")</f>
        <v/>
      </c>
      <c r="AB572" s="92" t="n"/>
    </row>
    <row r="573" s="112">
      <c r="A573" s="72">
        <f>ROW()-1</f>
        <v/>
      </c>
      <c r="B573" s="175" t="n"/>
      <c r="C573" s="80" t="n">
        <v>2025</v>
      </c>
      <c r="D573" s="80" t="inlineStr">
        <is>
          <t>汤凤欣</t>
        </is>
      </c>
      <c r="E573" s="81">
        <f>VLOOKUP(I573,'25年交付功能（不含废弃）'!A:A,1,FALSE)</f>
        <v/>
      </c>
      <c r="F573" s="175" t="n"/>
      <c r="G573" s="175" t="n"/>
      <c r="H573" s="175" t="n"/>
      <c r="I573" s="98" t="inlineStr">
        <is>
          <t>弱口令扫描进度获取响应数据表</t>
        </is>
      </c>
      <c r="J573" s="93" t="inlineStr">
        <is>
          <t>ILF</t>
        </is>
      </c>
      <c r="K573" s="84" t="n"/>
      <c r="L573" s="84" t="inlineStr">
        <is>
          <t>数据库表未被本系统所维护</t>
        </is>
      </c>
      <c r="M573" s="85">
        <f>IF(OR(Y573="估算法",Y573="算法类",Y573="无法识别"),"",IF(W573="",IF(OR(J573="EI",J573="EO",J573="EQ"),0,""),LEN(W573)-LEN(SUBSTITUTE(W573,"、",""))+1))</f>
        <v/>
      </c>
      <c r="N573" s="85">
        <f>IF(OR(Y573="估算法",Y573="算法类",Y573="无法识别"),"",IF(X573="",IF(OR(J573="ILF",J573="EIF"),0,""),LEN(X573)-LEN(SUBSTITUTE(X573,"、",""))+1))</f>
        <v/>
      </c>
      <c r="O573" s="85">
        <f>IF(OR(Y573="估算法",Y573="算法类",Y573="无法识别"),"",IF(Y573="",IF(OR(J573="ILF",J573="EIF",J573="EI",J573="EO",J573="EQ"),0,""),LEN(Y573)-LEN(SUBSTITUTE(SUBSTITUTE(SUBSTITUTE(SUBSTITUTE(SUBSTITUTE(Y573,"|}","--"),"{|","--"),CHAR(10),""),"、",""),"|",""))+IF(AND(OR(J573="EI",J573="EO",J573="EQ"),$AE$1="NESMA"),2,1)))</f>
        <v/>
      </c>
      <c r="P573" s="86">
        <f>IF(J573="EI",IF(OR(Y573="估算法",Y573="算法类"),"中",IF(Y573="无法识别","低",IF(M573&lt;2,IF(O573&lt;16,"低","中"),IF(M573&lt;3,IF(O573&lt;5,"低",IF(O573&lt;16,"中","高")),IF(O573&lt;5,"中","高"))))),IF(OR(J573="EO",J573="EQ"),IF(OR(Y573="估算法",Y573="算法类"),"中",IF(Y573="无法识别","低",IF(M573&lt;2,IF(O573&lt;20,"低","中"),IF(M573&lt;4,IF(O573&lt;6,"低",IF(O573&lt;20,"中","高")),IF(O573&lt;6,"中","高"))))),IF(OR(J573="ILF",J573="EIF"),IF(OR(Y573="估算法",Y573="算法类",Y573="无法识别"),"低",IF(N573&lt;2,IF(O573&lt;51,"低","中"),IF(N573&lt;6,IF(O573&lt;20,"低",IF(O573&lt;51,"中","高")),IF(O573&lt;20,"中","高")))),"不计算")))</f>
        <v/>
      </c>
      <c r="Q573" s="172">
        <f>IFERROR(IF(J573="EI",IF(P573="低",3,IF(P573="中",4,6)),IF(J573="EO",IF(P573="低",4,IF(P573="中",5,7)),IF(J573="EQ",IF(P573="低",3,IF(P573="中",4,6)),IF(J573="ILF",IF(P573="低",7,IF(P573="中",10,15)),IF(J573="EIF",IF(P573="低",5,IF(P573="中",7,10)),"不计算")))))*R573,"不计算")</f>
        <v/>
      </c>
      <c r="R573" s="172" t="n">
        <v>0</v>
      </c>
      <c r="S573" s="173">
        <f>调整因子!$F$13</f>
        <v/>
      </c>
      <c r="T573" s="92" t="n">
        <v>1</v>
      </c>
      <c r="U573" s="174">
        <f>IFERROR(Q573*S573,0)</f>
        <v/>
      </c>
      <c r="V573" s="174">
        <f>U573*T573</f>
        <v/>
      </c>
      <c r="W573" s="91" t="n"/>
      <c r="X573" s="93" t="inlineStr">
        <is>
          <t>弱口令扫描进度获取响应数据表</t>
        </is>
      </c>
      <c r="Y573" s="93" t="inlineStr">
        <is>
          <t>弱口令扫描进度获取响应数据表{记录ID、记录时间、扫描任务ID、请求时间、响应耗时、进度信息、响应状态|}</t>
        </is>
      </c>
      <c r="Z573" s="90">
        <f>IF(COUNTIFS(W:W,"*"&amp;I573&amp;"*")&gt;0,"存在","不存在")</f>
        <v/>
      </c>
      <c r="AA573" s="90">
        <f>IF(COUNTIFS(AB:AB,"*"&amp;I573&amp;"*")&gt;0,"存在","不存在")</f>
        <v/>
      </c>
      <c r="AB573" s="115" t="n"/>
    </row>
    <row r="574" s="112">
      <c r="A574" s="72">
        <f>ROW()-1</f>
        <v/>
      </c>
      <c r="B574" s="175" t="n"/>
      <c r="C574" s="80" t="n">
        <v>2025</v>
      </c>
      <c r="D574" s="80" t="inlineStr">
        <is>
          <t>汤凤欣</t>
        </is>
      </c>
      <c r="E574" s="81">
        <f>VLOOKUP(I574,'25年交付功能（不含废弃）'!A:A,1,FALSE)</f>
        <v/>
      </c>
      <c r="F574" s="175" t="n"/>
      <c r="G574" s="175" t="n"/>
      <c r="H574" s="175" t="n"/>
      <c r="I574" s="98" t="inlineStr">
        <is>
          <t>漏洞扫描任务下发响应数据表</t>
        </is>
      </c>
      <c r="J574" s="93" t="inlineStr">
        <is>
          <t>ILF</t>
        </is>
      </c>
      <c r="K574" s="84" t="n"/>
      <c r="L574" s="84" t="inlineStr">
        <is>
          <t>数据库表未被本系统所维护</t>
        </is>
      </c>
      <c r="M574" s="85">
        <f>IF(OR(Y574="估算法",Y574="算法类",Y574="无法识别"),"",IF(W574="",IF(OR(J574="EI",J574="EO",J574="EQ"),0,""),LEN(W574)-LEN(SUBSTITUTE(W574,"、",""))+1))</f>
        <v/>
      </c>
      <c r="N574" s="85">
        <f>IF(OR(Y574="估算法",Y574="算法类",Y574="无法识别"),"",IF(X574="",IF(OR(J574="ILF",J574="EIF"),0,""),LEN(X574)-LEN(SUBSTITUTE(X574,"、",""))+1))</f>
        <v/>
      </c>
      <c r="O574" s="85">
        <f>IF(OR(Y574="估算法",Y574="算法类",Y574="无法识别"),"",IF(Y574="",IF(OR(J574="ILF",J574="EIF",J574="EI",J574="EO",J574="EQ"),0,""),LEN(Y574)-LEN(SUBSTITUTE(SUBSTITUTE(SUBSTITUTE(SUBSTITUTE(SUBSTITUTE(Y574,"|}","--"),"{|","--"),CHAR(10),""),"、",""),"|",""))+IF(AND(OR(J574="EI",J574="EO",J574="EQ"),$AE$1="NESMA"),2,1)))</f>
        <v/>
      </c>
      <c r="P574" s="86">
        <f>IF(J574="EI",IF(OR(Y574="估算法",Y574="算法类"),"中",IF(Y574="无法识别","低",IF(M574&lt;2,IF(O574&lt;16,"低","中"),IF(M574&lt;3,IF(O574&lt;5,"低",IF(O574&lt;16,"中","高")),IF(O574&lt;5,"中","高"))))),IF(OR(J574="EO",J574="EQ"),IF(OR(Y574="估算法",Y574="算法类"),"中",IF(Y574="无法识别","低",IF(M574&lt;2,IF(O574&lt;20,"低","中"),IF(M574&lt;4,IF(O574&lt;6,"低",IF(O574&lt;20,"中","高")),IF(O574&lt;6,"中","高"))))),IF(OR(J574="ILF",J574="EIF"),IF(OR(Y574="估算法",Y574="算法类",Y574="无法识别"),"低",IF(N574&lt;2,IF(O574&lt;51,"低","中"),IF(N574&lt;6,IF(O574&lt;20,"低",IF(O574&lt;51,"中","高")),IF(O574&lt;20,"中","高")))),"不计算")))</f>
        <v/>
      </c>
      <c r="Q574" s="172">
        <f>IFERROR(IF(J574="EI",IF(P574="低",3,IF(P574="中",4,6)),IF(J574="EO",IF(P574="低",4,IF(P574="中",5,7)),IF(J574="EQ",IF(P574="低",3,IF(P574="中",4,6)),IF(J574="ILF",IF(P574="低",7,IF(P574="中",10,15)),IF(J574="EIF",IF(P574="低",5,IF(P574="中",7,10)),"不计算")))))*R574,"不计算")</f>
        <v/>
      </c>
      <c r="R574" s="172" t="n">
        <v>0</v>
      </c>
      <c r="S574" s="173">
        <f>调整因子!$F$13</f>
        <v/>
      </c>
      <c r="T574" s="92" t="n">
        <v>1</v>
      </c>
      <c r="U574" s="174">
        <f>IFERROR(Q574*S574,0)</f>
        <v/>
      </c>
      <c r="V574" s="174">
        <f>U574*T574</f>
        <v/>
      </c>
      <c r="W574" s="91" t="n"/>
      <c r="X574" s="93" t="inlineStr">
        <is>
          <t>漏洞扫描任务下发响应数据表</t>
        </is>
      </c>
      <c r="Y574" s="93" t="inlineStr">
        <is>
          <t>漏洞扫描任务下发响应数据表{记录ID、记录时间、漏洞扫描任务ID、下发时间、响应耗时、响应状态|}</t>
        </is>
      </c>
      <c r="Z574" s="90">
        <f>IF(COUNTIFS(W:W,"*"&amp;I574&amp;"*")&gt;0,"存在","不存在")</f>
        <v/>
      </c>
      <c r="AA574" s="90">
        <f>IF(COUNTIFS(AB:AB,"*"&amp;I574&amp;"*")&gt;0,"存在","不存在")</f>
        <v/>
      </c>
      <c r="AB574" s="92" t="n"/>
    </row>
    <row r="575" s="112">
      <c r="A575" s="72">
        <f>ROW()-1</f>
        <v/>
      </c>
      <c r="B575" s="175" t="n"/>
      <c r="C575" s="80" t="n">
        <v>2025</v>
      </c>
      <c r="D575" s="80" t="inlineStr">
        <is>
          <t>汤凤欣</t>
        </is>
      </c>
      <c r="E575" s="81">
        <f>VLOOKUP(I575,'25年交付功能（不含废弃）'!A:A,1,FALSE)</f>
        <v/>
      </c>
      <c r="F575" s="175" t="n"/>
      <c r="G575" s="175" t="n"/>
      <c r="H575" s="175" t="n"/>
      <c r="I575" s="98" t="inlineStr">
        <is>
          <t>漏洞扫描结果获取响应数据表</t>
        </is>
      </c>
      <c r="J575" s="93" t="inlineStr">
        <is>
          <t>ILF</t>
        </is>
      </c>
      <c r="K575" s="84" t="n"/>
      <c r="L575" s="84" t="inlineStr">
        <is>
          <t>数据库表未被本系统所维护</t>
        </is>
      </c>
      <c r="M575" s="85">
        <f>IF(OR(Y575="估算法",Y575="算法类",Y575="无法识别"),"",IF(W575="",IF(OR(J575="EI",J575="EO",J575="EQ"),0,""),LEN(W575)-LEN(SUBSTITUTE(W575,"、",""))+1))</f>
        <v/>
      </c>
      <c r="N575" s="85">
        <f>IF(OR(Y575="估算法",Y575="算法类",Y575="无法识别"),"",IF(X575="",IF(OR(J575="ILF",J575="EIF"),0,""),LEN(X575)-LEN(SUBSTITUTE(X575,"、",""))+1))</f>
        <v/>
      </c>
      <c r="O575" s="85">
        <f>IF(OR(Y575="估算法",Y575="算法类",Y575="无法识别"),"",IF(Y575="",IF(OR(J575="ILF",J575="EIF",J575="EI",J575="EO",J575="EQ"),0,""),LEN(Y575)-LEN(SUBSTITUTE(SUBSTITUTE(SUBSTITUTE(SUBSTITUTE(SUBSTITUTE(Y575,"|}","--"),"{|","--"),CHAR(10),""),"、",""),"|",""))+IF(AND(OR(J575="EI",J575="EO",J575="EQ"),$AE$1="NESMA"),2,1)))</f>
        <v/>
      </c>
      <c r="P575" s="86">
        <f>IF(J575="EI",IF(OR(Y575="估算法",Y575="算法类"),"中",IF(Y575="无法识别","低",IF(M575&lt;2,IF(O575&lt;16,"低","中"),IF(M575&lt;3,IF(O575&lt;5,"低",IF(O575&lt;16,"中","高")),IF(O575&lt;5,"中","高"))))),IF(OR(J575="EO",J575="EQ"),IF(OR(Y575="估算法",Y575="算法类"),"中",IF(Y575="无法识别","低",IF(M575&lt;2,IF(O575&lt;20,"低","中"),IF(M575&lt;4,IF(O575&lt;6,"低",IF(O575&lt;20,"中","高")),IF(O575&lt;6,"中","高"))))),IF(OR(J575="ILF",J575="EIF"),IF(OR(Y575="估算法",Y575="算法类",Y575="无法识别"),"低",IF(N575&lt;2,IF(O575&lt;51,"低","中"),IF(N575&lt;6,IF(O575&lt;20,"低",IF(O575&lt;51,"中","高")),IF(O575&lt;20,"中","高")))),"不计算")))</f>
        <v/>
      </c>
      <c r="Q575" s="172">
        <f>IFERROR(IF(J575="EI",IF(P575="低",3,IF(P575="中",4,6)),IF(J575="EO",IF(P575="低",4,IF(P575="中",5,7)),IF(J575="EQ",IF(P575="低",3,IF(P575="中",4,6)),IF(J575="ILF",IF(P575="低",7,IF(P575="中",10,15)),IF(J575="EIF",IF(P575="低",5,IF(P575="中",7,10)),"不计算")))))*R575,"不计算")</f>
        <v/>
      </c>
      <c r="R575" s="172" t="n">
        <v>0</v>
      </c>
      <c r="S575" s="173">
        <f>调整因子!$F$13</f>
        <v/>
      </c>
      <c r="T575" s="93" t="n">
        <v>1</v>
      </c>
      <c r="U575" s="174">
        <f>IFERROR(Q575*S575,0)</f>
        <v/>
      </c>
      <c r="V575" s="174">
        <f>U575*T575</f>
        <v/>
      </c>
      <c r="W575" s="91" t="n"/>
      <c r="X575" s="93" t="inlineStr">
        <is>
          <t>漏洞扫描结果获取响应数据表</t>
        </is>
      </c>
      <c r="Y575" s="93" t="inlineStr">
        <is>
          <t>漏洞扫描结果获取响应数据表{记录ID、记录时间、漏洞扫描任务ID、下发时间、任务耗时、请求时间、响应耗时、响应状态、结果数量|}</t>
        </is>
      </c>
      <c r="Z575" s="90">
        <f>IF(COUNTIFS(W:W,"*"&amp;I575&amp;"*")&gt;0,"存在","不存在")</f>
        <v/>
      </c>
      <c r="AA575" s="90">
        <f>IF(COUNTIFS(AB:AB,"*"&amp;I575&amp;"*")&gt;0,"存在","不存在")</f>
        <v/>
      </c>
      <c r="AB575" s="115" t="n"/>
    </row>
    <row r="576" s="112">
      <c r="A576" s="72">
        <f>ROW()-1</f>
        <v/>
      </c>
      <c r="B576" s="175" t="n"/>
      <c r="C576" s="80" t="n">
        <v>2025</v>
      </c>
      <c r="D576" s="80" t="inlineStr">
        <is>
          <t>汤凤欣</t>
        </is>
      </c>
      <c r="E576" s="81">
        <f>VLOOKUP(I576,'25年交付功能（不含废弃）'!A:A,1,FALSE)</f>
        <v/>
      </c>
      <c r="F576" s="175" t="n"/>
      <c r="G576" s="175" t="n"/>
      <c r="H576" s="175" t="n"/>
      <c r="I576" s="98" t="inlineStr">
        <is>
          <t>漏洞扫描进度获取响应数据表</t>
        </is>
      </c>
      <c r="J576" s="93" t="inlineStr">
        <is>
          <t>ILF</t>
        </is>
      </c>
      <c r="K576" s="84" t="n"/>
      <c r="L576" s="84" t="inlineStr">
        <is>
          <t>数据库表未被本系统所维护</t>
        </is>
      </c>
      <c r="M576" s="85">
        <f>IF(OR(Y576="估算法",Y576="算法类",Y576="无法识别"),"",IF(W576="",IF(OR(J576="EI",J576="EO",J576="EQ"),0,""),LEN(W576)-LEN(SUBSTITUTE(W576,"、",""))+1))</f>
        <v/>
      </c>
      <c r="N576" s="85">
        <f>IF(OR(Y576="估算法",Y576="算法类",Y576="无法识别"),"",IF(X576="",IF(OR(J576="ILF",J576="EIF"),0,""),LEN(X576)-LEN(SUBSTITUTE(X576,"、",""))+1))</f>
        <v/>
      </c>
      <c r="O576" s="85">
        <f>IF(OR(Y576="估算法",Y576="算法类",Y576="无法识别"),"",IF(Y576="",IF(OR(J576="ILF",J576="EIF",J576="EI",J576="EO",J576="EQ"),0,""),LEN(Y576)-LEN(SUBSTITUTE(SUBSTITUTE(SUBSTITUTE(SUBSTITUTE(SUBSTITUTE(Y576,"|}","--"),"{|","--"),CHAR(10),""),"、",""),"|",""))+IF(AND(OR(J576="EI",J576="EO",J576="EQ"),$AE$1="NESMA"),2,1)))</f>
        <v/>
      </c>
      <c r="P576" s="86">
        <f>IF(J576="EI",IF(OR(Y576="估算法",Y576="算法类"),"中",IF(Y576="无法识别","低",IF(M576&lt;2,IF(O576&lt;16,"低","中"),IF(M576&lt;3,IF(O576&lt;5,"低",IF(O576&lt;16,"中","高")),IF(O576&lt;5,"中","高"))))),IF(OR(J576="EO",J576="EQ"),IF(OR(Y576="估算法",Y576="算法类"),"中",IF(Y576="无法识别","低",IF(M576&lt;2,IF(O576&lt;20,"低","中"),IF(M576&lt;4,IF(O576&lt;6,"低",IF(O576&lt;20,"中","高")),IF(O576&lt;6,"中","高"))))),IF(OR(J576="ILF",J576="EIF"),IF(OR(Y576="估算法",Y576="算法类",Y576="无法识别"),"低",IF(N576&lt;2,IF(O576&lt;51,"低","中"),IF(N576&lt;6,IF(O576&lt;20,"低",IF(O576&lt;51,"中","高")),IF(O576&lt;20,"中","高")))),"不计算")))</f>
        <v/>
      </c>
      <c r="Q576" s="172">
        <f>IFERROR(IF(J576="EI",IF(P576="低",3,IF(P576="中",4,6)),IF(J576="EO",IF(P576="低",4,IF(P576="中",5,7)),IF(J576="EQ",IF(P576="低",3,IF(P576="中",4,6)),IF(J576="ILF",IF(P576="低",7,IF(P576="中",10,15)),IF(J576="EIF",IF(P576="低",5,IF(P576="中",7,10)),"不计算")))))*R576,"不计算")</f>
        <v/>
      </c>
      <c r="R576" s="172" t="n">
        <v>0</v>
      </c>
      <c r="S576" s="173">
        <f>调整因子!$F$13</f>
        <v/>
      </c>
      <c r="T576" s="92" t="n">
        <v>1</v>
      </c>
      <c r="U576" s="174">
        <f>IFERROR(Q576*S576,0)</f>
        <v/>
      </c>
      <c r="V576" s="174">
        <f>U576*T576</f>
        <v/>
      </c>
      <c r="W576" s="91" t="n"/>
      <c r="X576" s="93" t="inlineStr">
        <is>
          <t>漏洞扫描进度获取响应数据表</t>
        </is>
      </c>
      <c r="Y576" s="93" t="inlineStr">
        <is>
          <t>漏洞扫描进度获取响应数据表{记录ID、记录时间、漏洞扫描任务ID、请求时间、响应耗时、响应装填、进度信息、任务下发时间、扫描目标数量|}</t>
        </is>
      </c>
      <c r="Z576" s="90">
        <f>IF(COUNTIFS(W:W,"*"&amp;I576&amp;"*")&gt;0,"存在","不存在")</f>
        <v/>
      </c>
      <c r="AA576" s="90">
        <f>IF(COUNTIFS(AB:AB,"*"&amp;I576&amp;"*")&gt;0,"存在","不存在")</f>
        <v/>
      </c>
      <c r="AB576" s="92" t="n"/>
    </row>
    <row r="577" s="112">
      <c r="A577" s="72">
        <f>ROW()-1</f>
        <v/>
      </c>
      <c r="B577" s="175" t="n"/>
      <c r="C577" s="80" t="n">
        <v>2025</v>
      </c>
      <c r="D577" s="80" t="inlineStr">
        <is>
          <t>汤凤欣</t>
        </is>
      </c>
      <c r="E577" s="81">
        <f>VLOOKUP(I577,'25年交付功能（不含废弃）'!A:A,1,FALSE)</f>
        <v/>
      </c>
      <c r="F577" s="175" t="n"/>
      <c r="G577" s="175" t="n"/>
      <c r="H577" s="175" t="n"/>
      <c r="I577" s="98" t="inlineStr">
        <is>
          <t>漏洞预警任务下发响应数据表</t>
        </is>
      </c>
      <c r="J577" s="93" t="inlineStr">
        <is>
          <t>ILF</t>
        </is>
      </c>
      <c r="K577" s="84" t="n"/>
      <c r="L577" s="84" t="inlineStr">
        <is>
          <t>数据库表未被本系统所维护</t>
        </is>
      </c>
      <c r="M577" s="85">
        <f>IF(OR(Y577="估算法",Y577="算法类",Y577="无法识别"),"",IF(W577="",IF(OR(J577="EI",J577="EO",J577="EQ"),0,""),LEN(W577)-LEN(SUBSTITUTE(W577,"、",""))+1))</f>
        <v/>
      </c>
      <c r="N577" s="85">
        <f>IF(OR(Y577="估算法",Y577="算法类",Y577="无法识别"),"",IF(X577="",IF(OR(J577="ILF",J577="EIF"),0,""),LEN(X577)-LEN(SUBSTITUTE(X577,"、",""))+1))</f>
        <v/>
      </c>
      <c r="O577" s="85">
        <f>IF(OR(Y577="估算法",Y577="算法类",Y577="无法识别"),"",IF(Y577="",IF(OR(J577="ILF",J577="EIF",J577="EI",J577="EO",J577="EQ"),0,""),LEN(Y577)-LEN(SUBSTITUTE(SUBSTITUTE(SUBSTITUTE(SUBSTITUTE(SUBSTITUTE(Y577,"|}","--"),"{|","--"),CHAR(10),""),"、",""),"|",""))+IF(AND(OR(J577="EI",J577="EO",J577="EQ"),$AE$1="NESMA"),2,1)))</f>
        <v/>
      </c>
      <c r="P577" s="86">
        <f>IF(J577="EI",IF(OR(Y577="估算法",Y577="算法类"),"中",IF(Y577="无法识别","低",IF(M577&lt;2,IF(O577&lt;16,"低","中"),IF(M577&lt;3,IF(O577&lt;5,"低",IF(O577&lt;16,"中","高")),IF(O577&lt;5,"中","高"))))),IF(OR(J577="EO",J577="EQ"),IF(OR(Y577="估算法",Y577="算法类"),"中",IF(Y577="无法识别","低",IF(M577&lt;2,IF(O577&lt;20,"低","中"),IF(M577&lt;4,IF(O577&lt;6,"低",IF(O577&lt;20,"中","高")),IF(O577&lt;6,"中","高"))))),IF(OR(J577="ILF",J577="EIF"),IF(OR(Y577="估算法",Y577="算法类",Y577="无法识别"),"低",IF(N577&lt;2,IF(O577&lt;51,"低","中"),IF(N577&lt;6,IF(O577&lt;20,"低",IF(O577&lt;51,"中","高")),IF(O577&lt;20,"中","高")))),"不计算")))</f>
        <v/>
      </c>
      <c r="Q577" s="172">
        <f>IFERROR(IF(J577="EI",IF(P577="低",3,IF(P577="中",4,6)),IF(J577="EO",IF(P577="低",4,IF(P577="中",5,7)),IF(J577="EQ",IF(P577="低",3,IF(P577="中",4,6)),IF(J577="ILF",IF(P577="低",7,IF(P577="中",10,15)),IF(J577="EIF",IF(P577="低",5,IF(P577="中",7,10)),"不计算")))))*R577,"不计算")</f>
        <v/>
      </c>
      <c r="R577" s="172" t="n">
        <v>0</v>
      </c>
      <c r="S577" s="173">
        <f>调整因子!$F$13</f>
        <v/>
      </c>
      <c r="T577" s="92" t="n">
        <v>1</v>
      </c>
      <c r="U577" s="174">
        <f>IFERROR(Q577*S577,0)</f>
        <v/>
      </c>
      <c r="V577" s="174">
        <f>U577*T577</f>
        <v/>
      </c>
      <c r="W577" s="91" t="n"/>
      <c r="X577" s="93" t="inlineStr">
        <is>
          <t>漏洞预警任务下发响应数据表</t>
        </is>
      </c>
      <c r="Y577" s="93" t="inlineStr">
        <is>
          <t>漏洞预警任务下发响应数据表{记录ID、记录时间、预警任务ID、请求时间、响应耗时、响应状态|}</t>
        </is>
      </c>
      <c r="Z577" s="90">
        <f>IF(COUNTIFS(W:W,"*"&amp;I577&amp;"*")&gt;0,"存在","不存在")</f>
        <v/>
      </c>
      <c r="AA577" s="90">
        <f>IF(COUNTIFS(AB:AB,"*"&amp;I577&amp;"*")&gt;0,"存在","不存在")</f>
        <v/>
      </c>
      <c r="AB577" s="115" t="n"/>
    </row>
    <row r="578" s="112">
      <c r="A578" s="72">
        <f>ROW()-1</f>
        <v/>
      </c>
      <c r="B578" s="175" t="n"/>
      <c r="C578" s="80" t="n">
        <v>2025</v>
      </c>
      <c r="D578" s="80" t="inlineStr">
        <is>
          <t>汤凤欣</t>
        </is>
      </c>
      <c r="E578" s="81">
        <f>VLOOKUP(I578,'25年交付功能（不含废弃）'!A:A,1,FALSE)</f>
        <v/>
      </c>
      <c r="F578" s="175" t="n"/>
      <c r="G578" s="175" t="n"/>
      <c r="H578" s="175" t="n"/>
      <c r="I578" s="98" t="inlineStr">
        <is>
          <t>漏洞预警任务结果获取响应数据表</t>
        </is>
      </c>
      <c r="J578" s="93" t="inlineStr">
        <is>
          <t>ILF</t>
        </is>
      </c>
      <c r="K578" s="84" t="n"/>
      <c r="L578" s="84" t="inlineStr">
        <is>
          <t>数据库表未被本系统所维护</t>
        </is>
      </c>
      <c r="M578" s="85">
        <f>IF(OR(Y578="估算法",Y578="算法类",Y578="无法识别"),"",IF(W578="",IF(OR(J578="EI",J578="EO",J578="EQ"),0,""),LEN(W578)-LEN(SUBSTITUTE(W578,"、",""))+1))</f>
        <v/>
      </c>
      <c r="N578" s="85">
        <f>IF(OR(Y578="估算法",Y578="算法类",Y578="无法识别"),"",IF(X578="",IF(OR(J578="ILF",J578="EIF"),0,""),LEN(X578)-LEN(SUBSTITUTE(X578,"、",""))+1))</f>
        <v/>
      </c>
      <c r="O578" s="85">
        <f>IF(OR(Y578="估算法",Y578="算法类",Y578="无法识别"),"",IF(Y578="",IF(OR(J578="ILF",J578="EIF",J578="EI",J578="EO",J578="EQ"),0,""),LEN(Y578)-LEN(SUBSTITUTE(SUBSTITUTE(SUBSTITUTE(SUBSTITUTE(SUBSTITUTE(Y578,"|}","--"),"{|","--"),CHAR(10),""),"、",""),"|",""))+IF(AND(OR(J578="EI",J578="EO",J578="EQ"),$AE$1="NESMA"),2,1)))</f>
        <v/>
      </c>
      <c r="P578" s="86">
        <f>IF(J578="EI",IF(OR(Y578="估算法",Y578="算法类"),"中",IF(Y578="无法识别","低",IF(M578&lt;2,IF(O578&lt;16,"低","中"),IF(M578&lt;3,IF(O578&lt;5,"低",IF(O578&lt;16,"中","高")),IF(O578&lt;5,"中","高"))))),IF(OR(J578="EO",J578="EQ"),IF(OR(Y578="估算法",Y578="算法类"),"中",IF(Y578="无法识别","低",IF(M578&lt;2,IF(O578&lt;20,"低","中"),IF(M578&lt;4,IF(O578&lt;6,"低",IF(O578&lt;20,"中","高")),IF(O578&lt;6,"中","高"))))),IF(OR(J578="ILF",J578="EIF"),IF(OR(Y578="估算法",Y578="算法类",Y578="无法识别"),"低",IF(N578&lt;2,IF(O578&lt;51,"低","中"),IF(N578&lt;6,IF(O578&lt;20,"低",IF(O578&lt;51,"中","高")),IF(O578&lt;20,"中","高")))),"不计算")))</f>
        <v/>
      </c>
      <c r="Q578" s="172">
        <f>IFERROR(IF(J578="EI",IF(P578="低",3,IF(P578="中",4,6)),IF(J578="EO",IF(P578="低",4,IF(P578="中",5,7)),IF(J578="EQ",IF(P578="低",3,IF(P578="中",4,6)),IF(J578="ILF",IF(P578="低",7,IF(P578="中",10,15)),IF(J578="EIF",IF(P578="低",5,IF(P578="中",7,10)),"不计算")))))*R578,"不计算")</f>
        <v/>
      </c>
      <c r="R578" s="172" t="n">
        <v>0</v>
      </c>
      <c r="S578" s="173">
        <f>调整因子!$F$13</f>
        <v/>
      </c>
      <c r="T578" s="93" t="n">
        <v>1</v>
      </c>
      <c r="U578" s="174">
        <f>IFERROR(Q578*S578,0)</f>
        <v/>
      </c>
      <c r="V578" s="174">
        <f>U578*T578</f>
        <v/>
      </c>
      <c r="W578" s="91" t="n"/>
      <c r="X578" s="93" t="inlineStr">
        <is>
          <t>漏洞预警任务结果获取响应数据表</t>
        </is>
      </c>
      <c r="Y578" s="93" t="inlineStr">
        <is>
          <t>漏洞预警任务结果获取响应数据表{记录ID、记录时间、预警任务ID、请求时间、响应耗时、结果数量、下发时间|}</t>
        </is>
      </c>
      <c r="Z578" s="90">
        <f>IF(COUNTIFS(W:W,"*"&amp;I578&amp;"*")&gt;0,"存在","不存在")</f>
        <v/>
      </c>
      <c r="AA578" s="90">
        <f>IF(COUNTIFS(AB:AB,"*"&amp;I578&amp;"*")&gt;0,"存在","不存在")</f>
        <v/>
      </c>
      <c r="AB578" s="92" t="n"/>
    </row>
    <row r="579" s="112">
      <c r="A579" s="72">
        <f>ROW()-1</f>
        <v/>
      </c>
      <c r="B579" s="175" t="n"/>
      <c r="C579" s="80" t="n">
        <v>2025</v>
      </c>
      <c r="D579" s="80" t="inlineStr">
        <is>
          <t>汤凤欣</t>
        </is>
      </c>
      <c r="E579" s="81">
        <f>VLOOKUP(I579,'25年交付功能（不含废弃）'!A:A,1,FALSE)</f>
        <v/>
      </c>
      <c r="F579" s="175" t="n"/>
      <c r="G579" s="175" t="n"/>
      <c r="H579" s="175" t="n"/>
      <c r="I579" s="98" t="inlineStr">
        <is>
          <t>漏洞预警任务进度获取响应数据表</t>
        </is>
      </c>
      <c r="J579" s="93" t="inlineStr">
        <is>
          <t>ILF</t>
        </is>
      </c>
      <c r="K579" s="84" t="n"/>
      <c r="L579" s="84" t="inlineStr">
        <is>
          <t>数据库表未被本系统所维护</t>
        </is>
      </c>
      <c r="M579" s="85">
        <f>IF(OR(Y579="估算法",Y579="算法类",Y579="无法识别"),"",IF(W579="",IF(OR(J579="EI",J579="EO",J579="EQ"),0,""),LEN(W579)-LEN(SUBSTITUTE(W579,"、",""))+1))</f>
        <v/>
      </c>
      <c r="N579" s="85">
        <f>IF(OR(Y579="估算法",Y579="算法类",Y579="无法识别"),"",IF(X579="",IF(OR(J579="ILF",J579="EIF"),0,""),LEN(X579)-LEN(SUBSTITUTE(X579,"、",""))+1))</f>
        <v/>
      </c>
      <c r="O579" s="85">
        <f>IF(OR(Y579="估算法",Y579="算法类",Y579="无法识别"),"",IF(Y579="",IF(OR(J579="ILF",J579="EIF",J579="EI",J579="EO",J579="EQ"),0,""),LEN(Y579)-LEN(SUBSTITUTE(SUBSTITUTE(SUBSTITUTE(SUBSTITUTE(SUBSTITUTE(Y579,"|}","--"),"{|","--"),CHAR(10),""),"、",""),"|",""))+IF(AND(OR(J579="EI",J579="EO",J579="EQ"),$AE$1="NESMA"),2,1)))</f>
        <v/>
      </c>
      <c r="P579" s="86">
        <f>IF(J579="EI",IF(OR(Y579="估算法",Y579="算法类"),"中",IF(Y579="无法识别","低",IF(M579&lt;2,IF(O579&lt;16,"低","中"),IF(M579&lt;3,IF(O579&lt;5,"低",IF(O579&lt;16,"中","高")),IF(O579&lt;5,"中","高"))))),IF(OR(J579="EO",J579="EQ"),IF(OR(Y579="估算法",Y579="算法类"),"中",IF(Y579="无法识别","低",IF(M579&lt;2,IF(O579&lt;20,"低","中"),IF(M579&lt;4,IF(O579&lt;6,"低",IF(O579&lt;20,"中","高")),IF(O579&lt;6,"中","高"))))),IF(OR(J579="ILF",J579="EIF"),IF(OR(Y579="估算法",Y579="算法类",Y579="无法识别"),"低",IF(N579&lt;2,IF(O579&lt;51,"低","中"),IF(N579&lt;6,IF(O579&lt;20,"低",IF(O579&lt;51,"中","高")),IF(O579&lt;20,"中","高")))),"不计算")))</f>
        <v/>
      </c>
      <c r="Q579" s="172">
        <f>IFERROR(IF(J579="EI",IF(P579="低",3,IF(P579="中",4,6)),IF(J579="EO",IF(P579="低",4,IF(P579="中",5,7)),IF(J579="EQ",IF(P579="低",3,IF(P579="中",4,6)),IF(J579="ILF",IF(P579="低",7,IF(P579="中",10,15)),IF(J579="EIF",IF(P579="低",5,IF(P579="中",7,10)),"不计算")))))*R579,"不计算")</f>
        <v/>
      </c>
      <c r="R579" s="172" t="n">
        <v>0</v>
      </c>
      <c r="S579" s="173">
        <f>调整因子!$F$13</f>
        <v/>
      </c>
      <c r="T579" s="92" t="n">
        <v>1</v>
      </c>
      <c r="U579" s="174">
        <f>IFERROR(Q579*S579,0)</f>
        <v/>
      </c>
      <c r="V579" s="174">
        <f>U579*T579</f>
        <v/>
      </c>
      <c r="W579" s="91" t="n"/>
      <c r="X579" s="93" t="inlineStr">
        <is>
          <t>漏洞预警任务进度获取响应数据表</t>
        </is>
      </c>
      <c r="Y579" s="93" t="inlineStr">
        <is>
          <t>漏洞预警任务进度获取响应数据表{记录ID、记录时间、预警任务ID、进度获取请求时间、响应耗时、进度信息、响应状态|}</t>
        </is>
      </c>
      <c r="Z579" s="90">
        <f>IF(COUNTIFS(W:W,"*"&amp;I579&amp;"*")&gt;0,"存在","不存在")</f>
        <v/>
      </c>
      <c r="AA579" s="90">
        <f>IF(COUNTIFS(AB:AB,"*"&amp;I579&amp;"*")&gt;0,"存在","不存在")</f>
        <v/>
      </c>
      <c r="AB579" s="115" t="n"/>
    </row>
    <row r="580" s="112">
      <c r="A580" s="72">
        <f>ROW()-1</f>
        <v/>
      </c>
      <c r="B580" s="175" t="n"/>
      <c r="C580" s="80" t="n">
        <v>2025</v>
      </c>
      <c r="D580" s="80" t="inlineStr">
        <is>
          <t>汤凤欣</t>
        </is>
      </c>
      <c r="E580" s="81">
        <f>VLOOKUP(I580,'25年交付功能（不含废弃）'!A:A,1,FALSE)</f>
        <v/>
      </c>
      <c r="F580" s="175" t="n"/>
      <c r="G580" s="175" t="n"/>
      <c r="H580" s="176" t="n"/>
      <c r="I580" s="98" t="inlineStr">
        <is>
          <t>防护策略下发响应数据表</t>
        </is>
      </c>
      <c r="J580" s="93" t="inlineStr">
        <is>
          <t>ILF</t>
        </is>
      </c>
      <c r="K580" s="84" t="n"/>
      <c r="L580" s="84" t="inlineStr">
        <is>
          <t>数据库表未被本系统所维护</t>
        </is>
      </c>
      <c r="M580" s="85">
        <f>IF(OR(Y580="估算法",Y580="算法类",Y580="无法识别"),"",IF(W580="",IF(OR(J580="EI",J580="EO",J580="EQ"),0,""),LEN(W580)-LEN(SUBSTITUTE(W580,"、",""))+1))</f>
        <v/>
      </c>
      <c r="N580" s="85">
        <f>IF(OR(Y580="估算法",Y580="算法类",Y580="无法识别"),"",IF(X580="",IF(OR(J580="ILF",J580="EIF"),0,""),LEN(X580)-LEN(SUBSTITUTE(X580,"、",""))+1))</f>
        <v/>
      </c>
      <c r="O580" s="85">
        <f>IF(OR(Y580="估算法",Y580="算法类",Y580="无法识别"),"",IF(Y580="",IF(OR(J580="ILF",J580="EIF",J580="EI",J580="EO",J580="EQ"),0,""),LEN(Y580)-LEN(SUBSTITUTE(SUBSTITUTE(SUBSTITUTE(SUBSTITUTE(SUBSTITUTE(Y580,"|}","--"),"{|","--"),CHAR(10),""),"、",""),"|",""))+IF(AND(OR(J580="EI",J580="EO",J580="EQ"),$AE$1="NESMA"),2,1)))</f>
        <v/>
      </c>
      <c r="P580" s="86">
        <f>IF(J580="EI",IF(OR(Y580="估算法",Y580="算法类"),"中",IF(Y580="无法识别","低",IF(M580&lt;2,IF(O580&lt;16,"低","中"),IF(M580&lt;3,IF(O580&lt;5,"低",IF(O580&lt;16,"中","高")),IF(O580&lt;5,"中","高"))))),IF(OR(J580="EO",J580="EQ"),IF(OR(Y580="估算法",Y580="算法类"),"中",IF(Y580="无法识别","低",IF(M580&lt;2,IF(O580&lt;20,"低","中"),IF(M580&lt;4,IF(O580&lt;6,"低",IF(O580&lt;20,"中","高")),IF(O580&lt;6,"中","高"))))),IF(OR(J580="ILF",J580="EIF"),IF(OR(Y580="估算法",Y580="算法类",Y580="无法识别"),"低",IF(N580&lt;2,IF(O580&lt;51,"低","中"),IF(N580&lt;6,IF(O580&lt;20,"低",IF(O580&lt;51,"中","高")),IF(O580&lt;20,"中","高")))),"不计算")))</f>
        <v/>
      </c>
      <c r="Q580" s="172">
        <f>IFERROR(IF(J580="EI",IF(P580="低",3,IF(P580="中",4,6)),IF(J580="EO",IF(P580="低",4,IF(P580="中",5,7)),IF(J580="EQ",IF(P580="低",3,IF(P580="中",4,6)),IF(J580="ILF",IF(P580="低",7,IF(P580="中",10,15)),IF(J580="EIF",IF(P580="低",5,IF(P580="中",7,10)),"不计算")))))*R580,"不计算")</f>
        <v/>
      </c>
      <c r="R580" s="172" t="n">
        <v>0</v>
      </c>
      <c r="S580" s="173">
        <f>调整因子!$F$13</f>
        <v/>
      </c>
      <c r="T580" s="92" t="n">
        <v>1</v>
      </c>
      <c r="U580" s="174">
        <f>IFERROR(Q580*S580,0)</f>
        <v/>
      </c>
      <c r="V580" s="174">
        <f>U580*T580</f>
        <v/>
      </c>
      <c r="W580" s="91" t="n"/>
      <c r="X580" s="93" t="inlineStr">
        <is>
          <t>防护策略下发响应数据表</t>
        </is>
      </c>
      <c r="Y580" s="93" t="inlineStr">
        <is>
          <t>防护策略下发响应数据表{记录ID、记录时间、相应状态、下发时间、响应耗时、响应状态|}</t>
        </is>
      </c>
      <c r="Z580" s="90">
        <f>IF(COUNTIFS(W:W,"*"&amp;I580&amp;"*")&gt;0,"存在","不存在")</f>
        <v/>
      </c>
      <c r="AA580" s="90">
        <f>IF(COUNTIFS(AB:AB,"*"&amp;I580&amp;"*")&gt;0,"存在","不存在")</f>
        <v/>
      </c>
      <c r="AB580" s="92" t="n"/>
    </row>
    <row r="581" s="112">
      <c r="A581" s="72">
        <f>ROW()-1</f>
        <v/>
      </c>
      <c r="B581" s="175" t="n"/>
      <c r="C581" s="80" t="n">
        <v>2025</v>
      </c>
      <c r="D581" s="80" t="inlineStr">
        <is>
          <t>汤凤欣</t>
        </is>
      </c>
      <c r="E581" s="81">
        <f>VLOOKUP(I581,'25年交付功能（不含废弃）'!A:A,1,FALSE)</f>
        <v/>
      </c>
      <c r="F581" s="175" t="n"/>
      <c r="G581" s="175" t="n"/>
      <c r="H581" s="82" t="inlineStr">
        <is>
          <t>响应过程合规性审计</t>
        </is>
      </c>
      <c r="I581" s="81" t="inlineStr">
        <is>
          <t>审计响应合规性</t>
        </is>
      </c>
      <c r="J581" s="93" t="n"/>
      <c r="K581" s="84" t="n"/>
      <c r="L581" s="84" t="inlineStr">
        <is>
          <t>和下行合并，非事务功能</t>
        </is>
      </c>
      <c r="M581" s="85">
        <f>IF(OR(Y581="估算法",Y581="算法类",Y581="无法识别"),"",IF(W581="",IF(OR(J581="EI",J581="EO",J581="EQ"),0,""),LEN(W581)-LEN(SUBSTITUTE(W581,"、",""))+1))</f>
        <v/>
      </c>
      <c r="N581" s="85">
        <f>IF(OR(Y581="估算法",Y581="算法类",Y581="无法识别"),"",IF(X581="",IF(OR(J581="ILF",J581="EIF"),0,""),LEN(X581)-LEN(SUBSTITUTE(X581,"、",""))+1))</f>
        <v/>
      </c>
      <c r="O581" s="85">
        <f>IF(OR(Y581="估算法",Y581="算法类",Y581="无法识别"),"",IF(Y581="",IF(OR(J581="ILF",J581="EIF",J581="EI",J581="EO",J581="EQ"),0,""),LEN(Y581)-LEN(SUBSTITUTE(SUBSTITUTE(SUBSTITUTE(SUBSTITUTE(SUBSTITUTE(Y581,"|}","--"),"{|","--"),CHAR(10),""),"、",""),"|",""))+IF(AND(OR(J581="EI",J581="EO",J581="EQ"),$AE$1="NESMA"),2,1)))</f>
        <v/>
      </c>
      <c r="P581" s="86">
        <f>IF(J581="EI",IF(OR(Y581="估算法",Y581="算法类"),"中",IF(Y581="无法识别","低",IF(M581&lt;2,IF(O581&lt;16,"低","中"),IF(M581&lt;3,IF(O581&lt;5,"低",IF(O581&lt;16,"中","高")),IF(O581&lt;5,"中","高"))))),IF(OR(J581="EO",J581="EQ"),IF(OR(Y581="估算法",Y581="算法类"),"中",IF(Y581="无法识别","低",IF(M581&lt;2,IF(O581&lt;20,"低","中"),IF(M581&lt;4,IF(O581&lt;6,"低",IF(O581&lt;20,"中","高")),IF(O581&lt;6,"中","高"))))),IF(OR(J581="ILF",J581="EIF"),IF(OR(Y581="估算法",Y581="算法类",Y581="无法识别"),"低",IF(N581&lt;2,IF(O581&lt;51,"低","中"),IF(N581&lt;6,IF(O581&lt;20,"低",IF(O581&lt;51,"中","高")),IF(O581&lt;20,"中","高")))),"不计算")))</f>
        <v/>
      </c>
      <c r="Q581" s="172">
        <f>IFERROR(IF(J581="EI",IF(P581="低",3,IF(P581="中",4,6)),IF(J581="EO",IF(P581="低",4,IF(P581="中",5,7)),IF(J581="EQ",IF(P581="低",3,IF(P581="中",4,6)),IF(J581="ILF",IF(P581="低",7,IF(P581="中",10,15)),IF(J581="EIF",IF(P581="低",5,IF(P581="中",7,10)),"不计算")))))*R581,"不计算")</f>
        <v/>
      </c>
      <c r="R581" s="172" t="n">
        <v>1</v>
      </c>
      <c r="S581" s="173">
        <f>调整因子!$F$13</f>
        <v/>
      </c>
      <c r="T581" s="93" t="n">
        <v>1</v>
      </c>
      <c r="U581" s="174">
        <f>IFERROR(Q581*S581,0)</f>
        <v/>
      </c>
      <c r="V581" s="174">
        <f>U581*T581</f>
        <v/>
      </c>
      <c r="W581" s="90" t="inlineStr">
        <is>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1" s="91" t="n"/>
      <c r="Y581" s="90" t="inlineStr">
        <is>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1" s="90" t="n"/>
      <c r="AA581" s="90" t="n"/>
      <c r="AB581" s="115" t="n"/>
    </row>
    <row r="582" s="112">
      <c r="A582" s="72">
        <f>ROW()-1</f>
        <v/>
      </c>
      <c r="B582" s="175" t="n"/>
      <c r="C582" s="80" t="n">
        <v>2025</v>
      </c>
      <c r="D582" s="80" t="inlineStr">
        <is>
          <t>汤凤欣</t>
        </is>
      </c>
      <c r="E582" s="81">
        <f>VLOOKUP(I582,'25年交付功能（不含废弃）'!A:A,1,FALSE)</f>
        <v/>
      </c>
      <c r="F582" s="175" t="n"/>
      <c r="G582" s="175" t="n"/>
      <c r="H582" s="175" t="n"/>
      <c r="I582" s="81" t="inlineStr">
        <is>
          <t>配置响应审计策略</t>
        </is>
      </c>
      <c r="J582" s="93" t="inlineStr">
        <is>
          <t>EI</t>
        </is>
      </c>
      <c r="K582" s="84" t="n"/>
      <c r="L582" s="84" t="n"/>
      <c r="M582" s="85">
        <f>IF(OR(Y582="估算法",Y582="算法类",Y582="无法识别"),"",IF(W582="",IF(OR(J582="EI",J582="EO",J582="EQ"),0,""),LEN(W582)-LEN(SUBSTITUTE(W582,"、",""))+1))</f>
        <v/>
      </c>
      <c r="N582" s="85">
        <f>IF(OR(Y582="估算法",Y582="算法类",Y582="无法识别"),"",IF(X582="",IF(OR(J582="ILF",J582="EIF"),0,""),LEN(X582)-LEN(SUBSTITUTE(X582,"、",""))+1))</f>
        <v/>
      </c>
      <c r="O582" s="85">
        <f>IF(OR(Y582="估算法",Y582="算法类",Y582="无法识别"),"",IF(Y582="",IF(OR(J582="ILF",J582="EIF",J582="EI",J582="EO",J582="EQ"),0,""),LEN(Y582)-LEN(SUBSTITUTE(SUBSTITUTE(SUBSTITUTE(SUBSTITUTE(SUBSTITUTE(Y582,"|}","--"),"{|","--"),CHAR(10),""),"、",""),"|",""))+IF(AND(OR(J582="EI",J582="EO",J582="EQ"),$AE$1="NESMA"),2,1)))</f>
        <v/>
      </c>
      <c r="P582" s="86">
        <f>IF(J582="EI",IF(OR(Y582="估算法",Y582="算法类"),"中",IF(Y582="无法识别","低",IF(M582&lt;2,IF(O582&lt;16,"低","中"),IF(M582&lt;3,IF(O582&lt;5,"低",IF(O582&lt;16,"中","高")),IF(O582&lt;5,"中","高"))))),IF(OR(J582="EO",J582="EQ"),IF(OR(Y582="估算法",Y582="算法类"),"中",IF(Y582="无法识别","低",IF(M582&lt;2,IF(O582&lt;20,"低","中"),IF(M582&lt;4,IF(O582&lt;6,"低",IF(O582&lt;20,"中","高")),IF(O582&lt;6,"中","高"))))),IF(OR(J582="ILF",J582="EIF"),IF(OR(Y582="估算法",Y582="算法类",Y582="无法识别"),"低",IF(N582&lt;2,IF(O582&lt;51,"低","中"),IF(N582&lt;6,IF(O582&lt;20,"低",IF(O582&lt;51,"中","高")),IF(O582&lt;20,"中","高")))),"不计算")))</f>
        <v/>
      </c>
      <c r="Q582" s="172">
        <f>IFERROR(IF(J582="EI",IF(P582="低",3,IF(P582="中",4,6)),IF(J582="EO",IF(P582="低",4,IF(P582="中",5,7)),IF(J582="EQ",IF(P582="低",3,IF(P582="中",4,6)),IF(J582="ILF",IF(P582="低",7,IF(P582="中",10,15)),IF(J582="EIF",IF(P582="低",5,IF(P582="中",7,10)),"不计算")))))*R582,"不计算")</f>
        <v/>
      </c>
      <c r="R582" s="172" t="n">
        <v>1</v>
      </c>
      <c r="S582" s="173">
        <f>调整因子!$F$13</f>
        <v/>
      </c>
      <c r="T582" s="92" t="n">
        <v>1</v>
      </c>
      <c r="U582" s="174">
        <f>IFERROR(Q582*S582,0)</f>
        <v/>
      </c>
      <c r="V582" s="174">
        <f>U582*T582</f>
        <v/>
      </c>
      <c r="W582" s="90" t="inlineStr">
        <is>
          <t>响应审计合规结果数据表</t>
        </is>
      </c>
      <c r="X582" s="91" t="n"/>
      <c r="Y582" s="90" t="inlineStr">
        <is>
          <t>响应审计合规结果数据表{记录ID、记录时间、接口类型、响应记录ID、是否合规、问题说明|}</t>
        </is>
      </c>
      <c r="Z582" s="90" t="n"/>
      <c r="AA582" s="90" t="n"/>
      <c r="AB582" s="92" t="n"/>
    </row>
    <row r="583" s="112">
      <c r="A583" s="72">
        <f>ROW()-1</f>
        <v/>
      </c>
      <c r="B583" s="175" t="n"/>
      <c r="C583" s="80" t="n">
        <v>2025</v>
      </c>
      <c r="D583" s="80" t="inlineStr">
        <is>
          <t>汤凤欣</t>
        </is>
      </c>
      <c r="E583" s="81">
        <f>VLOOKUP(I583,'25年交付功能（不含废弃）'!A:A,1,FALSE)</f>
        <v/>
      </c>
      <c r="F583" s="175" t="n"/>
      <c r="G583" s="175" t="n"/>
      <c r="H583" s="175" t="n"/>
      <c r="I583" s="98" t="inlineStr">
        <is>
          <t>响应审计策略数据表</t>
        </is>
      </c>
      <c r="J583" s="93" t="inlineStr">
        <is>
          <t>ILF</t>
        </is>
      </c>
      <c r="K583" s="84" t="n"/>
      <c r="L583" s="84" t="inlineStr">
        <is>
          <t>数据库表未被本系统所维护</t>
        </is>
      </c>
      <c r="M583" s="85">
        <f>IF(OR(Y583="估算法",Y583="算法类",Y583="无法识别"),"",IF(W583="",IF(OR(J583="EI",J583="EO",J583="EQ"),0,""),LEN(W583)-LEN(SUBSTITUTE(W583,"、",""))+1))</f>
        <v/>
      </c>
      <c r="N583" s="85">
        <f>IF(OR(Y583="估算法",Y583="算法类",Y583="无法识别"),"",IF(X583="",IF(OR(J583="ILF",J583="EIF"),0,""),LEN(X583)-LEN(SUBSTITUTE(X583,"、",""))+1))</f>
        <v/>
      </c>
      <c r="O583" s="85">
        <f>IF(OR(Y583="估算法",Y583="算法类",Y583="无法识别"),"",IF(Y583="",IF(OR(J583="ILF",J583="EIF",J583="EI",J583="EO",J583="EQ"),0,""),LEN(Y583)-LEN(SUBSTITUTE(SUBSTITUTE(SUBSTITUTE(SUBSTITUTE(SUBSTITUTE(Y583,"|}","--"),"{|","--"),CHAR(10),""),"、",""),"|",""))+IF(AND(OR(J583="EI",J583="EO",J583="EQ"),$AE$1="NESMA"),2,1)))</f>
        <v/>
      </c>
      <c r="P583" s="86">
        <f>IF(J583="EI",IF(OR(Y583="估算法",Y583="算法类"),"中",IF(Y583="无法识别","低",IF(M583&lt;2,IF(O583&lt;16,"低","中"),IF(M583&lt;3,IF(O583&lt;5,"低",IF(O583&lt;16,"中","高")),IF(O583&lt;5,"中","高"))))),IF(OR(J583="EO",J583="EQ"),IF(OR(Y583="估算法",Y583="算法类"),"中",IF(Y583="无法识别","低",IF(M583&lt;2,IF(O583&lt;20,"低","中"),IF(M583&lt;4,IF(O583&lt;6,"低",IF(O583&lt;20,"中","高")),IF(O583&lt;6,"中","高"))))),IF(OR(J583="ILF",J583="EIF"),IF(OR(Y583="估算法",Y583="算法类",Y583="无法识别"),"低",IF(N583&lt;2,IF(O583&lt;51,"低","中"),IF(N583&lt;6,IF(O583&lt;20,"低",IF(O583&lt;51,"中","高")),IF(O583&lt;20,"中","高")))),"不计算")))</f>
        <v/>
      </c>
      <c r="Q583" s="172">
        <f>IFERROR(IF(J583="EI",IF(P583="低",3,IF(P583="中",4,6)),IF(J583="EO",IF(P583="低",4,IF(P583="中",5,7)),IF(J583="EQ",IF(P583="低",3,IF(P583="中",4,6)),IF(J583="ILF",IF(P583="低",7,IF(P583="中",10,15)),IF(J583="EIF",IF(P583="低",5,IF(P583="中",7,10)),"不计算")))))*R583,"不计算")</f>
        <v/>
      </c>
      <c r="R583" s="172" t="n">
        <v>0</v>
      </c>
      <c r="S583" s="173">
        <f>调整因子!$F$13</f>
        <v/>
      </c>
      <c r="T583" s="92" t="n">
        <v>1</v>
      </c>
      <c r="U583" s="174">
        <f>IFERROR(Q583*S583,0)</f>
        <v/>
      </c>
      <c r="V583" s="174">
        <f>U583*T583</f>
        <v/>
      </c>
      <c r="W583" s="91" t="n"/>
      <c r="X583" s="90" t="inlineStr">
        <is>
          <t>响应审计策略数据表</t>
        </is>
      </c>
      <c r="Y583" s="90" t="inlineStr">
        <is>
          <t>响应审计策略数据表{记录ID、记录时间、接口类型、响应耗时阈值、响应报文规则、参数名、参数值规则|}</t>
        </is>
      </c>
      <c r="Z583" s="90">
        <f>IF(COUNTIFS(W:W,"*"&amp;I583&amp;"*")&gt;0,"存在","不存在")</f>
        <v/>
      </c>
      <c r="AA583" s="90">
        <f>IF(COUNTIFS(AB:AB,"*"&amp;I583&amp;"*")&gt;0,"存在","不存在")</f>
        <v/>
      </c>
      <c r="AB583" s="115" t="n"/>
    </row>
    <row r="584" s="112">
      <c r="A584" s="72">
        <f>ROW()-1</f>
        <v/>
      </c>
      <c r="B584" s="175" t="n"/>
      <c r="C584" s="80" t="n">
        <v>2025</v>
      </c>
      <c r="D584" s="80" t="inlineStr">
        <is>
          <t>汤凤欣</t>
        </is>
      </c>
      <c r="E584" s="81">
        <f>VLOOKUP(I584,'25年交付功能（不含废弃）'!A:A,1,FALSE)</f>
        <v/>
      </c>
      <c r="F584" s="175" t="n"/>
      <c r="G584" s="175" t="n"/>
      <c r="H584" s="176" t="n"/>
      <c r="I584" s="98" t="inlineStr">
        <is>
          <t>响应审计合规结果数据表</t>
        </is>
      </c>
      <c r="J584" s="93" t="inlineStr">
        <is>
          <t>ILF</t>
        </is>
      </c>
      <c r="K584" s="84" t="n"/>
      <c r="L584" s="84" t="n"/>
      <c r="M584" s="85">
        <f>IF(OR(Y584="估算法",Y584="算法类",Y584="无法识别"),"",IF(W584="",IF(OR(J584="EI",J584="EO",J584="EQ"),0,""),LEN(W584)-LEN(SUBSTITUTE(W584,"、",""))+1))</f>
        <v/>
      </c>
      <c r="N584" s="85">
        <f>IF(OR(Y584="估算法",Y584="算法类",Y584="无法识别"),"",IF(X584="",IF(OR(J584="ILF",J584="EIF"),0,""),LEN(X584)-LEN(SUBSTITUTE(X584,"、",""))+1))</f>
        <v/>
      </c>
      <c r="O584" s="85">
        <f>IF(OR(Y584="估算法",Y584="算法类",Y584="无法识别"),"",IF(Y584="",IF(OR(J584="ILF",J584="EIF",J584="EI",J584="EO",J584="EQ"),0,""),LEN(Y584)-LEN(SUBSTITUTE(SUBSTITUTE(SUBSTITUTE(SUBSTITUTE(SUBSTITUTE(Y584,"|}","--"),"{|","--"),CHAR(10),""),"、",""),"|",""))+IF(AND(OR(J584="EI",J584="EO",J584="EQ"),$AE$1="NESMA"),2,1)))</f>
        <v/>
      </c>
      <c r="P584" s="86">
        <f>IF(J584="EI",IF(OR(Y584="估算法",Y584="算法类"),"中",IF(Y584="无法识别","低",IF(M584&lt;2,IF(O584&lt;16,"低","中"),IF(M584&lt;3,IF(O584&lt;5,"低",IF(O584&lt;16,"中","高")),IF(O584&lt;5,"中","高"))))),IF(OR(J584="EO",J584="EQ"),IF(OR(Y584="估算法",Y584="算法类"),"中",IF(Y584="无法识别","低",IF(M584&lt;2,IF(O584&lt;20,"低","中"),IF(M584&lt;4,IF(O584&lt;6,"低",IF(O584&lt;20,"中","高")),IF(O584&lt;6,"中","高"))))),IF(OR(J584="ILF",J584="EIF"),IF(OR(Y584="估算法",Y584="算法类",Y584="无法识别"),"低",IF(N584&lt;2,IF(O584&lt;51,"低","中"),IF(N584&lt;6,IF(O584&lt;20,"低",IF(O584&lt;51,"中","高")),IF(O584&lt;20,"中","高")))),"不计算")))</f>
        <v/>
      </c>
      <c r="Q584" s="172">
        <f>IFERROR(IF(J584="EI",IF(P584="低",3,IF(P584="中",4,6)),IF(J584="EO",IF(P584="低",4,IF(P584="中",5,7)),IF(J584="EQ",IF(P584="低",3,IF(P584="中",4,6)),IF(J584="ILF",IF(P584="低",7,IF(P584="中",10,15)),IF(J584="EIF",IF(P584="低",5,IF(P584="中",7,10)),"不计算")))))*R584,"不计算")</f>
        <v/>
      </c>
      <c r="R584" s="172" t="n">
        <v>1</v>
      </c>
      <c r="S584" s="173">
        <f>调整因子!$F$13</f>
        <v/>
      </c>
      <c r="T584" s="93" t="n">
        <v>1</v>
      </c>
      <c r="U584" s="174">
        <f>IFERROR(Q584*S584,0)</f>
        <v/>
      </c>
      <c r="V584" s="174">
        <f>U584*T584</f>
        <v/>
      </c>
      <c r="W584" s="91" t="n"/>
      <c r="X584" s="90" t="inlineStr">
        <is>
          <t>响应审计合规结果数据表</t>
        </is>
      </c>
      <c r="Y584" s="90" t="inlineStr">
        <is>
          <t>响应审计合规结果数据表{记录ID、记录时间、接口类型、响应记录ID、是否合规、问题说明|}</t>
        </is>
      </c>
      <c r="Z584" s="90">
        <f>IF(COUNTIFS(W:W,"*"&amp;I584&amp;"*")&gt;0,"存在","不存在")</f>
        <v/>
      </c>
      <c r="AA584" s="90">
        <f>IF(COUNTIFS(AB:AB,"*"&amp;I584&amp;"*")&gt;0,"存在","不存在")</f>
        <v/>
      </c>
      <c r="AB584" s="92" t="n"/>
    </row>
    <row r="585" s="112">
      <c r="A585" s="72">
        <f>ROW()-1</f>
        <v/>
      </c>
      <c r="B585" s="175" t="n"/>
      <c r="C585" s="80" t="n">
        <v>2025</v>
      </c>
      <c r="D585" s="80" t="inlineStr">
        <is>
          <t>汤凤欣</t>
        </is>
      </c>
      <c r="E585" s="81">
        <f>VLOOKUP(I585,'25年交付功能（不含废弃）'!A:A,1,FALSE)</f>
        <v/>
      </c>
      <c r="F585" s="175" t="n"/>
      <c r="G585" s="175" t="n"/>
      <c r="H585" s="93" t="inlineStr">
        <is>
          <t>响应过程审计报告生成</t>
        </is>
      </c>
      <c r="I585" s="98" t="inlineStr">
        <is>
          <t>下载响应审计报告</t>
        </is>
      </c>
      <c r="J585" s="93" t="inlineStr">
        <is>
          <t>EO</t>
        </is>
      </c>
      <c r="K585" s="84" t="n"/>
      <c r="L585" s="84" t="n"/>
      <c r="M585" s="85">
        <f>IF(OR(Y585="估算法",Y585="算法类",Y585="无法识别"),"",IF(W585="",IF(OR(J585="EI",J585="EO",J585="EQ"),0,""),LEN(W585)-LEN(SUBSTITUTE(W585,"、",""))+1))</f>
        <v/>
      </c>
      <c r="N585" s="85">
        <f>IF(OR(Y585="估算法",Y585="算法类",Y585="无法识别"),"",IF(X585="",IF(OR(J585="ILF",J585="EIF"),0,""),LEN(X585)-LEN(SUBSTITUTE(X585,"、",""))+1))</f>
        <v/>
      </c>
      <c r="O585" s="85">
        <f>IF(OR(Y585="估算法",Y585="算法类",Y585="无法识别"),"",IF(Y585="",IF(OR(J585="ILF",J585="EIF",J585="EI",J585="EO",J585="EQ"),0,""),LEN(Y585)-LEN(SUBSTITUTE(SUBSTITUTE(SUBSTITUTE(SUBSTITUTE(SUBSTITUTE(Y585,"|}","--"),"{|","--"),CHAR(10),""),"、",""),"|",""))+IF(AND(OR(J585="EI",J585="EO",J585="EQ"),$AE$1="NESMA"),2,1)))</f>
        <v/>
      </c>
      <c r="P585" s="86">
        <f>IF(J585="EI",IF(OR(Y585="估算法",Y585="算法类"),"中",IF(Y585="无法识别","低",IF(M585&lt;2,IF(O585&lt;16,"低","中"),IF(M585&lt;3,IF(O585&lt;5,"低",IF(O585&lt;16,"中","高")),IF(O585&lt;5,"中","高"))))),IF(OR(J585="EO",J585="EQ"),IF(OR(Y585="估算法",Y585="算法类"),"中",IF(Y585="无法识别","低",IF(M585&lt;2,IF(O585&lt;20,"低","中"),IF(M585&lt;4,IF(O585&lt;6,"低",IF(O585&lt;20,"中","高")),IF(O585&lt;6,"中","高"))))),IF(OR(J585="ILF",J585="EIF"),IF(OR(Y585="估算法",Y585="算法类",Y585="无法识别"),"低",IF(N585&lt;2,IF(O585&lt;51,"低","中"),IF(N585&lt;6,IF(O585&lt;20,"低",IF(O585&lt;51,"中","高")),IF(O585&lt;20,"中","高")))),"不计算")))</f>
        <v/>
      </c>
      <c r="Q585" s="172">
        <f>IFERROR(IF(J585="EI",IF(P585="低",3,IF(P585="中",4,6)),IF(J585="EO",IF(P585="低",4,IF(P585="中",5,7)),IF(J585="EQ",IF(P585="低",3,IF(P585="中",4,6)),IF(J585="ILF",IF(P585="低",7,IF(P585="中",10,15)),IF(J585="EIF",IF(P585="低",5,IF(P585="中",7,10)),"不计算")))))*R585,"不计算")</f>
        <v/>
      </c>
      <c r="R585" s="172" t="n">
        <v>1</v>
      </c>
      <c r="S585" s="173">
        <f>调整因子!$F$13</f>
        <v/>
      </c>
      <c r="T585" s="92" t="n">
        <v>1</v>
      </c>
      <c r="U585" s="174">
        <f>IFERROR(Q585*S585,0)</f>
        <v/>
      </c>
      <c r="V585" s="174">
        <f>U585*T585</f>
        <v/>
      </c>
      <c r="W585" s="90" t="inlineStr">
        <is>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5" s="91" t="n"/>
      <c r="Y585" s="90" t="inlineStr">
        <is>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5" s="90" t="n"/>
      <c r="AA585" s="90" t="n"/>
      <c r="AB585" s="115" t="n"/>
    </row>
    <row r="586" s="112">
      <c r="A586" s="72">
        <f>ROW()-1</f>
        <v/>
      </c>
      <c r="B586" s="175" t="n"/>
      <c r="C586" s="80" t="n">
        <v>2025</v>
      </c>
      <c r="D586" s="80" t="inlineStr">
        <is>
          <t>汤凤欣</t>
        </is>
      </c>
      <c r="E586" s="81">
        <f>VLOOKUP(I586,'25年交付功能（不含废弃）'!A:A,1,FALSE)</f>
        <v/>
      </c>
      <c r="F586" s="175" t="n"/>
      <c r="G586" s="175" t="n"/>
      <c r="H586" s="175" t="n"/>
      <c r="I586" s="98" t="inlineStr">
        <is>
          <t>查询响应审计报告记录</t>
        </is>
      </c>
      <c r="J586" s="93" t="inlineStr">
        <is>
          <t>EQ</t>
        </is>
      </c>
      <c r="K586" s="84" t="n"/>
      <c r="L586" s="84" t="n"/>
      <c r="M586" s="85">
        <f>IF(OR(Y586="估算法",Y586="算法类",Y586="无法识别"),"",IF(W586="",IF(OR(J586="EI",J586="EO",J586="EQ"),0,""),LEN(W586)-LEN(SUBSTITUTE(W586,"、",""))+1))</f>
        <v/>
      </c>
      <c r="N586" s="85">
        <f>IF(OR(Y586="估算法",Y586="算法类",Y586="无法识别"),"",IF(X586="",IF(OR(J586="ILF",J586="EIF"),0,""),LEN(X586)-LEN(SUBSTITUTE(X586,"、",""))+1))</f>
        <v/>
      </c>
      <c r="O586" s="85">
        <f>IF(OR(Y586="估算法",Y586="算法类",Y586="无法识别"),"",IF(Y586="",IF(OR(J586="ILF",J586="EIF",J586="EI",J586="EO",J586="EQ"),0,""),LEN(Y586)-LEN(SUBSTITUTE(SUBSTITUTE(SUBSTITUTE(SUBSTITUTE(SUBSTITUTE(Y586,"|}","--"),"{|","--"),CHAR(10),""),"、",""),"|",""))+IF(AND(OR(J586="EI",J586="EO",J586="EQ"),$AE$1="NESMA"),2,1)))</f>
        <v/>
      </c>
      <c r="P586" s="86">
        <f>IF(J586="EI",IF(OR(Y586="估算法",Y586="算法类"),"中",IF(Y586="无法识别","低",IF(M586&lt;2,IF(O586&lt;16,"低","中"),IF(M586&lt;3,IF(O586&lt;5,"低",IF(O586&lt;16,"中","高")),IF(O586&lt;5,"中","高"))))),IF(OR(J586="EO",J586="EQ"),IF(OR(Y586="估算法",Y586="算法类"),"中",IF(Y586="无法识别","低",IF(M586&lt;2,IF(O586&lt;20,"低","中"),IF(M586&lt;4,IF(O586&lt;6,"低",IF(O586&lt;20,"中","高")),IF(O586&lt;6,"中","高"))))),IF(OR(J586="ILF",J586="EIF"),IF(OR(Y586="估算法",Y586="算法类",Y586="无法识别"),"低",IF(N586&lt;2,IF(O586&lt;51,"低","中"),IF(N586&lt;6,IF(O586&lt;20,"低",IF(O586&lt;51,"中","高")),IF(O586&lt;20,"中","高")))),"不计算")))</f>
        <v/>
      </c>
      <c r="Q586" s="172">
        <f>IFERROR(IF(J586="EI",IF(P586="低",3,IF(P586="中",4,6)),IF(J586="EO",IF(P586="低",4,IF(P586="中",5,7)),IF(J586="EQ",IF(P586="低",3,IF(P586="中",4,6)),IF(J586="ILF",IF(P586="低",7,IF(P586="中",10,15)),IF(J586="EIF",IF(P586="低",5,IF(P586="中",7,10)),"不计算")))))*R586,"不计算")</f>
        <v/>
      </c>
      <c r="R586" s="172" t="n">
        <v>1</v>
      </c>
      <c r="S586" s="173">
        <f>调整因子!$F$13</f>
        <v/>
      </c>
      <c r="T586" s="92" t="n">
        <v>1</v>
      </c>
      <c r="U586" s="174">
        <f>IFERROR(Q586*S586,0)</f>
        <v/>
      </c>
      <c r="V586" s="174">
        <f>U586*T586</f>
        <v/>
      </c>
      <c r="W586" s="90" t="inlineStr">
        <is>
          <t>响应审计报告生成历史数据表</t>
        </is>
      </c>
      <c r="X586" s="91" t="n"/>
      <c r="Y586" s="90" t="inlineStr">
        <is>
          <t>响应审计报告生成历史数据表{记录ID、记录时间、生成时间、生成进度、生成结果、报告名称、报告路径|}</t>
        </is>
      </c>
      <c r="Z586" s="90" t="n"/>
      <c r="AA586" s="90" t="n"/>
      <c r="AB586" s="92" t="n"/>
    </row>
    <row r="587" s="112">
      <c r="A587" s="72">
        <f>ROW()-1</f>
        <v/>
      </c>
      <c r="B587" s="175" t="n"/>
      <c r="C587" s="80" t="n">
        <v>2025</v>
      </c>
      <c r="D587" s="80" t="inlineStr">
        <is>
          <t>汤凤欣</t>
        </is>
      </c>
      <c r="E587" s="81">
        <f>VLOOKUP(I587,'25年交付功能（不含废弃）'!A:A,1,FALSE)</f>
        <v/>
      </c>
      <c r="F587" s="175" t="n"/>
      <c r="G587" s="175" t="n"/>
      <c r="H587" s="175" t="n"/>
      <c r="I587" s="98" t="inlineStr">
        <is>
          <t>生成响应审计报告</t>
        </is>
      </c>
      <c r="J587" s="93" t="inlineStr">
        <is>
          <t>EO</t>
        </is>
      </c>
      <c r="K587" s="84" t="n"/>
      <c r="L587" s="84" t="n"/>
      <c r="M587" s="85">
        <f>IF(OR(Y587="估算法",Y587="算法类",Y587="无法识别"),"",IF(W587="",IF(OR(J587="EI",J587="EO",J587="EQ"),0,""),LEN(W587)-LEN(SUBSTITUTE(W587,"、",""))+1))</f>
        <v/>
      </c>
      <c r="N587" s="85">
        <f>IF(OR(Y587="估算法",Y587="算法类",Y587="无法识别"),"",IF(X587="",IF(OR(J587="ILF",J587="EIF"),0,""),LEN(X587)-LEN(SUBSTITUTE(X587,"、",""))+1))</f>
        <v/>
      </c>
      <c r="O587" s="85">
        <f>IF(OR(Y587="估算法",Y587="算法类",Y587="无法识别"),"",IF(Y587="",IF(OR(J587="ILF",J587="EIF",J587="EI",J587="EO",J587="EQ"),0,""),LEN(Y587)-LEN(SUBSTITUTE(SUBSTITUTE(SUBSTITUTE(SUBSTITUTE(SUBSTITUTE(Y587,"|}","--"),"{|","--"),CHAR(10),""),"、",""),"|",""))+IF(AND(OR(J587="EI",J587="EO",J587="EQ"),$AE$1="NESMA"),2,1)))</f>
        <v/>
      </c>
      <c r="P587" s="86">
        <f>IF(J587="EI",IF(OR(Y587="估算法",Y587="算法类"),"中",IF(Y587="无法识别","低",IF(M587&lt;2,IF(O587&lt;16,"低","中"),IF(M587&lt;3,IF(O587&lt;5,"低",IF(O587&lt;16,"中","高")),IF(O587&lt;5,"中","高"))))),IF(OR(J587="EO",J587="EQ"),IF(OR(Y587="估算法",Y587="算法类"),"中",IF(Y587="无法识别","低",IF(M587&lt;2,IF(O587&lt;20,"低","中"),IF(M587&lt;4,IF(O587&lt;6,"低",IF(O587&lt;20,"中","高")),IF(O587&lt;6,"中","高"))))),IF(OR(J587="ILF",J587="EIF"),IF(OR(Y587="估算法",Y587="算法类",Y587="无法识别"),"低",IF(N587&lt;2,IF(O587&lt;51,"低","中"),IF(N587&lt;6,IF(O587&lt;20,"低",IF(O587&lt;51,"中","高")),IF(O587&lt;20,"中","高")))),"不计算")))</f>
        <v/>
      </c>
      <c r="Q587" s="172">
        <f>IFERROR(IF(J587="EI",IF(P587="低",3,IF(P587="中",4,6)),IF(J587="EO",IF(P587="低",4,IF(P587="中",5,7)),IF(J587="EQ",IF(P587="低",3,IF(P587="中",4,6)),IF(J587="ILF",IF(P587="低",7,IF(P587="中",10,15)),IF(J587="EIF",IF(P587="低",5,IF(P587="中",7,10)),"不计算")))))*R587,"不计算")</f>
        <v/>
      </c>
      <c r="R587" s="172" t="n">
        <v>1</v>
      </c>
      <c r="S587" s="173">
        <f>调整因子!$F$13</f>
        <v/>
      </c>
      <c r="T587" s="93" t="n">
        <v>1</v>
      </c>
      <c r="U587" s="174">
        <f>IFERROR(Q587*S587,0)</f>
        <v/>
      </c>
      <c r="V587" s="174">
        <f>U587*T587</f>
        <v/>
      </c>
      <c r="W587" s="90" t="inlineStr">
        <is>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87" s="91" t="n"/>
      <c r="Y587" s="90" t="inlineStr">
        <is>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87" s="90" t="n"/>
      <c r="AA587" s="90" t="n"/>
      <c r="AB587" s="115" t="n"/>
    </row>
    <row r="588" s="112">
      <c r="A588" s="72">
        <f>ROW()-1</f>
        <v/>
      </c>
      <c r="B588" s="175" t="n"/>
      <c r="C588" s="80" t="n">
        <v>2025</v>
      </c>
      <c r="D588" s="80" t="inlineStr">
        <is>
          <t>汤凤欣</t>
        </is>
      </c>
      <c r="E588" s="81">
        <f>VLOOKUP(I588,'25年交付功能（不含废弃）'!A:A,1,FALSE)</f>
        <v/>
      </c>
      <c r="F588" s="175" t="n"/>
      <c r="G588" s="175" t="n"/>
      <c r="H588" s="175" t="n"/>
      <c r="I588" s="98" t="inlineStr">
        <is>
          <t>响应审计报告文件</t>
        </is>
      </c>
      <c r="J588" s="93" t="inlineStr">
        <is>
          <t>ILF</t>
        </is>
      </c>
      <c r="K588" s="84" t="n"/>
      <c r="L588" s="84" t="inlineStr">
        <is>
          <t>数据库表未被本系统所维护</t>
        </is>
      </c>
      <c r="M588" s="85">
        <f>IF(OR(Y588="估算法",Y588="算法类",Y588="无法识别"),"",IF(W588="",IF(OR(J588="EI",J588="EO",J588="EQ"),0,""),LEN(W588)-LEN(SUBSTITUTE(W588,"、",""))+1))</f>
        <v/>
      </c>
      <c r="N588" s="85">
        <f>IF(OR(Y588="估算法",Y588="算法类",Y588="无法识别"),"",IF(X588="",IF(OR(J588="ILF",J588="EIF"),0,""),LEN(X588)-LEN(SUBSTITUTE(X588,"、",""))+1))</f>
        <v/>
      </c>
      <c r="O588" s="85">
        <f>IF(OR(Y588="估算法",Y588="算法类",Y588="无法识别"),"",IF(Y588="",IF(OR(J588="ILF",J588="EIF",J588="EI",J588="EO",J588="EQ"),0,""),LEN(Y588)-LEN(SUBSTITUTE(SUBSTITUTE(SUBSTITUTE(SUBSTITUTE(SUBSTITUTE(Y588,"|}","--"),"{|","--"),CHAR(10),""),"、",""),"|",""))+IF(AND(OR(J588="EI",J588="EO",J588="EQ"),$AE$1="NESMA"),2,1)))</f>
        <v/>
      </c>
      <c r="P588" s="86">
        <f>IF(J588="EI",IF(OR(Y588="估算法",Y588="算法类"),"中",IF(Y588="无法识别","低",IF(M588&lt;2,IF(O588&lt;16,"低","中"),IF(M588&lt;3,IF(O588&lt;5,"低",IF(O588&lt;16,"中","高")),IF(O588&lt;5,"中","高"))))),IF(OR(J588="EO",J588="EQ"),IF(OR(Y588="估算法",Y588="算法类"),"中",IF(Y588="无法识别","低",IF(M588&lt;2,IF(O588&lt;20,"低","中"),IF(M588&lt;4,IF(O588&lt;6,"低",IF(O588&lt;20,"中","高")),IF(O588&lt;6,"中","高"))))),IF(OR(J588="ILF",J588="EIF"),IF(OR(Y588="估算法",Y588="算法类",Y588="无法识别"),"低",IF(N588&lt;2,IF(O588&lt;51,"低","中"),IF(N588&lt;6,IF(O588&lt;20,"低",IF(O588&lt;51,"中","高")),IF(O588&lt;20,"中","高")))),"不计算")))</f>
        <v/>
      </c>
      <c r="Q588" s="172">
        <f>IFERROR(IF(J588="EI",IF(P588="低",3,IF(P588="中",4,6)),IF(J588="EO",IF(P588="低",4,IF(P588="中",5,7)),IF(J588="EQ",IF(P588="低",3,IF(P588="中",4,6)),IF(J588="ILF",IF(P588="低",7,IF(P588="中",10,15)),IF(J588="EIF",IF(P588="低",5,IF(P588="中",7,10)),"不计算")))))*R588,"不计算")</f>
        <v/>
      </c>
      <c r="R588" s="172" t="n">
        <v>0</v>
      </c>
      <c r="S588" s="173">
        <f>调整因子!$F$13</f>
        <v/>
      </c>
      <c r="T588" s="92" t="n">
        <v>1</v>
      </c>
      <c r="U588" s="174">
        <f>IFERROR(Q588*S588,0)</f>
        <v/>
      </c>
      <c r="V588" s="174">
        <f>U588*T588</f>
        <v/>
      </c>
      <c r="W588" s="91" t="n"/>
      <c r="X588" s="90" t="inlineStr">
        <is>
          <t>响应审计报告文件</t>
        </is>
      </c>
      <c r="Y588" s="90" t="inlineStr">
        <is>
          <t>响应审计报告文件{报告时间、报告名称、接口类型、接口合规比例、不合规问题、排查建议|}</t>
        </is>
      </c>
      <c r="Z588" s="90">
        <f>IF(COUNTIFS(W:W,"*"&amp;I588&amp;"*")&gt;0,"存在","不存在")</f>
        <v/>
      </c>
      <c r="AA588" s="90">
        <f>IF(COUNTIFS(AB:AB,"*"&amp;I588&amp;"*")&gt;0,"存在","不存在")</f>
        <v/>
      </c>
      <c r="AB588" s="92" t="n"/>
    </row>
    <row r="589" s="112">
      <c r="A589" s="72">
        <f>ROW()-1</f>
        <v/>
      </c>
      <c r="B589" s="175" t="n"/>
      <c r="C589" s="80" t="n">
        <v>2025</v>
      </c>
      <c r="D589" s="80" t="inlineStr">
        <is>
          <t>汤凤欣</t>
        </is>
      </c>
      <c r="E589" s="81">
        <f>VLOOKUP(I589,'25年交付功能（不含废弃）'!A:A,1,FALSE)</f>
        <v/>
      </c>
      <c r="F589" s="175" t="n"/>
      <c r="G589" s="175" t="n"/>
      <c r="H589" s="176" t="n"/>
      <c r="I589" s="98" t="inlineStr">
        <is>
          <t>响应审计报告生成历史数据表</t>
        </is>
      </c>
      <c r="J589" s="93" t="inlineStr">
        <is>
          <t>ILF</t>
        </is>
      </c>
      <c r="K589" s="84" t="n"/>
      <c r="L589" s="84" t="inlineStr">
        <is>
          <t>数据库表未被本系统所维护</t>
        </is>
      </c>
      <c r="M589" s="85">
        <f>IF(OR(Y589="估算法",Y589="算法类",Y589="无法识别"),"",IF(W589="",IF(OR(J589="EI",J589="EO",J589="EQ"),0,""),LEN(W589)-LEN(SUBSTITUTE(W589,"、",""))+1))</f>
        <v/>
      </c>
      <c r="N589" s="85">
        <f>IF(OR(Y589="估算法",Y589="算法类",Y589="无法识别"),"",IF(X589="",IF(OR(J589="ILF",J589="EIF"),0,""),LEN(X589)-LEN(SUBSTITUTE(X589,"、",""))+1))</f>
        <v/>
      </c>
      <c r="O589" s="85">
        <f>IF(OR(Y589="估算法",Y589="算法类",Y589="无法识别"),"",IF(Y589="",IF(OR(J589="ILF",J589="EIF",J589="EI",J589="EO",J589="EQ"),0,""),LEN(Y589)-LEN(SUBSTITUTE(SUBSTITUTE(SUBSTITUTE(SUBSTITUTE(SUBSTITUTE(Y589,"|}","--"),"{|","--"),CHAR(10),""),"、",""),"|",""))+IF(AND(OR(J589="EI",J589="EO",J589="EQ"),$AE$1="NESMA"),2,1)))</f>
        <v/>
      </c>
      <c r="P589" s="86">
        <f>IF(J589="EI",IF(OR(Y589="估算法",Y589="算法类"),"中",IF(Y589="无法识别","低",IF(M589&lt;2,IF(O589&lt;16,"低","中"),IF(M589&lt;3,IF(O589&lt;5,"低",IF(O589&lt;16,"中","高")),IF(O589&lt;5,"中","高"))))),IF(OR(J589="EO",J589="EQ"),IF(OR(Y589="估算法",Y589="算法类"),"中",IF(Y589="无法识别","低",IF(M589&lt;2,IF(O589&lt;20,"低","中"),IF(M589&lt;4,IF(O589&lt;6,"低",IF(O589&lt;20,"中","高")),IF(O589&lt;6,"中","高"))))),IF(OR(J589="ILF",J589="EIF"),IF(OR(Y589="估算法",Y589="算法类",Y589="无法识别"),"低",IF(N589&lt;2,IF(O589&lt;51,"低","中"),IF(N589&lt;6,IF(O589&lt;20,"低",IF(O589&lt;51,"中","高")),IF(O589&lt;20,"中","高")))),"不计算")))</f>
        <v/>
      </c>
      <c r="Q589" s="172">
        <f>IFERROR(IF(J589="EI",IF(P589="低",3,IF(P589="中",4,6)),IF(J589="EO",IF(P589="低",4,IF(P589="中",5,7)),IF(J589="EQ",IF(P589="低",3,IF(P589="中",4,6)),IF(J589="ILF",IF(P589="低",7,IF(P589="中",10,15)),IF(J589="EIF",IF(P589="低",5,IF(P589="中",7,10)),"不计算")))))*R589,"不计算")</f>
        <v/>
      </c>
      <c r="R589" s="172" t="n">
        <v>0</v>
      </c>
      <c r="S589" s="173">
        <f>调整因子!$F$13</f>
        <v/>
      </c>
      <c r="T589" s="92" t="n">
        <v>1</v>
      </c>
      <c r="U589" s="174">
        <f>IFERROR(Q589*S589,0)</f>
        <v/>
      </c>
      <c r="V589" s="174">
        <f>U589*T589</f>
        <v/>
      </c>
      <c r="W589" s="91" t="n"/>
      <c r="X589" s="90" t="inlineStr">
        <is>
          <t>响应审计报告生成历史数据表</t>
        </is>
      </c>
      <c r="Y589" s="90" t="inlineStr">
        <is>
          <t>响应审计报告生成历史数据表{记录ID、记录时间、生成时间、生成进度、生成结果、报告名称、报告路径|}</t>
        </is>
      </c>
      <c r="Z589" s="90">
        <f>IF(COUNTIFS(W:W,"*"&amp;I589&amp;"*")&gt;0,"存在","不存在")</f>
        <v/>
      </c>
      <c r="AA589" s="90">
        <f>IF(COUNTIFS(AB:AB,"*"&amp;I589&amp;"*")&gt;0,"存在","不存在")</f>
        <v/>
      </c>
      <c r="AB589" s="115" t="n"/>
    </row>
    <row r="590" s="112">
      <c r="A590" s="72">
        <f>ROW()-1</f>
        <v/>
      </c>
      <c r="B590" s="175" t="n"/>
      <c r="C590" s="80" t="n">
        <v>2025</v>
      </c>
      <c r="D590" s="80" t="inlineStr">
        <is>
          <t>汤凤欣</t>
        </is>
      </c>
      <c r="E590" s="81">
        <f>VLOOKUP(I590,'25年交付功能（不含废弃）'!A:A,1,FALSE)</f>
        <v/>
      </c>
      <c r="F590" s="175" t="n"/>
      <c r="G590" s="175" t="n"/>
      <c r="H590" s="82" t="inlineStr">
        <is>
          <t>响应过程历史审计追溯</t>
        </is>
      </c>
      <c r="I590" s="81" t="inlineStr">
        <is>
          <t>查看关联上下文</t>
        </is>
      </c>
      <c r="J590" s="93" t="inlineStr">
        <is>
          <t>EQ</t>
        </is>
      </c>
      <c r="K590" s="84" t="n"/>
      <c r="L590" s="84" t="n"/>
      <c r="M590" s="85">
        <f>IF(OR(Y590="估算法",Y590="算法类",Y590="无法识别"),"",IF(W590="",IF(OR(J590="EI",J590="EO",J590="EQ"),0,""),LEN(W590)-LEN(SUBSTITUTE(W590,"、",""))+1))</f>
        <v/>
      </c>
      <c r="N590" s="85">
        <f>IF(OR(Y590="估算法",Y590="算法类",Y590="无法识别"),"",IF(X590="",IF(OR(J590="ILF",J590="EIF"),0,""),LEN(X590)-LEN(SUBSTITUTE(X590,"、",""))+1))</f>
        <v/>
      </c>
      <c r="O590" s="85">
        <f>IF(OR(Y590="估算法",Y590="算法类",Y590="无法识别"),"",IF(Y590="",IF(OR(J590="ILF",J590="EIF",J590="EI",J590="EO",J590="EQ"),0,""),LEN(Y590)-LEN(SUBSTITUTE(SUBSTITUTE(SUBSTITUTE(SUBSTITUTE(SUBSTITUTE(Y590,"|}","--"),"{|","--"),CHAR(10),""),"、",""),"|",""))+IF(AND(OR(J590="EI",J590="EO",J590="EQ"),$AE$1="NESMA"),2,1)))</f>
        <v/>
      </c>
      <c r="P590" s="86">
        <f>IF(J590="EI",IF(OR(Y590="估算法",Y590="算法类"),"中",IF(Y590="无法识别","低",IF(M590&lt;2,IF(O590&lt;16,"低","中"),IF(M590&lt;3,IF(O590&lt;5,"低",IF(O590&lt;16,"中","高")),IF(O590&lt;5,"中","高"))))),IF(OR(J590="EO",J590="EQ"),IF(OR(Y590="估算法",Y590="算法类"),"中",IF(Y590="无法识别","低",IF(M590&lt;2,IF(O590&lt;20,"低","中"),IF(M590&lt;4,IF(O590&lt;6,"低",IF(O590&lt;20,"中","高")),IF(O590&lt;6,"中","高"))))),IF(OR(J590="ILF",J590="EIF"),IF(OR(Y590="估算法",Y590="算法类",Y590="无法识别"),"低",IF(N590&lt;2,IF(O590&lt;51,"低","中"),IF(N590&lt;6,IF(O590&lt;20,"低",IF(O590&lt;51,"中","高")),IF(O590&lt;20,"中","高")))),"不计算")))</f>
        <v/>
      </c>
      <c r="Q590" s="172">
        <f>IFERROR(IF(J590="EI",IF(P590="低",3,IF(P590="中",4,6)),IF(J590="EO",IF(P590="低",4,IF(P590="中",5,7)),IF(J590="EQ",IF(P590="低",3,IF(P590="中",4,6)),IF(J590="ILF",IF(P590="低",7,IF(P590="中",10,15)),IF(J590="EIF",IF(P590="低",5,IF(P590="中",7,10)),"不计算")))))*R590,"不计算")</f>
        <v/>
      </c>
      <c r="R590" s="172" t="n">
        <v>1</v>
      </c>
      <c r="S590" s="173">
        <f>调整因子!$F$13</f>
        <v/>
      </c>
      <c r="T590" s="93" t="n">
        <v>1</v>
      </c>
      <c r="U590" s="174">
        <f>IFERROR(Q590*S590,0)</f>
        <v/>
      </c>
      <c r="V590" s="174">
        <f>U590*T590</f>
        <v/>
      </c>
      <c r="W590" s="90"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90" s="91" t="n"/>
      <c r="Y590" s="90"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90" s="90" t="n"/>
      <c r="AA590" s="90" t="n"/>
      <c r="AB590" s="92" t="n"/>
    </row>
    <row r="591" s="112">
      <c r="A591" s="72">
        <f>ROW()-1</f>
        <v/>
      </c>
      <c r="B591" s="175" t="n"/>
      <c r="C591" s="80" t="n">
        <v>2025</v>
      </c>
      <c r="D591" s="80" t="inlineStr">
        <is>
          <t>汤凤欣</t>
        </is>
      </c>
      <c r="E591" s="81">
        <f>VLOOKUP(I591,'25年交付功能（不含废弃）'!A:A,1,FALSE)</f>
        <v/>
      </c>
      <c r="F591" s="175" t="n"/>
      <c r="G591" s="176" t="n"/>
      <c r="H591" s="176" t="n"/>
      <c r="I591" s="98" t="inlineStr">
        <is>
          <t>查询响应数据列表</t>
        </is>
      </c>
      <c r="J591" s="93" t="inlineStr">
        <is>
          <t>EQ</t>
        </is>
      </c>
      <c r="K591" s="84" t="n"/>
      <c r="L591" s="84" t="n"/>
      <c r="M591" s="85">
        <f>IF(OR(Y591="估算法",Y591="算法类",Y591="无法识别"),"",IF(W591="",IF(OR(J591="EI",J591="EO",J591="EQ"),0,""),LEN(W591)-LEN(SUBSTITUTE(W591,"、",""))+1))</f>
        <v/>
      </c>
      <c r="N591" s="85">
        <f>IF(OR(Y591="估算法",Y591="算法类",Y591="无法识别"),"",IF(X591="",IF(OR(J591="ILF",J591="EIF"),0,""),LEN(X591)-LEN(SUBSTITUTE(X591,"、",""))+1))</f>
        <v/>
      </c>
      <c r="O591" s="85">
        <f>IF(OR(Y591="估算法",Y591="算法类",Y591="无法识别"),"",IF(Y591="",IF(OR(J591="ILF",J591="EIF",J591="EI",J591="EO",J591="EQ"),0,""),LEN(Y591)-LEN(SUBSTITUTE(SUBSTITUTE(SUBSTITUTE(SUBSTITUTE(SUBSTITUTE(Y591,"|}","--"),"{|","--"),CHAR(10),""),"、",""),"|",""))+IF(AND(OR(J591="EI",J591="EO",J591="EQ"),$AE$1="NESMA"),2,1)))</f>
        <v/>
      </c>
      <c r="P591" s="86">
        <f>IF(J591="EI",IF(OR(Y591="估算法",Y591="算法类"),"中",IF(Y591="无法识别","低",IF(M591&lt;2,IF(O591&lt;16,"低","中"),IF(M591&lt;3,IF(O591&lt;5,"低",IF(O591&lt;16,"中","高")),IF(O591&lt;5,"中","高"))))),IF(OR(J591="EO",J591="EQ"),IF(OR(Y591="估算法",Y591="算法类"),"中",IF(Y591="无法识别","低",IF(M591&lt;2,IF(O591&lt;20,"低","中"),IF(M591&lt;4,IF(O591&lt;6,"低",IF(O591&lt;20,"中","高")),IF(O591&lt;6,"中","高"))))),IF(OR(J591="ILF",J591="EIF"),IF(OR(Y591="估算法",Y591="算法类",Y591="无法识别"),"低",IF(N591&lt;2,IF(O591&lt;51,"低","中"),IF(N591&lt;6,IF(O591&lt;20,"低",IF(O591&lt;51,"中","高")),IF(O591&lt;20,"中","高")))),"不计算")))</f>
        <v/>
      </c>
      <c r="Q591" s="172">
        <f>IFERROR(IF(J591="EI",IF(P591="低",3,IF(P591="中",4,6)),IF(J591="EO",IF(P591="低",4,IF(P591="中",5,7)),IF(J591="EQ",IF(P591="低",3,IF(P591="中",4,6)),IF(J591="ILF",IF(P591="低",7,IF(P591="中",10,15)),IF(J591="EIF",IF(P591="低",5,IF(P591="中",7,10)),"不计算")))))*R591,"不计算")</f>
        <v/>
      </c>
      <c r="R591" s="172" t="n">
        <v>1</v>
      </c>
      <c r="S591" s="173">
        <f>调整因子!$F$13</f>
        <v/>
      </c>
      <c r="T591" s="92" t="n">
        <v>1</v>
      </c>
      <c r="U591" s="174">
        <f>IFERROR(Q591*S591,0)</f>
        <v/>
      </c>
      <c r="V591" s="174">
        <f>U591*T591</f>
        <v/>
      </c>
      <c r="W591" s="90" t="inlineStr">
        <is>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is>
      </c>
      <c r="X591" s="91" t="n"/>
      <c r="Y591" s="90" t="inlineStr">
        <is>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is>
      </c>
      <c r="Z591" s="90" t="n"/>
      <c r="AA591" s="90" t="n"/>
      <c r="AB591" s="115" t="n"/>
    </row>
    <row r="592" s="112">
      <c r="A592" s="72">
        <f>ROW()-1</f>
        <v/>
      </c>
      <c r="B592" s="175" t="n"/>
      <c r="C592" s="80" t="n">
        <v>2025</v>
      </c>
      <c r="D592" s="80" t="inlineStr">
        <is>
          <t>汤凤欣</t>
        </is>
      </c>
      <c r="E592" s="81">
        <f>VLOOKUP(I592,'25年交付功能（不含废弃）'!A:A,1,FALSE)</f>
        <v/>
      </c>
      <c r="F592" s="175" t="n"/>
      <c r="G592" s="82" t="inlineStr">
        <is>
          <t>系统漏洞修复核验任务</t>
        </is>
      </c>
      <c r="H592" s="82" t="inlineStr">
        <is>
          <t>系统漏洞修复核验任务管理</t>
        </is>
      </c>
      <c r="I592" s="116" t="inlineStr">
        <is>
          <t>下发漏洞修复工单</t>
        </is>
      </c>
      <c r="J592" s="93" t="inlineStr">
        <is>
          <t>EI</t>
        </is>
      </c>
      <c r="K592" s="84" t="n"/>
      <c r="L592" s="84" t="n"/>
      <c r="M592" s="85">
        <f>IF(OR(Y592="估算法",Y592="算法类",Y592="无法识别"),"",IF(W592="",IF(OR(J592="EI",J592="EO",J592="EQ"),0,""),LEN(W592)-LEN(SUBSTITUTE(W592,"、",""))+1))</f>
        <v/>
      </c>
      <c r="N592" s="85">
        <f>IF(OR(Y592="估算法",Y592="算法类",Y592="无法识别"),"",IF(X592="",IF(OR(J592="ILF",J592="EIF"),0,""),LEN(X592)-LEN(SUBSTITUTE(X592,"、",""))+1))</f>
        <v/>
      </c>
      <c r="O592" s="85">
        <f>IF(OR(Y592="估算法",Y592="算法类",Y592="无法识别"),"",IF(Y592="",IF(OR(J592="ILF",J592="EIF",J592="EI",J592="EO",J592="EQ"),0,""),LEN(Y592)-LEN(SUBSTITUTE(SUBSTITUTE(SUBSTITUTE(SUBSTITUTE(SUBSTITUTE(Y592,"|}","--"),"{|","--"),CHAR(10),""),"、",""),"|",""))+IF(AND(OR(J592="EI",J592="EO",J592="EQ"),$AE$1="NESMA"),2,1)))</f>
        <v/>
      </c>
      <c r="P592" s="86">
        <f>IF(J592="EI",IF(OR(Y592="估算法",Y592="算法类"),"中",IF(Y592="无法识别","低",IF(M592&lt;2,IF(O592&lt;16,"低","中"),IF(M592&lt;3,IF(O592&lt;5,"低",IF(O592&lt;16,"中","高")),IF(O592&lt;5,"中","高"))))),IF(OR(J592="EO",J592="EQ"),IF(OR(Y592="估算法",Y592="算法类"),"中",IF(Y592="无法识别","低",IF(M592&lt;2,IF(O592&lt;20,"低","中"),IF(M592&lt;4,IF(O592&lt;6,"低",IF(O592&lt;20,"中","高")),IF(O592&lt;6,"中","高"))))),IF(OR(J592="ILF",J592="EIF"),IF(OR(Y592="估算法",Y592="算法类",Y592="无法识别"),"低",IF(N592&lt;2,IF(O592&lt;51,"低","中"),IF(N592&lt;6,IF(O592&lt;20,"低",IF(O592&lt;51,"中","高")),IF(O592&lt;20,"中","高")))),"不计算")))</f>
        <v/>
      </c>
      <c r="Q592" s="172">
        <f>IFERROR(IF(J592="EI",IF(P592="低",3,IF(P592="中",4,6)),IF(J592="EO",IF(P592="低",4,IF(P592="中",5,7)),IF(J592="EQ",IF(P592="低",3,IF(P592="中",4,6)),IF(J592="ILF",IF(P592="低",7,IF(P592="中",10,15)),IF(J592="EIF",IF(P592="低",5,IF(P592="中",7,10)),"不计算")))))*R592,"不计算")</f>
        <v/>
      </c>
      <c r="R592" s="172" t="n">
        <v>1</v>
      </c>
      <c r="S592" s="173">
        <f>调整因子!$F$13</f>
        <v/>
      </c>
      <c r="T592" s="92" t="n">
        <v>1</v>
      </c>
      <c r="U592" s="174">
        <f>IFERROR(Q592*S592,0)</f>
        <v/>
      </c>
      <c r="V592" s="174">
        <f>U592*T592</f>
        <v/>
      </c>
      <c r="W592" s="90" t="inlineStr">
        <is>
          <t>漏洞修复核验工单数据表</t>
        </is>
      </c>
      <c r="X592" s="91" t="n"/>
      <c r="Y592" s="90" t="inlineStr">
        <is>
          <t>漏洞修复核验工单数据表{工单ID、工单编号、时间戳、处置时间、产品漏洞范围、资产范围、系统漏洞范围、责任人范围、处置人角色编码、处置比例、工单说明|}</t>
        </is>
      </c>
      <c r="Z592" s="90" t="n"/>
      <c r="AA592" s="90" t="n"/>
      <c r="AB592" s="92" t="n"/>
    </row>
    <row r="593" s="112">
      <c r="A593" s="72">
        <f>ROW()-1</f>
        <v/>
      </c>
      <c r="B593" s="175" t="n"/>
      <c r="C593" s="80" t="n">
        <v>2025</v>
      </c>
      <c r="D593" s="80" t="inlineStr">
        <is>
          <t>汤凤欣</t>
        </is>
      </c>
      <c r="E593" s="81">
        <f>VLOOKUP(I593,'25年交付功能（不含废弃）'!A:A,1,FALSE)</f>
        <v/>
      </c>
      <c r="F593" s="175" t="n"/>
      <c r="G593" s="175" t="n"/>
      <c r="H593" s="175" t="n"/>
      <c r="I593" s="116" t="inlineStr">
        <is>
          <t>修改漏洞修复工单</t>
        </is>
      </c>
      <c r="J593" s="93" t="inlineStr">
        <is>
          <t>EI</t>
        </is>
      </c>
      <c r="K593" s="84" t="n"/>
      <c r="L593" s="84" t="n"/>
      <c r="M593" s="85">
        <f>IF(OR(Y593="估算法",Y593="算法类",Y593="无法识别"),"",IF(W593="",IF(OR(J593="EI",J593="EO",J593="EQ"),0,""),LEN(W593)-LEN(SUBSTITUTE(W593,"、",""))+1))</f>
        <v/>
      </c>
      <c r="N593" s="85">
        <f>IF(OR(Y593="估算法",Y593="算法类",Y593="无法识别"),"",IF(X593="",IF(OR(J593="ILF",J593="EIF"),0,""),LEN(X593)-LEN(SUBSTITUTE(X593,"、",""))+1))</f>
        <v/>
      </c>
      <c r="O593" s="85">
        <f>IF(OR(Y593="估算法",Y593="算法类",Y593="无法识别"),"",IF(Y593="",IF(OR(J593="ILF",J593="EIF",J593="EI",J593="EO",J593="EQ"),0,""),LEN(Y593)-LEN(SUBSTITUTE(SUBSTITUTE(SUBSTITUTE(SUBSTITUTE(SUBSTITUTE(Y593,"|}","--"),"{|","--"),CHAR(10),""),"、",""),"|",""))+IF(AND(OR(J593="EI",J593="EO",J593="EQ"),$AE$1="NESMA"),2,1)))</f>
        <v/>
      </c>
      <c r="P593" s="86">
        <f>IF(J593="EI",IF(OR(Y593="估算法",Y593="算法类"),"中",IF(Y593="无法识别","低",IF(M593&lt;2,IF(O593&lt;16,"低","中"),IF(M593&lt;3,IF(O593&lt;5,"低",IF(O593&lt;16,"中","高")),IF(O593&lt;5,"中","高"))))),IF(OR(J593="EO",J593="EQ"),IF(OR(Y593="估算法",Y593="算法类"),"中",IF(Y593="无法识别","低",IF(M593&lt;2,IF(O593&lt;20,"低","中"),IF(M593&lt;4,IF(O593&lt;6,"低",IF(O593&lt;20,"中","高")),IF(O593&lt;6,"中","高"))))),IF(OR(J593="ILF",J593="EIF"),IF(OR(Y593="估算法",Y593="算法类",Y593="无法识别"),"低",IF(N593&lt;2,IF(O593&lt;51,"低","中"),IF(N593&lt;6,IF(O593&lt;20,"低",IF(O593&lt;51,"中","高")),IF(O593&lt;20,"中","高")))),"不计算")))</f>
        <v/>
      </c>
      <c r="Q593" s="172">
        <f>IFERROR(IF(J593="EI",IF(P593="低",3,IF(P593="中",4,6)),IF(J593="EO",IF(P593="低",4,IF(P593="中",5,7)),IF(J593="EQ",IF(P593="低",3,IF(P593="中",4,6)),IF(J593="ILF",IF(P593="低",7,IF(P593="中",10,15)),IF(J593="EIF",IF(P593="低",5,IF(P593="中",7,10)),"不计算")))))*R593,"不计算")</f>
        <v/>
      </c>
      <c r="R593" s="172" t="n">
        <v>0.333333333333333</v>
      </c>
      <c r="S593" s="173">
        <f>调整因子!$F$13</f>
        <v/>
      </c>
      <c r="T593" s="93" t="n">
        <v>1</v>
      </c>
      <c r="U593" s="174">
        <f>IFERROR(Q593*S593,0)</f>
        <v/>
      </c>
      <c r="V593" s="174">
        <f>U593*T593</f>
        <v/>
      </c>
      <c r="W593" s="90" t="inlineStr">
        <is>
          <t>漏洞修复核验工单数据表</t>
        </is>
      </c>
      <c r="X593" s="91" t="n"/>
      <c r="Y593" s="90" t="inlineStr">
        <is>
          <t>漏洞修复核验工单数据表{工单ID、工单编号、时间戳、处置时间、产品漏洞范围、资产范围、系统漏洞范围、责任人范围、处置人角色编码、处置比例、工单说明|}</t>
        </is>
      </c>
      <c r="Z593" s="90" t="n"/>
      <c r="AA593" s="90" t="n"/>
      <c r="AB593" s="115" t="n"/>
    </row>
    <row r="594" s="112">
      <c r="A594" s="72">
        <f>ROW()-1</f>
        <v/>
      </c>
      <c r="B594" s="175" t="n"/>
      <c r="C594" s="80" t="n">
        <v>2025</v>
      </c>
      <c r="D594" s="80" t="inlineStr">
        <is>
          <t>汤凤欣</t>
        </is>
      </c>
      <c r="E594" s="81">
        <f>VLOOKUP(I594,'25年交付功能（不含废弃）'!A:A,1,FALSE)</f>
        <v/>
      </c>
      <c r="F594" s="175" t="n"/>
      <c r="G594" s="175" t="n"/>
      <c r="H594" s="175" t="n"/>
      <c r="I594" s="116" t="inlineStr">
        <is>
          <t>创建漏洞修复工单</t>
        </is>
      </c>
      <c r="J594" s="93" t="inlineStr">
        <is>
          <t>EI</t>
        </is>
      </c>
      <c r="K594" s="84" t="n"/>
      <c r="L594" s="84" t="n"/>
      <c r="M594" s="85">
        <f>IF(OR(Y594="估算法",Y594="算法类",Y594="无法识别"),"",IF(W594="",IF(OR(J594="EI",J594="EO",J594="EQ"),0,""),LEN(W594)-LEN(SUBSTITUTE(W594,"、",""))+1))</f>
        <v/>
      </c>
      <c r="N594" s="85">
        <f>IF(OR(Y594="估算法",Y594="算法类",Y594="无法识别"),"",IF(X594="",IF(OR(J594="ILF",J594="EIF"),0,""),LEN(X594)-LEN(SUBSTITUTE(X594,"、",""))+1))</f>
        <v/>
      </c>
      <c r="O594" s="85">
        <f>IF(OR(Y594="估算法",Y594="算法类",Y594="无法识别"),"",IF(Y594="",IF(OR(J594="ILF",J594="EIF",J594="EI",J594="EO",J594="EQ"),0,""),LEN(Y594)-LEN(SUBSTITUTE(SUBSTITUTE(SUBSTITUTE(SUBSTITUTE(SUBSTITUTE(Y594,"|}","--"),"{|","--"),CHAR(10),""),"、",""),"|",""))+IF(AND(OR(J594="EI",J594="EO",J594="EQ"),$AE$1="NESMA"),2,1)))</f>
        <v/>
      </c>
      <c r="P594" s="86">
        <f>IF(J594="EI",IF(OR(Y594="估算法",Y594="算法类"),"中",IF(Y594="无法识别","低",IF(M594&lt;2,IF(O594&lt;16,"低","中"),IF(M594&lt;3,IF(O594&lt;5,"低",IF(O594&lt;16,"中","高")),IF(O594&lt;5,"中","高"))))),IF(OR(J594="EO",J594="EQ"),IF(OR(Y594="估算法",Y594="算法类"),"中",IF(Y594="无法识别","低",IF(M594&lt;2,IF(O594&lt;20,"低","中"),IF(M594&lt;4,IF(O594&lt;6,"低",IF(O594&lt;20,"中","高")),IF(O594&lt;6,"中","高"))))),IF(OR(J594="ILF",J594="EIF"),IF(OR(Y594="估算法",Y594="算法类",Y594="无法识别"),"低",IF(N594&lt;2,IF(O594&lt;51,"低","中"),IF(N594&lt;6,IF(O594&lt;20,"低",IF(O594&lt;51,"中","高")),IF(O594&lt;20,"中","高")))),"不计算")))</f>
        <v/>
      </c>
      <c r="Q594" s="172">
        <f>IFERROR(IF(J594="EI",IF(P594="低",3,IF(P594="中",4,6)),IF(J594="EO",IF(P594="低",4,IF(P594="中",5,7)),IF(J594="EQ",IF(P594="低",3,IF(P594="中",4,6)),IF(J594="ILF",IF(P594="低",7,IF(P594="中",10,15)),IF(J594="EIF",IF(P594="低",5,IF(P594="中",7,10)),"不计算")))))*R594,"不计算")</f>
        <v/>
      </c>
      <c r="R594" s="172" t="n">
        <v>1</v>
      </c>
      <c r="S594" s="173">
        <f>调整因子!$F$13</f>
        <v/>
      </c>
      <c r="T594" s="92" t="n">
        <v>1</v>
      </c>
      <c r="U594" s="174">
        <f>IFERROR(Q594*S594,0)</f>
        <v/>
      </c>
      <c r="V594" s="174">
        <f>U594*T594</f>
        <v/>
      </c>
      <c r="W594" s="90" t="inlineStr">
        <is>
          <t>漏洞修复核验工单数据表</t>
        </is>
      </c>
      <c r="X594" s="91" t="n"/>
      <c r="Y594" s="90" t="inlineStr">
        <is>
          <t>漏洞修复核验工单数据表{工单ID、工单编号、时间戳、处置时间、产品漏洞范围、资产范围、系统漏洞范围、责任人范围、处置人角色编码、处置比例、工单说明|}</t>
        </is>
      </c>
      <c r="Z594" s="90" t="n"/>
      <c r="AA594" s="90" t="n"/>
      <c r="AB594" s="92" t="n"/>
    </row>
    <row r="595" s="112">
      <c r="A595" s="72">
        <f>ROW()-1</f>
        <v/>
      </c>
      <c r="B595" s="175" t="n"/>
      <c r="C595" s="80" t="n">
        <v>2025</v>
      </c>
      <c r="D595" s="80" t="inlineStr">
        <is>
          <t>汤凤欣</t>
        </is>
      </c>
      <c r="E595" s="81">
        <f>VLOOKUP(I595,'25年交付功能（不含废弃）'!A:A,1,FALSE)</f>
        <v/>
      </c>
      <c r="F595" s="175" t="n"/>
      <c r="G595" s="175" t="n"/>
      <c r="H595" s="175" t="n"/>
      <c r="I595" s="116" t="inlineStr">
        <is>
          <t>查询漏洞修复工单</t>
        </is>
      </c>
      <c r="J595" s="93" t="inlineStr">
        <is>
          <t>EQ</t>
        </is>
      </c>
      <c r="K595" s="84" t="n"/>
      <c r="L595" s="84" t="n"/>
      <c r="M595" s="85">
        <f>IF(OR(Y595="估算法",Y595="算法类",Y595="无法识别"),"",IF(W595="",IF(OR(J595="EI",J595="EO",J595="EQ"),0,""),LEN(W595)-LEN(SUBSTITUTE(W595,"、",""))+1))</f>
        <v/>
      </c>
      <c r="N595" s="85">
        <f>IF(OR(Y595="估算法",Y595="算法类",Y595="无法识别"),"",IF(X595="",IF(OR(J595="ILF",J595="EIF"),0,""),LEN(X595)-LEN(SUBSTITUTE(X595,"、",""))+1))</f>
        <v/>
      </c>
      <c r="O595" s="85">
        <f>IF(OR(Y595="估算法",Y595="算法类",Y595="无法识别"),"",IF(Y595="",IF(OR(J595="ILF",J595="EIF",J595="EI",J595="EO",J595="EQ"),0,""),LEN(Y595)-LEN(SUBSTITUTE(SUBSTITUTE(SUBSTITUTE(SUBSTITUTE(SUBSTITUTE(Y595,"|}","--"),"{|","--"),CHAR(10),""),"、",""),"|",""))+IF(AND(OR(J595="EI",J595="EO",J595="EQ"),$AE$1="NESMA"),2,1)))</f>
        <v/>
      </c>
      <c r="P595" s="86">
        <f>IF(J595="EI",IF(OR(Y595="估算法",Y595="算法类"),"中",IF(Y595="无法识别","低",IF(M595&lt;2,IF(O595&lt;16,"低","中"),IF(M595&lt;3,IF(O595&lt;5,"低",IF(O595&lt;16,"中","高")),IF(O595&lt;5,"中","高"))))),IF(OR(J595="EO",J595="EQ"),IF(OR(Y595="估算法",Y595="算法类"),"中",IF(Y595="无法识别","低",IF(M595&lt;2,IF(O595&lt;20,"低","中"),IF(M595&lt;4,IF(O595&lt;6,"低",IF(O595&lt;20,"中","高")),IF(O595&lt;6,"中","高"))))),IF(OR(J595="ILF",J595="EIF"),IF(OR(Y595="估算法",Y595="算法类",Y595="无法识别"),"低",IF(N595&lt;2,IF(O595&lt;51,"低","中"),IF(N595&lt;6,IF(O595&lt;20,"低",IF(O595&lt;51,"中","高")),IF(O595&lt;20,"中","高")))),"不计算")))</f>
        <v/>
      </c>
      <c r="Q595" s="172">
        <f>IFERROR(IF(J595="EI",IF(P595="低",3,IF(P595="中",4,6)),IF(J595="EO",IF(P595="低",4,IF(P595="中",5,7)),IF(J595="EQ",IF(P595="低",3,IF(P595="中",4,6)),IF(J595="ILF",IF(P595="低",7,IF(P595="中",10,15)),IF(J595="EIF",IF(P595="低",5,IF(P595="中",7,10)),"不计算")))))*R595,"不计算")</f>
        <v/>
      </c>
      <c r="R595" s="172" t="n">
        <v>1</v>
      </c>
      <c r="S595" s="173">
        <f>调整因子!$F$13</f>
        <v/>
      </c>
      <c r="T595" s="92" t="n">
        <v>1</v>
      </c>
      <c r="U595" s="174">
        <f>IFERROR(Q595*S595,0)</f>
        <v/>
      </c>
      <c r="V595" s="174">
        <f>U595*T595</f>
        <v/>
      </c>
      <c r="W595" s="90" t="inlineStr">
        <is>
          <t>漏洞修复核验工单数据表</t>
        </is>
      </c>
      <c r="X595" s="91" t="n"/>
      <c r="Y595" s="90" t="inlineStr">
        <is>
          <t>漏洞修复核验工单数据表{工单ID、工单编号、时间戳、处置时间、产品漏洞范围、资产范围、系统漏洞范围、责任人范围、处置人角色编码、处置比例、工单说明|}</t>
        </is>
      </c>
      <c r="Z595" s="90" t="n"/>
      <c r="AA595" s="90" t="n"/>
      <c r="AB595" s="115" t="n"/>
    </row>
    <row r="596" s="112">
      <c r="A596" s="72">
        <f>ROW()-1</f>
        <v/>
      </c>
      <c r="B596" s="175" t="n"/>
      <c r="C596" s="80" t="n">
        <v>2025</v>
      </c>
      <c r="D596" s="80" t="inlineStr">
        <is>
          <t>汤凤欣</t>
        </is>
      </c>
      <c r="E596" s="81">
        <f>VLOOKUP(I596,'25年交付功能（不含废弃）'!A:A,1,FALSE)</f>
        <v/>
      </c>
      <c r="F596" s="175" t="n"/>
      <c r="G596" s="175" t="n"/>
      <c r="H596" s="175" t="n"/>
      <c r="I596" s="81" t="inlineStr">
        <is>
          <t>编辑漏洞修复工单</t>
        </is>
      </c>
      <c r="J596" s="93" t="inlineStr">
        <is>
          <t>EI</t>
        </is>
      </c>
      <c r="K596" s="84" t="n"/>
      <c r="L596" s="84" t="n"/>
      <c r="M596" s="85">
        <f>IF(OR(Y596="估算法",Y596="算法类",Y596="无法识别"),"",IF(W596="",IF(OR(J596="EI",J596="EO",J596="EQ"),0,""),LEN(W596)-LEN(SUBSTITUTE(W596,"、",""))+1))</f>
        <v/>
      </c>
      <c r="N596" s="85">
        <f>IF(OR(Y596="估算法",Y596="算法类",Y596="无法识别"),"",IF(X596="",IF(OR(J596="ILF",J596="EIF"),0,""),LEN(X596)-LEN(SUBSTITUTE(X596,"、",""))+1))</f>
        <v/>
      </c>
      <c r="O596" s="85">
        <f>IF(OR(Y596="估算法",Y596="算法类",Y596="无法识别"),"",IF(Y596="",IF(OR(J596="ILF",J596="EIF",J596="EI",J596="EO",J596="EQ"),0,""),LEN(Y596)-LEN(SUBSTITUTE(SUBSTITUTE(SUBSTITUTE(SUBSTITUTE(SUBSTITUTE(Y596,"|}","--"),"{|","--"),CHAR(10),""),"、",""),"|",""))+IF(AND(OR(J596="EI",J596="EO",J596="EQ"),$AE$1="NESMA"),2,1)))</f>
        <v/>
      </c>
      <c r="P596" s="86">
        <f>IF(J596="EI",IF(OR(Y596="估算法",Y596="算法类"),"中",IF(Y596="无法识别","低",IF(M596&lt;2,IF(O596&lt;16,"低","中"),IF(M596&lt;3,IF(O596&lt;5,"低",IF(O596&lt;16,"中","高")),IF(O596&lt;5,"中","高"))))),IF(OR(J596="EO",J596="EQ"),IF(OR(Y596="估算法",Y596="算法类"),"中",IF(Y596="无法识别","低",IF(M596&lt;2,IF(O596&lt;20,"低","中"),IF(M596&lt;4,IF(O596&lt;6,"低",IF(O596&lt;20,"中","高")),IF(O596&lt;6,"中","高"))))),IF(OR(J596="ILF",J596="EIF"),IF(OR(Y596="估算法",Y596="算法类",Y596="无法识别"),"低",IF(N596&lt;2,IF(O596&lt;51,"低","中"),IF(N596&lt;6,IF(O596&lt;20,"低",IF(O596&lt;51,"中","高")),IF(O596&lt;20,"中","高")))),"不计算")))</f>
        <v/>
      </c>
      <c r="Q596" s="172">
        <f>IFERROR(IF(J596="EI",IF(P596="低",3,IF(P596="中",4,6)),IF(J596="EO",IF(P596="低",4,IF(P596="中",5,7)),IF(J596="EQ",IF(P596="低",3,IF(P596="中",4,6)),IF(J596="ILF",IF(P596="低",7,IF(P596="中",10,15)),IF(J596="EIF",IF(P596="低",5,IF(P596="中",7,10)),"不计算")))))*R596,"不计算")</f>
        <v/>
      </c>
      <c r="R596" s="172" t="n">
        <v>1</v>
      </c>
      <c r="S596" s="173">
        <f>调整因子!$F$13</f>
        <v/>
      </c>
      <c r="T596" s="93" t="n">
        <v>1</v>
      </c>
      <c r="U596" s="174">
        <f>IFERROR(Q596*S596,0)</f>
        <v/>
      </c>
      <c r="V596" s="174">
        <f>U596*T596</f>
        <v/>
      </c>
      <c r="W596" s="90" t="inlineStr">
        <is>
          <t>漏洞修复核验工单数据表</t>
        </is>
      </c>
      <c r="X596" s="91" t="n"/>
      <c r="Y596" s="90" t="inlineStr">
        <is>
          <t>漏洞修复核验工单数据表{工单ID、工单编号、时间戳、处置时间、产品漏洞范围、资产范围、系统漏洞范围、责任人范围、处置人角色编码、处置比例、工单说明|}</t>
        </is>
      </c>
      <c r="Z596" s="90" t="n"/>
      <c r="AA596" s="90" t="n"/>
      <c r="AB596" s="92" t="n"/>
    </row>
    <row r="597" s="112">
      <c r="A597" s="72">
        <f>ROW()-1</f>
        <v/>
      </c>
      <c r="B597" s="175" t="n"/>
      <c r="C597" s="80" t="n">
        <v>2025</v>
      </c>
      <c r="D597" s="80" t="inlineStr">
        <is>
          <t>汤凤欣</t>
        </is>
      </c>
      <c r="E597" s="81">
        <f>VLOOKUP(I597,'25年交付功能（不含废弃）'!A:A,1,FALSE)</f>
        <v/>
      </c>
      <c r="F597" s="175" t="n"/>
      <c r="G597" s="175" t="n"/>
      <c r="H597" s="176" t="n"/>
      <c r="I597" s="98" t="inlineStr">
        <is>
          <t>漏洞修复核验工单数据表</t>
        </is>
      </c>
      <c r="J597" s="93" t="inlineStr">
        <is>
          <t>ILF</t>
        </is>
      </c>
      <c r="K597" s="84" t="n"/>
      <c r="L597" s="84" t="n"/>
      <c r="M597" s="85">
        <f>IF(OR(Y597="估算法",Y597="算法类",Y597="无法识别"),"",IF(W597="",IF(OR(J597="EI",J597="EO",J597="EQ"),0,""),LEN(W597)-LEN(SUBSTITUTE(W597,"、",""))+1))</f>
        <v/>
      </c>
      <c r="N597" s="85">
        <f>IF(OR(Y597="估算法",Y597="算法类",Y597="无法识别"),"",IF(X597="",IF(OR(J597="ILF",J597="EIF"),0,""),LEN(X597)-LEN(SUBSTITUTE(X597,"、",""))+1))</f>
        <v/>
      </c>
      <c r="O597" s="85">
        <f>IF(OR(Y597="估算法",Y597="算法类",Y597="无法识别"),"",IF(Y597="",IF(OR(J597="ILF",J597="EIF",J597="EI",J597="EO",J597="EQ"),0,""),LEN(Y597)-LEN(SUBSTITUTE(SUBSTITUTE(SUBSTITUTE(SUBSTITUTE(SUBSTITUTE(Y597,"|}","--"),"{|","--"),CHAR(10),""),"、",""),"|",""))+IF(AND(OR(J597="EI",J597="EO",J597="EQ"),$AE$1="NESMA"),2,1)))</f>
        <v/>
      </c>
      <c r="P597" s="86">
        <f>IF(J597="EI",IF(OR(Y597="估算法",Y597="算法类"),"中",IF(Y597="无法识别","低",IF(M597&lt;2,IF(O597&lt;16,"低","中"),IF(M597&lt;3,IF(O597&lt;5,"低",IF(O597&lt;16,"中","高")),IF(O597&lt;5,"中","高"))))),IF(OR(J597="EO",J597="EQ"),IF(OR(Y597="估算法",Y597="算法类"),"中",IF(Y597="无法识别","低",IF(M597&lt;2,IF(O597&lt;20,"低","中"),IF(M597&lt;4,IF(O597&lt;6,"低",IF(O597&lt;20,"中","高")),IF(O597&lt;6,"中","高"))))),IF(OR(J597="ILF",J597="EIF"),IF(OR(Y597="估算法",Y597="算法类",Y597="无法识别"),"低",IF(N597&lt;2,IF(O597&lt;51,"低","中"),IF(N597&lt;6,IF(O597&lt;20,"低",IF(O597&lt;51,"中","高")),IF(O597&lt;20,"中","高")))),"不计算")))</f>
        <v/>
      </c>
      <c r="Q597" s="172">
        <f>IFERROR(IF(J597="EI",IF(P597="低",3,IF(P597="中",4,6)),IF(J597="EO",IF(P597="低",4,IF(P597="中",5,7)),IF(J597="EQ",IF(P597="低",3,IF(P597="中",4,6)),IF(J597="ILF",IF(P597="低",7,IF(P597="中",10,15)),IF(J597="EIF",IF(P597="低",5,IF(P597="中",7,10)),"不计算")))))*R597,"不计算")</f>
        <v/>
      </c>
      <c r="R597" s="172" t="n">
        <v>1</v>
      </c>
      <c r="S597" s="173">
        <f>调整因子!$F$13</f>
        <v/>
      </c>
      <c r="T597" s="92" t="n">
        <v>1</v>
      </c>
      <c r="U597" s="174">
        <f>IFERROR(Q597*S597,0)</f>
        <v/>
      </c>
      <c r="V597" s="174">
        <f>U597*T597</f>
        <v/>
      </c>
      <c r="W597" s="91" t="n"/>
      <c r="X597" s="90" t="inlineStr">
        <is>
          <t>漏洞修复核验工单数据表</t>
        </is>
      </c>
      <c r="Y597" s="90" t="inlineStr">
        <is>
          <t>漏洞修复核验工单数据表{工单ID、工单编号、时间戳、处置时间、产品漏洞范围、资产范围、系统漏洞范围、责任人范围、处置人角色编码、处置比例、工单说明|}</t>
        </is>
      </c>
      <c r="Z597" s="90">
        <f>IF(COUNTIFS(W:W,"*"&amp;I597&amp;"*")&gt;0,"存在","不存在")</f>
        <v/>
      </c>
      <c r="AA597" s="90">
        <f>IF(COUNTIFS(AB:AB,"*"&amp;I597&amp;"*")&gt;0,"存在","不存在")</f>
        <v/>
      </c>
      <c r="AB597" s="115" t="n"/>
    </row>
    <row r="598" s="112">
      <c r="A598" s="72">
        <f>ROW()-1</f>
        <v/>
      </c>
      <c r="B598" s="175" t="n"/>
      <c r="C598" s="80" t="n">
        <v>2025</v>
      </c>
      <c r="D598" s="80" t="inlineStr">
        <is>
          <t>汤凤欣</t>
        </is>
      </c>
      <c r="E598" s="81">
        <f>VLOOKUP(I598,'25年交付功能（不含废弃）'!A:A,1,FALSE)</f>
        <v/>
      </c>
      <c r="F598" s="175" t="n"/>
      <c r="G598" s="175" t="n"/>
      <c r="H598" s="93" t="inlineStr">
        <is>
          <t>系统漏洞修复核验策略配置</t>
        </is>
      </c>
      <c r="I598" s="116" t="inlineStr">
        <is>
          <t>配置漏洞修复核验方式</t>
        </is>
      </c>
      <c r="J598" s="93" t="inlineStr">
        <is>
          <t>EI</t>
        </is>
      </c>
      <c r="K598" s="84" t="n"/>
      <c r="L598" s="84" t="n"/>
      <c r="M598" s="85">
        <f>IF(OR(Y598="估算法",Y598="算法类",Y598="无法识别"),"",IF(W598="",IF(OR(J598="EI",J598="EO",J598="EQ"),0,""),LEN(W598)-LEN(SUBSTITUTE(W598,"、",""))+1))</f>
        <v/>
      </c>
      <c r="N598" s="85">
        <f>IF(OR(Y598="估算法",Y598="算法类",Y598="无法识别"),"",IF(X598="",IF(OR(J598="ILF",J598="EIF"),0,""),LEN(X598)-LEN(SUBSTITUTE(X598,"、",""))+1))</f>
        <v/>
      </c>
      <c r="O598" s="85">
        <f>IF(OR(Y598="估算法",Y598="算法类",Y598="无法识别"),"",IF(Y598="",IF(OR(J598="ILF",J598="EIF",J598="EI",J598="EO",J598="EQ"),0,""),LEN(Y598)-LEN(SUBSTITUTE(SUBSTITUTE(SUBSTITUTE(SUBSTITUTE(SUBSTITUTE(Y598,"|}","--"),"{|","--"),CHAR(10),""),"、",""),"|",""))+IF(AND(OR(J598="EI",J598="EO",J598="EQ"),$AE$1="NESMA"),2,1)))</f>
        <v/>
      </c>
      <c r="P598" s="86">
        <f>IF(J598="EI",IF(OR(Y598="估算法",Y598="算法类"),"中",IF(Y598="无法识别","低",IF(M598&lt;2,IF(O598&lt;16,"低","中"),IF(M598&lt;3,IF(O598&lt;5,"低",IF(O598&lt;16,"中","高")),IF(O598&lt;5,"中","高"))))),IF(OR(J598="EO",J598="EQ"),IF(OR(Y598="估算法",Y598="算法类"),"中",IF(Y598="无法识别","低",IF(M598&lt;2,IF(O598&lt;20,"低","中"),IF(M598&lt;4,IF(O598&lt;6,"低",IF(O598&lt;20,"中","高")),IF(O598&lt;6,"中","高"))))),IF(OR(J598="ILF",J598="EIF"),IF(OR(Y598="估算法",Y598="算法类",Y598="无法识别"),"低",IF(N598&lt;2,IF(O598&lt;51,"低","中"),IF(N598&lt;6,IF(O598&lt;20,"低",IF(O598&lt;51,"中","高")),IF(O598&lt;20,"中","高")))),"不计算")))</f>
        <v/>
      </c>
      <c r="Q598" s="172">
        <f>IFERROR(IF(J598="EI",IF(P598="低",3,IF(P598="中",4,6)),IF(J598="EO",IF(P598="低",4,IF(P598="中",5,7)),IF(J598="EQ",IF(P598="低",3,IF(P598="中",4,6)),IF(J598="ILF",IF(P598="低",7,IF(P598="中",10,15)),IF(J598="EIF",IF(P598="低",5,IF(P598="中",7,10)),"不计算")))))*R598,"不计算")</f>
        <v/>
      </c>
      <c r="R598" s="172" t="n">
        <v>1</v>
      </c>
      <c r="S598" s="173">
        <f>调整因子!$F$13</f>
        <v/>
      </c>
      <c r="T598" s="92" t="n">
        <v>1</v>
      </c>
      <c r="U598" s="174">
        <f>IFERROR(Q598*S598,0)</f>
        <v/>
      </c>
      <c r="V598" s="174">
        <f>U598*T598</f>
        <v/>
      </c>
      <c r="W598" s="90" t="inlineStr">
        <is>
          <t>修复核验策略配置数据表</t>
        </is>
      </c>
      <c r="X598" s="91" t="n"/>
      <c r="Y598" s="90" t="inlineStr">
        <is>
          <t>修复核验策略配置数据表{策略ID、策略名称、修复方式、核验方式、安全设备范围、触发方式、启用状态|}</t>
        </is>
      </c>
      <c r="Z598" s="90" t="n"/>
      <c r="AA598" s="90" t="n"/>
      <c r="AB598" s="92" t="n"/>
    </row>
    <row r="599" s="112">
      <c r="A599" s="72">
        <f>ROW()-1</f>
        <v/>
      </c>
      <c r="B599" s="175" t="n"/>
      <c r="C599" s="80" t="n">
        <v>2025</v>
      </c>
      <c r="D599" s="80" t="inlineStr">
        <is>
          <t>汤凤欣</t>
        </is>
      </c>
      <c r="E599" s="81">
        <f>VLOOKUP(I599,'25年交付功能（不含废弃）'!A:A,1,FALSE)</f>
        <v/>
      </c>
      <c r="F599" s="175" t="n"/>
      <c r="G599" s="175" t="n"/>
      <c r="H599" s="176" t="n"/>
      <c r="I599" s="98" t="inlineStr">
        <is>
          <t>修复核验策略配置数据表</t>
        </is>
      </c>
      <c r="J599" s="93" t="inlineStr">
        <is>
          <t>ILF</t>
        </is>
      </c>
      <c r="K599" s="84" t="n"/>
      <c r="L599" s="84" t="n"/>
      <c r="M599" s="85">
        <f>IF(OR(Y599="估算法",Y599="算法类",Y599="无法识别"),"",IF(W599="",IF(OR(J599="EI",J599="EO",J599="EQ"),0,""),LEN(W599)-LEN(SUBSTITUTE(W599,"、",""))+1))</f>
        <v/>
      </c>
      <c r="N599" s="85">
        <f>IF(OR(Y599="估算法",Y599="算法类",Y599="无法识别"),"",IF(X599="",IF(OR(J599="ILF",J599="EIF"),0,""),LEN(X599)-LEN(SUBSTITUTE(X599,"、",""))+1))</f>
        <v/>
      </c>
      <c r="O599" s="85">
        <f>IF(OR(Y599="估算法",Y599="算法类",Y599="无法识别"),"",IF(Y599="",IF(OR(J599="ILF",J599="EIF",J599="EI",J599="EO",J599="EQ"),0,""),LEN(Y599)-LEN(SUBSTITUTE(SUBSTITUTE(SUBSTITUTE(SUBSTITUTE(SUBSTITUTE(Y599,"|}","--"),"{|","--"),CHAR(10),""),"、",""),"|",""))+IF(AND(OR(J599="EI",J599="EO",J599="EQ"),$AE$1="NESMA"),2,1)))</f>
        <v/>
      </c>
      <c r="P599" s="86">
        <f>IF(J599="EI",IF(OR(Y599="估算法",Y599="算法类"),"中",IF(Y599="无法识别","低",IF(M599&lt;2,IF(O599&lt;16,"低","中"),IF(M599&lt;3,IF(O599&lt;5,"低",IF(O599&lt;16,"中","高")),IF(O599&lt;5,"中","高"))))),IF(OR(J599="EO",J599="EQ"),IF(OR(Y599="估算法",Y599="算法类"),"中",IF(Y599="无法识别","低",IF(M599&lt;2,IF(O599&lt;20,"低","中"),IF(M599&lt;4,IF(O599&lt;6,"低",IF(O599&lt;20,"中","高")),IF(O599&lt;6,"中","高"))))),IF(OR(J599="ILF",J599="EIF"),IF(OR(Y599="估算法",Y599="算法类",Y599="无法识别"),"低",IF(N599&lt;2,IF(O599&lt;51,"低","中"),IF(N599&lt;6,IF(O599&lt;20,"低",IF(O599&lt;51,"中","高")),IF(O599&lt;20,"中","高")))),"不计算")))</f>
        <v/>
      </c>
      <c r="Q599" s="172">
        <f>IFERROR(IF(J599="EI",IF(P599="低",3,IF(P599="中",4,6)),IF(J599="EO",IF(P599="低",4,IF(P599="中",5,7)),IF(J599="EQ",IF(P599="低",3,IF(P599="中",4,6)),IF(J599="ILF",IF(P599="低",7,IF(P599="中",10,15)),IF(J599="EIF",IF(P599="低",5,IF(P599="中",7,10)),"不计算")))))*R599,"不计算")</f>
        <v/>
      </c>
      <c r="R599" s="172" t="n">
        <v>1</v>
      </c>
      <c r="S599" s="173">
        <f>调整因子!$F$13</f>
        <v/>
      </c>
      <c r="T599" s="93" t="n">
        <v>1</v>
      </c>
      <c r="U599" s="174">
        <f>IFERROR(Q599*S599,0)</f>
        <v/>
      </c>
      <c r="V599" s="174">
        <f>U599*T599</f>
        <v/>
      </c>
      <c r="W599" s="91" t="n"/>
      <c r="X599" s="90" t="inlineStr">
        <is>
          <t>修复核验策略配置数据表</t>
        </is>
      </c>
      <c r="Y599" s="90" t="inlineStr">
        <is>
          <t>修复核验策略配置数据表{策略ID、策略名称、修复方式、核验方式、安全设备范围、触发方式、启用状态|}</t>
        </is>
      </c>
      <c r="Z599" s="90">
        <f>IF(COUNTIFS(W:W,"*"&amp;I599&amp;"*")&gt;0,"存在","不存在")</f>
        <v/>
      </c>
      <c r="AA599" s="90">
        <f>IF(COUNTIFS(AB:AB,"*"&amp;I599&amp;"*")&gt;0,"存在","不存在")</f>
        <v/>
      </c>
      <c r="AB599" s="115" t="n"/>
    </row>
    <row r="600" s="112">
      <c r="A600" s="72">
        <f>ROW()-1</f>
        <v/>
      </c>
      <c r="B600" s="175" t="n"/>
      <c r="C600" s="80" t="n">
        <v>2025</v>
      </c>
      <c r="D600" s="80" t="inlineStr">
        <is>
          <t>汤凤欣</t>
        </is>
      </c>
      <c r="E600" s="81">
        <f>VLOOKUP(I600,'25年交付功能（不含废弃）'!A:A,1,FALSE)</f>
        <v/>
      </c>
      <c r="F600" s="175" t="n"/>
      <c r="G600" s="175" t="n"/>
      <c r="H600" s="82" t="inlineStr">
        <is>
          <t>系统漏洞修复核验调用配置</t>
        </is>
      </c>
      <c r="I600" s="116" t="inlineStr">
        <is>
          <t>BAS平台接口调用配置</t>
        </is>
      </c>
      <c r="J600" s="93" t="inlineStr">
        <is>
          <t>EI</t>
        </is>
      </c>
      <c r="K600" s="84" t="n"/>
      <c r="L600" s="84" t="n"/>
      <c r="M600" s="85">
        <f>IF(OR(Y600="估算法",Y600="算法类",Y600="无法识别"),"",IF(W600="",IF(OR(J600="EI",J600="EO",J600="EQ"),0,""),LEN(W600)-LEN(SUBSTITUTE(W600,"、",""))+1))</f>
        <v/>
      </c>
      <c r="N600" s="85">
        <f>IF(OR(Y600="估算法",Y600="算法类",Y600="无法识别"),"",IF(X600="",IF(OR(J600="ILF",J600="EIF"),0,""),LEN(X600)-LEN(SUBSTITUTE(X600,"、",""))+1))</f>
        <v/>
      </c>
      <c r="O600" s="85">
        <f>IF(OR(Y600="估算法",Y600="算法类",Y600="无法识别"),"",IF(Y600="",IF(OR(J600="ILF",J600="EIF",J600="EI",J600="EO",J600="EQ"),0,""),LEN(Y600)-LEN(SUBSTITUTE(SUBSTITUTE(SUBSTITUTE(SUBSTITUTE(SUBSTITUTE(Y600,"|}","--"),"{|","--"),CHAR(10),""),"、",""),"|",""))+IF(AND(OR(J600="EI",J600="EO",J600="EQ"),$AE$1="NESMA"),2,1)))</f>
        <v/>
      </c>
      <c r="P600" s="86">
        <f>IF(J600="EI",IF(OR(Y600="估算法",Y600="算法类"),"中",IF(Y600="无法识别","低",IF(M600&lt;2,IF(O600&lt;16,"低","中"),IF(M600&lt;3,IF(O600&lt;5,"低",IF(O600&lt;16,"中","高")),IF(O600&lt;5,"中","高"))))),IF(OR(J600="EO",J600="EQ"),IF(OR(Y600="估算法",Y600="算法类"),"中",IF(Y600="无法识别","低",IF(M600&lt;2,IF(O600&lt;20,"低","中"),IF(M600&lt;4,IF(O600&lt;6,"低",IF(O600&lt;20,"中","高")),IF(O600&lt;6,"中","高"))))),IF(OR(J600="ILF",J600="EIF"),IF(OR(Y600="估算法",Y600="算法类",Y600="无法识别"),"低",IF(N600&lt;2,IF(O600&lt;51,"低","中"),IF(N600&lt;6,IF(O600&lt;20,"低",IF(O600&lt;51,"中","高")),IF(O600&lt;20,"中","高")))),"不计算")))</f>
        <v/>
      </c>
      <c r="Q600" s="172">
        <f>IFERROR(IF(J600="EI",IF(P600="低",3,IF(P600="中",4,6)),IF(J600="EO",IF(P600="低",4,IF(P600="中",5,7)),IF(J600="EQ",IF(P600="低",3,IF(P600="中",4,6)),IF(J600="ILF",IF(P600="低",7,IF(P600="中",10,15)),IF(J600="EIF",IF(P600="低",5,IF(P600="中",7,10)),"不计算")))))*R600,"不计算")</f>
        <v/>
      </c>
      <c r="R600" s="172" t="n">
        <v>1</v>
      </c>
      <c r="S600" s="173">
        <f>调整因子!$F$13</f>
        <v/>
      </c>
      <c r="T600" s="92" t="n">
        <v>1</v>
      </c>
      <c r="U600" s="174">
        <f>IFERROR(Q600*S600,0)</f>
        <v/>
      </c>
      <c r="V600" s="174">
        <f>U600*T600</f>
        <v/>
      </c>
      <c r="W600" s="90" t="inlineStr">
        <is>
          <t>BAS平台接口调用配置数据表</t>
        </is>
      </c>
      <c r="X600" s="91" t="n"/>
      <c r="Y600" s="90" t="inlineStr">
        <is>
          <t>BAS平台接口调用配置数据表{记录ID、记录时间、接口URL、接口名称、接口参数名、接口参数说明、接口参数类型、接口参数值、参数是否必填|}</t>
        </is>
      </c>
      <c r="Z600" s="90" t="n"/>
      <c r="AA600" s="90" t="n"/>
      <c r="AB600" s="92" t="n"/>
    </row>
    <row r="601" s="112">
      <c r="A601" s="72">
        <f>ROW()-1</f>
        <v/>
      </c>
      <c r="B601" s="175" t="n"/>
      <c r="C601" s="80" t="n">
        <v>2025</v>
      </c>
      <c r="D601" s="80" t="inlineStr">
        <is>
          <t>汤凤欣</t>
        </is>
      </c>
      <c r="E601" s="81">
        <f>VLOOKUP(I601,'25年交付功能（不含废弃）'!A:A,1,FALSE)</f>
        <v/>
      </c>
      <c r="F601" s="175" t="n"/>
      <c r="G601" s="175" t="n"/>
      <c r="H601" s="175" t="n"/>
      <c r="I601" s="116" t="inlineStr">
        <is>
          <t>验证指令配置</t>
        </is>
      </c>
      <c r="J601" s="93" t="n"/>
      <c r="K601" s="84" t="n"/>
      <c r="L601" s="84" t="inlineStr">
        <is>
          <t>和上行合并，相同配置，且字段相同</t>
        </is>
      </c>
      <c r="M601" s="85">
        <f>IF(OR(Y601="估算法",Y601="算法类",Y601="无法识别"),"",IF(W601="",IF(OR(J601="EI",J601="EO",J601="EQ"),0,""),LEN(W601)-LEN(SUBSTITUTE(W601,"、",""))+1))</f>
        <v/>
      </c>
      <c r="N601" s="85">
        <f>IF(OR(Y601="估算法",Y601="算法类",Y601="无法识别"),"",IF(X601="",IF(OR(J601="ILF",J601="EIF"),0,""),LEN(X601)-LEN(SUBSTITUTE(X601,"、",""))+1))</f>
        <v/>
      </c>
      <c r="O601" s="85">
        <f>IF(OR(Y601="估算法",Y601="算法类",Y601="无法识别"),"",IF(Y601="",IF(OR(J601="ILF",J601="EIF",J601="EI",J601="EO",J601="EQ"),0,""),LEN(Y601)-LEN(SUBSTITUTE(SUBSTITUTE(SUBSTITUTE(SUBSTITUTE(SUBSTITUTE(Y601,"|}","--"),"{|","--"),CHAR(10),""),"、",""),"|",""))+IF(AND(OR(J601="EI",J601="EO",J601="EQ"),$AE$1="NESMA"),2,1)))</f>
        <v/>
      </c>
      <c r="P601" s="86">
        <f>IF(J601="EI",IF(OR(Y601="估算法",Y601="算法类"),"中",IF(Y601="无法识别","低",IF(M601&lt;2,IF(O601&lt;16,"低","中"),IF(M601&lt;3,IF(O601&lt;5,"低",IF(O601&lt;16,"中","高")),IF(O601&lt;5,"中","高"))))),IF(OR(J601="EO",J601="EQ"),IF(OR(Y601="估算法",Y601="算法类"),"中",IF(Y601="无法识别","低",IF(M601&lt;2,IF(O601&lt;20,"低","中"),IF(M601&lt;4,IF(O601&lt;6,"低",IF(O601&lt;20,"中","高")),IF(O601&lt;6,"中","高"))))),IF(OR(J601="ILF",J601="EIF"),IF(OR(Y601="估算法",Y601="算法类",Y601="无法识别"),"低",IF(N601&lt;2,IF(O601&lt;51,"低","中"),IF(N601&lt;6,IF(O601&lt;20,"低",IF(O601&lt;51,"中","高")),IF(O601&lt;20,"中","高")))),"不计算")))</f>
        <v/>
      </c>
      <c r="Q601" s="172">
        <f>IFERROR(IF(J601="EI",IF(P601="低",3,IF(P601="中",4,6)),IF(J601="EO",IF(P601="低",4,IF(P601="中",5,7)),IF(J601="EQ",IF(P601="低",3,IF(P601="中",4,6)),IF(J601="ILF",IF(P601="低",7,IF(P601="中",10,15)),IF(J601="EIF",IF(P601="低",5,IF(P601="中",7,10)),"不计算")))))*R601,"不计算")</f>
        <v/>
      </c>
      <c r="R601" s="172" t="n">
        <v>1</v>
      </c>
      <c r="S601" s="173">
        <f>调整因子!$F$13</f>
        <v/>
      </c>
      <c r="T601" s="92" t="n">
        <v>1</v>
      </c>
      <c r="U601" s="174">
        <f>IFERROR(Q601*S601,0)</f>
        <v/>
      </c>
      <c r="V601" s="174">
        <f>U601*T601</f>
        <v/>
      </c>
      <c r="W601" s="90" t="inlineStr">
        <is>
          <t>BAS平台接口调用配置数据表</t>
        </is>
      </c>
      <c r="X601" s="91" t="n"/>
      <c r="Y601" s="90" t="inlineStr">
        <is>
          <t>BAS平台接口调用配置数据表{记录ID、记录时间、接口URL、接口名称、接口参数名、接口参数说明、接口参数类型、接口参数值、参数是否必填|}</t>
        </is>
      </c>
      <c r="Z601" s="90" t="n"/>
      <c r="AA601" s="90" t="n"/>
      <c r="AB601" s="115" t="n"/>
    </row>
    <row r="602" s="112">
      <c r="A602" s="72">
        <f>ROW()-1</f>
        <v/>
      </c>
      <c r="B602" s="175" t="n"/>
      <c r="C602" s="80" t="n">
        <v>2025</v>
      </c>
      <c r="D602" s="80" t="inlineStr">
        <is>
          <t>汤凤欣</t>
        </is>
      </c>
      <c r="E602" s="81">
        <f>VLOOKUP(I602,'25年交付功能（不含废弃）'!A:A,1,FALSE)</f>
        <v/>
      </c>
      <c r="F602" s="175" t="n"/>
      <c r="G602" s="176" t="n"/>
      <c r="H602" s="176" t="n"/>
      <c r="I602" s="98" t="inlineStr">
        <is>
          <t>BAS平台接口调用配置数据表</t>
        </is>
      </c>
      <c r="J602" s="93" t="inlineStr">
        <is>
          <t>ILF</t>
        </is>
      </c>
      <c r="K602" s="84" t="n"/>
      <c r="L602" s="84" t="n"/>
      <c r="M602" s="85">
        <f>IF(OR(Y602="估算法",Y602="算法类",Y602="无法识别"),"",IF(W602="",IF(OR(J602="EI",J602="EO",J602="EQ"),0,""),LEN(W602)-LEN(SUBSTITUTE(W602,"、",""))+1))</f>
        <v/>
      </c>
      <c r="N602" s="85">
        <f>IF(OR(Y602="估算法",Y602="算法类",Y602="无法识别"),"",IF(X602="",IF(OR(J602="ILF",J602="EIF"),0,""),LEN(X602)-LEN(SUBSTITUTE(X602,"、",""))+1))</f>
        <v/>
      </c>
      <c r="O602" s="85">
        <f>IF(OR(Y602="估算法",Y602="算法类",Y602="无法识别"),"",IF(Y602="",IF(OR(J602="ILF",J602="EIF",J602="EI",J602="EO",J602="EQ"),0,""),LEN(Y602)-LEN(SUBSTITUTE(SUBSTITUTE(SUBSTITUTE(SUBSTITUTE(SUBSTITUTE(Y602,"|}","--"),"{|","--"),CHAR(10),""),"、",""),"|",""))+IF(AND(OR(J602="EI",J602="EO",J602="EQ"),$AE$1="NESMA"),2,1)))</f>
        <v/>
      </c>
      <c r="P602" s="86">
        <f>IF(J602="EI",IF(OR(Y602="估算法",Y602="算法类"),"中",IF(Y602="无法识别","低",IF(M602&lt;2,IF(O602&lt;16,"低","中"),IF(M602&lt;3,IF(O602&lt;5,"低",IF(O602&lt;16,"中","高")),IF(O602&lt;5,"中","高"))))),IF(OR(J602="EO",J602="EQ"),IF(OR(Y602="估算法",Y602="算法类"),"中",IF(Y602="无法识别","低",IF(M602&lt;2,IF(O602&lt;20,"低","中"),IF(M602&lt;4,IF(O602&lt;6,"低",IF(O602&lt;20,"中","高")),IF(O602&lt;6,"中","高"))))),IF(OR(J602="ILF",J602="EIF"),IF(OR(Y602="估算法",Y602="算法类",Y602="无法识别"),"低",IF(N602&lt;2,IF(O602&lt;51,"低","中"),IF(N602&lt;6,IF(O602&lt;20,"低",IF(O602&lt;51,"中","高")),IF(O602&lt;20,"中","高")))),"不计算")))</f>
        <v/>
      </c>
      <c r="Q602" s="172">
        <f>IFERROR(IF(J602="EI",IF(P602="低",3,IF(P602="中",4,6)),IF(J602="EO",IF(P602="低",4,IF(P602="中",5,7)),IF(J602="EQ",IF(P602="低",3,IF(P602="中",4,6)),IF(J602="ILF",IF(P602="低",7,IF(P602="中",10,15)),IF(J602="EIF",IF(P602="低",5,IF(P602="中",7,10)),"不计算")))))*R602,"不计算")</f>
        <v/>
      </c>
      <c r="R602" s="172" t="n">
        <v>1</v>
      </c>
      <c r="S602" s="173">
        <f>调整因子!$F$13</f>
        <v/>
      </c>
      <c r="T602" s="93" t="n">
        <v>1</v>
      </c>
      <c r="U602" s="174">
        <f>IFERROR(Q602*S602,0)</f>
        <v/>
      </c>
      <c r="V602" s="174">
        <f>U602*T602</f>
        <v/>
      </c>
      <c r="W602" s="91" t="n"/>
      <c r="X602" s="90" t="inlineStr">
        <is>
          <t>BAS平台接口调用配置数据表</t>
        </is>
      </c>
      <c r="Y602" s="90" t="inlineStr">
        <is>
          <t>BAS平台接口调用配置数据表{记录ID、记录时间、接口URL、接口名称、接口参数名、接口参数说明、接口参数类型、接口参数值、参数是否必填|}</t>
        </is>
      </c>
      <c r="Z602" s="90">
        <f>IF(COUNTIFS(W:W,"*"&amp;I602&amp;"*")&gt;0,"存在","不存在")</f>
        <v/>
      </c>
      <c r="AA602" s="90">
        <f>IF(COUNTIFS(AB:AB,"*"&amp;I602&amp;"*")&gt;0,"存在","不存在")</f>
        <v/>
      </c>
      <c r="AB602" s="92" t="n"/>
    </row>
    <row r="603" s="112">
      <c r="A603" s="72">
        <f>ROW()-1</f>
        <v/>
      </c>
      <c r="B603" s="175" t="n"/>
      <c r="C603" s="80" t="n">
        <v>2025</v>
      </c>
      <c r="D603" s="80" t="inlineStr">
        <is>
          <t>汤凤欣</t>
        </is>
      </c>
      <c r="E603" s="81">
        <f>VLOOKUP(I603,'25年交付功能（不含废弃）'!A:A,1,FALSE)</f>
        <v/>
      </c>
      <c r="F603" s="175" t="n"/>
      <c r="G603" s="82" t="inlineStr">
        <is>
          <t>系统漏洞修复核验报告</t>
        </is>
      </c>
      <c r="H603" s="93" t="inlineStr">
        <is>
          <t>系统漏洞修复核验报告自动生成</t>
        </is>
      </c>
      <c r="I603" s="98" t="inlineStr">
        <is>
          <t>系统漏洞修复核验报告下载</t>
        </is>
      </c>
      <c r="J603" s="93" t="inlineStr">
        <is>
          <t>EO</t>
        </is>
      </c>
      <c r="K603" s="84" t="n"/>
      <c r="L603" s="84" t="n"/>
      <c r="M603" s="85">
        <f>IF(OR(Y603="估算法",Y603="算法类",Y603="无法识别"),"",IF(W603="",IF(OR(J603="EI",J603="EO",J603="EQ"),0,""),LEN(W603)-LEN(SUBSTITUTE(W603,"、",""))+1))</f>
        <v/>
      </c>
      <c r="N603" s="85">
        <f>IF(OR(Y603="估算法",Y603="算法类",Y603="无法识别"),"",IF(X603="",IF(OR(J603="ILF",J603="EIF"),0,""),LEN(X603)-LEN(SUBSTITUTE(X603,"、",""))+1))</f>
        <v/>
      </c>
      <c r="O603" s="85">
        <f>IF(OR(Y603="估算法",Y603="算法类",Y603="无法识别"),"",IF(Y603="",IF(OR(J603="ILF",J603="EIF",J603="EI",J603="EO",J603="EQ"),0,""),LEN(Y603)-LEN(SUBSTITUTE(SUBSTITUTE(SUBSTITUTE(SUBSTITUTE(SUBSTITUTE(Y603,"|}","--"),"{|","--"),CHAR(10),""),"、",""),"|",""))+IF(AND(OR(J603="EI",J603="EO",J603="EQ"),$AE$1="NESMA"),2,1)))</f>
        <v/>
      </c>
      <c r="P603" s="86">
        <f>IF(J603="EI",IF(OR(Y603="估算法",Y603="算法类"),"中",IF(Y603="无法识别","低",IF(M603&lt;2,IF(O603&lt;16,"低","中"),IF(M603&lt;3,IF(O603&lt;5,"低",IF(O603&lt;16,"中","高")),IF(O603&lt;5,"中","高"))))),IF(OR(J603="EO",J603="EQ"),IF(OR(Y603="估算法",Y603="算法类"),"中",IF(Y603="无法识别","低",IF(M603&lt;2,IF(O603&lt;20,"低","中"),IF(M603&lt;4,IF(O603&lt;6,"低",IF(O603&lt;20,"中","高")),IF(O603&lt;6,"中","高"))))),IF(OR(J603="ILF",J603="EIF"),IF(OR(Y603="估算法",Y603="算法类",Y603="无法识别"),"低",IF(N603&lt;2,IF(O603&lt;51,"低","中"),IF(N603&lt;6,IF(O603&lt;20,"低",IF(O603&lt;51,"中","高")),IF(O603&lt;20,"中","高")))),"不计算")))</f>
        <v/>
      </c>
      <c r="Q603" s="172">
        <f>IFERROR(IF(J603="EI",IF(P603="低",3,IF(P603="中",4,6)),IF(J603="EO",IF(P603="低",4,IF(P603="中",5,7)),IF(J603="EQ",IF(P603="低",3,IF(P603="中",4,6)),IF(J603="ILF",IF(P603="低",7,IF(P603="中",10,15)),IF(J603="EIF",IF(P603="低",5,IF(P603="中",7,10)),"不计算")))))*R603,"不计算")</f>
        <v/>
      </c>
      <c r="R603" s="172" t="n">
        <v>1</v>
      </c>
      <c r="S603" s="173">
        <f>调整因子!$F$13</f>
        <v/>
      </c>
      <c r="T603" s="92" t="n">
        <v>1</v>
      </c>
      <c r="U603" s="174">
        <f>IFERROR(Q603*S603,0)</f>
        <v/>
      </c>
      <c r="V603" s="174">
        <f>U603*T603</f>
        <v/>
      </c>
      <c r="W603" s="90" t="inlineStr">
        <is>
          <t>修复核验报告文件、修复核验报告数据表</t>
        </is>
      </c>
      <c r="X603" s="91" t="n"/>
      <c r="Y603" s="90"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03" s="90" t="n"/>
      <c r="AA603" s="90" t="n"/>
      <c r="AB603" s="115" t="n"/>
    </row>
    <row r="604" s="112">
      <c r="A604" s="72">
        <f>ROW()-1</f>
        <v/>
      </c>
      <c r="B604" s="175" t="n"/>
      <c r="C604" s="80" t="n">
        <v>2025</v>
      </c>
      <c r="D604" s="80" t="inlineStr">
        <is>
          <t>汤凤欣</t>
        </is>
      </c>
      <c r="E604" s="81">
        <f>VLOOKUP(I604,'25年交付功能（不含废弃）'!A:A,1,FALSE)</f>
        <v/>
      </c>
      <c r="F604" s="175" t="n"/>
      <c r="G604" s="175" t="n"/>
      <c r="H604" s="175" t="n"/>
      <c r="I604" s="98" t="inlineStr">
        <is>
          <t>修复核验报告列表查询</t>
        </is>
      </c>
      <c r="J604" s="93" t="inlineStr">
        <is>
          <t>EO</t>
        </is>
      </c>
      <c r="K604" s="84" t="n"/>
      <c r="L604" s="84" t="n"/>
      <c r="M604" s="85">
        <f>IF(OR(Y604="估算法",Y604="算法类",Y604="无法识别"),"",IF(W604="",IF(OR(J604="EI",J604="EO",J604="EQ"),0,""),LEN(W604)-LEN(SUBSTITUTE(W604,"、",""))+1))</f>
        <v/>
      </c>
      <c r="N604" s="85">
        <f>IF(OR(Y604="估算法",Y604="算法类",Y604="无法识别"),"",IF(X604="",IF(OR(J604="ILF",J604="EIF"),0,""),LEN(X604)-LEN(SUBSTITUTE(X604,"、",""))+1))</f>
        <v/>
      </c>
      <c r="O604" s="85">
        <f>IF(OR(Y604="估算法",Y604="算法类",Y604="无法识别"),"",IF(Y604="",IF(OR(J604="ILF",J604="EIF",J604="EI",J604="EO",J604="EQ"),0,""),LEN(Y604)-LEN(SUBSTITUTE(SUBSTITUTE(SUBSTITUTE(SUBSTITUTE(SUBSTITUTE(Y604,"|}","--"),"{|","--"),CHAR(10),""),"、",""),"|",""))+IF(AND(OR(J604="EI",J604="EO",J604="EQ"),$AE$1="NESMA"),2,1)))</f>
        <v/>
      </c>
      <c r="P604" s="86">
        <f>IF(J604="EI",IF(OR(Y604="估算法",Y604="算法类"),"中",IF(Y604="无法识别","低",IF(M604&lt;2,IF(O604&lt;16,"低","中"),IF(M604&lt;3,IF(O604&lt;5,"低",IF(O604&lt;16,"中","高")),IF(O604&lt;5,"中","高"))))),IF(OR(J604="EO",J604="EQ"),IF(OR(Y604="估算法",Y604="算法类"),"中",IF(Y604="无法识别","低",IF(M604&lt;2,IF(O604&lt;20,"低","中"),IF(M604&lt;4,IF(O604&lt;6,"低",IF(O604&lt;20,"中","高")),IF(O604&lt;6,"中","高"))))),IF(OR(J604="ILF",J604="EIF"),IF(OR(Y604="估算法",Y604="算法类",Y604="无法识别"),"低",IF(N604&lt;2,IF(O604&lt;51,"低","中"),IF(N604&lt;6,IF(O604&lt;20,"低",IF(O604&lt;51,"中","高")),IF(O604&lt;20,"中","高")))),"不计算")))</f>
        <v/>
      </c>
      <c r="Q604" s="172">
        <f>IFERROR(IF(J604="EI",IF(P604="低",3,IF(P604="中",4,6)),IF(J604="EO",IF(P604="低",4,IF(P604="中",5,7)),IF(J604="EQ",IF(P604="低",3,IF(P604="中",4,6)),IF(J604="ILF",IF(P604="低",7,IF(P604="中",10,15)),IF(J604="EIF",IF(P604="低",5,IF(P604="中",7,10)),"不计算")))))*R604,"不计算")</f>
        <v/>
      </c>
      <c r="R604" s="172" t="n">
        <v>1</v>
      </c>
      <c r="S604" s="173">
        <f>调整因子!$F$13</f>
        <v/>
      </c>
      <c r="T604" s="92" t="n">
        <v>1</v>
      </c>
      <c r="U604" s="174">
        <f>IFERROR(Q604*S604,0)</f>
        <v/>
      </c>
      <c r="V604" s="174">
        <f>U604*T604</f>
        <v/>
      </c>
      <c r="W604" s="93" t="inlineStr">
        <is>
          <t>修复核验报告数据表</t>
        </is>
      </c>
      <c r="X604" s="91" t="n"/>
      <c r="Y604" s="90" t="inlineStr">
        <is>
          <t>修复核验报告数据表{记录ID、记录时间、生成时间、生成进度、生成结果、报告名称、报告路径|}</t>
        </is>
      </c>
      <c r="Z604" s="90" t="n"/>
      <c r="AA604" s="90" t="n"/>
      <c r="AB604" s="92" t="n"/>
    </row>
    <row r="605" s="112">
      <c r="A605" s="72">
        <f>ROW()-1</f>
        <v/>
      </c>
      <c r="B605" s="175" t="n"/>
      <c r="C605" s="80" t="n">
        <v>2025</v>
      </c>
      <c r="D605" s="80" t="inlineStr">
        <is>
          <t>汤凤欣</t>
        </is>
      </c>
      <c r="E605" s="81">
        <f>VLOOKUP(I605,'25年交付功能（不含废弃）'!A:A,1,FALSE)</f>
        <v/>
      </c>
      <c r="F605" s="175" t="n"/>
      <c r="G605" s="175" t="n"/>
      <c r="H605" s="175" t="n"/>
      <c r="I605" s="117" t="inlineStr">
        <is>
          <t>生成修复核验报告</t>
        </is>
      </c>
      <c r="J605" s="93" t="n"/>
      <c r="K605" s="84" t="n"/>
      <c r="L605" s="84" t="inlineStr">
        <is>
          <t>和下载合并，输入输出字段完全一致</t>
        </is>
      </c>
      <c r="M605" s="85">
        <f>IF(OR(Y605="估算法",Y605="算法类",Y605="无法识别"),"",IF(W605="",IF(OR(J605="EI",J605="EO",J605="EQ"),0,""),LEN(W605)-LEN(SUBSTITUTE(W605,"、",""))+1))</f>
        <v/>
      </c>
      <c r="N605" s="85">
        <f>IF(OR(Y605="估算法",Y605="算法类",Y605="无法识别"),"",IF(X605="",IF(OR(J605="ILF",J605="EIF"),0,""),LEN(X605)-LEN(SUBSTITUTE(X605,"、",""))+1))</f>
        <v/>
      </c>
      <c r="O605" s="85">
        <f>IF(OR(Y605="估算法",Y605="算法类",Y605="无法识别"),"",IF(Y605="",IF(OR(J605="ILF",J605="EIF",J605="EI",J605="EO",J605="EQ"),0,""),LEN(Y605)-LEN(SUBSTITUTE(SUBSTITUTE(SUBSTITUTE(SUBSTITUTE(SUBSTITUTE(Y605,"|}","--"),"{|","--"),CHAR(10),""),"、",""),"|",""))+IF(AND(OR(J605="EI",J605="EO",J605="EQ"),$AE$1="NESMA"),2,1)))</f>
        <v/>
      </c>
      <c r="P605" s="86">
        <f>IF(J605="EI",IF(OR(Y605="估算法",Y605="算法类"),"中",IF(Y605="无法识别","低",IF(M605&lt;2,IF(O605&lt;16,"低","中"),IF(M605&lt;3,IF(O605&lt;5,"低",IF(O605&lt;16,"中","高")),IF(O605&lt;5,"中","高"))))),IF(OR(J605="EO",J605="EQ"),IF(OR(Y605="估算法",Y605="算法类"),"中",IF(Y605="无法识别","低",IF(M605&lt;2,IF(O605&lt;20,"低","中"),IF(M605&lt;4,IF(O605&lt;6,"低",IF(O605&lt;20,"中","高")),IF(O605&lt;6,"中","高"))))),IF(OR(J605="ILF",J605="EIF"),IF(OR(Y605="估算法",Y605="算法类",Y605="无法识别"),"低",IF(N605&lt;2,IF(O605&lt;51,"低","中"),IF(N605&lt;6,IF(O605&lt;20,"低",IF(O605&lt;51,"中","高")),IF(O605&lt;20,"中","高")))),"不计算")))</f>
        <v/>
      </c>
      <c r="Q605" s="172">
        <f>IFERROR(IF(J605="EI",IF(P605="低",3,IF(P605="中",4,6)),IF(J605="EO",IF(P605="低",4,IF(P605="中",5,7)),IF(J605="EQ",IF(P605="低",3,IF(P605="中",4,6)),IF(J605="ILF",IF(P605="低",7,IF(P605="中",10,15)),IF(J605="EIF",IF(P605="低",5,IF(P605="中",7,10)),"不计算")))))*R605,"不计算")</f>
        <v/>
      </c>
      <c r="R605" s="172" t="n">
        <v>1</v>
      </c>
      <c r="S605" s="173">
        <f>调整因子!$F$13</f>
        <v/>
      </c>
      <c r="T605" s="93" t="n">
        <v>1</v>
      </c>
      <c r="U605" s="174">
        <f>IFERROR(Q605*S605,0)</f>
        <v/>
      </c>
      <c r="V605" s="174">
        <f>U605*T605</f>
        <v/>
      </c>
      <c r="W605" s="90" t="inlineStr">
        <is>
          <t>修复核验报告文件、修复核验报告数据表</t>
        </is>
      </c>
      <c r="X605" s="91" t="n"/>
      <c r="Y605" s="90" t="inlineStr">
        <is>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05" s="90" t="n"/>
      <c r="AA605" s="90" t="n"/>
      <c r="AB605" s="115" t="n"/>
    </row>
    <row r="606" s="112">
      <c r="A606" s="72">
        <f>ROW()-1</f>
        <v/>
      </c>
      <c r="B606" s="175" t="n"/>
      <c r="C606" s="80" t="n">
        <v>2025</v>
      </c>
      <c r="D606" s="80" t="inlineStr">
        <is>
          <t>汤凤欣</t>
        </is>
      </c>
      <c r="E606" s="81">
        <f>VLOOKUP(I606,'25年交付功能（不含废弃）'!A:A,1,FALSE)</f>
        <v/>
      </c>
      <c r="F606" s="175" t="n"/>
      <c r="G606" s="175" t="n"/>
      <c r="H606" s="175" t="n"/>
      <c r="I606" s="98" t="inlineStr">
        <is>
          <t>修复核验报告文件</t>
        </is>
      </c>
      <c r="J606" s="93" t="inlineStr">
        <is>
          <t>ILF</t>
        </is>
      </c>
      <c r="K606" s="84" t="n"/>
      <c r="L606" s="84" t="inlineStr">
        <is>
          <t>数据库表未被本系统所维护</t>
        </is>
      </c>
      <c r="M606" s="85">
        <f>IF(OR(Y606="估算法",Y606="算法类",Y606="无法识别"),"",IF(W606="",IF(OR(J606="EI",J606="EO",J606="EQ"),0,""),LEN(W606)-LEN(SUBSTITUTE(W606,"、",""))+1))</f>
        <v/>
      </c>
      <c r="N606" s="85">
        <f>IF(OR(Y606="估算法",Y606="算法类",Y606="无法识别"),"",IF(X606="",IF(OR(J606="ILF",J606="EIF"),0,""),LEN(X606)-LEN(SUBSTITUTE(X606,"、",""))+1))</f>
        <v/>
      </c>
      <c r="O606" s="85">
        <f>IF(OR(Y606="估算法",Y606="算法类",Y606="无法识别"),"",IF(Y606="",IF(OR(J606="ILF",J606="EIF",J606="EI",J606="EO",J606="EQ"),0,""),LEN(Y606)-LEN(SUBSTITUTE(SUBSTITUTE(SUBSTITUTE(SUBSTITUTE(SUBSTITUTE(Y606,"|}","--"),"{|","--"),CHAR(10),""),"、",""),"|",""))+IF(AND(OR(J606="EI",J606="EO",J606="EQ"),$AE$1="NESMA"),2,1)))</f>
        <v/>
      </c>
      <c r="P606" s="86">
        <f>IF(J606="EI",IF(OR(Y606="估算法",Y606="算法类"),"中",IF(Y606="无法识别","低",IF(M606&lt;2,IF(O606&lt;16,"低","中"),IF(M606&lt;3,IF(O606&lt;5,"低",IF(O606&lt;16,"中","高")),IF(O606&lt;5,"中","高"))))),IF(OR(J606="EO",J606="EQ"),IF(OR(Y606="估算法",Y606="算法类"),"中",IF(Y606="无法识别","低",IF(M606&lt;2,IF(O606&lt;20,"低","中"),IF(M606&lt;4,IF(O606&lt;6,"低",IF(O606&lt;20,"中","高")),IF(O606&lt;6,"中","高"))))),IF(OR(J606="ILF",J606="EIF"),IF(OR(Y606="估算法",Y606="算法类",Y606="无法识别"),"低",IF(N606&lt;2,IF(O606&lt;51,"低","中"),IF(N606&lt;6,IF(O606&lt;20,"低",IF(O606&lt;51,"中","高")),IF(O606&lt;20,"中","高")))),"不计算")))</f>
        <v/>
      </c>
      <c r="Q606" s="172">
        <f>IFERROR(IF(J606="EI",IF(P606="低",3,IF(P606="中",4,6)),IF(J606="EO",IF(P606="低",4,IF(P606="中",5,7)),IF(J606="EQ",IF(P606="低",3,IF(P606="中",4,6)),IF(J606="ILF",IF(P606="低",7,IF(P606="中",10,15)),IF(J606="EIF",IF(P606="低",5,IF(P606="中",7,10)),"不计算")))))*R606,"不计算")</f>
        <v/>
      </c>
      <c r="R606" s="172" t="n">
        <v>0</v>
      </c>
      <c r="S606" s="173">
        <f>调整因子!$F$13</f>
        <v/>
      </c>
      <c r="T606" s="92" t="n">
        <v>1</v>
      </c>
      <c r="U606" s="174">
        <f>IFERROR(Q606*S606,0)</f>
        <v/>
      </c>
      <c r="V606" s="174">
        <f>U606*T606</f>
        <v/>
      </c>
      <c r="W606" s="91" t="n"/>
      <c r="X606" s="90" t="inlineStr">
        <is>
          <t>修复核验报告文件</t>
        </is>
      </c>
      <c r="Y606" s="90" t="inlineStr">
        <is>
          <t>修复核验报告文件{工单ID、工单名称、处置人、修复核验操作人、修复方式、核验方式、核验时间、核验结果、资产IP、产品漏洞名称、产品漏洞编号、修复建议|}</t>
        </is>
      </c>
      <c r="Z606" s="90">
        <f>IF(COUNTIFS(W:W,"*"&amp;I606&amp;"*")&gt;0,"存在","不存在")</f>
        <v/>
      </c>
      <c r="AA606" s="90">
        <f>IF(COUNTIFS(AB:AB,"*"&amp;I606&amp;"*")&gt;0,"存在","不存在")</f>
        <v/>
      </c>
      <c r="AB606" s="92" t="n"/>
    </row>
    <row r="607" s="112">
      <c r="A607" s="72">
        <f>ROW()-1</f>
        <v/>
      </c>
      <c r="B607" s="175" t="n"/>
      <c r="C607" s="80" t="n">
        <v>2025</v>
      </c>
      <c r="D607" s="80" t="inlineStr">
        <is>
          <t>汤凤欣</t>
        </is>
      </c>
      <c r="E607" s="81">
        <f>VLOOKUP(I607,'25年交付功能（不含废弃）'!A:A,1,FALSE)</f>
        <v/>
      </c>
      <c r="F607" s="175" t="n"/>
      <c r="G607" s="175" t="n"/>
      <c r="H607" s="176" t="n"/>
      <c r="I607" s="98" t="inlineStr">
        <is>
          <t>修复核验报告数据表</t>
        </is>
      </c>
      <c r="J607" s="93" t="inlineStr">
        <is>
          <t>ILF</t>
        </is>
      </c>
      <c r="K607" s="84" t="n"/>
      <c r="L607" s="84" t="inlineStr">
        <is>
          <t>数据库表未被本系统所维护</t>
        </is>
      </c>
      <c r="M607" s="85">
        <f>IF(OR(Y607="估算法",Y607="算法类",Y607="无法识别"),"",IF(W607="",IF(OR(J607="EI",J607="EO",J607="EQ"),0,""),LEN(W607)-LEN(SUBSTITUTE(W607,"、",""))+1))</f>
        <v/>
      </c>
      <c r="N607" s="85">
        <f>IF(OR(Y607="估算法",Y607="算法类",Y607="无法识别"),"",IF(X607="",IF(OR(J607="ILF",J607="EIF"),0,""),LEN(X607)-LEN(SUBSTITUTE(X607,"、",""))+1))</f>
        <v/>
      </c>
      <c r="O607" s="85">
        <f>IF(OR(Y607="估算法",Y607="算法类",Y607="无法识别"),"",IF(Y607="",IF(OR(J607="ILF",J607="EIF",J607="EI",J607="EO",J607="EQ"),0,""),LEN(Y607)-LEN(SUBSTITUTE(SUBSTITUTE(SUBSTITUTE(SUBSTITUTE(SUBSTITUTE(Y607,"|}","--"),"{|","--"),CHAR(10),""),"、",""),"|",""))+IF(AND(OR(J607="EI",J607="EO",J607="EQ"),$AE$1="NESMA"),2,1)))</f>
        <v/>
      </c>
      <c r="P607" s="86">
        <f>IF(J607="EI",IF(OR(Y607="估算法",Y607="算法类"),"中",IF(Y607="无法识别","低",IF(M607&lt;2,IF(O607&lt;16,"低","中"),IF(M607&lt;3,IF(O607&lt;5,"低",IF(O607&lt;16,"中","高")),IF(O607&lt;5,"中","高"))))),IF(OR(J607="EO",J607="EQ"),IF(OR(Y607="估算法",Y607="算法类"),"中",IF(Y607="无法识别","低",IF(M607&lt;2,IF(O607&lt;20,"低","中"),IF(M607&lt;4,IF(O607&lt;6,"低",IF(O607&lt;20,"中","高")),IF(O607&lt;6,"中","高"))))),IF(OR(J607="ILF",J607="EIF"),IF(OR(Y607="估算法",Y607="算法类",Y607="无法识别"),"低",IF(N607&lt;2,IF(O607&lt;51,"低","中"),IF(N607&lt;6,IF(O607&lt;20,"低",IF(O607&lt;51,"中","高")),IF(O607&lt;20,"中","高")))),"不计算")))</f>
        <v/>
      </c>
      <c r="Q607" s="172">
        <f>IFERROR(IF(J607="EI",IF(P607="低",3,IF(P607="中",4,6)),IF(J607="EO",IF(P607="低",4,IF(P607="中",5,7)),IF(J607="EQ",IF(P607="低",3,IF(P607="中",4,6)),IF(J607="ILF",IF(P607="低",7,IF(P607="中",10,15)),IF(J607="EIF",IF(P607="低",5,IF(P607="中",7,10)),"不计算")))))*R607,"不计算")</f>
        <v/>
      </c>
      <c r="R607" s="172" t="n">
        <v>0</v>
      </c>
      <c r="S607" s="173">
        <f>调整因子!$F$13</f>
        <v/>
      </c>
      <c r="T607" s="92" t="n">
        <v>1</v>
      </c>
      <c r="U607" s="174">
        <f>IFERROR(Q607*S607,0)</f>
        <v/>
      </c>
      <c r="V607" s="174">
        <f>U607*T607</f>
        <v/>
      </c>
      <c r="W607" s="91" t="n"/>
      <c r="X607" s="93" t="inlineStr">
        <is>
          <t>修复核验报告数据表</t>
        </is>
      </c>
      <c r="Y607" s="90" t="inlineStr">
        <is>
          <t>修复核验报告数据表{记录ID、记录时间、生成时间、生成进度、生成结果、报告名称、报告路径|}</t>
        </is>
      </c>
      <c r="Z607" s="90">
        <f>IF(COUNTIFS(W:W,"*"&amp;I607&amp;"*")&gt;0,"存在","不存在")</f>
        <v/>
      </c>
      <c r="AA607" s="90">
        <f>IF(COUNTIFS(AB:AB,"*"&amp;I607&amp;"*")&gt;0,"存在","不存在")</f>
        <v/>
      </c>
      <c r="AB607" s="115" t="n"/>
    </row>
    <row r="608" s="112">
      <c r="A608" s="72">
        <f>ROW()-1</f>
        <v/>
      </c>
      <c r="B608" s="175" t="n"/>
      <c r="C608" s="80" t="n">
        <v>2025</v>
      </c>
      <c r="D608" s="80" t="inlineStr">
        <is>
          <t>汤凤欣</t>
        </is>
      </c>
      <c r="E608" s="81">
        <f>VLOOKUP(I608,'25年交付功能（不含废弃）'!A:A,1,FALSE)</f>
        <v/>
      </c>
      <c r="F608" s="175" t="n"/>
      <c r="G608" s="175" t="n"/>
      <c r="H608" s="82" t="inlineStr">
        <is>
          <t>系统漏洞修复核验报告模板管理</t>
        </is>
      </c>
      <c r="I608" s="117" t="inlineStr">
        <is>
          <t>配置漏洞修复核验报告模板</t>
        </is>
      </c>
      <c r="J608" s="93" t="inlineStr">
        <is>
          <t>EI</t>
        </is>
      </c>
      <c r="K608" s="84" t="n"/>
      <c r="L608" s="84" t="n"/>
      <c r="M608" s="85">
        <f>IF(OR(Y608="估算法",Y608="算法类",Y608="无法识别"),"",IF(W608="",IF(OR(J608="EI",J608="EO",J608="EQ"),0,""),LEN(W608)-LEN(SUBSTITUTE(W608,"、",""))+1))</f>
        <v/>
      </c>
      <c r="N608" s="85">
        <f>IF(OR(Y608="估算法",Y608="算法类",Y608="无法识别"),"",IF(X608="",IF(OR(J608="ILF",J608="EIF"),0,""),LEN(X608)-LEN(SUBSTITUTE(X608,"、",""))+1))</f>
        <v/>
      </c>
      <c r="O608" s="85">
        <f>IF(OR(Y608="估算法",Y608="算法类",Y608="无法识别"),"",IF(Y608="",IF(OR(J608="ILF",J608="EIF",J608="EI",J608="EO",J608="EQ"),0,""),LEN(Y608)-LEN(SUBSTITUTE(SUBSTITUTE(SUBSTITUTE(SUBSTITUTE(SUBSTITUTE(Y608,"|}","--"),"{|","--"),CHAR(10),""),"、",""),"|",""))+IF(AND(OR(J608="EI",J608="EO",J608="EQ"),$AE$1="NESMA"),2,1)))</f>
        <v/>
      </c>
      <c r="P608" s="86">
        <f>IF(J608="EI",IF(OR(Y608="估算法",Y608="算法类"),"中",IF(Y608="无法识别","低",IF(M608&lt;2,IF(O608&lt;16,"低","中"),IF(M608&lt;3,IF(O608&lt;5,"低",IF(O608&lt;16,"中","高")),IF(O608&lt;5,"中","高"))))),IF(OR(J608="EO",J608="EQ"),IF(OR(Y608="估算法",Y608="算法类"),"中",IF(Y608="无法识别","低",IF(M608&lt;2,IF(O608&lt;20,"低","中"),IF(M608&lt;4,IF(O608&lt;6,"低",IF(O608&lt;20,"中","高")),IF(O608&lt;6,"中","高"))))),IF(OR(J608="ILF",J608="EIF"),IF(OR(Y608="估算法",Y608="算法类",Y608="无法识别"),"低",IF(N608&lt;2,IF(O608&lt;51,"低","中"),IF(N608&lt;6,IF(O608&lt;20,"低",IF(O608&lt;51,"中","高")),IF(O608&lt;20,"中","高")))),"不计算")))</f>
        <v/>
      </c>
      <c r="Q608" s="172">
        <f>IFERROR(IF(J608="EI",IF(P608="低",3,IF(P608="中",4,6)),IF(J608="EO",IF(P608="低",4,IF(P608="中",5,7)),IF(J608="EQ",IF(P608="低",3,IF(P608="中",4,6)),IF(J608="ILF",IF(P608="低",7,IF(P608="中",10,15)),IF(J608="EIF",IF(P608="低",5,IF(P608="中",7,10)),"不计算")))))*R608,"不计算")</f>
        <v/>
      </c>
      <c r="R608" s="172" t="n">
        <v>1</v>
      </c>
      <c r="S608" s="173">
        <f>调整因子!$F$13</f>
        <v/>
      </c>
      <c r="T608" s="93" t="n">
        <v>1</v>
      </c>
      <c r="U608" s="174">
        <f>IFERROR(Q608*S608,0)</f>
        <v/>
      </c>
      <c r="V608" s="174">
        <f>U608*T608</f>
        <v/>
      </c>
      <c r="W608" s="90" t="inlineStr">
        <is>
          <t>漏洞修复核验报告模板配置项数据表</t>
        </is>
      </c>
      <c r="X608" s="91" t="n"/>
      <c r="Y608" s="90" t="inlineStr">
        <is>
          <t>漏洞修复核验报告模板配置项数据表{配置项ID、配置分类、配置名称、角色名称}</t>
        </is>
      </c>
      <c r="Z608" s="90" t="n"/>
      <c r="AA608" s="90" t="n"/>
      <c r="AB608" s="92" t="n"/>
    </row>
    <row r="609" s="112">
      <c r="A609" s="72">
        <f>ROW()-1</f>
        <v/>
      </c>
      <c r="B609" s="175" t="n"/>
      <c r="C609" s="80" t="n">
        <v>2025</v>
      </c>
      <c r="D609" s="80" t="inlineStr">
        <is>
          <t>汤凤欣</t>
        </is>
      </c>
      <c r="E609" s="81">
        <f>VLOOKUP(I609,'25年交付功能（不含废弃）'!A:A,1,FALSE)</f>
        <v/>
      </c>
      <c r="F609" s="175" t="n"/>
      <c r="G609" s="175" t="n"/>
      <c r="H609" s="176" t="n"/>
      <c r="I609" s="98" t="inlineStr">
        <is>
          <t>漏洞修复核验报告模板配置项数据表</t>
        </is>
      </c>
      <c r="J609" s="93" t="inlineStr">
        <is>
          <t>ILF</t>
        </is>
      </c>
      <c r="K609" s="84" t="n"/>
      <c r="L609" s="84" t="n"/>
      <c r="M609" s="85">
        <f>IF(OR(Y609="估算法",Y609="算法类",Y609="无法识别"),"",IF(W609="",IF(OR(J609="EI",J609="EO",J609="EQ"),0,""),LEN(W609)-LEN(SUBSTITUTE(W609,"、",""))+1))</f>
        <v/>
      </c>
      <c r="N609" s="85">
        <f>IF(OR(Y609="估算法",Y609="算法类",Y609="无法识别"),"",IF(X609="",IF(OR(J609="ILF",J609="EIF"),0,""),LEN(X609)-LEN(SUBSTITUTE(X609,"、",""))+1))</f>
        <v/>
      </c>
      <c r="O609" s="85">
        <f>IF(OR(Y609="估算法",Y609="算法类",Y609="无法识别"),"",IF(Y609="",IF(OR(J609="ILF",J609="EIF",J609="EI",J609="EO",J609="EQ"),0,""),LEN(Y609)-LEN(SUBSTITUTE(SUBSTITUTE(SUBSTITUTE(SUBSTITUTE(SUBSTITUTE(Y609,"|}","--"),"{|","--"),CHAR(10),""),"、",""),"|",""))+IF(AND(OR(J609="EI",J609="EO",J609="EQ"),$AE$1="NESMA"),2,1)))</f>
        <v/>
      </c>
      <c r="P609" s="86">
        <f>IF(J609="EI",IF(OR(Y609="估算法",Y609="算法类"),"中",IF(Y609="无法识别","低",IF(M609&lt;2,IF(O609&lt;16,"低","中"),IF(M609&lt;3,IF(O609&lt;5,"低",IF(O609&lt;16,"中","高")),IF(O609&lt;5,"中","高"))))),IF(OR(J609="EO",J609="EQ"),IF(OR(Y609="估算法",Y609="算法类"),"中",IF(Y609="无法识别","低",IF(M609&lt;2,IF(O609&lt;20,"低","中"),IF(M609&lt;4,IF(O609&lt;6,"低",IF(O609&lt;20,"中","高")),IF(O609&lt;6,"中","高"))))),IF(OR(J609="ILF",J609="EIF"),IF(OR(Y609="估算法",Y609="算法类",Y609="无法识别"),"低",IF(N609&lt;2,IF(O609&lt;51,"低","中"),IF(N609&lt;6,IF(O609&lt;20,"低",IF(O609&lt;51,"中","高")),IF(O609&lt;20,"中","高")))),"不计算")))</f>
        <v/>
      </c>
      <c r="Q609" s="172">
        <f>IFERROR(IF(J609="EI",IF(P609="低",3,IF(P609="中",4,6)),IF(J609="EO",IF(P609="低",4,IF(P609="中",5,7)),IF(J609="EQ",IF(P609="低",3,IF(P609="中",4,6)),IF(J609="ILF",IF(P609="低",7,IF(P609="中",10,15)),IF(J609="EIF",IF(P609="低",5,IF(P609="中",7,10)),"不计算")))))*R609,"不计算")</f>
        <v/>
      </c>
      <c r="R609" s="172" t="n">
        <v>1</v>
      </c>
      <c r="S609" s="173">
        <f>调整因子!$F$13</f>
        <v/>
      </c>
      <c r="T609" s="92" t="n">
        <v>1</v>
      </c>
      <c r="U609" s="174">
        <f>IFERROR(Q609*S609,0)</f>
        <v/>
      </c>
      <c r="V609" s="174">
        <f>U609*T609</f>
        <v/>
      </c>
      <c r="W609" s="91" t="n"/>
      <c r="X609" s="90" t="inlineStr">
        <is>
          <t>漏洞修复核验报告模板配置项数据表</t>
        </is>
      </c>
      <c r="Y609" s="90" t="inlineStr">
        <is>
          <t>漏洞修复核验报告模板配置项数据表{配置项ID、配置分类、配置名称、角色名称}</t>
        </is>
      </c>
      <c r="Z609" s="90">
        <f>IF(COUNTIFS(W:W,"*"&amp;I609&amp;"*")&gt;0,"存在","不存在")</f>
        <v/>
      </c>
      <c r="AA609" s="90">
        <f>IF(COUNTIFS(AB:AB,"*"&amp;I609&amp;"*")&gt;0,"存在","不存在")</f>
        <v/>
      </c>
      <c r="AB609" s="115" t="n"/>
    </row>
    <row r="610" s="112">
      <c r="A610" s="72">
        <f>ROW()-1</f>
        <v/>
      </c>
      <c r="B610" s="175" t="n"/>
      <c r="C610" s="80" t="n">
        <v>2025</v>
      </c>
      <c r="D610" s="80" t="inlineStr">
        <is>
          <t>汤凤欣</t>
        </is>
      </c>
      <c r="E610" s="81">
        <f>VLOOKUP(I610,'25年交付功能（不含废弃）'!A:A,1,FALSE)</f>
        <v/>
      </c>
      <c r="F610" s="175" t="n"/>
      <c r="G610" s="175" t="n"/>
      <c r="H610" s="82" t="inlineStr">
        <is>
          <t>系统漏洞修复核验报告分发共享</t>
        </is>
      </c>
      <c r="I610" s="81" t="inlineStr">
        <is>
          <t>推送系统核验报告</t>
        </is>
      </c>
      <c r="J610" s="93" t="inlineStr">
        <is>
          <t>EO</t>
        </is>
      </c>
      <c r="K610" s="84" t="n"/>
      <c r="L610" s="84" t="n"/>
      <c r="M610" s="85">
        <f>IF(OR(Y610="估算法",Y610="算法类",Y610="无法识别"),"",IF(W610="",IF(OR(J610="EI",J610="EO",J610="EQ"),0,""),LEN(W610)-LEN(SUBSTITUTE(W610,"、",""))+1))</f>
        <v/>
      </c>
      <c r="N610" s="85">
        <f>IF(OR(Y610="估算法",Y610="算法类",Y610="无法识别"),"",IF(X610="",IF(OR(J610="ILF",J610="EIF"),0,""),LEN(X610)-LEN(SUBSTITUTE(X610,"、",""))+1))</f>
        <v/>
      </c>
      <c r="O610" s="85">
        <f>IF(OR(Y610="估算法",Y610="算法类",Y610="无法识别"),"",IF(Y610="",IF(OR(J610="ILF",J610="EIF",J610="EI",J610="EO",J610="EQ"),0,""),LEN(Y610)-LEN(SUBSTITUTE(SUBSTITUTE(SUBSTITUTE(SUBSTITUTE(SUBSTITUTE(Y610,"|}","--"),"{|","--"),CHAR(10),""),"、",""),"|",""))+IF(AND(OR(J610="EI",J610="EO",J610="EQ"),$AE$1="NESMA"),2,1)))</f>
        <v/>
      </c>
      <c r="P610" s="86">
        <f>IF(J610="EI",IF(OR(Y610="估算法",Y610="算法类"),"中",IF(Y610="无法识别","低",IF(M610&lt;2,IF(O610&lt;16,"低","中"),IF(M610&lt;3,IF(O610&lt;5,"低",IF(O610&lt;16,"中","高")),IF(O610&lt;5,"中","高"))))),IF(OR(J610="EO",J610="EQ"),IF(OR(Y610="估算法",Y610="算法类"),"中",IF(Y610="无法识别","低",IF(M610&lt;2,IF(O610&lt;20,"低","中"),IF(M610&lt;4,IF(O610&lt;6,"低",IF(O610&lt;20,"中","高")),IF(O610&lt;6,"中","高"))))),IF(OR(J610="ILF",J610="EIF"),IF(OR(Y610="估算法",Y610="算法类",Y610="无法识别"),"低",IF(N610&lt;2,IF(O610&lt;51,"低","中"),IF(N610&lt;6,IF(O610&lt;20,"低",IF(O610&lt;51,"中","高")),IF(O610&lt;20,"中","高")))),"不计算")))</f>
        <v/>
      </c>
      <c r="Q610" s="172">
        <f>IFERROR(IF(J610="EI",IF(P610="低",3,IF(P610="中",4,6)),IF(J610="EO",IF(P610="低",4,IF(P610="中",5,7)),IF(J610="EQ",IF(P610="低",3,IF(P610="中",4,6)),IF(J610="ILF",IF(P610="低",7,IF(P610="中",10,15)),IF(J610="EIF",IF(P610="低",5,IF(P610="中",7,10)),"不计算")))))*R610,"不计算")</f>
        <v/>
      </c>
      <c r="R610" s="172" t="n">
        <v>1</v>
      </c>
      <c r="S610" s="173">
        <f>调整因子!$F$13</f>
        <v/>
      </c>
      <c r="T610" s="92" t="n">
        <v>1</v>
      </c>
      <c r="U610" s="174">
        <f>IFERROR(Q610*S610,0)</f>
        <v/>
      </c>
      <c r="V610" s="174">
        <f>U610*T610</f>
        <v/>
      </c>
      <c r="W610" s="90" t="inlineStr">
        <is>
          <t>修复核验报告推送规则数据表、修复核验报告文件、修复核验报告数据表</t>
        </is>
      </c>
      <c r="X610" s="91" t="n"/>
      <c r="Y610" s="90" t="inlineStr">
        <is>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is>
      </c>
      <c r="Z610" s="90" t="n"/>
      <c r="AA610" s="90" t="n"/>
      <c r="AB610" s="92" t="n"/>
    </row>
    <row r="611" s="112">
      <c r="A611" s="72">
        <f>ROW()-1</f>
        <v/>
      </c>
      <c r="B611" s="175" t="n"/>
      <c r="C611" s="80" t="n">
        <v>2025</v>
      </c>
      <c r="D611" s="80" t="inlineStr">
        <is>
          <t>汤凤欣</t>
        </is>
      </c>
      <c r="E611" s="81">
        <f>VLOOKUP(I611,'25年交付功能（不含废弃）'!A:A,1,FALSE)</f>
        <v/>
      </c>
      <c r="F611" s="175" t="n"/>
      <c r="G611" s="175" t="n"/>
      <c r="H611" s="175" t="n"/>
      <c r="I611" s="117" t="inlineStr">
        <is>
          <t>配置报告推送规则</t>
        </is>
      </c>
      <c r="J611" s="93" t="inlineStr">
        <is>
          <t>EI</t>
        </is>
      </c>
      <c r="K611" s="84" t="n"/>
      <c r="L611" s="84" t="n"/>
      <c r="M611" s="85">
        <f>IF(OR(Y611="估算法",Y611="算法类",Y611="无法识别"),"",IF(W611="",IF(OR(J611="EI",J611="EO",J611="EQ"),0,""),LEN(W611)-LEN(SUBSTITUTE(W611,"、",""))+1))</f>
        <v/>
      </c>
      <c r="N611" s="85">
        <f>IF(OR(Y611="估算法",Y611="算法类",Y611="无法识别"),"",IF(X611="",IF(OR(J611="ILF",J611="EIF"),0,""),LEN(X611)-LEN(SUBSTITUTE(X611,"、",""))+1))</f>
        <v/>
      </c>
      <c r="O611" s="85">
        <f>IF(OR(Y611="估算法",Y611="算法类",Y611="无法识别"),"",IF(Y611="",IF(OR(J611="ILF",J611="EIF",J611="EI",J611="EO",J611="EQ"),0,""),LEN(Y611)-LEN(SUBSTITUTE(SUBSTITUTE(SUBSTITUTE(SUBSTITUTE(SUBSTITUTE(Y611,"|}","--"),"{|","--"),CHAR(10),""),"、",""),"|",""))+IF(AND(OR(J611="EI",J611="EO",J611="EQ"),$AE$1="NESMA"),2,1)))</f>
        <v/>
      </c>
      <c r="P611" s="86">
        <f>IF(J611="EI",IF(OR(Y611="估算法",Y611="算法类"),"中",IF(Y611="无法识别","低",IF(M611&lt;2,IF(O611&lt;16,"低","中"),IF(M611&lt;3,IF(O611&lt;5,"低",IF(O611&lt;16,"中","高")),IF(O611&lt;5,"中","高"))))),IF(OR(J611="EO",J611="EQ"),IF(OR(Y611="估算法",Y611="算法类"),"中",IF(Y611="无法识别","低",IF(M611&lt;2,IF(O611&lt;20,"低","中"),IF(M611&lt;4,IF(O611&lt;6,"低",IF(O611&lt;20,"中","高")),IF(O611&lt;6,"中","高"))))),IF(OR(J611="ILF",J611="EIF"),IF(OR(Y611="估算法",Y611="算法类",Y611="无法识别"),"低",IF(N611&lt;2,IF(O611&lt;51,"低","中"),IF(N611&lt;6,IF(O611&lt;20,"低",IF(O611&lt;51,"中","高")),IF(O611&lt;20,"中","高")))),"不计算")))</f>
        <v/>
      </c>
      <c r="Q611" s="172">
        <f>IFERROR(IF(J611="EI",IF(P611="低",3,IF(P611="中",4,6)),IF(J611="EO",IF(P611="低",4,IF(P611="中",5,7)),IF(J611="EQ",IF(P611="低",3,IF(P611="中",4,6)),IF(J611="ILF",IF(P611="低",7,IF(P611="中",10,15)),IF(J611="EIF",IF(P611="低",5,IF(P611="中",7,10)),"不计算")))))*R611,"不计算")</f>
        <v/>
      </c>
      <c r="R611" s="172" t="n">
        <v>1</v>
      </c>
      <c r="S611" s="173">
        <f>调整因子!$F$13</f>
        <v/>
      </c>
      <c r="T611" s="93" t="n">
        <v>1</v>
      </c>
      <c r="U611" s="174">
        <f>IFERROR(Q611*S611,0)</f>
        <v/>
      </c>
      <c r="V611" s="174">
        <f>U611*T611</f>
        <v/>
      </c>
      <c r="W611" s="90" t="inlineStr">
        <is>
          <t>修复核验报告推送规则数据表</t>
        </is>
      </c>
      <c r="X611" s="91" t="n"/>
      <c r="Y611" s="90" t="inlineStr">
        <is>
          <t>修复核验报告推送规则数据表{推送规则ID、推送范围、推送方式、启用状态|}</t>
        </is>
      </c>
      <c r="Z611" s="90" t="n"/>
      <c r="AA611" s="90" t="n"/>
      <c r="AB611" s="115" t="n"/>
    </row>
    <row r="612" s="112">
      <c r="A612" s="72">
        <f>ROW()-1</f>
        <v/>
      </c>
      <c r="B612" s="175" t="n"/>
      <c r="C612" s="80" t="n">
        <v>2025</v>
      </c>
      <c r="D612" s="80" t="inlineStr">
        <is>
          <t>汤凤欣</t>
        </is>
      </c>
      <c r="E612" s="81">
        <f>VLOOKUP(I612,'25年交付功能（不含废弃）'!A:A,1,FALSE)</f>
        <v/>
      </c>
      <c r="F612" s="175" t="n"/>
      <c r="G612" s="176" t="n"/>
      <c r="H612" s="176" t="n"/>
      <c r="I612" s="98" t="inlineStr">
        <is>
          <t>修复核验报告推送规则数据表</t>
        </is>
      </c>
      <c r="J612" s="93" t="inlineStr">
        <is>
          <t>ILF</t>
        </is>
      </c>
      <c r="K612" s="84" t="n"/>
      <c r="L612" s="84" t="n"/>
      <c r="M612" s="85">
        <f>IF(OR(Y612="估算法",Y612="算法类",Y612="无法识别"),"",IF(W612="",IF(OR(J612="EI",J612="EO",J612="EQ"),0,""),LEN(W612)-LEN(SUBSTITUTE(W612,"、",""))+1))</f>
        <v/>
      </c>
      <c r="N612" s="85">
        <f>IF(OR(Y612="估算法",Y612="算法类",Y612="无法识别"),"",IF(X612="",IF(OR(J612="ILF",J612="EIF"),0,""),LEN(X612)-LEN(SUBSTITUTE(X612,"、",""))+1))</f>
        <v/>
      </c>
      <c r="O612" s="85">
        <f>IF(OR(Y612="估算法",Y612="算法类",Y612="无法识别"),"",IF(Y612="",IF(OR(J612="ILF",J612="EIF",J612="EI",J612="EO",J612="EQ"),0,""),LEN(Y612)-LEN(SUBSTITUTE(SUBSTITUTE(SUBSTITUTE(SUBSTITUTE(SUBSTITUTE(Y612,"|}","--"),"{|","--"),CHAR(10),""),"、",""),"|",""))+IF(AND(OR(J612="EI",J612="EO",J612="EQ"),$AE$1="NESMA"),2,1)))</f>
        <v/>
      </c>
      <c r="P612" s="86">
        <f>IF(J612="EI",IF(OR(Y612="估算法",Y612="算法类"),"中",IF(Y612="无法识别","低",IF(M612&lt;2,IF(O612&lt;16,"低","中"),IF(M612&lt;3,IF(O612&lt;5,"低",IF(O612&lt;16,"中","高")),IF(O612&lt;5,"中","高"))))),IF(OR(J612="EO",J612="EQ"),IF(OR(Y612="估算法",Y612="算法类"),"中",IF(Y612="无法识别","低",IF(M612&lt;2,IF(O612&lt;20,"低","中"),IF(M612&lt;4,IF(O612&lt;6,"低",IF(O612&lt;20,"中","高")),IF(O612&lt;6,"中","高"))))),IF(OR(J612="ILF",J612="EIF"),IF(OR(Y612="估算法",Y612="算法类",Y612="无法识别"),"低",IF(N612&lt;2,IF(O612&lt;51,"低","中"),IF(N612&lt;6,IF(O612&lt;20,"低",IF(O612&lt;51,"中","高")),IF(O612&lt;20,"中","高")))),"不计算")))</f>
        <v/>
      </c>
      <c r="Q612" s="172">
        <f>IFERROR(IF(J612="EI",IF(P612="低",3,IF(P612="中",4,6)),IF(J612="EO",IF(P612="低",4,IF(P612="中",5,7)),IF(J612="EQ",IF(P612="低",3,IF(P612="中",4,6)),IF(J612="ILF",IF(P612="低",7,IF(P612="中",10,15)),IF(J612="EIF",IF(P612="低",5,IF(P612="中",7,10)),"不计算")))))*R612,"不计算")</f>
        <v/>
      </c>
      <c r="R612" s="172" t="n">
        <v>1</v>
      </c>
      <c r="S612" s="173">
        <f>调整因子!$F$13</f>
        <v/>
      </c>
      <c r="T612" s="92" t="n">
        <v>1</v>
      </c>
      <c r="U612" s="174">
        <f>IFERROR(Q612*S612,0)</f>
        <v/>
      </c>
      <c r="V612" s="174">
        <f>U612*T612</f>
        <v/>
      </c>
      <c r="W612" s="91" t="n"/>
      <c r="X612" s="90" t="inlineStr">
        <is>
          <t>修复核验报告推送规则数据表</t>
        </is>
      </c>
      <c r="Y612" s="90" t="inlineStr">
        <is>
          <t>修复核验报告推送规则数据表{推送规则ID、推送范围、推送方式、启用状态|}</t>
        </is>
      </c>
      <c r="Z612" s="90">
        <f>IF(COUNTIFS(W:W,"*"&amp;I612&amp;"*")&gt;0,"存在","不存在")</f>
        <v/>
      </c>
      <c r="AA612" s="90">
        <f>IF(COUNTIFS(AB:AB,"*"&amp;I612&amp;"*")&gt;0,"存在","不存在")</f>
        <v/>
      </c>
      <c r="AB612" s="92" t="n"/>
    </row>
    <row r="613" s="112">
      <c r="A613" s="72">
        <f>ROW()-1</f>
        <v/>
      </c>
      <c r="B613" s="175" t="n"/>
      <c r="C613" s="80" t="n">
        <v>2025</v>
      </c>
      <c r="D613" s="80" t="inlineStr">
        <is>
          <t>汤凤欣</t>
        </is>
      </c>
      <c r="E613" s="81">
        <f>VLOOKUP(I613,'25年交付功能（不含废弃）'!A:A,1,FALSE)</f>
        <v/>
      </c>
      <c r="F613" s="175" t="n"/>
      <c r="G613" s="82" t="inlineStr">
        <is>
          <t>漏洞修复核验跨级联动对接</t>
        </is>
      </c>
      <c r="H613" s="82" t="inlineStr">
        <is>
          <t>漏洞修复核验跨级联动接口</t>
        </is>
      </c>
      <c r="I613" s="117" t="inlineStr">
        <is>
          <t>跨级联动扫描排查</t>
        </is>
      </c>
      <c r="J613" s="93" t="n"/>
      <c r="K613" s="84" t="n"/>
      <c r="L613" s="84" t="inlineStr">
        <is>
          <t>非事务功能，未对数据维护且无系统输出</t>
        </is>
      </c>
      <c r="M613" s="85">
        <f>IF(OR(Y613="估算法",Y613="算法类",Y613="无法识别"),"",IF(W613="",IF(OR(J613="EI",J613="EO",J613="EQ"),0,""),LEN(W613)-LEN(SUBSTITUTE(W613,"、",""))+1))</f>
        <v/>
      </c>
      <c r="N613" s="85">
        <f>IF(OR(Y613="估算法",Y613="算法类",Y613="无法识别"),"",IF(X613="",IF(OR(J613="ILF",J613="EIF"),0,""),LEN(X613)-LEN(SUBSTITUTE(X613,"、",""))+1))</f>
        <v/>
      </c>
      <c r="O613" s="85">
        <f>IF(OR(Y613="估算法",Y613="算法类",Y613="无法识别"),"",IF(Y613="",IF(OR(J613="ILF",J613="EIF",J613="EI",J613="EO",J613="EQ"),0,""),LEN(Y613)-LEN(SUBSTITUTE(SUBSTITUTE(SUBSTITUTE(SUBSTITUTE(SUBSTITUTE(Y613,"|}","--"),"{|","--"),CHAR(10),""),"、",""),"|",""))+IF(AND(OR(J613="EI",J613="EO",J613="EQ"),$AE$1="NESMA"),2,1)))</f>
        <v/>
      </c>
      <c r="P613" s="86">
        <f>IF(J613="EI",IF(OR(Y613="估算法",Y613="算法类"),"中",IF(Y613="无法识别","低",IF(M613&lt;2,IF(O613&lt;16,"低","中"),IF(M613&lt;3,IF(O613&lt;5,"低",IF(O613&lt;16,"中","高")),IF(O613&lt;5,"中","高"))))),IF(OR(J613="EO",J613="EQ"),IF(OR(Y613="估算法",Y613="算法类"),"中",IF(Y613="无法识别","低",IF(M613&lt;2,IF(O613&lt;20,"低","中"),IF(M613&lt;4,IF(O613&lt;6,"低",IF(O613&lt;20,"中","高")),IF(O613&lt;6,"中","高"))))),IF(OR(J613="ILF",J613="EIF"),IF(OR(Y613="估算法",Y613="算法类",Y613="无法识别"),"低",IF(N613&lt;2,IF(O613&lt;51,"低","中"),IF(N613&lt;6,IF(O613&lt;20,"低",IF(O613&lt;51,"中","高")),IF(O613&lt;20,"中","高")))),"不计算")))</f>
        <v/>
      </c>
      <c r="Q613" s="172">
        <f>IFERROR(IF(J613="EI",IF(P613="低",3,IF(P613="中",4,6)),IF(J613="EO",IF(P613="低",4,IF(P613="中",5,7)),IF(J613="EQ",IF(P613="低",3,IF(P613="中",4,6)),IF(J613="ILF",IF(P613="低",7,IF(P613="中",10,15)),IF(J613="EIF",IF(P613="低",5,IF(P613="中",7,10)),"不计算")))))*R613,"不计算")</f>
        <v/>
      </c>
      <c r="R613" s="172" t="n">
        <v>1</v>
      </c>
      <c r="S613" s="173">
        <f>调整因子!$F$13</f>
        <v/>
      </c>
      <c r="T613" s="92" t="n">
        <v>1</v>
      </c>
      <c r="U613" s="174">
        <f>IFERROR(Q613*S613,0)</f>
        <v/>
      </c>
      <c r="V613" s="174">
        <f>U613*T613</f>
        <v/>
      </c>
      <c r="W613" s="93" t="inlineStr">
        <is>
          <t>跨级联动扫描排查任务数据表</t>
        </is>
      </c>
      <c r="X613" s="91" t="n"/>
      <c r="Y613" s="93" t="inlineStr">
        <is>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3" s="90" t="n"/>
      <c r="AA613" s="90" t="n"/>
      <c r="AB613" s="115" t="n"/>
    </row>
    <row r="614" s="112">
      <c r="A614" s="72">
        <f>ROW()-1</f>
        <v/>
      </c>
      <c r="B614" s="175" t="n"/>
      <c r="C614" s="80" t="n">
        <v>2025</v>
      </c>
      <c r="D614" s="80" t="inlineStr">
        <is>
          <t>汤凤欣</t>
        </is>
      </c>
      <c r="E614" s="81">
        <f>VLOOKUP(I614,'25年交付功能（不含废弃）'!A:A,1,FALSE)</f>
        <v/>
      </c>
      <c r="F614" s="175" t="n"/>
      <c r="G614" s="175" t="n"/>
      <c r="H614" s="175" t="n"/>
      <c r="I614" s="117" t="inlineStr">
        <is>
          <t>跨级联动漏洞核验</t>
        </is>
      </c>
      <c r="J614" s="93" t="n"/>
      <c r="K614" s="84" t="n"/>
      <c r="L614" s="84" t="inlineStr">
        <is>
          <t>非事务功能，未对数据维护且无系统输出</t>
        </is>
      </c>
      <c r="M614" s="85">
        <f>IF(OR(Y614="估算法",Y614="算法类",Y614="无法识别"),"",IF(W614="",IF(OR(J614="EI",J614="EO",J614="EQ"),0,""),LEN(W614)-LEN(SUBSTITUTE(W614,"、",""))+1))</f>
        <v/>
      </c>
      <c r="N614" s="85">
        <f>IF(OR(Y614="估算法",Y614="算法类",Y614="无法识别"),"",IF(X614="",IF(OR(J614="ILF",J614="EIF"),0,""),LEN(X614)-LEN(SUBSTITUTE(X614,"、",""))+1))</f>
        <v/>
      </c>
      <c r="O614" s="85">
        <f>IF(OR(Y614="估算法",Y614="算法类",Y614="无法识别"),"",IF(Y614="",IF(OR(J614="ILF",J614="EIF",J614="EI",J614="EO",J614="EQ"),0,""),LEN(Y614)-LEN(SUBSTITUTE(SUBSTITUTE(SUBSTITUTE(SUBSTITUTE(SUBSTITUTE(Y614,"|}","--"),"{|","--"),CHAR(10),""),"、",""),"|",""))+IF(AND(OR(J614="EI",J614="EO",J614="EQ"),$AE$1="NESMA"),2,1)))</f>
        <v/>
      </c>
      <c r="P614" s="86">
        <f>IF(J614="EI",IF(OR(Y614="估算法",Y614="算法类"),"中",IF(Y614="无法识别","低",IF(M614&lt;2,IF(O614&lt;16,"低","中"),IF(M614&lt;3,IF(O614&lt;5,"低",IF(O614&lt;16,"中","高")),IF(O614&lt;5,"中","高"))))),IF(OR(J614="EO",J614="EQ"),IF(OR(Y614="估算法",Y614="算法类"),"中",IF(Y614="无法识别","低",IF(M614&lt;2,IF(O614&lt;20,"低","中"),IF(M614&lt;4,IF(O614&lt;6,"低",IF(O614&lt;20,"中","高")),IF(O614&lt;6,"中","高"))))),IF(OR(J614="ILF",J614="EIF"),IF(OR(Y614="估算法",Y614="算法类",Y614="无法识别"),"低",IF(N614&lt;2,IF(O614&lt;51,"低","中"),IF(N614&lt;6,IF(O614&lt;20,"低",IF(O614&lt;51,"中","高")),IF(O614&lt;20,"中","高")))),"不计算")))</f>
        <v/>
      </c>
      <c r="Q614" s="172">
        <f>IFERROR(IF(J614="EI",IF(P614="低",3,IF(P614="中",4,6)),IF(J614="EO",IF(P614="低",4,IF(P614="中",5,7)),IF(J614="EQ",IF(P614="低",3,IF(P614="中",4,6)),IF(J614="ILF",IF(P614="低",7,IF(P614="中",10,15)),IF(J614="EIF",IF(P614="低",5,IF(P614="中",7,10)),"不计算")))))*R614,"不计算")</f>
        <v/>
      </c>
      <c r="R614" s="172" t="n">
        <v>1</v>
      </c>
      <c r="S614" s="173">
        <f>调整因子!$F$13</f>
        <v/>
      </c>
      <c r="T614" s="93" t="n">
        <v>1</v>
      </c>
      <c r="U614" s="174">
        <f>IFERROR(Q614*S614,0)</f>
        <v/>
      </c>
      <c r="V614" s="174">
        <f>U614*T614</f>
        <v/>
      </c>
      <c r="W614" s="93" t="inlineStr">
        <is>
          <t>跨级联动漏洞核验任务数据表</t>
        </is>
      </c>
      <c r="X614" s="91" t="n"/>
      <c r="Y614" s="93" t="inlineStr">
        <is>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4" s="90" t="n"/>
      <c r="AA614" s="90" t="n"/>
      <c r="AB614" s="92" t="n"/>
    </row>
    <row r="615" s="112">
      <c r="A615" s="72">
        <f>ROW()-1</f>
        <v/>
      </c>
      <c r="B615" s="175" t="n"/>
      <c r="C615" s="80" t="n">
        <v>2025</v>
      </c>
      <c r="D615" s="80" t="inlineStr">
        <is>
          <t>汤凤欣</t>
        </is>
      </c>
      <c r="E615" s="81">
        <f>VLOOKUP(I615,'25年交付功能（不含废弃）'!A:A,1,FALSE)</f>
        <v/>
      </c>
      <c r="F615" s="175" t="n"/>
      <c r="G615" s="175" t="n"/>
      <c r="H615" s="175" t="n"/>
      <c r="I615" s="117" t="inlineStr">
        <is>
          <t>跨级联动漏洞验证</t>
        </is>
      </c>
      <c r="J615" s="93" t="n"/>
      <c r="K615" s="84" t="n"/>
      <c r="L615" s="84" t="inlineStr">
        <is>
          <t>非事务功能，未对数据维护且无系统输出</t>
        </is>
      </c>
      <c r="M615" s="85">
        <f>IF(OR(Y615="估算法",Y615="算法类",Y615="无法识别"),"",IF(W615="",IF(OR(J615="EI",J615="EO",J615="EQ"),0,""),LEN(W615)-LEN(SUBSTITUTE(W615,"、",""))+1))</f>
        <v/>
      </c>
      <c r="N615" s="85">
        <f>IF(OR(Y615="估算法",Y615="算法类",Y615="无法识别"),"",IF(X615="",IF(OR(J615="ILF",J615="EIF"),0,""),LEN(X615)-LEN(SUBSTITUTE(X615,"、",""))+1))</f>
        <v/>
      </c>
      <c r="O615" s="85">
        <f>IF(OR(Y615="估算法",Y615="算法类",Y615="无法识别"),"",IF(Y615="",IF(OR(J615="ILF",J615="EIF",J615="EI",J615="EO",J615="EQ"),0,""),LEN(Y615)-LEN(SUBSTITUTE(SUBSTITUTE(SUBSTITUTE(SUBSTITUTE(SUBSTITUTE(Y615,"|}","--"),"{|","--"),CHAR(10),""),"、",""),"|",""))+IF(AND(OR(J615="EI",J615="EO",J615="EQ"),$AE$1="NESMA"),2,1)))</f>
        <v/>
      </c>
      <c r="P615" s="86">
        <f>IF(J615="EI",IF(OR(Y615="估算法",Y615="算法类"),"中",IF(Y615="无法识别","低",IF(M615&lt;2,IF(O615&lt;16,"低","中"),IF(M615&lt;3,IF(O615&lt;5,"低",IF(O615&lt;16,"中","高")),IF(O615&lt;5,"中","高"))))),IF(OR(J615="EO",J615="EQ"),IF(OR(Y615="估算法",Y615="算法类"),"中",IF(Y615="无法识别","低",IF(M615&lt;2,IF(O615&lt;20,"低","中"),IF(M615&lt;4,IF(O615&lt;6,"低",IF(O615&lt;20,"中","高")),IF(O615&lt;6,"中","高"))))),IF(OR(J615="ILF",J615="EIF"),IF(OR(Y615="估算法",Y615="算法类",Y615="无法识别"),"低",IF(N615&lt;2,IF(O615&lt;51,"低","中"),IF(N615&lt;6,IF(O615&lt;20,"低",IF(O615&lt;51,"中","高")),IF(O615&lt;20,"中","高")))),"不计算")))</f>
        <v/>
      </c>
      <c r="Q615" s="172">
        <f>IFERROR(IF(J615="EI",IF(P615="低",3,IF(P615="中",4,6)),IF(J615="EO",IF(P615="低",4,IF(P615="中",5,7)),IF(J615="EQ",IF(P615="低",3,IF(P615="中",4,6)),IF(J615="ILF",IF(P615="低",7,IF(P615="中",10,15)),IF(J615="EIF",IF(P615="低",5,IF(P615="中",7,10)),"不计算")))))*R615,"不计算")</f>
        <v/>
      </c>
      <c r="R615" s="172" t="n">
        <v>1</v>
      </c>
      <c r="S615" s="173">
        <f>调整因子!$F$13</f>
        <v/>
      </c>
      <c r="T615" s="92" t="n">
        <v>1</v>
      </c>
      <c r="U615" s="174">
        <f>IFERROR(Q615*S615,0)</f>
        <v/>
      </c>
      <c r="V615" s="174">
        <f>U615*T615</f>
        <v/>
      </c>
      <c r="W615" s="93" t="inlineStr">
        <is>
          <t>跨级联动漏洞验证任务数据表</t>
        </is>
      </c>
      <c r="X615" s="91" t="n"/>
      <c r="Y615" s="93" t="inlineStr">
        <is>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is>
      </c>
      <c r="Z615" s="90" t="n"/>
      <c r="AA615" s="90" t="n"/>
      <c r="AB615" s="115" t="n"/>
    </row>
    <row r="616" s="112">
      <c r="A616" s="72">
        <f>ROW()-1</f>
        <v/>
      </c>
      <c r="B616" s="175" t="n"/>
      <c r="C616" s="80" t="n">
        <v>2025</v>
      </c>
      <c r="D616" s="80" t="inlineStr">
        <is>
          <t>汤凤欣</t>
        </is>
      </c>
      <c r="E616" s="81">
        <f>VLOOKUP(I616,'25年交付功能（不含废弃）'!A:A,1,FALSE)</f>
        <v/>
      </c>
      <c r="F616" s="175" t="n"/>
      <c r="G616" s="175" t="n"/>
      <c r="H616" s="175" t="n"/>
      <c r="I616" s="98" t="inlineStr">
        <is>
          <t>跨级联动扫描排查任务数据表</t>
        </is>
      </c>
      <c r="J616" s="93" t="inlineStr">
        <is>
          <t>ILF</t>
        </is>
      </c>
      <c r="K616" s="84" t="n"/>
      <c r="L616" s="84" t="inlineStr">
        <is>
          <t>数据库表未被本系统所维护</t>
        </is>
      </c>
      <c r="M616" s="85">
        <f>IF(OR(Y616="估算法",Y616="算法类",Y616="无法识别"),"",IF(W616="",IF(OR(J616="EI",J616="EO",J616="EQ"),0,""),LEN(W616)-LEN(SUBSTITUTE(W616,"、",""))+1))</f>
        <v/>
      </c>
      <c r="N616" s="85">
        <f>IF(OR(Y616="估算法",Y616="算法类",Y616="无法识别"),"",IF(X616="",IF(OR(J616="ILF",J616="EIF"),0,""),LEN(X616)-LEN(SUBSTITUTE(X616,"、",""))+1))</f>
        <v/>
      </c>
      <c r="O616" s="85">
        <f>IF(OR(Y616="估算法",Y616="算法类",Y616="无法识别"),"",IF(Y616="",IF(OR(J616="ILF",J616="EIF",J616="EI",J616="EO",J616="EQ"),0,""),LEN(Y616)-LEN(SUBSTITUTE(SUBSTITUTE(SUBSTITUTE(SUBSTITUTE(SUBSTITUTE(Y616,"|}","--"),"{|","--"),CHAR(10),""),"、",""),"|",""))+IF(AND(OR(J616="EI",J616="EO",J616="EQ"),$AE$1="NESMA"),2,1)))</f>
        <v/>
      </c>
      <c r="P616" s="86">
        <f>IF(J616="EI",IF(OR(Y616="估算法",Y616="算法类"),"中",IF(Y616="无法识别","低",IF(M616&lt;2,IF(O616&lt;16,"低","中"),IF(M616&lt;3,IF(O616&lt;5,"低",IF(O616&lt;16,"中","高")),IF(O616&lt;5,"中","高"))))),IF(OR(J616="EO",J616="EQ"),IF(OR(Y616="估算法",Y616="算法类"),"中",IF(Y616="无法识别","低",IF(M616&lt;2,IF(O616&lt;20,"低","中"),IF(M616&lt;4,IF(O616&lt;6,"低",IF(O616&lt;20,"中","高")),IF(O616&lt;6,"中","高"))))),IF(OR(J616="ILF",J616="EIF"),IF(OR(Y616="估算法",Y616="算法类",Y616="无法识别"),"低",IF(N616&lt;2,IF(O616&lt;51,"低","中"),IF(N616&lt;6,IF(O616&lt;20,"低",IF(O616&lt;51,"中","高")),IF(O616&lt;20,"中","高")))),"不计算")))</f>
        <v/>
      </c>
      <c r="Q616" s="172">
        <f>IFERROR(IF(J616="EI",IF(P616="低",3,IF(P616="中",4,6)),IF(J616="EO",IF(P616="低",4,IF(P616="中",5,7)),IF(J616="EQ",IF(P616="低",3,IF(P616="中",4,6)),IF(J616="ILF",IF(P616="低",7,IF(P616="中",10,15)),IF(J616="EIF",IF(P616="低",5,IF(P616="中",7,10)),"不计算")))))*R616,"不计算")</f>
        <v/>
      </c>
      <c r="R616" s="172" t="n">
        <v>0</v>
      </c>
      <c r="S616" s="173">
        <f>调整因子!$F$13</f>
        <v/>
      </c>
      <c r="T616" s="92" t="n">
        <v>1</v>
      </c>
      <c r="U616" s="174">
        <f>IFERROR(Q616*S616,0)</f>
        <v/>
      </c>
      <c r="V616" s="174">
        <f>U616*T616</f>
        <v/>
      </c>
      <c r="W616" s="91" t="n"/>
      <c r="X616" s="93" t="inlineStr">
        <is>
          <t>跨级联动扫描排查任务数据表</t>
        </is>
      </c>
      <c r="Y616" s="93" t="inlineStr">
        <is>
          <t>跨级联动扫描排查任务数据表{任务id、任务编号、业务场景、任务场景、任务优先级、资产范围、漏洞范围、安全设备范围、时间戳、处置时间、处置方式、安全资源设备数量、产品漏洞范围数量、资产范围数量、资产责任人范围|}</t>
        </is>
      </c>
      <c r="Z616" s="90">
        <f>IF(COUNTIFS(W:W,"*"&amp;I616&amp;"*")&gt;0,"存在","不存在")</f>
        <v/>
      </c>
      <c r="AA616" s="90">
        <f>IF(COUNTIFS(AB:AB,"*"&amp;I616&amp;"*")&gt;0,"存在","不存在")</f>
        <v/>
      </c>
      <c r="AB616" s="92" t="n"/>
    </row>
    <row r="617" s="112">
      <c r="A617" s="72">
        <f>ROW()-1</f>
        <v/>
      </c>
      <c r="B617" s="175" t="n"/>
      <c r="C617" s="80" t="n">
        <v>2025</v>
      </c>
      <c r="D617" s="80" t="inlineStr">
        <is>
          <t>汤凤欣</t>
        </is>
      </c>
      <c r="E617" s="81">
        <f>VLOOKUP(I617,'25年交付功能（不含废弃）'!A:A,1,FALSE)</f>
        <v/>
      </c>
      <c r="F617" s="175" t="n"/>
      <c r="G617" s="175" t="n"/>
      <c r="H617" s="175" t="n"/>
      <c r="I617" s="98" t="inlineStr">
        <is>
          <t>跨级联动漏洞核验任务数据表</t>
        </is>
      </c>
      <c r="J617" s="93" t="inlineStr">
        <is>
          <t>ILF</t>
        </is>
      </c>
      <c r="K617" s="84" t="n"/>
      <c r="L617" s="84" t="inlineStr">
        <is>
          <t>数据库表未被本系统所维护</t>
        </is>
      </c>
      <c r="M617" s="85">
        <f>IF(OR(Y617="估算法",Y617="算法类",Y617="无法识别"),"",IF(W617="",IF(OR(J617="EI",J617="EO",J617="EQ"),0,""),LEN(W617)-LEN(SUBSTITUTE(W617,"、",""))+1))</f>
        <v/>
      </c>
      <c r="N617" s="85">
        <f>IF(OR(Y617="估算法",Y617="算法类",Y617="无法识别"),"",IF(X617="",IF(OR(J617="ILF",J617="EIF"),0,""),LEN(X617)-LEN(SUBSTITUTE(X617,"、",""))+1))</f>
        <v/>
      </c>
      <c r="O617" s="85">
        <f>IF(OR(Y617="估算法",Y617="算法类",Y617="无法识别"),"",IF(Y617="",IF(OR(J617="ILF",J617="EIF",J617="EI",J617="EO",J617="EQ"),0,""),LEN(Y617)-LEN(SUBSTITUTE(SUBSTITUTE(SUBSTITUTE(SUBSTITUTE(SUBSTITUTE(Y617,"|}","--"),"{|","--"),CHAR(10),""),"、",""),"|",""))+IF(AND(OR(J617="EI",J617="EO",J617="EQ"),$AE$1="NESMA"),2,1)))</f>
        <v/>
      </c>
      <c r="P617" s="86">
        <f>IF(J617="EI",IF(OR(Y617="估算法",Y617="算法类"),"中",IF(Y617="无法识别","低",IF(M617&lt;2,IF(O617&lt;16,"低","中"),IF(M617&lt;3,IF(O617&lt;5,"低",IF(O617&lt;16,"中","高")),IF(O617&lt;5,"中","高"))))),IF(OR(J617="EO",J617="EQ"),IF(OR(Y617="估算法",Y617="算法类"),"中",IF(Y617="无法识别","低",IF(M617&lt;2,IF(O617&lt;20,"低","中"),IF(M617&lt;4,IF(O617&lt;6,"低",IF(O617&lt;20,"中","高")),IF(O617&lt;6,"中","高"))))),IF(OR(J617="ILF",J617="EIF"),IF(OR(Y617="估算法",Y617="算法类",Y617="无法识别"),"低",IF(N617&lt;2,IF(O617&lt;51,"低","中"),IF(N617&lt;6,IF(O617&lt;20,"低",IF(O617&lt;51,"中","高")),IF(O617&lt;20,"中","高")))),"不计算")))</f>
        <v/>
      </c>
      <c r="Q617" s="172">
        <f>IFERROR(IF(J617="EI",IF(P617="低",3,IF(P617="中",4,6)),IF(J617="EO",IF(P617="低",4,IF(P617="中",5,7)),IF(J617="EQ",IF(P617="低",3,IF(P617="中",4,6)),IF(J617="ILF",IF(P617="低",7,IF(P617="中",10,15)),IF(J617="EIF",IF(P617="低",5,IF(P617="中",7,10)),"不计算")))))*R617,"不计算")</f>
        <v/>
      </c>
      <c r="R617" s="172" t="n">
        <v>0</v>
      </c>
      <c r="S617" s="173">
        <f>调整因子!$F$13</f>
        <v/>
      </c>
      <c r="T617" s="93" t="n">
        <v>1</v>
      </c>
      <c r="U617" s="174">
        <f>IFERROR(Q617*S617,0)</f>
        <v/>
      </c>
      <c r="V617" s="174">
        <f>U617*T617</f>
        <v/>
      </c>
      <c r="W617" s="91" t="n"/>
      <c r="X617" s="93" t="inlineStr">
        <is>
          <t>跨级联动漏洞核验任务数据表</t>
        </is>
      </c>
      <c r="Y617" s="93" t="inlineStr">
        <is>
          <t>跨级联动漏洞核验任务数据表{任务id、任务编号、业务场景、任务场景、任务优先级、资产范围、漏洞范围、安全设备范围、时间戳、处置时间、处置方式、安全资源设备数量、产品漏洞范围数量、资产范围数量、资产责任人范围|}</t>
        </is>
      </c>
      <c r="Z617" s="90">
        <f>IF(COUNTIFS(W:W,"*"&amp;I617&amp;"*")&gt;0,"存在","不存在")</f>
        <v/>
      </c>
      <c r="AA617" s="90">
        <f>IF(COUNTIFS(AB:AB,"*"&amp;I617&amp;"*")&gt;0,"存在","不存在")</f>
        <v/>
      </c>
      <c r="AB617" s="115" t="n"/>
    </row>
    <row r="618" s="112">
      <c r="A618" s="72">
        <f>ROW()-1</f>
        <v/>
      </c>
      <c r="B618" s="175" t="n"/>
      <c r="C618" s="80" t="n">
        <v>2025</v>
      </c>
      <c r="D618" s="80" t="inlineStr">
        <is>
          <t>汤凤欣</t>
        </is>
      </c>
      <c r="E618" s="81">
        <f>VLOOKUP(I618,'25年交付功能（不含废弃）'!A:A,1,FALSE)</f>
        <v/>
      </c>
      <c r="F618" s="176" t="n"/>
      <c r="G618" s="176" t="n"/>
      <c r="H618" s="176" t="n"/>
      <c r="I618" s="98" t="inlineStr">
        <is>
          <t>跨级联动漏洞验证任务数据表</t>
        </is>
      </c>
      <c r="J618" s="93" t="inlineStr">
        <is>
          <t>ILF</t>
        </is>
      </c>
      <c r="K618" s="84" t="n"/>
      <c r="L618" s="84" t="inlineStr">
        <is>
          <t>数据库表未被本系统所维护</t>
        </is>
      </c>
      <c r="M618" s="85">
        <f>IF(OR(Y618="估算法",Y618="算法类",Y618="无法识别"),"",IF(W618="",IF(OR(J618="EI",J618="EO",J618="EQ"),0,""),LEN(W618)-LEN(SUBSTITUTE(W618,"、",""))+1))</f>
        <v/>
      </c>
      <c r="N618" s="85">
        <f>IF(OR(Y618="估算法",Y618="算法类",Y618="无法识别"),"",IF(X618="",IF(OR(J618="ILF",J618="EIF"),0,""),LEN(X618)-LEN(SUBSTITUTE(X618,"、",""))+1))</f>
        <v/>
      </c>
      <c r="O618" s="85">
        <f>IF(OR(Y618="估算法",Y618="算法类",Y618="无法识别"),"",IF(Y618="",IF(OR(J618="ILF",J618="EIF",J618="EI",J618="EO",J618="EQ"),0,""),LEN(Y618)-LEN(SUBSTITUTE(SUBSTITUTE(SUBSTITUTE(SUBSTITUTE(SUBSTITUTE(Y618,"|}","--"),"{|","--"),CHAR(10),""),"、",""),"|",""))+IF(AND(OR(J618="EI",J618="EO",J618="EQ"),$AE$1="NESMA"),2,1)))</f>
        <v/>
      </c>
      <c r="P618" s="86">
        <f>IF(J618="EI",IF(OR(Y618="估算法",Y618="算法类"),"中",IF(Y618="无法识别","低",IF(M618&lt;2,IF(O618&lt;16,"低","中"),IF(M618&lt;3,IF(O618&lt;5,"低",IF(O618&lt;16,"中","高")),IF(O618&lt;5,"中","高"))))),IF(OR(J618="EO",J618="EQ"),IF(OR(Y618="估算法",Y618="算法类"),"中",IF(Y618="无法识别","低",IF(M618&lt;2,IF(O618&lt;20,"低","中"),IF(M618&lt;4,IF(O618&lt;6,"低",IF(O618&lt;20,"中","高")),IF(O618&lt;6,"中","高"))))),IF(OR(J618="ILF",J618="EIF"),IF(OR(Y618="估算法",Y618="算法类",Y618="无法识别"),"低",IF(N618&lt;2,IF(O618&lt;51,"低","中"),IF(N618&lt;6,IF(O618&lt;20,"低",IF(O618&lt;51,"中","高")),IF(O618&lt;20,"中","高")))),"不计算")))</f>
        <v/>
      </c>
      <c r="Q618" s="172">
        <f>IFERROR(IF(J618="EI",IF(P618="低",3,IF(P618="中",4,6)),IF(J618="EO",IF(P618="低",4,IF(P618="中",5,7)),IF(J618="EQ",IF(P618="低",3,IF(P618="中",4,6)),IF(J618="ILF",IF(P618="低",7,IF(P618="中",10,15)),IF(J618="EIF",IF(P618="低",5,IF(P618="中",7,10)),"不计算")))))*R618,"不计算")</f>
        <v/>
      </c>
      <c r="R618" s="172" t="n">
        <v>0</v>
      </c>
      <c r="S618" s="173">
        <f>调整因子!$F$13</f>
        <v/>
      </c>
      <c r="T618" s="92" t="n">
        <v>1</v>
      </c>
      <c r="U618" s="174">
        <f>IFERROR(Q618*S618,0)</f>
        <v/>
      </c>
      <c r="V618" s="174">
        <f>U618*T618</f>
        <v/>
      </c>
      <c r="W618" s="91" t="n"/>
      <c r="X618" s="93" t="inlineStr">
        <is>
          <t>跨级联动漏洞验证任务数据表</t>
        </is>
      </c>
      <c r="Y618" s="93" t="inlineStr">
        <is>
          <t>跨级联动漏洞验证任务数据表{任务id、任务编号、业务场景、任务场景、任务优先级、资产范围、漏洞范围、安全设备范围、时间戳、处置时间、处置方式、安全资源设备数量、产品漏洞范围数量、资产范围数量、资产责任人范围|}</t>
        </is>
      </c>
      <c r="Z618" s="90">
        <f>IF(COUNTIFS(W:W,"*"&amp;I618&amp;"*")&gt;0,"存在","不存在")</f>
        <v/>
      </c>
      <c r="AA618" s="90">
        <f>IF(COUNTIFS(AB:AB,"*"&amp;I618&amp;"*")&gt;0,"存在","不存在")</f>
        <v/>
      </c>
      <c r="AB618" s="92" t="n"/>
    </row>
    <row r="619" s="112">
      <c r="A619" s="72">
        <f>ROW()-1</f>
        <v/>
      </c>
      <c r="B619" s="175" t="n"/>
      <c r="C619" s="80" t="n">
        <v>2025</v>
      </c>
      <c r="D619" s="80" t="inlineStr">
        <is>
          <t>汤凤欣</t>
        </is>
      </c>
      <c r="E619" s="81">
        <f>VLOOKUP(I619,'25年交付功能（不含废弃）'!A:A,1,FALSE)</f>
        <v/>
      </c>
      <c r="F619" s="93" t="inlineStr">
        <is>
          <t>漏洞场景事务管理及度量</t>
        </is>
      </c>
      <c r="G619" s="82" t="inlineStr">
        <is>
          <t>漏洞场景事务管理</t>
        </is>
      </c>
      <c r="H619" s="82" t="inlineStr">
        <is>
          <t>漏洞业务场景管理</t>
        </is>
      </c>
      <c r="I619" s="116" t="inlineStr">
        <is>
          <t>查询自定义业务场景</t>
        </is>
      </c>
      <c r="J619" s="93" t="inlineStr">
        <is>
          <t>EQ</t>
        </is>
      </c>
      <c r="K619" s="84" t="n"/>
      <c r="L619" s="84" t="n"/>
      <c r="M619" s="85">
        <f>IF(OR(Y619="估算法",Y619="算法类",Y619="无法识别"),"",IF(W619="",IF(OR(J619="EI",J619="EO",J619="EQ"),0,""),LEN(W619)-LEN(SUBSTITUTE(W619,"、",""))+1))</f>
        <v/>
      </c>
      <c r="N619" s="85">
        <f>IF(OR(Y619="估算法",Y619="算法类",Y619="无法识别"),"",IF(X619="",IF(OR(J619="ILF",J619="EIF"),0,""),LEN(X619)-LEN(SUBSTITUTE(X619,"、",""))+1))</f>
        <v/>
      </c>
      <c r="O619" s="85">
        <f>IF(OR(Y619="估算法",Y619="算法类",Y619="无法识别"),"",IF(Y619="",IF(OR(J619="ILF",J619="EIF",J619="EI",J619="EO",J619="EQ"),0,""),LEN(Y619)-LEN(SUBSTITUTE(SUBSTITUTE(SUBSTITUTE(SUBSTITUTE(SUBSTITUTE(Y619,"|}","--"),"{|","--"),CHAR(10),""),"、",""),"|",""))+IF(AND(OR(J619="EI",J619="EO",J619="EQ"),$AE$1="NESMA"),2,1)))</f>
        <v/>
      </c>
      <c r="P619" s="86">
        <f>IF(J619="EI",IF(OR(Y619="估算法",Y619="算法类"),"中",IF(Y619="无法识别","低",IF(M619&lt;2,IF(O619&lt;16,"低","中"),IF(M619&lt;3,IF(O619&lt;5,"低",IF(O619&lt;16,"中","高")),IF(O619&lt;5,"中","高"))))),IF(OR(J619="EO",J619="EQ"),IF(OR(Y619="估算法",Y619="算法类"),"中",IF(Y619="无法识别","低",IF(M619&lt;2,IF(O619&lt;20,"低","中"),IF(M619&lt;4,IF(O619&lt;6,"低",IF(O619&lt;20,"中","高")),IF(O619&lt;6,"中","高"))))),IF(OR(J619="ILF",J619="EIF"),IF(OR(Y619="估算法",Y619="算法类",Y619="无法识别"),"低",IF(N619&lt;2,IF(O619&lt;51,"低","中"),IF(N619&lt;6,IF(O619&lt;20,"低",IF(O619&lt;51,"中","高")),IF(O619&lt;20,"中","高")))),"不计算")))</f>
        <v/>
      </c>
      <c r="Q619" s="172">
        <f>IFERROR(IF(J619="EI",IF(P619="低",3,IF(P619="中",4,6)),IF(J619="EO",IF(P619="低",4,IF(P619="中",5,7)),IF(J619="EQ",IF(P619="低",3,IF(P619="中",4,6)),IF(J619="ILF",IF(P619="低",7,IF(P619="中",10,15)),IF(J619="EIF",IF(P619="低",5,IF(P619="中",7,10)),"不计算")))))*R619,"不计算")</f>
        <v/>
      </c>
      <c r="R619" s="172" t="n">
        <v>1</v>
      </c>
      <c r="S619" s="173">
        <f>调整因子!$F$13</f>
        <v/>
      </c>
      <c r="T619" s="92" t="n">
        <v>1</v>
      </c>
      <c r="U619" s="174">
        <f>IFERROR(Q619*S619,0)</f>
        <v/>
      </c>
      <c r="V619" s="174">
        <f>U619*T619</f>
        <v/>
      </c>
      <c r="W619" s="90" t="inlineStr">
        <is>
          <t>业务场景数据表</t>
        </is>
      </c>
      <c r="X619" s="91" t="n"/>
      <c r="Y619" s="90" t="inlineStr">
        <is>
          <t>业务场景数据表{业务场景ID、场景编码、场景名称、场景等级|}</t>
        </is>
      </c>
      <c r="Z619" s="90" t="n"/>
      <c r="AA619" s="90" t="n"/>
      <c r="AB619" s="115" t="n"/>
    </row>
    <row r="620" s="112">
      <c r="A620" s="72">
        <f>ROW()-1</f>
        <v/>
      </c>
      <c r="B620" s="175" t="n"/>
      <c r="C620" s="80" t="n">
        <v>2025</v>
      </c>
      <c r="D620" s="80" t="inlineStr">
        <is>
          <t>汤凤欣</t>
        </is>
      </c>
      <c r="E620" s="81">
        <f>VLOOKUP(I620,'25年交付功能（不含废弃）'!A:A,1,FALSE)</f>
        <v/>
      </c>
      <c r="F620" s="175" t="n"/>
      <c r="G620" s="175" t="n"/>
      <c r="H620" s="175" t="n"/>
      <c r="I620" s="116" t="inlineStr">
        <is>
          <t>添加自定义业务场景</t>
        </is>
      </c>
      <c r="J620" s="93" t="inlineStr">
        <is>
          <t>EI</t>
        </is>
      </c>
      <c r="K620" s="84" t="n"/>
      <c r="L620" s="84" t="n"/>
      <c r="M620" s="85">
        <f>IF(OR(Y620="估算法",Y620="算法类",Y620="无法识别"),"",IF(W620="",IF(OR(J620="EI",J620="EO",J620="EQ"),0,""),LEN(W620)-LEN(SUBSTITUTE(W620,"、",""))+1))</f>
        <v/>
      </c>
      <c r="N620" s="85">
        <f>IF(OR(Y620="估算法",Y620="算法类",Y620="无法识别"),"",IF(X620="",IF(OR(J620="ILF",J620="EIF"),0,""),LEN(X620)-LEN(SUBSTITUTE(X620,"、",""))+1))</f>
        <v/>
      </c>
      <c r="O620" s="85">
        <f>IF(OR(Y620="估算法",Y620="算法类",Y620="无法识别"),"",IF(Y620="",IF(OR(J620="ILF",J620="EIF",J620="EI",J620="EO",J620="EQ"),0,""),LEN(Y620)-LEN(SUBSTITUTE(SUBSTITUTE(SUBSTITUTE(SUBSTITUTE(SUBSTITUTE(Y620,"|}","--"),"{|","--"),CHAR(10),""),"、",""),"|",""))+IF(AND(OR(J620="EI",J620="EO",J620="EQ"),$AE$1="NESMA"),2,1)))</f>
        <v/>
      </c>
      <c r="P620" s="86">
        <f>IF(J620="EI",IF(OR(Y620="估算法",Y620="算法类"),"中",IF(Y620="无法识别","低",IF(M620&lt;2,IF(O620&lt;16,"低","中"),IF(M620&lt;3,IF(O620&lt;5,"低",IF(O620&lt;16,"中","高")),IF(O620&lt;5,"中","高"))))),IF(OR(J620="EO",J620="EQ"),IF(OR(Y620="估算法",Y620="算法类"),"中",IF(Y620="无法识别","低",IF(M620&lt;2,IF(O620&lt;20,"低","中"),IF(M620&lt;4,IF(O620&lt;6,"低",IF(O620&lt;20,"中","高")),IF(O620&lt;6,"中","高"))))),IF(OR(J620="ILF",J620="EIF"),IF(OR(Y620="估算法",Y620="算法类",Y620="无法识别"),"低",IF(N620&lt;2,IF(O620&lt;51,"低","中"),IF(N620&lt;6,IF(O620&lt;20,"低",IF(O620&lt;51,"中","高")),IF(O620&lt;20,"中","高")))),"不计算")))</f>
        <v/>
      </c>
      <c r="Q620" s="172">
        <f>IFERROR(IF(J620="EI",IF(P620="低",3,IF(P620="中",4,6)),IF(J620="EO",IF(P620="低",4,IF(P620="中",5,7)),IF(J620="EQ",IF(P620="低",3,IF(P620="中",4,6)),IF(J620="ILF",IF(P620="低",7,IF(P620="中",10,15)),IF(J620="EIF",IF(P620="低",5,IF(P620="中",7,10)),"不计算")))))*R620,"不计算")</f>
        <v/>
      </c>
      <c r="R620" s="172" t="n">
        <v>1</v>
      </c>
      <c r="S620" s="173">
        <f>调整因子!$F$13</f>
        <v/>
      </c>
      <c r="T620" s="93" t="n">
        <v>1</v>
      </c>
      <c r="U620" s="174">
        <f>IFERROR(Q620*S620,0)</f>
        <v/>
      </c>
      <c r="V620" s="174">
        <f>U620*T620</f>
        <v/>
      </c>
      <c r="W620" s="90" t="inlineStr">
        <is>
          <t>业务场景数据表</t>
        </is>
      </c>
      <c r="X620" s="91" t="n"/>
      <c r="Y620" s="90" t="inlineStr">
        <is>
          <t>业务场景数据表{业务场景ID、场景编码、场景名称、场景等级|}</t>
        </is>
      </c>
      <c r="Z620" s="90" t="n"/>
      <c r="AA620" s="90" t="n"/>
      <c r="AB620" s="92" t="n"/>
    </row>
    <row r="621" s="112">
      <c r="A621" s="72">
        <f>ROW()-1</f>
        <v/>
      </c>
      <c r="B621" s="175" t="n"/>
      <c r="C621" s="80" t="n">
        <v>2025</v>
      </c>
      <c r="D621" s="80" t="inlineStr">
        <is>
          <t>汤凤欣</t>
        </is>
      </c>
      <c r="E621" s="81">
        <f>VLOOKUP(I621,'25年交付功能（不含废弃）'!A:A,1,FALSE)</f>
        <v/>
      </c>
      <c r="F621" s="175" t="n"/>
      <c r="G621" s="175" t="n"/>
      <c r="H621" s="175" t="n"/>
      <c r="I621" s="117" t="inlineStr">
        <is>
          <t>编辑自定义业务场景</t>
        </is>
      </c>
      <c r="J621" s="93" t="inlineStr">
        <is>
          <t>EI</t>
        </is>
      </c>
      <c r="K621" s="84" t="n"/>
      <c r="L621" s="84" t="n"/>
      <c r="M621" s="85">
        <f>IF(OR(Y621="估算法",Y621="算法类",Y621="无法识别"),"",IF(W621="",IF(OR(J621="EI",J621="EO",J621="EQ"),0,""),LEN(W621)-LEN(SUBSTITUTE(W621,"、",""))+1))</f>
        <v/>
      </c>
      <c r="N621" s="85">
        <f>IF(OR(Y621="估算法",Y621="算法类",Y621="无法识别"),"",IF(X621="",IF(OR(J621="ILF",J621="EIF"),0,""),LEN(X621)-LEN(SUBSTITUTE(X621,"、",""))+1))</f>
        <v/>
      </c>
      <c r="O621" s="85">
        <f>IF(OR(Y621="估算法",Y621="算法类",Y621="无法识别"),"",IF(Y621="",IF(OR(J621="ILF",J621="EIF",J621="EI",J621="EO",J621="EQ"),0,""),LEN(Y621)-LEN(SUBSTITUTE(SUBSTITUTE(SUBSTITUTE(SUBSTITUTE(SUBSTITUTE(Y621,"|}","--"),"{|","--"),CHAR(10),""),"、",""),"|",""))+IF(AND(OR(J621="EI",J621="EO",J621="EQ"),$AE$1="NESMA"),2,1)))</f>
        <v/>
      </c>
      <c r="P621" s="86">
        <f>IF(J621="EI",IF(OR(Y621="估算法",Y621="算法类"),"中",IF(Y621="无法识别","低",IF(M621&lt;2,IF(O621&lt;16,"低","中"),IF(M621&lt;3,IF(O621&lt;5,"低",IF(O621&lt;16,"中","高")),IF(O621&lt;5,"中","高"))))),IF(OR(J621="EO",J621="EQ"),IF(OR(Y621="估算法",Y621="算法类"),"中",IF(Y621="无法识别","低",IF(M621&lt;2,IF(O621&lt;20,"低","中"),IF(M621&lt;4,IF(O621&lt;6,"低",IF(O621&lt;20,"中","高")),IF(O621&lt;6,"中","高"))))),IF(OR(J621="ILF",J621="EIF"),IF(OR(Y621="估算法",Y621="算法类",Y621="无法识别"),"低",IF(N621&lt;2,IF(O621&lt;51,"低","中"),IF(N621&lt;6,IF(O621&lt;20,"低",IF(O621&lt;51,"中","高")),IF(O621&lt;20,"中","高")))),"不计算")))</f>
        <v/>
      </c>
      <c r="Q621" s="172">
        <f>IFERROR(IF(J621="EI",IF(P621="低",3,IF(P621="中",4,6)),IF(J621="EO",IF(P621="低",4,IF(P621="中",5,7)),IF(J621="EQ",IF(P621="低",3,IF(P621="中",4,6)),IF(J621="ILF",IF(P621="低",7,IF(P621="中",10,15)),IF(J621="EIF",IF(P621="低",5,IF(P621="中",7,10)),"不计算")))))*R621,"不计算")</f>
        <v/>
      </c>
      <c r="R621" s="172" t="n">
        <v>1</v>
      </c>
      <c r="S621" s="173">
        <f>调整因子!$F$13</f>
        <v/>
      </c>
      <c r="T621" s="92" t="n">
        <v>1</v>
      </c>
      <c r="U621" s="174">
        <f>IFERROR(Q621*S621,0)</f>
        <v/>
      </c>
      <c r="V621" s="174">
        <f>U621*T621</f>
        <v/>
      </c>
      <c r="W621" s="90" t="inlineStr">
        <is>
          <t>业务场景数据表</t>
        </is>
      </c>
      <c r="X621" s="91" t="n"/>
      <c r="Y621" s="90" t="inlineStr">
        <is>
          <t>业务场景数据表{业务场景ID、场景编码、场景名称、场景等级|}</t>
        </is>
      </c>
      <c r="Z621" s="90" t="n"/>
      <c r="AA621" s="90" t="n"/>
      <c r="AB621" s="115" t="n"/>
    </row>
    <row r="622" s="112">
      <c r="A622" s="72">
        <f>ROW()-1</f>
        <v/>
      </c>
      <c r="B622" s="175" t="n"/>
      <c r="C622" s="80" t="n">
        <v>2025</v>
      </c>
      <c r="D622" s="80" t="inlineStr">
        <is>
          <t>汤凤欣</t>
        </is>
      </c>
      <c r="E622" s="81">
        <f>VLOOKUP(I622,'25年交付功能（不含废弃）'!A:A,1,FALSE)</f>
        <v/>
      </c>
      <c r="F622" s="175" t="n"/>
      <c r="G622" s="175" t="n"/>
      <c r="H622" s="175" t="n"/>
      <c r="I622" s="116" t="inlineStr">
        <is>
          <t>删除自定义业务场景</t>
        </is>
      </c>
      <c r="J622" s="93" t="inlineStr">
        <is>
          <t>EI</t>
        </is>
      </c>
      <c r="K622" s="84" t="n"/>
      <c r="L622" s="84" t="n"/>
      <c r="M622" s="85">
        <f>IF(OR(Y622="估算法",Y622="算法类",Y622="无法识别"),"",IF(W622="",IF(OR(J622="EI",J622="EO",J622="EQ"),0,""),LEN(W622)-LEN(SUBSTITUTE(W622,"、",""))+1))</f>
        <v/>
      </c>
      <c r="N622" s="85">
        <f>IF(OR(Y622="估算法",Y622="算法类",Y622="无法识别"),"",IF(X622="",IF(OR(J622="ILF",J622="EIF"),0,""),LEN(X622)-LEN(SUBSTITUTE(X622,"、",""))+1))</f>
        <v/>
      </c>
      <c r="O622" s="85">
        <f>IF(OR(Y622="估算法",Y622="算法类",Y622="无法识别"),"",IF(Y622="",IF(OR(J622="ILF",J622="EIF",J622="EI",J622="EO",J622="EQ"),0,""),LEN(Y622)-LEN(SUBSTITUTE(SUBSTITUTE(SUBSTITUTE(SUBSTITUTE(SUBSTITUTE(Y622,"|}","--"),"{|","--"),CHAR(10),""),"、",""),"|",""))+IF(AND(OR(J622="EI",J622="EO",J622="EQ"),$AE$1="NESMA"),2,1)))</f>
        <v/>
      </c>
      <c r="P622" s="86">
        <f>IF(J622="EI",IF(OR(Y622="估算法",Y622="算法类"),"中",IF(Y622="无法识别","低",IF(M622&lt;2,IF(O622&lt;16,"低","中"),IF(M622&lt;3,IF(O622&lt;5,"低",IF(O622&lt;16,"中","高")),IF(O622&lt;5,"中","高"))))),IF(OR(J622="EO",J622="EQ"),IF(OR(Y622="估算法",Y622="算法类"),"中",IF(Y622="无法识别","低",IF(M622&lt;2,IF(O622&lt;20,"低","中"),IF(M622&lt;4,IF(O622&lt;6,"低",IF(O622&lt;20,"中","高")),IF(O622&lt;6,"中","高"))))),IF(OR(J622="ILF",J622="EIF"),IF(OR(Y622="估算法",Y622="算法类",Y622="无法识别"),"低",IF(N622&lt;2,IF(O622&lt;51,"低","中"),IF(N622&lt;6,IF(O622&lt;20,"低",IF(O622&lt;51,"中","高")),IF(O622&lt;20,"中","高")))),"不计算")))</f>
        <v/>
      </c>
      <c r="Q622" s="172">
        <f>IFERROR(IF(J622="EI",IF(P622="低",3,IF(P622="中",4,6)),IF(J622="EO",IF(P622="低",4,IF(P622="中",5,7)),IF(J622="EQ",IF(P622="低",3,IF(P622="中",4,6)),IF(J622="ILF",IF(P622="低",7,IF(P622="中",10,15)),IF(J622="EIF",IF(P622="低",5,IF(P622="中",7,10)),"不计算")))))*R622,"不计算")</f>
        <v/>
      </c>
      <c r="R622" s="172" t="n">
        <v>0.333333333333333</v>
      </c>
      <c r="S622" s="173">
        <f>调整因子!$F$13</f>
        <v/>
      </c>
      <c r="T622" s="92" t="n">
        <v>1</v>
      </c>
      <c r="U622" s="174">
        <f>IFERROR(Q622*S622,0)</f>
        <v/>
      </c>
      <c r="V622" s="174">
        <f>U622*T622</f>
        <v/>
      </c>
      <c r="W622" s="90" t="inlineStr">
        <is>
          <t>业务场景数据表</t>
        </is>
      </c>
      <c r="X622" s="91" t="n"/>
      <c r="Y622" s="90" t="inlineStr">
        <is>
          <t>业务场景数据表{业务场景ID、场景编码、场景名称、场景等级|}</t>
        </is>
      </c>
      <c r="Z622" s="90" t="n"/>
      <c r="AA622" s="90" t="n"/>
      <c r="AB622" s="92" t="n"/>
    </row>
    <row r="623" s="112">
      <c r="A623" s="72">
        <f>ROW()-1</f>
        <v/>
      </c>
      <c r="B623" s="175" t="n"/>
      <c r="C623" s="80" t="n">
        <v>2025</v>
      </c>
      <c r="D623" s="80" t="inlineStr">
        <is>
          <t>汤凤欣</t>
        </is>
      </c>
      <c r="E623" s="81">
        <f>VLOOKUP(I623,'25年交付功能（不含废弃）'!A:A,1,FALSE)</f>
        <v/>
      </c>
      <c r="F623" s="175" t="n"/>
      <c r="G623" s="175" t="n"/>
      <c r="H623" s="175" t="n"/>
      <c r="I623" s="116" t="inlineStr">
        <is>
          <t>启用自定义业务场景</t>
        </is>
      </c>
      <c r="J623" s="93" t="inlineStr">
        <is>
          <t>EI</t>
        </is>
      </c>
      <c r="K623" s="84" t="n"/>
      <c r="L623" s="84" t="n"/>
      <c r="M623" s="85">
        <f>IF(OR(Y623="估算法",Y623="算法类",Y623="无法识别"),"",IF(W623="",IF(OR(J623="EI",J623="EO",J623="EQ"),0,""),LEN(W623)-LEN(SUBSTITUTE(W623,"、",""))+1))</f>
        <v/>
      </c>
      <c r="N623" s="85">
        <f>IF(OR(Y623="估算法",Y623="算法类",Y623="无法识别"),"",IF(X623="",IF(OR(J623="ILF",J623="EIF"),0,""),LEN(X623)-LEN(SUBSTITUTE(X623,"、",""))+1))</f>
        <v/>
      </c>
      <c r="O623" s="85">
        <f>IF(OR(Y623="估算法",Y623="算法类",Y623="无法识别"),"",IF(Y623="",IF(OR(J623="ILF",J623="EIF",J623="EI",J623="EO",J623="EQ"),0,""),LEN(Y623)-LEN(SUBSTITUTE(SUBSTITUTE(SUBSTITUTE(SUBSTITUTE(SUBSTITUTE(Y623,"|}","--"),"{|","--"),CHAR(10),""),"、",""),"|",""))+IF(AND(OR(J623="EI",J623="EO",J623="EQ"),$AE$1="NESMA"),2,1)))</f>
        <v/>
      </c>
      <c r="P623" s="86">
        <f>IF(J623="EI",IF(OR(Y623="估算法",Y623="算法类"),"中",IF(Y623="无法识别","低",IF(M623&lt;2,IF(O623&lt;16,"低","中"),IF(M623&lt;3,IF(O623&lt;5,"低",IF(O623&lt;16,"中","高")),IF(O623&lt;5,"中","高"))))),IF(OR(J623="EO",J623="EQ"),IF(OR(Y623="估算法",Y623="算法类"),"中",IF(Y623="无法识别","低",IF(M623&lt;2,IF(O623&lt;20,"低","中"),IF(M623&lt;4,IF(O623&lt;6,"低",IF(O623&lt;20,"中","高")),IF(O623&lt;6,"中","高"))))),IF(OR(J623="ILF",J623="EIF"),IF(OR(Y623="估算法",Y623="算法类",Y623="无法识别"),"低",IF(N623&lt;2,IF(O623&lt;51,"低","中"),IF(N623&lt;6,IF(O623&lt;20,"低",IF(O623&lt;51,"中","高")),IF(O623&lt;20,"中","高")))),"不计算")))</f>
        <v/>
      </c>
      <c r="Q623" s="172">
        <f>IFERROR(IF(J623="EI",IF(P623="低",3,IF(P623="中",4,6)),IF(J623="EO",IF(P623="低",4,IF(P623="中",5,7)),IF(J623="EQ",IF(P623="低",3,IF(P623="中",4,6)),IF(J623="ILF",IF(P623="低",7,IF(P623="中",10,15)),IF(J623="EIF",IF(P623="低",5,IF(P623="中",7,10)),"不计算")))))*R623,"不计算")</f>
        <v/>
      </c>
      <c r="R623" s="172" t="n">
        <v>1</v>
      </c>
      <c r="S623" s="173">
        <f>调整因子!$F$13</f>
        <v/>
      </c>
      <c r="T623" s="93" t="n">
        <v>1</v>
      </c>
      <c r="U623" s="174">
        <f>IFERROR(Q623*S623,0)</f>
        <v/>
      </c>
      <c r="V623" s="174">
        <f>U623*T623</f>
        <v/>
      </c>
      <c r="W623" s="90" t="inlineStr">
        <is>
          <t>业务场景数据表</t>
        </is>
      </c>
      <c r="X623" s="91" t="n"/>
      <c r="Y623" s="90" t="inlineStr">
        <is>
          <t>业务场景数据表{业务场景ID、场景编码、场景名称、场景等级|}</t>
        </is>
      </c>
      <c r="Z623" s="90" t="n"/>
      <c r="AA623" s="90" t="n"/>
      <c r="AB623" s="115" t="n"/>
    </row>
    <row r="624" s="112">
      <c r="A624" s="72">
        <f>ROW()-1</f>
        <v/>
      </c>
      <c r="B624" s="175" t="n"/>
      <c r="C624" s="80" t="n">
        <v>2025</v>
      </c>
      <c r="D624" s="80" t="inlineStr">
        <is>
          <t>汤凤欣</t>
        </is>
      </c>
      <c r="E624" s="81">
        <f>VLOOKUP(I624,'25年交付功能（不含废弃）'!A:A,1,FALSE)</f>
        <v/>
      </c>
      <c r="F624" s="175" t="n"/>
      <c r="G624" s="175" t="n"/>
      <c r="H624" s="175" t="n"/>
      <c r="I624" s="116" t="inlineStr">
        <is>
          <t>停用自定义业务场景</t>
        </is>
      </c>
      <c r="J624" s="93" t="n"/>
      <c r="K624" s="102" t="n"/>
      <c r="L624" s="102" t="inlineStr">
        <is>
          <t>和上行合并，启停为相同功能</t>
        </is>
      </c>
      <c r="M624" s="85">
        <f>IF(OR(Y624="估算法",Y624="算法类",Y624="无法识别"),"",IF(W624="",IF(OR(J624="EI",J624="EO",J624="EQ"),0,""),LEN(W624)-LEN(SUBSTITUTE(W624,"、",""))+1))</f>
        <v/>
      </c>
      <c r="N624" s="85">
        <f>IF(OR(Y624="估算法",Y624="算法类",Y624="无法识别"),"",IF(X624="",IF(OR(J624="ILF",J624="EIF"),0,""),LEN(X624)-LEN(SUBSTITUTE(X624,"、",""))+1))</f>
        <v/>
      </c>
      <c r="O624" s="85">
        <f>IF(OR(Y624="估算法",Y624="算法类",Y624="无法识别"),"",IF(Y624="",IF(OR(J624="ILF",J624="EIF",J624="EI",J624="EO",J624="EQ"),0,""),LEN(Y624)-LEN(SUBSTITUTE(SUBSTITUTE(SUBSTITUTE(SUBSTITUTE(SUBSTITUTE(Y624,"|}","--"),"{|","--"),CHAR(10),""),"、",""),"|",""))+IF(AND(OR(J624="EI",J624="EO",J624="EQ"),$AE$1="NESMA"),2,1)))</f>
        <v/>
      </c>
      <c r="P624" s="86">
        <f>IF(J624="EI",IF(OR(Y624="估算法",Y624="算法类"),"中",IF(Y624="无法识别","低",IF(M624&lt;2,IF(O624&lt;16,"低","中"),IF(M624&lt;3,IF(O624&lt;5,"低",IF(O624&lt;16,"中","高")),IF(O624&lt;5,"中","高"))))),IF(OR(J624="EO",J624="EQ"),IF(OR(Y624="估算法",Y624="算法类"),"中",IF(Y624="无法识别","低",IF(M624&lt;2,IF(O624&lt;20,"低","中"),IF(M624&lt;4,IF(O624&lt;6,"低",IF(O624&lt;20,"中","高")),IF(O624&lt;6,"中","高"))))),IF(OR(J624="ILF",J624="EIF"),IF(OR(Y624="估算法",Y624="算法类",Y624="无法识别"),"低",IF(N624&lt;2,IF(O624&lt;51,"低","中"),IF(N624&lt;6,IF(O624&lt;20,"低",IF(O624&lt;51,"中","高")),IF(O624&lt;20,"中","高")))),"不计算")))</f>
        <v/>
      </c>
      <c r="Q624" s="172">
        <f>IFERROR(IF(J624="EI",IF(P624="低",3,IF(P624="中",4,6)),IF(J624="EO",IF(P624="低",4,IF(P624="中",5,7)),IF(J624="EQ",IF(P624="低",3,IF(P624="中",4,6)),IF(J624="ILF",IF(P624="低",7,IF(P624="中",10,15)),IF(J624="EIF",IF(P624="低",5,IF(P624="中",7,10)),"不计算")))))*R624,"不计算")</f>
        <v/>
      </c>
      <c r="R624" s="172" t="n">
        <v>1</v>
      </c>
      <c r="S624" s="173">
        <f>调整因子!$F$13</f>
        <v/>
      </c>
      <c r="T624" s="92" t="n">
        <v>1</v>
      </c>
      <c r="U624" s="174">
        <f>IFERROR(Q624*S624,0)</f>
        <v/>
      </c>
      <c r="V624" s="174">
        <f>U624*T624</f>
        <v/>
      </c>
      <c r="W624" s="90" t="inlineStr">
        <is>
          <t>业务场景数据表</t>
        </is>
      </c>
      <c r="X624" s="91" t="n"/>
      <c r="Y624" s="90" t="inlineStr">
        <is>
          <t>业务场景数据表{业务场景ID、场景编码、场景名称、场景等级|}</t>
        </is>
      </c>
      <c r="Z624" s="90" t="n"/>
      <c r="AA624" s="90" t="n"/>
      <c r="AB624" s="92" t="n"/>
    </row>
    <row r="625" s="112">
      <c r="A625" s="72">
        <f>ROW()-1</f>
        <v/>
      </c>
      <c r="B625" s="175" t="n"/>
      <c r="C625" s="80" t="n">
        <v>2025</v>
      </c>
      <c r="D625" s="80" t="inlineStr">
        <is>
          <t>汤凤欣</t>
        </is>
      </c>
      <c r="E625" s="81">
        <f>VLOOKUP(I625,'25年交付功能（不含废弃）'!A:A,1,FALSE)</f>
        <v/>
      </c>
      <c r="F625" s="175" t="n"/>
      <c r="G625" s="175" t="n"/>
      <c r="H625" s="175" t="n"/>
      <c r="I625" s="116" t="inlineStr">
        <is>
          <t>配置执行流程策略</t>
        </is>
      </c>
      <c r="J625" s="93" t="inlineStr">
        <is>
          <t>EI</t>
        </is>
      </c>
      <c r="K625" s="84" t="n"/>
      <c r="L625" s="84" t="n"/>
      <c r="M625" s="85">
        <f>IF(OR(Y625="估算法",Y625="算法类",Y625="无法识别"),"",IF(W625="",IF(OR(J625="EI",J625="EO",J625="EQ"),0,""),LEN(W625)-LEN(SUBSTITUTE(W625,"、",""))+1))</f>
        <v/>
      </c>
      <c r="N625" s="85">
        <f>IF(OR(Y625="估算法",Y625="算法类",Y625="无法识别"),"",IF(X625="",IF(OR(J625="ILF",J625="EIF"),0,""),LEN(X625)-LEN(SUBSTITUTE(X625,"、",""))+1))</f>
        <v/>
      </c>
      <c r="O625" s="85">
        <f>IF(OR(Y625="估算法",Y625="算法类",Y625="无法识别"),"",IF(Y625="",IF(OR(J625="ILF",J625="EIF",J625="EI",J625="EO",J625="EQ"),0,""),LEN(Y625)-LEN(SUBSTITUTE(SUBSTITUTE(SUBSTITUTE(SUBSTITUTE(SUBSTITUTE(Y625,"|}","--"),"{|","--"),CHAR(10),""),"、",""),"|",""))+IF(AND(OR(J625="EI",J625="EO",J625="EQ"),$AE$1="NESMA"),2,1)))</f>
        <v/>
      </c>
      <c r="P625" s="86">
        <f>IF(J625="EI",IF(OR(Y625="估算法",Y625="算法类"),"中",IF(Y625="无法识别","低",IF(M625&lt;2,IF(O625&lt;16,"低","中"),IF(M625&lt;3,IF(O625&lt;5,"低",IF(O625&lt;16,"中","高")),IF(O625&lt;5,"中","高"))))),IF(OR(J625="EO",J625="EQ"),IF(OR(Y625="估算法",Y625="算法类"),"中",IF(Y625="无法识别","低",IF(M625&lt;2,IF(O625&lt;20,"低","中"),IF(M625&lt;4,IF(O625&lt;6,"低",IF(O625&lt;20,"中","高")),IF(O625&lt;6,"中","高"))))),IF(OR(J625="ILF",J625="EIF"),IF(OR(Y625="估算法",Y625="算法类",Y625="无法识别"),"低",IF(N625&lt;2,IF(O625&lt;51,"低","中"),IF(N625&lt;6,IF(O625&lt;20,"低",IF(O625&lt;51,"中","高")),IF(O625&lt;20,"中","高")))),"不计算")))</f>
        <v/>
      </c>
      <c r="Q625" s="172">
        <f>IFERROR(IF(J625="EI",IF(P625="低",3,IF(P625="中",4,6)),IF(J625="EO",IF(P625="低",4,IF(P625="中",5,7)),IF(J625="EQ",IF(P625="低",3,IF(P625="中",4,6)),IF(J625="ILF",IF(P625="低",7,IF(P625="中",10,15)),IF(J625="EIF",IF(P625="低",5,IF(P625="中",7,10)),"不计算")))))*R625,"不计算")</f>
        <v/>
      </c>
      <c r="R625" s="172" t="n">
        <v>1</v>
      </c>
      <c r="S625" s="173">
        <f>调整因子!$F$13</f>
        <v/>
      </c>
      <c r="T625" s="92" t="n">
        <v>1</v>
      </c>
      <c r="U625" s="174">
        <f>IFERROR(Q625*S625,0)</f>
        <v/>
      </c>
      <c r="V625" s="174">
        <f>U625*T625</f>
        <v/>
      </c>
      <c r="W625" s="90" t="inlineStr">
        <is>
          <t>业务场景数据表、执行流程策略数据表</t>
        </is>
      </c>
      <c r="X625" s="91" t="n"/>
      <c r="Y625" s="90" t="inlineStr">
        <is>
          <t>业务场景数据表{业务场景ID、场景编码、场景名称、场景等级|}
执行流程策略数据表{策略ID、策略名称、业务场景ID、系统漏洞状态、处置方式、安全设备范围、是否自动执行、人工审核策略|}</t>
        </is>
      </c>
      <c r="Z625" s="90" t="n"/>
      <c r="AA625" s="90" t="n"/>
      <c r="AB625" s="115" t="n"/>
    </row>
    <row r="626" s="112">
      <c r="A626" s="72">
        <f>ROW()-1</f>
        <v/>
      </c>
      <c r="B626" s="175" t="n"/>
      <c r="C626" s="80" t="n">
        <v>2025</v>
      </c>
      <c r="D626" s="80" t="inlineStr">
        <is>
          <t>汤凤欣</t>
        </is>
      </c>
      <c r="E626" s="81">
        <f>VLOOKUP(I626,'25年交付功能（不含废弃）'!A:A,1,FALSE)</f>
        <v/>
      </c>
      <c r="F626" s="175" t="n"/>
      <c r="G626" s="175" t="n"/>
      <c r="H626" s="175" t="n"/>
      <c r="I626" s="98" t="inlineStr">
        <is>
          <t>业务场景数据表</t>
        </is>
      </c>
      <c r="J626" s="93" t="inlineStr">
        <is>
          <t>ILF</t>
        </is>
      </c>
      <c r="K626" s="84" t="n"/>
      <c r="L626" s="84" t="n"/>
      <c r="M626" s="85">
        <f>IF(OR(Y626="估算法",Y626="算法类",Y626="无法识别"),"",IF(W626="",IF(OR(J626="EI",J626="EO",J626="EQ"),0,""),LEN(W626)-LEN(SUBSTITUTE(W626,"、",""))+1))</f>
        <v/>
      </c>
      <c r="N626" s="85">
        <f>IF(OR(Y626="估算法",Y626="算法类",Y626="无法识别"),"",IF(X626="",IF(OR(J626="ILF",J626="EIF"),0,""),LEN(X626)-LEN(SUBSTITUTE(X626,"、",""))+1))</f>
        <v/>
      </c>
      <c r="O626" s="85">
        <f>IF(OR(Y626="估算法",Y626="算法类",Y626="无法识别"),"",IF(Y626="",IF(OR(J626="ILF",J626="EIF",J626="EI",J626="EO",J626="EQ"),0,""),LEN(Y626)-LEN(SUBSTITUTE(SUBSTITUTE(SUBSTITUTE(SUBSTITUTE(SUBSTITUTE(Y626,"|}","--"),"{|","--"),CHAR(10),""),"、",""),"|",""))+IF(AND(OR(J626="EI",J626="EO",J626="EQ"),$AE$1="NESMA"),2,1)))</f>
        <v/>
      </c>
      <c r="P626" s="86">
        <f>IF(J626="EI",IF(OR(Y626="估算法",Y626="算法类"),"中",IF(Y626="无法识别","低",IF(M626&lt;2,IF(O626&lt;16,"低","中"),IF(M626&lt;3,IF(O626&lt;5,"低",IF(O626&lt;16,"中","高")),IF(O626&lt;5,"中","高"))))),IF(OR(J626="EO",J626="EQ"),IF(OR(Y626="估算法",Y626="算法类"),"中",IF(Y626="无法识别","低",IF(M626&lt;2,IF(O626&lt;20,"低","中"),IF(M626&lt;4,IF(O626&lt;6,"低",IF(O626&lt;20,"中","高")),IF(O626&lt;6,"中","高"))))),IF(OR(J626="ILF",J626="EIF"),IF(OR(Y626="估算法",Y626="算法类",Y626="无法识别"),"低",IF(N626&lt;2,IF(O626&lt;51,"低","中"),IF(N626&lt;6,IF(O626&lt;20,"低",IF(O626&lt;51,"中","高")),IF(O626&lt;20,"中","高")))),"不计算")))</f>
        <v/>
      </c>
      <c r="Q626" s="172">
        <f>IFERROR(IF(J626="EI",IF(P626="低",3,IF(P626="中",4,6)),IF(J626="EO",IF(P626="低",4,IF(P626="中",5,7)),IF(J626="EQ",IF(P626="低",3,IF(P626="中",4,6)),IF(J626="ILF",IF(P626="低",7,IF(P626="中",10,15)),IF(J626="EIF",IF(P626="低",5,IF(P626="中",7,10)),"不计算")))))*R626,"不计算")</f>
        <v/>
      </c>
      <c r="R626" s="172" t="n">
        <v>1</v>
      </c>
      <c r="S626" s="173">
        <f>调整因子!$F$13</f>
        <v/>
      </c>
      <c r="T626" s="93" t="n">
        <v>1</v>
      </c>
      <c r="U626" s="174">
        <f>IFERROR(Q626*S626,0)</f>
        <v/>
      </c>
      <c r="V626" s="174">
        <f>U626*T626</f>
        <v/>
      </c>
      <c r="W626" s="91" t="n"/>
      <c r="X626" s="90" t="inlineStr">
        <is>
          <t>业务场景数据表</t>
        </is>
      </c>
      <c r="Y626" s="90" t="inlineStr">
        <is>
          <t>业务场景数据表{业务场景ID、场景编码、场景名称、场景等级|}</t>
        </is>
      </c>
      <c r="Z626" s="90">
        <f>IF(COUNTIFS(W:W,"*"&amp;I626&amp;"*")&gt;0,"存在","不存在")</f>
        <v/>
      </c>
      <c r="AA626" s="90">
        <f>IF(COUNTIFS(AB:AB,"*"&amp;I626&amp;"*")&gt;0,"存在","不存在")</f>
        <v/>
      </c>
      <c r="AB626" s="92" t="n"/>
    </row>
    <row r="627" s="112">
      <c r="A627" s="72">
        <f>ROW()-1</f>
        <v/>
      </c>
      <c r="B627" s="175" t="n"/>
      <c r="C627" s="80" t="n">
        <v>2025</v>
      </c>
      <c r="D627" s="80" t="inlineStr">
        <is>
          <t>汤凤欣</t>
        </is>
      </c>
      <c r="E627" s="81">
        <f>VLOOKUP(I627,'25年交付功能（不含废弃）'!A:A,1,FALSE)</f>
        <v/>
      </c>
      <c r="F627" s="175" t="n"/>
      <c r="G627" s="175" t="n"/>
      <c r="H627" s="176" t="n"/>
      <c r="I627" s="98" t="inlineStr">
        <is>
          <t>执行流程策略数据表</t>
        </is>
      </c>
      <c r="J627" s="93" t="inlineStr">
        <is>
          <t>ILF</t>
        </is>
      </c>
      <c r="K627" s="84" t="n"/>
      <c r="L627" s="84" t="n"/>
      <c r="M627" s="85">
        <f>IF(OR(Y627="估算法",Y627="算法类",Y627="无法识别"),"",IF(W627="",IF(OR(J627="EI",J627="EO",J627="EQ"),0,""),LEN(W627)-LEN(SUBSTITUTE(W627,"、",""))+1))</f>
        <v/>
      </c>
      <c r="N627" s="85">
        <f>IF(OR(Y627="估算法",Y627="算法类",Y627="无法识别"),"",IF(X627="",IF(OR(J627="ILF",J627="EIF"),0,""),LEN(X627)-LEN(SUBSTITUTE(X627,"、",""))+1))</f>
        <v/>
      </c>
      <c r="O627" s="85">
        <f>IF(OR(Y627="估算法",Y627="算法类",Y627="无法识别"),"",IF(Y627="",IF(OR(J627="ILF",J627="EIF",J627="EI",J627="EO",J627="EQ"),0,""),LEN(Y627)-LEN(SUBSTITUTE(SUBSTITUTE(SUBSTITUTE(SUBSTITUTE(SUBSTITUTE(Y627,"|}","--"),"{|","--"),CHAR(10),""),"、",""),"|",""))+IF(AND(OR(J627="EI",J627="EO",J627="EQ"),$AE$1="NESMA"),2,1)))</f>
        <v/>
      </c>
      <c r="P627" s="86">
        <f>IF(J627="EI",IF(OR(Y627="估算法",Y627="算法类"),"中",IF(Y627="无法识别","低",IF(M627&lt;2,IF(O627&lt;16,"低","中"),IF(M627&lt;3,IF(O627&lt;5,"低",IF(O627&lt;16,"中","高")),IF(O627&lt;5,"中","高"))))),IF(OR(J627="EO",J627="EQ"),IF(OR(Y627="估算法",Y627="算法类"),"中",IF(Y627="无法识别","低",IF(M627&lt;2,IF(O627&lt;20,"低","中"),IF(M627&lt;4,IF(O627&lt;6,"低",IF(O627&lt;20,"中","高")),IF(O627&lt;6,"中","高"))))),IF(OR(J627="ILF",J627="EIF"),IF(OR(Y627="估算法",Y627="算法类",Y627="无法识别"),"低",IF(N627&lt;2,IF(O627&lt;51,"低","中"),IF(N627&lt;6,IF(O627&lt;20,"低",IF(O627&lt;51,"中","高")),IF(O627&lt;20,"中","高")))),"不计算")))</f>
        <v/>
      </c>
      <c r="Q627" s="172">
        <f>IFERROR(IF(J627="EI",IF(P627="低",3,IF(P627="中",4,6)),IF(J627="EO",IF(P627="低",4,IF(P627="中",5,7)),IF(J627="EQ",IF(P627="低",3,IF(P627="中",4,6)),IF(J627="ILF",IF(P627="低",7,IF(P627="中",10,15)),IF(J627="EIF",IF(P627="低",5,IF(P627="中",7,10)),"不计算")))))*R627,"不计算")</f>
        <v/>
      </c>
      <c r="R627" s="172" t="n">
        <v>1</v>
      </c>
      <c r="S627" s="173">
        <f>调整因子!$F$13</f>
        <v/>
      </c>
      <c r="T627" s="92" t="n">
        <v>1</v>
      </c>
      <c r="U627" s="174">
        <f>IFERROR(Q627*S627,0)</f>
        <v/>
      </c>
      <c r="V627" s="174">
        <f>U627*T627</f>
        <v/>
      </c>
      <c r="W627" s="91" t="n"/>
      <c r="X627" s="90" t="inlineStr">
        <is>
          <t>执行流程策略数据表</t>
        </is>
      </c>
      <c r="Y627" s="90" t="inlineStr">
        <is>
          <t>执行流程策略数据表{策略ID、策略名称、业务场景ID、系统漏洞状态、处置方式、安全设备范围、是否自动执行、人工审核策略|}</t>
        </is>
      </c>
      <c r="Z627" s="90">
        <f>IF(COUNTIFS(W:W,"*"&amp;I627&amp;"*")&gt;0,"存在","不存在")</f>
        <v/>
      </c>
      <c r="AA627" s="90">
        <f>IF(COUNTIFS(AB:AB,"*"&amp;I627&amp;"*")&gt;0,"存在","不存在")</f>
        <v/>
      </c>
      <c r="AB627" s="115" t="n"/>
    </row>
    <row r="628" s="112">
      <c r="A628" s="72">
        <f>ROW()-1</f>
        <v/>
      </c>
      <c r="B628" s="175" t="n"/>
      <c r="C628" s="80" t="n">
        <v>2025</v>
      </c>
      <c r="D628" s="80" t="inlineStr">
        <is>
          <t>汤凤欣</t>
        </is>
      </c>
      <c r="E628" s="81">
        <f>VLOOKUP(I628,'25年交付功能（不含废弃）'!A:A,1,FALSE)</f>
        <v/>
      </c>
      <c r="F628" s="175" t="n"/>
      <c r="G628" s="175" t="n"/>
      <c r="H628" s="82" t="inlineStr">
        <is>
          <t>场景事务关联分析</t>
        </is>
      </c>
      <c r="I628" s="116" t="inlineStr">
        <is>
          <t>分析漏洞场景影响</t>
        </is>
      </c>
      <c r="J628" s="93" t="n"/>
      <c r="K628" s="84" t="n"/>
      <c r="L628" s="84" t="inlineStr">
        <is>
          <t>和下行合并</t>
        </is>
      </c>
      <c r="M628" s="85">
        <f>IF(OR(Y628="估算法",Y628="算法类",Y628="无法识别"),"",IF(W628="",IF(OR(J628="EI",J628="EO",J628="EQ"),0,""),LEN(W628)-LEN(SUBSTITUTE(W628,"、",""))+1))</f>
        <v/>
      </c>
      <c r="N628" s="85">
        <f>IF(OR(Y628="估算法",Y628="算法类",Y628="无法识别"),"",IF(X628="",IF(OR(J628="ILF",J628="EIF"),0,""),LEN(X628)-LEN(SUBSTITUTE(X628,"、",""))+1))</f>
        <v/>
      </c>
      <c r="O628" s="85">
        <f>IF(OR(Y628="估算法",Y628="算法类",Y628="无法识别"),"",IF(Y628="",IF(OR(J628="ILF",J628="EIF",J628="EI",J628="EO",J628="EQ"),0,""),LEN(Y628)-LEN(SUBSTITUTE(SUBSTITUTE(SUBSTITUTE(SUBSTITUTE(SUBSTITUTE(Y628,"|}","--"),"{|","--"),CHAR(10),""),"、",""),"|",""))+IF(AND(OR(J628="EI",J628="EO",J628="EQ"),$AE$1="NESMA"),2,1)))</f>
        <v/>
      </c>
      <c r="P628" s="86">
        <f>IF(J628="EI",IF(OR(Y628="估算法",Y628="算法类"),"中",IF(Y628="无法识别","低",IF(M628&lt;2,IF(O628&lt;16,"低","中"),IF(M628&lt;3,IF(O628&lt;5,"低",IF(O628&lt;16,"中","高")),IF(O628&lt;5,"中","高"))))),IF(OR(J628="EO",J628="EQ"),IF(OR(Y628="估算法",Y628="算法类"),"中",IF(Y628="无法识别","低",IF(M628&lt;2,IF(O628&lt;20,"低","中"),IF(M628&lt;4,IF(O628&lt;6,"低",IF(O628&lt;20,"中","高")),IF(O628&lt;6,"中","高"))))),IF(OR(J628="ILF",J628="EIF"),IF(OR(Y628="估算法",Y628="算法类",Y628="无法识别"),"低",IF(N628&lt;2,IF(O628&lt;51,"低","中"),IF(N628&lt;6,IF(O628&lt;20,"低",IF(O628&lt;51,"中","高")),IF(O628&lt;20,"中","高")))),"不计算")))</f>
        <v/>
      </c>
      <c r="Q628" s="172">
        <f>IFERROR(IF(J628="EI",IF(P628="低",3,IF(P628="中",4,6)),IF(J628="EO",IF(P628="低",4,IF(P628="中",5,7)),IF(J628="EQ",IF(P628="低",3,IF(P628="中",4,6)),IF(J628="ILF",IF(P628="低",7,IF(P628="中",10,15)),IF(J628="EIF",IF(P628="低",5,IF(P628="中",7,10)),"不计算")))))*R628,"不计算")</f>
        <v/>
      </c>
      <c r="R628" s="172" t="n">
        <v>1</v>
      </c>
      <c r="S628" s="173">
        <f>调整因子!$F$13</f>
        <v/>
      </c>
      <c r="T628" s="92" t="n">
        <v>1</v>
      </c>
      <c r="U628" s="174">
        <f>IFERROR(Q628*S628,0)</f>
        <v/>
      </c>
      <c r="V628" s="174">
        <f>U628*T628</f>
        <v/>
      </c>
      <c r="W628" s="90" t="inlineStr">
        <is>
          <t>业务场景数据表、系统漏洞数据表、资产信息数据表</t>
        </is>
      </c>
      <c r="X628" s="91" t="n"/>
      <c r="Y628" s="90" t="inlineStr">
        <is>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is>
      </c>
      <c r="Z628" s="90" t="n"/>
      <c r="AA628" s="90" t="n"/>
      <c r="AB628" s="92" t="n"/>
    </row>
    <row r="629" s="112">
      <c r="A629" s="72">
        <f>ROW()-1</f>
        <v/>
      </c>
      <c r="B629" s="175" t="n"/>
      <c r="C629" s="80" t="n">
        <v>2025</v>
      </c>
      <c r="D629" s="80" t="inlineStr">
        <is>
          <t>汤凤欣</t>
        </is>
      </c>
      <c r="E629" s="81">
        <f>VLOOKUP(I629,'25年交付功能（不含废弃）'!A:A,1,FALSE)</f>
        <v/>
      </c>
      <c r="F629" s="175" t="n"/>
      <c r="G629" s="175" t="n"/>
      <c r="H629" s="82" t="inlineStr">
        <is>
          <t>场景风险预警</t>
        </is>
      </c>
      <c r="I629" s="116" t="inlineStr">
        <is>
          <t>生成漏洞风险防御建议</t>
        </is>
      </c>
      <c r="J629" s="93" t="inlineStr">
        <is>
          <t>EO</t>
        </is>
      </c>
      <c r="K629" s="84" t="n"/>
      <c r="L629" s="84" t="n"/>
      <c r="M629" s="85">
        <f>IF(OR(Y629="估算法",Y629="算法类",Y629="无法识别"),"",IF(W629="",IF(OR(J629="EI",J629="EO",J629="EQ"),0,""),LEN(W629)-LEN(SUBSTITUTE(W629,"、",""))+1))</f>
        <v/>
      </c>
      <c r="N629" s="85">
        <f>IF(OR(Y629="估算法",Y629="算法类",Y629="无法识别"),"",IF(X629="",IF(OR(J629="ILF",J629="EIF"),0,""),LEN(X629)-LEN(SUBSTITUTE(X629,"、",""))+1))</f>
        <v/>
      </c>
      <c r="O629" s="85">
        <f>IF(OR(Y629="估算法",Y629="算法类",Y629="无法识别"),"",IF(Y629="",IF(OR(J629="ILF",J629="EIF",J629="EI",J629="EO",J629="EQ"),0,""),LEN(Y629)-LEN(SUBSTITUTE(SUBSTITUTE(SUBSTITUTE(SUBSTITUTE(SUBSTITUTE(Y629,"|}","--"),"{|","--"),CHAR(10),""),"、",""),"|",""))+IF(AND(OR(J629="EI",J629="EO",J629="EQ"),$AE$1="NESMA"),2,1)))</f>
        <v/>
      </c>
      <c r="P629" s="86">
        <f>IF(J629="EI",IF(OR(Y629="估算法",Y629="算法类"),"中",IF(Y629="无法识别","低",IF(M629&lt;2,IF(O629&lt;16,"低","中"),IF(M629&lt;3,IF(O629&lt;5,"低",IF(O629&lt;16,"中","高")),IF(O629&lt;5,"中","高"))))),IF(OR(J629="EO",J629="EQ"),IF(OR(Y629="估算法",Y629="算法类"),"中",IF(Y629="无法识别","低",IF(M629&lt;2,IF(O629&lt;20,"低","中"),IF(M629&lt;4,IF(O629&lt;6,"低",IF(O629&lt;20,"中","高")),IF(O629&lt;6,"中","高"))))),IF(OR(J629="ILF",J629="EIF"),IF(OR(Y629="估算法",Y629="算法类",Y629="无法识别"),"低",IF(N629&lt;2,IF(O629&lt;51,"低","中"),IF(N629&lt;6,IF(O629&lt;20,"低",IF(O629&lt;51,"中","高")),IF(O629&lt;20,"中","高")))),"不计算")))</f>
        <v/>
      </c>
      <c r="Q629" s="172">
        <f>IFERROR(IF(J629="EI",IF(P629="低",3,IF(P629="中",4,6)),IF(J629="EO",IF(P629="低",4,IF(P629="中",5,7)),IF(J629="EQ",IF(P629="低",3,IF(P629="中",4,6)),IF(J629="ILF",IF(P629="低",7,IF(P629="中",10,15)),IF(J629="EIF",IF(P629="低",5,IF(P629="中",7,10)),"不计算")))))*R629,"不计算")</f>
        <v/>
      </c>
      <c r="R629" s="172" t="n">
        <v>1</v>
      </c>
      <c r="S629" s="173">
        <f>调整因子!$F$13</f>
        <v/>
      </c>
      <c r="T629" s="93" t="n">
        <v>1</v>
      </c>
      <c r="U629" s="174">
        <f>IFERROR(Q629*S629,0)</f>
        <v/>
      </c>
      <c r="V629" s="174">
        <f>U629*T629</f>
        <v/>
      </c>
      <c r="W629" s="90" t="inlineStr">
        <is>
          <t>业务场景数据表、系统漏洞数据表、产品漏洞数据表</t>
        </is>
      </c>
      <c r="X629" s="91" t="n"/>
      <c r="Y629" s="90" t="inlineStr">
        <is>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is>
      </c>
      <c r="Z629" s="90" t="n"/>
      <c r="AA629" s="90" t="n"/>
      <c r="AB629" s="115" t="n"/>
    </row>
    <row r="630" s="112">
      <c r="A630" s="72">
        <f>ROW()-1</f>
        <v/>
      </c>
      <c r="B630" s="175" t="n"/>
      <c r="C630" s="80" t="n">
        <v>2025</v>
      </c>
      <c r="D630" s="80" t="inlineStr">
        <is>
          <t>汤凤欣</t>
        </is>
      </c>
      <c r="E630" s="81">
        <f>VLOOKUP(I630,'25年交付功能（不含废弃）'!A:A,1,FALSE)</f>
        <v/>
      </c>
      <c r="F630" s="175" t="n"/>
      <c r="G630" s="175" t="n"/>
      <c r="H630" s="82" t="inlineStr">
        <is>
          <t>场景事务看板</t>
        </is>
      </c>
      <c r="I630" s="116" t="inlineStr">
        <is>
          <t>修复失败原因漏洞统计</t>
        </is>
      </c>
      <c r="J630" s="93" t="inlineStr">
        <is>
          <t>EO</t>
        </is>
      </c>
      <c r="K630" s="84" t="n"/>
      <c r="L630" s="84" t="n"/>
      <c r="M630" s="85">
        <f>IF(OR(Y630="估算法",Y630="算法类",Y630="无法识别"),"",IF(W630="",IF(OR(J630="EI",J630="EO",J630="EQ"),0,""),LEN(W630)-LEN(SUBSTITUTE(W630,"、",""))+1))</f>
        <v/>
      </c>
      <c r="N630" s="85">
        <f>IF(OR(Y630="估算法",Y630="算法类",Y630="无法识别"),"",IF(X630="",IF(OR(J630="ILF",J630="EIF"),0,""),LEN(X630)-LEN(SUBSTITUTE(X630,"、",""))+1))</f>
        <v/>
      </c>
      <c r="O630" s="85">
        <f>IF(OR(Y630="估算法",Y630="算法类",Y630="无法识别"),"",IF(Y630="",IF(OR(J630="ILF",J630="EIF",J630="EI",J630="EO",J630="EQ"),0,""),LEN(Y630)-LEN(SUBSTITUTE(SUBSTITUTE(SUBSTITUTE(SUBSTITUTE(SUBSTITUTE(Y630,"|}","--"),"{|","--"),CHAR(10),""),"、",""),"|",""))+IF(AND(OR(J630="EI",J630="EO",J630="EQ"),$AE$1="NESMA"),2,1)))</f>
        <v/>
      </c>
      <c r="P630" s="86">
        <f>IF(J630="EI",IF(OR(Y630="估算法",Y630="算法类"),"中",IF(Y630="无法识别","低",IF(M630&lt;2,IF(O630&lt;16,"低","中"),IF(M630&lt;3,IF(O630&lt;5,"低",IF(O630&lt;16,"中","高")),IF(O630&lt;5,"中","高"))))),IF(OR(J630="EO",J630="EQ"),IF(OR(Y630="估算法",Y630="算法类"),"中",IF(Y630="无法识别","低",IF(M630&lt;2,IF(O630&lt;20,"低","中"),IF(M630&lt;4,IF(O630&lt;6,"低",IF(O630&lt;20,"中","高")),IF(O630&lt;6,"中","高"))))),IF(OR(J630="ILF",J630="EIF"),IF(OR(Y630="估算法",Y630="算法类",Y630="无法识别"),"低",IF(N630&lt;2,IF(O630&lt;51,"低","中"),IF(N630&lt;6,IF(O630&lt;20,"低",IF(O630&lt;51,"中","高")),IF(O630&lt;20,"中","高")))),"不计算")))</f>
        <v/>
      </c>
      <c r="Q630" s="172">
        <f>IFERROR(IF(J630="EI",IF(P630="低",3,IF(P630="中",4,6)),IF(J630="EO",IF(P630="低",4,IF(P630="中",5,7)),IF(J630="EQ",IF(P630="低",3,IF(P630="中",4,6)),IF(J630="ILF",IF(P630="低",7,IF(P630="中",10,15)),IF(J630="EIF",IF(P630="低",5,IF(P630="中",7,10)),"不计算")))))*R630,"不计算")</f>
        <v/>
      </c>
      <c r="R630" s="172" t="n">
        <v>1</v>
      </c>
      <c r="S630" s="173">
        <f>调整因子!$F$13</f>
        <v/>
      </c>
      <c r="T630" s="92" t="n">
        <v>1</v>
      </c>
      <c r="U630" s="174">
        <f>IFERROR(Q630*S630,0)</f>
        <v/>
      </c>
      <c r="V630" s="174">
        <f>U630*T630</f>
        <v/>
      </c>
      <c r="W630" s="93" t="inlineStr">
        <is>
          <t>修复失败原因漏洞统计数据表、业务场景数据表、系统漏洞数据表、工单数据表</t>
        </is>
      </c>
      <c r="X630" s="91" t="n"/>
      <c r="Y630" s="93" t="inlineStr">
        <is>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30" s="90" t="n"/>
      <c r="AA630" s="90" t="n"/>
      <c r="AB630" s="92" t="n"/>
    </row>
    <row r="631" s="112">
      <c r="A631" s="72">
        <f>ROW()-1</f>
        <v/>
      </c>
      <c r="B631" s="175" t="n"/>
      <c r="C631" s="80" t="n">
        <v>2025</v>
      </c>
      <c r="D631" s="80" t="inlineStr">
        <is>
          <t>汤凤欣</t>
        </is>
      </c>
      <c r="E631" s="81">
        <f>VLOOKUP(I631,'25年交付功能（不含废弃）'!A:A,1,FALSE)</f>
        <v/>
      </c>
      <c r="F631" s="175" t="n"/>
      <c r="G631" s="175" t="n"/>
      <c r="H631" s="175" t="n"/>
      <c r="I631" s="116" t="inlineStr">
        <is>
          <t>入口系统漏洞数统计</t>
        </is>
      </c>
      <c r="J631" s="93" t="inlineStr">
        <is>
          <t>EO</t>
        </is>
      </c>
      <c r="K631" s="84" t="n"/>
      <c r="L631" s="84" t="inlineStr">
        <is>
          <t>无法判断是否在相同界面展示统计结果</t>
        </is>
      </c>
      <c r="M631" s="85">
        <f>IF(OR(Y631="估算法",Y631="算法类",Y631="无法识别"),"",IF(W631="",IF(OR(J631="EI",J631="EO",J631="EQ"),0,""),LEN(W631)-LEN(SUBSTITUTE(W631,"、",""))+1))</f>
        <v/>
      </c>
      <c r="N631" s="85">
        <f>IF(OR(Y631="估算法",Y631="算法类",Y631="无法识别"),"",IF(X631="",IF(OR(J631="ILF",J631="EIF"),0,""),LEN(X631)-LEN(SUBSTITUTE(X631,"、",""))+1))</f>
        <v/>
      </c>
      <c r="O631" s="85">
        <f>IF(OR(Y631="估算法",Y631="算法类",Y631="无法识别"),"",IF(Y631="",IF(OR(J631="ILF",J631="EIF",J631="EI",J631="EO",J631="EQ"),0,""),LEN(Y631)-LEN(SUBSTITUTE(SUBSTITUTE(SUBSTITUTE(SUBSTITUTE(SUBSTITUTE(Y631,"|}","--"),"{|","--"),CHAR(10),""),"、",""),"|",""))+IF(AND(OR(J631="EI",J631="EO",J631="EQ"),$AE$1="NESMA"),2,1)))</f>
        <v/>
      </c>
      <c r="P631" s="86">
        <f>IF(J631="EI",IF(OR(Y631="估算法",Y631="算法类"),"中",IF(Y631="无法识别","低",IF(M631&lt;2,IF(O631&lt;16,"低","中"),IF(M631&lt;3,IF(O631&lt;5,"低",IF(O631&lt;16,"中","高")),IF(O631&lt;5,"中","高"))))),IF(OR(J631="EO",J631="EQ"),IF(OR(Y631="估算法",Y631="算法类"),"中",IF(Y631="无法识别","低",IF(M631&lt;2,IF(O631&lt;20,"低","中"),IF(M631&lt;4,IF(O631&lt;6,"低",IF(O631&lt;20,"中","高")),IF(O631&lt;6,"中","高"))))),IF(OR(J631="ILF",J631="EIF"),IF(OR(Y631="估算法",Y631="算法类",Y631="无法识别"),"低",IF(N631&lt;2,IF(O631&lt;51,"低","中"),IF(N631&lt;6,IF(O631&lt;20,"低",IF(O631&lt;51,"中","高")),IF(O631&lt;20,"中","高")))),"不计算")))</f>
        <v/>
      </c>
      <c r="Q631" s="172">
        <f>IFERROR(IF(J631="EI",IF(P631="低",3,IF(P631="中",4,6)),IF(J631="EO",IF(P631="低",4,IF(P631="中",5,7)),IF(J631="EQ",IF(P631="低",3,IF(P631="中",4,6)),IF(J631="ILF",IF(P631="低",7,IF(P631="中",10,15)),IF(J631="EIF",IF(P631="低",5,IF(P631="中",7,10)),"不计算")))))*R631,"不计算")</f>
        <v/>
      </c>
      <c r="R631" s="172" t="n">
        <v>0.333333333333333</v>
      </c>
      <c r="S631" s="173">
        <f>调整因子!$F$13</f>
        <v/>
      </c>
      <c r="T631" s="92" t="n">
        <v>1</v>
      </c>
      <c r="U631" s="174">
        <f>IFERROR(Q631*S631,0)</f>
        <v/>
      </c>
      <c r="V631" s="174">
        <f>U631*T631</f>
        <v/>
      </c>
      <c r="W631" s="93" t="inlineStr">
        <is>
          <t>入口系统漏洞数统计数据表、业务场景数据表、系统漏洞数据表、工单数据表</t>
        </is>
      </c>
      <c r="X631" s="91" t="n"/>
      <c r="Y631" s="93" t="inlineStr">
        <is>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31" s="90" t="n"/>
      <c r="AA631" s="90" t="n"/>
      <c r="AB631" s="115" t="n"/>
    </row>
    <row r="632" s="112">
      <c r="A632" s="72">
        <f>ROW()-1</f>
        <v/>
      </c>
      <c r="B632" s="175" t="n"/>
      <c r="C632" s="80" t="n">
        <v>2025</v>
      </c>
      <c r="D632" s="80" t="inlineStr">
        <is>
          <t>汤凤欣</t>
        </is>
      </c>
      <c r="E632" s="81">
        <f>VLOOKUP(I632,'25年交付功能（不含废弃）'!A:A,1,FALSE)</f>
        <v/>
      </c>
      <c r="F632" s="175" t="n"/>
      <c r="G632" s="175" t="n"/>
      <c r="H632" s="175" t="n"/>
      <c r="I632" s="117" t="inlineStr">
        <is>
          <t>关联分析覆盖统计</t>
        </is>
      </c>
      <c r="J632" s="93" t="inlineStr">
        <is>
          <t>EO</t>
        </is>
      </c>
      <c r="K632" s="84" t="n"/>
      <c r="L632" s="84" t="inlineStr">
        <is>
          <t>无法判断是否在相同界面展示统计结果</t>
        </is>
      </c>
      <c r="M632" s="85">
        <f>IF(OR(Y632="估算法",Y632="算法类",Y632="无法识别"),"",IF(W632="",IF(OR(J632="EI",J632="EO",J632="EQ"),0,""),LEN(W632)-LEN(SUBSTITUTE(W632,"、",""))+1))</f>
        <v/>
      </c>
      <c r="N632" s="85">
        <f>IF(OR(Y632="估算法",Y632="算法类",Y632="无法识别"),"",IF(X632="",IF(OR(J632="ILF",J632="EIF"),0,""),LEN(X632)-LEN(SUBSTITUTE(X632,"、",""))+1))</f>
        <v/>
      </c>
      <c r="O632" s="85">
        <f>IF(OR(Y632="估算法",Y632="算法类",Y632="无法识别"),"",IF(Y632="",IF(OR(J632="ILF",J632="EIF",J632="EI",J632="EO",J632="EQ"),0,""),LEN(Y632)-LEN(SUBSTITUTE(SUBSTITUTE(SUBSTITUTE(SUBSTITUTE(SUBSTITUTE(Y632,"|}","--"),"{|","--"),CHAR(10),""),"、",""),"|",""))+IF(AND(OR(J632="EI",J632="EO",J632="EQ"),$AE$1="NESMA"),2,1)))</f>
        <v/>
      </c>
      <c r="P632" s="86">
        <f>IF(J632="EI",IF(OR(Y632="估算法",Y632="算法类"),"中",IF(Y632="无法识别","低",IF(M632&lt;2,IF(O632&lt;16,"低","中"),IF(M632&lt;3,IF(O632&lt;5,"低",IF(O632&lt;16,"中","高")),IF(O632&lt;5,"中","高"))))),IF(OR(J632="EO",J632="EQ"),IF(OR(Y632="估算法",Y632="算法类"),"中",IF(Y632="无法识别","低",IF(M632&lt;2,IF(O632&lt;20,"低","中"),IF(M632&lt;4,IF(O632&lt;6,"低",IF(O632&lt;20,"中","高")),IF(O632&lt;6,"中","高"))))),IF(OR(J632="ILF",J632="EIF"),IF(OR(Y632="估算法",Y632="算法类",Y632="无法识别"),"低",IF(N632&lt;2,IF(O632&lt;51,"低","中"),IF(N632&lt;6,IF(O632&lt;20,"低",IF(O632&lt;51,"中","高")),IF(O632&lt;20,"中","高")))),"不计算")))</f>
        <v/>
      </c>
      <c r="Q632" s="172">
        <f>IFERROR(IF(J632="EI",IF(P632="低",3,IF(P632="中",4,6)),IF(J632="EO",IF(P632="低",4,IF(P632="中",5,7)),IF(J632="EQ",IF(P632="低",3,IF(P632="中",4,6)),IF(J632="ILF",IF(P632="低",7,IF(P632="中",10,15)),IF(J632="EIF",IF(P632="低",5,IF(P632="中",7,10)),"不计算")))))*R632,"不计算")</f>
        <v/>
      </c>
      <c r="R632" s="172" t="n">
        <v>0.333333333333333</v>
      </c>
      <c r="S632" s="173">
        <f>调整因子!$F$13</f>
        <v/>
      </c>
      <c r="T632" s="93" t="n">
        <v>1</v>
      </c>
      <c r="U632" s="174">
        <f>IFERROR(Q632*S632,0)</f>
        <v/>
      </c>
      <c r="V632" s="174">
        <f>U632*T632</f>
        <v/>
      </c>
      <c r="W632" s="93" t="inlineStr">
        <is>
          <t>关联分析覆盖统计数据表、业务场景数据表、资产数据表、预警任务数据表</t>
        </is>
      </c>
      <c r="X632" s="91" t="n"/>
      <c r="Y632" s="93" t="inlineStr">
        <is>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is>
      </c>
      <c r="Z632" s="90" t="n"/>
      <c r="AA632" s="90" t="n"/>
      <c r="AB632" s="92" t="n"/>
    </row>
    <row r="633" s="112">
      <c r="A633" s="72">
        <f>ROW()-1</f>
        <v/>
      </c>
      <c r="B633" s="175" t="n"/>
      <c r="C633" s="80" t="n">
        <v>2025</v>
      </c>
      <c r="D633" s="80" t="inlineStr">
        <is>
          <t>汤凤欣</t>
        </is>
      </c>
      <c r="E633" s="81">
        <f>VLOOKUP(I633,'25年交付功能（不含废弃）'!A:A,1,FALSE)</f>
        <v/>
      </c>
      <c r="F633" s="175" t="n"/>
      <c r="G633" s="175" t="n"/>
      <c r="H633" s="175" t="n"/>
      <c r="I633" s="116" t="inlineStr">
        <is>
          <t>已扫描产品漏洞统计</t>
        </is>
      </c>
      <c r="J633" s="93" t="inlineStr">
        <is>
          <t>EO</t>
        </is>
      </c>
      <c r="K633" s="84" t="n"/>
      <c r="L633" s="84" t="inlineStr">
        <is>
          <t>无法判断是否在相同界面展示统计结果</t>
        </is>
      </c>
      <c r="M633" s="85">
        <f>IF(OR(Y633="估算法",Y633="算法类",Y633="无法识别"),"",IF(W633="",IF(OR(J633="EI",J633="EO",J633="EQ"),0,""),LEN(W633)-LEN(SUBSTITUTE(W633,"、",""))+1))</f>
        <v/>
      </c>
      <c r="N633" s="85">
        <f>IF(OR(Y633="估算法",Y633="算法类",Y633="无法识别"),"",IF(X633="",IF(OR(J633="ILF",J633="EIF"),0,""),LEN(X633)-LEN(SUBSTITUTE(X633,"、",""))+1))</f>
        <v/>
      </c>
      <c r="O633" s="85">
        <f>IF(OR(Y633="估算法",Y633="算法类",Y633="无法识别"),"",IF(Y633="",IF(OR(J633="ILF",J633="EIF",J633="EI",J633="EO",J633="EQ"),0,""),LEN(Y633)-LEN(SUBSTITUTE(SUBSTITUTE(SUBSTITUTE(SUBSTITUTE(SUBSTITUTE(Y633,"|}","--"),"{|","--"),CHAR(10),""),"、",""),"|",""))+IF(AND(OR(J633="EI",J633="EO",J633="EQ"),$AE$1="NESMA"),2,1)))</f>
        <v/>
      </c>
      <c r="P633" s="86">
        <f>IF(J633="EI",IF(OR(Y633="估算法",Y633="算法类"),"中",IF(Y633="无法识别","低",IF(M633&lt;2,IF(O633&lt;16,"低","中"),IF(M633&lt;3,IF(O633&lt;5,"低",IF(O633&lt;16,"中","高")),IF(O633&lt;5,"中","高"))))),IF(OR(J633="EO",J633="EQ"),IF(OR(Y633="估算法",Y633="算法类"),"中",IF(Y633="无法识别","低",IF(M633&lt;2,IF(O633&lt;20,"低","中"),IF(M633&lt;4,IF(O633&lt;6,"低",IF(O633&lt;20,"中","高")),IF(O633&lt;6,"中","高"))))),IF(OR(J633="ILF",J633="EIF"),IF(OR(Y633="估算法",Y633="算法类",Y633="无法识别"),"低",IF(N633&lt;2,IF(O633&lt;51,"低","中"),IF(N633&lt;6,IF(O633&lt;20,"低",IF(O633&lt;51,"中","高")),IF(O633&lt;20,"中","高")))),"不计算")))</f>
        <v/>
      </c>
      <c r="Q633" s="172">
        <f>IFERROR(IF(J633="EI",IF(P633="低",3,IF(P633="中",4,6)),IF(J633="EO",IF(P633="低",4,IF(P633="中",5,7)),IF(J633="EQ",IF(P633="低",3,IF(P633="中",4,6)),IF(J633="ILF",IF(P633="低",7,IF(P633="中",10,15)),IF(J633="EIF",IF(P633="低",5,IF(P633="中",7,10)),"不计算")))))*R633,"不计算")</f>
        <v/>
      </c>
      <c r="R633" s="172" t="n">
        <v>0.333333333333333</v>
      </c>
      <c r="S633" s="173">
        <f>调整因子!$F$13</f>
        <v/>
      </c>
      <c r="T633" s="92" t="n">
        <v>1</v>
      </c>
      <c r="U633" s="174">
        <f>IFERROR(Q633*S633,0)</f>
        <v/>
      </c>
      <c r="V633" s="174">
        <f>U633*T633</f>
        <v/>
      </c>
      <c r="W633" s="93" t="inlineStr">
        <is>
          <t>已扫描产品漏洞统计数据表、业务场景数据表、资产数据表、产品漏洞数据表、漏洞扫描任务数据表</t>
        </is>
      </c>
      <c r="X633" s="91" t="n"/>
      <c r="Y633" s="93" t="inlineStr">
        <is>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is>
      </c>
      <c r="Z633" s="90" t="n"/>
      <c r="AA633" s="90" t="n"/>
      <c r="AB633" s="115" t="n"/>
    </row>
    <row r="634" s="112">
      <c r="A634" s="72">
        <f>ROW()-1</f>
        <v/>
      </c>
      <c r="B634" s="175" t="n"/>
      <c r="C634" s="80" t="n">
        <v>2025</v>
      </c>
      <c r="D634" s="80" t="inlineStr">
        <is>
          <t>汤凤欣</t>
        </is>
      </c>
      <c r="E634" s="81">
        <f>VLOOKUP(I634,'25年交付功能（不含废弃）'!A:A,1,FALSE)</f>
        <v/>
      </c>
      <c r="F634" s="175" t="n"/>
      <c r="G634" s="175" t="n"/>
      <c r="H634" s="175" t="n"/>
      <c r="I634" s="116" t="inlineStr">
        <is>
          <t>已扫描口令字典统计</t>
        </is>
      </c>
      <c r="J634" s="93" t="inlineStr">
        <is>
          <t>EO</t>
        </is>
      </c>
      <c r="K634" s="84" t="n"/>
      <c r="L634" s="84" t="inlineStr">
        <is>
          <t>无法判断是否在相同界面展示统计结果</t>
        </is>
      </c>
      <c r="M634" s="85">
        <f>IF(OR(Y634="估算法",Y634="算法类",Y634="无法识别"),"",IF(W634="",IF(OR(J634="EI",J634="EO",J634="EQ"),0,""),LEN(W634)-LEN(SUBSTITUTE(W634,"、",""))+1))</f>
        <v/>
      </c>
      <c r="N634" s="85">
        <f>IF(OR(Y634="估算法",Y634="算法类",Y634="无法识别"),"",IF(X634="",IF(OR(J634="ILF",J634="EIF"),0,""),LEN(X634)-LEN(SUBSTITUTE(X634,"、",""))+1))</f>
        <v/>
      </c>
      <c r="O634" s="85">
        <f>IF(OR(Y634="估算法",Y634="算法类",Y634="无法识别"),"",IF(Y634="",IF(OR(J634="ILF",J634="EIF",J634="EI",J634="EO",J634="EQ"),0,""),LEN(Y634)-LEN(SUBSTITUTE(SUBSTITUTE(SUBSTITUTE(SUBSTITUTE(SUBSTITUTE(Y634,"|}","--"),"{|","--"),CHAR(10),""),"、",""),"|",""))+IF(AND(OR(J634="EI",J634="EO",J634="EQ"),$AE$1="NESMA"),2,1)))</f>
        <v/>
      </c>
      <c r="P634" s="86">
        <f>IF(J634="EI",IF(OR(Y634="估算法",Y634="算法类"),"中",IF(Y634="无法识别","低",IF(M634&lt;2,IF(O634&lt;16,"低","中"),IF(M634&lt;3,IF(O634&lt;5,"低",IF(O634&lt;16,"中","高")),IF(O634&lt;5,"中","高"))))),IF(OR(J634="EO",J634="EQ"),IF(OR(Y634="估算法",Y634="算法类"),"中",IF(Y634="无法识别","低",IF(M634&lt;2,IF(O634&lt;20,"低","中"),IF(M634&lt;4,IF(O634&lt;6,"低",IF(O634&lt;20,"中","高")),IF(O634&lt;6,"中","高"))))),IF(OR(J634="ILF",J634="EIF"),IF(OR(Y634="估算法",Y634="算法类",Y634="无法识别"),"低",IF(N634&lt;2,IF(O634&lt;51,"低","中"),IF(N634&lt;6,IF(O634&lt;20,"低",IF(O634&lt;51,"中","高")),IF(O634&lt;20,"中","高")))),"不计算")))</f>
        <v/>
      </c>
      <c r="Q634" s="172">
        <f>IFERROR(IF(J634="EI",IF(P634="低",3,IF(P634="中",4,6)),IF(J634="EO",IF(P634="低",4,IF(P634="中",5,7)),IF(J634="EQ",IF(P634="低",3,IF(P634="中",4,6)),IF(J634="ILF",IF(P634="低",7,IF(P634="中",10,15)),IF(J634="EIF",IF(P634="低",5,IF(P634="中",7,10)),"不计算")))))*R634,"不计算")</f>
        <v/>
      </c>
      <c r="R634" s="172" t="n">
        <v>0.333333333333333</v>
      </c>
      <c r="S634" s="173">
        <f>调整因子!$F$13</f>
        <v/>
      </c>
      <c r="T634" s="92" t="n">
        <v>1</v>
      </c>
      <c r="U634" s="174">
        <f>IFERROR(Q634*S634,0)</f>
        <v/>
      </c>
      <c r="V634" s="174">
        <f>U634*T634</f>
        <v/>
      </c>
      <c r="W634" s="93" t="inlineStr">
        <is>
          <t>已扫描口令字典统计数据表、业务场景数据表、弱口令字典数据表、弱口令扫描任务数据表</t>
        </is>
      </c>
      <c r="X634" s="91" t="n"/>
      <c r="Y634" s="93" t="inlineStr">
        <is>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is>
      </c>
      <c r="Z634" s="90" t="n"/>
      <c r="AA634" s="90" t="n"/>
      <c r="AB634" s="92" t="n"/>
    </row>
    <row r="635" s="112">
      <c r="A635" s="72">
        <f>ROW()-1</f>
        <v/>
      </c>
      <c r="B635" s="175" t="n"/>
      <c r="C635" s="80" t="n">
        <v>2025</v>
      </c>
      <c r="D635" s="80" t="inlineStr">
        <is>
          <t>汤凤欣</t>
        </is>
      </c>
      <c r="E635" s="81">
        <f>VLOOKUP(I635,'25年交付功能（不含废弃）'!A:A,1,FALSE)</f>
        <v/>
      </c>
      <c r="F635" s="175" t="n"/>
      <c r="G635" s="175" t="n"/>
      <c r="H635" s="175" t="n"/>
      <c r="I635" s="116" t="inlineStr">
        <is>
          <t>应扫描产品漏洞统计</t>
        </is>
      </c>
      <c r="J635" s="93" t="inlineStr">
        <is>
          <t>EO</t>
        </is>
      </c>
      <c r="K635" s="84" t="n"/>
      <c r="L635" s="84" t="inlineStr">
        <is>
          <t>无法判断是否在相同界面展示统计结果</t>
        </is>
      </c>
      <c r="M635" s="85">
        <f>IF(OR(Y635="估算法",Y635="算法类",Y635="无法识别"),"",IF(W635="",IF(OR(J635="EI",J635="EO",J635="EQ"),0,""),LEN(W635)-LEN(SUBSTITUTE(W635,"、",""))+1))</f>
        <v/>
      </c>
      <c r="N635" s="85">
        <f>IF(OR(Y635="估算法",Y635="算法类",Y635="无法识别"),"",IF(X635="",IF(OR(J635="ILF",J635="EIF"),0,""),LEN(X635)-LEN(SUBSTITUTE(X635,"、",""))+1))</f>
        <v/>
      </c>
      <c r="O635" s="85">
        <f>IF(OR(Y635="估算法",Y635="算法类",Y635="无法识别"),"",IF(Y635="",IF(OR(J635="ILF",J635="EIF",J635="EI",J635="EO",J635="EQ"),0,""),LEN(Y635)-LEN(SUBSTITUTE(SUBSTITUTE(SUBSTITUTE(SUBSTITUTE(SUBSTITUTE(Y635,"|}","--"),"{|","--"),CHAR(10),""),"、",""),"|",""))+IF(AND(OR(J635="EI",J635="EO",J635="EQ"),$AE$1="NESMA"),2,1)))</f>
        <v/>
      </c>
      <c r="P635" s="86">
        <f>IF(J635="EI",IF(OR(Y635="估算法",Y635="算法类"),"中",IF(Y635="无法识别","低",IF(M635&lt;2,IF(O635&lt;16,"低","中"),IF(M635&lt;3,IF(O635&lt;5,"低",IF(O635&lt;16,"中","高")),IF(O635&lt;5,"中","高"))))),IF(OR(J635="EO",J635="EQ"),IF(OR(Y635="估算法",Y635="算法类"),"中",IF(Y635="无法识别","低",IF(M635&lt;2,IF(O635&lt;20,"低","中"),IF(M635&lt;4,IF(O635&lt;6,"低",IF(O635&lt;20,"中","高")),IF(O635&lt;6,"中","高"))))),IF(OR(J635="ILF",J635="EIF"),IF(OR(Y635="估算法",Y635="算法类",Y635="无法识别"),"低",IF(N635&lt;2,IF(O635&lt;51,"低","中"),IF(N635&lt;6,IF(O635&lt;20,"低",IF(O635&lt;51,"中","高")),IF(O635&lt;20,"中","高")))),"不计算")))</f>
        <v/>
      </c>
      <c r="Q635" s="172">
        <f>IFERROR(IF(J635="EI",IF(P635="低",3,IF(P635="中",4,6)),IF(J635="EO",IF(P635="低",4,IF(P635="中",5,7)),IF(J635="EQ",IF(P635="低",3,IF(P635="中",4,6)),IF(J635="ILF",IF(P635="低",7,IF(P635="中",10,15)),IF(J635="EIF",IF(P635="低",5,IF(P635="中",7,10)),"不计算")))))*R635,"不计算")</f>
        <v/>
      </c>
      <c r="R635" s="172" t="n">
        <v>0.333333333333333</v>
      </c>
      <c r="S635" s="173">
        <f>调整因子!$F$13</f>
        <v/>
      </c>
      <c r="T635" s="93" t="n">
        <v>1</v>
      </c>
      <c r="U635" s="174">
        <f>IFERROR(Q635*S635,0)</f>
        <v/>
      </c>
      <c r="V635" s="174">
        <f>U635*T635</f>
        <v/>
      </c>
      <c r="W635" s="93" t="inlineStr">
        <is>
          <t>应扫描产品漏洞统计数据表、业务场景数据表、产品漏洞数据表、漏洞扫描任务数据表</t>
        </is>
      </c>
      <c r="X635" s="91" t="n"/>
      <c r="Y635" s="93" t="inlineStr">
        <is>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is>
      </c>
      <c r="Z635" s="90" t="n"/>
      <c r="AA635" s="90" t="n"/>
      <c r="AB635" s="115" t="n"/>
    </row>
    <row r="636" s="112">
      <c r="A636" s="72">
        <f>ROW()-1</f>
        <v/>
      </c>
      <c r="B636" s="175" t="n"/>
      <c r="C636" s="80" t="n">
        <v>2025</v>
      </c>
      <c r="D636" s="80" t="inlineStr">
        <is>
          <t>汤凤欣</t>
        </is>
      </c>
      <c r="E636" s="81">
        <f>VLOOKUP(I636,'25年交付功能（不含废弃）'!A:A,1,FALSE)</f>
        <v/>
      </c>
      <c r="F636" s="175" t="n"/>
      <c r="G636" s="175" t="n"/>
      <c r="H636" s="175" t="n"/>
      <c r="I636" s="117" t="inlineStr">
        <is>
          <t>应扫描口令字典统计</t>
        </is>
      </c>
      <c r="J636" s="93" t="inlineStr">
        <is>
          <t>EO</t>
        </is>
      </c>
      <c r="K636" s="84" t="n"/>
      <c r="L636" s="84" t="inlineStr">
        <is>
          <t>无法判断是否在相同界面展示统计结果</t>
        </is>
      </c>
      <c r="M636" s="85">
        <f>IF(OR(Y636="估算法",Y636="算法类",Y636="无法识别"),"",IF(W636="",IF(OR(J636="EI",J636="EO",J636="EQ"),0,""),LEN(W636)-LEN(SUBSTITUTE(W636,"、",""))+1))</f>
        <v/>
      </c>
      <c r="N636" s="85">
        <f>IF(OR(Y636="估算法",Y636="算法类",Y636="无法识别"),"",IF(X636="",IF(OR(J636="ILF",J636="EIF"),0,""),LEN(X636)-LEN(SUBSTITUTE(X636,"、",""))+1))</f>
        <v/>
      </c>
      <c r="O636" s="85">
        <f>IF(OR(Y636="估算法",Y636="算法类",Y636="无法识别"),"",IF(Y636="",IF(OR(J636="ILF",J636="EIF",J636="EI",J636="EO",J636="EQ"),0,""),LEN(Y636)-LEN(SUBSTITUTE(SUBSTITUTE(SUBSTITUTE(SUBSTITUTE(SUBSTITUTE(Y636,"|}","--"),"{|","--"),CHAR(10),""),"、",""),"|",""))+IF(AND(OR(J636="EI",J636="EO",J636="EQ"),$AE$1="NESMA"),2,1)))</f>
        <v/>
      </c>
      <c r="P636" s="86">
        <f>IF(J636="EI",IF(OR(Y636="估算法",Y636="算法类"),"中",IF(Y636="无法识别","低",IF(M636&lt;2,IF(O636&lt;16,"低","中"),IF(M636&lt;3,IF(O636&lt;5,"低",IF(O636&lt;16,"中","高")),IF(O636&lt;5,"中","高"))))),IF(OR(J636="EO",J636="EQ"),IF(OR(Y636="估算法",Y636="算法类"),"中",IF(Y636="无法识别","低",IF(M636&lt;2,IF(O636&lt;20,"低","中"),IF(M636&lt;4,IF(O636&lt;6,"低",IF(O636&lt;20,"中","高")),IF(O636&lt;6,"中","高"))))),IF(OR(J636="ILF",J636="EIF"),IF(OR(Y636="估算法",Y636="算法类",Y636="无法识别"),"低",IF(N636&lt;2,IF(O636&lt;51,"低","中"),IF(N636&lt;6,IF(O636&lt;20,"低",IF(O636&lt;51,"中","高")),IF(O636&lt;20,"中","高")))),"不计算")))</f>
        <v/>
      </c>
      <c r="Q636" s="172">
        <f>IFERROR(IF(J636="EI",IF(P636="低",3,IF(P636="中",4,6)),IF(J636="EO",IF(P636="低",4,IF(P636="中",5,7)),IF(J636="EQ",IF(P636="低",3,IF(P636="中",4,6)),IF(J636="ILF",IF(P636="低",7,IF(P636="中",10,15)),IF(J636="EIF",IF(P636="低",5,IF(P636="中",7,10)),"不计算")))))*R636,"不计算")</f>
        <v/>
      </c>
      <c r="R636" s="172" t="n">
        <v>0.2</v>
      </c>
      <c r="S636" s="173">
        <f>调整因子!$F$13</f>
        <v/>
      </c>
      <c r="T636" s="92" t="n">
        <v>1</v>
      </c>
      <c r="U636" s="174">
        <f>IFERROR(Q636*S636,0)</f>
        <v/>
      </c>
      <c r="V636" s="174">
        <f>U636*T636</f>
        <v/>
      </c>
      <c r="W636" s="93" t="inlineStr">
        <is>
          <t>应扫描口令字典统计数据表、业务场景数据表、弱口令字典数据表、弱口令扫描任务数据表</t>
        </is>
      </c>
      <c r="X636" s="91" t="n"/>
      <c r="Y636" s="93" t="inlineStr">
        <is>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is>
      </c>
      <c r="Z636" s="90" t="n"/>
      <c r="AA636" s="90" t="n"/>
      <c r="AB636" s="92" t="n"/>
    </row>
    <row r="637" s="112">
      <c r="A637" s="72">
        <f>ROW()-1</f>
        <v/>
      </c>
      <c r="B637" s="175" t="n"/>
      <c r="C637" s="80" t="n">
        <v>2025</v>
      </c>
      <c r="D637" s="80" t="inlineStr">
        <is>
          <t>汤凤欣</t>
        </is>
      </c>
      <c r="E637" s="81">
        <f>VLOOKUP(I637,'25年交付功能（不含废弃）'!A:A,1,FALSE)</f>
        <v/>
      </c>
      <c r="F637" s="175" t="n"/>
      <c r="G637" s="175" t="n"/>
      <c r="H637" s="175" t="n"/>
      <c r="I637" s="117" t="inlineStr">
        <is>
          <t>应覆盖资产总数统计</t>
        </is>
      </c>
      <c r="J637" s="93" t="inlineStr">
        <is>
          <t>EO</t>
        </is>
      </c>
      <c r="K637" s="84" t="n"/>
      <c r="L637" s="84" t="inlineStr">
        <is>
          <t>无法判断是否在相同界面展示统计结果</t>
        </is>
      </c>
      <c r="M637" s="85">
        <f>IF(OR(Y637="估算法",Y637="算法类",Y637="无法识别"),"",IF(W637="",IF(OR(J637="EI",J637="EO",J637="EQ"),0,""),LEN(W637)-LEN(SUBSTITUTE(W637,"、",""))+1))</f>
        <v/>
      </c>
      <c r="N637" s="85">
        <f>IF(OR(Y637="估算法",Y637="算法类",Y637="无法识别"),"",IF(X637="",IF(OR(J637="ILF",J637="EIF"),0,""),LEN(X637)-LEN(SUBSTITUTE(X637,"、",""))+1))</f>
        <v/>
      </c>
      <c r="O637" s="85">
        <f>IF(OR(Y637="估算法",Y637="算法类",Y637="无法识别"),"",IF(Y637="",IF(OR(J637="ILF",J637="EIF",J637="EI",J637="EO",J637="EQ"),0,""),LEN(Y637)-LEN(SUBSTITUTE(SUBSTITUTE(SUBSTITUTE(SUBSTITUTE(SUBSTITUTE(Y637,"|}","--"),"{|","--"),CHAR(10),""),"、",""),"|",""))+IF(AND(OR(J637="EI",J637="EO",J637="EQ"),$AE$1="NESMA"),2,1)))</f>
        <v/>
      </c>
      <c r="P637" s="86">
        <f>IF(J637="EI",IF(OR(Y637="估算法",Y637="算法类"),"中",IF(Y637="无法识别","低",IF(M637&lt;2,IF(O637&lt;16,"低","中"),IF(M637&lt;3,IF(O637&lt;5,"低",IF(O637&lt;16,"中","高")),IF(O637&lt;5,"中","高"))))),IF(OR(J637="EO",J637="EQ"),IF(OR(Y637="估算法",Y637="算法类"),"中",IF(Y637="无法识别","低",IF(M637&lt;2,IF(O637&lt;20,"低","中"),IF(M637&lt;4,IF(O637&lt;6,"低",IF(O637&lt;20,"中","高")),IF(O637&lt;6,"中","高"))))),IF(OR(J637="ILF",J637="EIF"),IF(OR(Y637="估算法",Y637="算法类",Y637="无法识别"),"低",IF(N637&lt;2,IF(O637&lt;51,"低","中"),IF(N637&lt;6,IF(O637&lt;20,"低",IF(O637&lt;51,"中","高")),IF(O637&lt;20,"中","高")))),"不计算")))</f>
        <v/>
      </c>
      <c r="Q637" s="172">
        <f>IFERROR(IF(J637="EI",IF(P637="低",3,IF(P637="中",4,6)),IF(J637="EO",IF(P637="低",4,IF(P637="中",5,7)),IF(J637="EQ",IF(P637="低",3,IF(P637="中",4,6)),IF(J637="ILF",IF(P637="低",7,IF(P637="中",10,15)),IF(J637="EIF",IF(P637="低",5,IF(P637="中",7,10)),"不计算")))))*R637,"不计算")</f>
        <v/>
      </c>
      <c r="R637" s="172" t="n">
        <v>0.2</v>
      </c>
      <c r="S637" s="173">
        <f>调整因子!$F$13</f>
        <v/>
      </c>
      <c r="T637" s="92" t="n">
        <v>1</v>
      </c>
      <c r="U637" s="174">
        <f>IFERROR(Q637*S637,0)</f>
        <v/>
      </c>
      <c r="V637" s="174">
        <f>U637*T637</f>
        <v/>
      </c>
      <c r="W637" s="93" t="inlineStr">
        <is>
          <t>应覆盖资产总数统计数据表、业务场景数据表、资产数据表、漏洞扫描任务数据表</t>
        </is>
      </c>
      <c r="X637" s="91" t="n"/>
      <c r="Y637" s="93" t="inlineStr">
        <is>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is>
      </c>
      <c r="Z637" s="90" t="n"/>
      <c r="AA637" s="90" t="n"/>
      <c r="AB637" s="115" t="n"/>
    </row>
    <row r="638" s="112">
      <c r="A638" s="72">
        <f>ROW()-1</f>
        <v/>
      </c>
      <c r="B638" s="175" t="n"/>
      <c r="C638" s="80" t="n">
        <v>2025</v>
      </c>
      <c r="D638" s="80" t="inlineStr">
        <is>
          <t>汤凤欣</t>
        </is>
      </c>
      <c r="E638" s="81">
        <f>VLOOKUP(I638,'25年交付功能（不含废弃）'!A:A,1,FALSE)</f>
        <v/>
      </c>
      <c r="F638" s="175" t="n"/>
      <c r="G638" s="175" t="n"/>
      <c r="H638" s="175" t="n"/>
      <c r="I638" s="117" t="inlineStr">
        <is>
          <t>弱口令扫描覆盖统计</t>
        </is>
      </c>
      <c r="J638" s="93" t="inlineStr">
        <is>
          <t>EO</t>
        </is>
      </c>
      <c r="K638" s="84" t="n"/>
      <c r="L638" s="84" t="inlineStr">
        <is>
          <t>无法判断是否在相同界面展示统计结果</t>
        </is>
      </c>
      <c r="M638" s="85">
        <f>IF(OR(Y638="估算法",Y638="算法类",Y638="无法识别"),"",IF(W638="",IF(OR(J638="EI",J638="EO",J638="EQ"),0,""),LEN(W638)-LEN(SUBSTITUTE(W638,"、",""))+1))</f>
        <v/>
      </c>
      <c r="N638" s="85">
        <f>IF(OR(Y638="估算法",Y638="算法类",Y638="无法识别"),"",IF(X638="",IF(OR(J638="ILF",J638="EIF"),0,""),LEN(X638)-LEN(SUBSTITUTE(X638,"、",""))+1))</f>
        <v/>
      </c>
      <c r="O638" s="85">
        <f>IF(OR(Y638="估算法",Y638="算法类",Y638="无法识别"),"",IF(Y638="",IF(OR(J638="ILF",J638="EIF",J638="EI",J638="EO",J638="EQ"),0,""),LEN(Y638)-LEN(SUBSTITUTE(SUBSTITUTE(SUBSTITUTE(SUBSTITUTE(SUBSTITUTE(Y638,"|}","--"),"{|","--"),CHAR(10),""),"、",""),"|",""))+IF(AND(OR(J638="EI",J638="EO",J638="EQ"),$AE$1="NESMA"),2,1)))</f>
        <v/>
      </c>
      <c r="P638" s="86">
        <f>IF(J638="EI",IF(OR(Y638="估算法",Y638="算法类"),"中",IF(Y638="无法识别","低",IF(M638&lt;2,IF(O638&lt;16,"低","中"),IF(M638&lt;3,IF(O638&lt;5,"低",IF(O638&lt;16,"中","高")),IF(O638&lt;5,"中","高"))))),IF(OR(J638="EO",J638="EQ"),IF(OR(Y638="估算法",Y638="算法类"),"中",IF(Y638="无法识别","低",IF(M638&lt;2,IF(O638&lt;20,"低","中"),IF(M638&lt;4,IF(O638&lt;6,"低",IF(O638&lt;20,"中","高")),IF(O638&lt;6,"中","高"))))),IF(OR(J638="ILF",J638="EIF"),IF(OR(Y638="估算法",Y638="算法类",Y638="无法识别"),"低",IF(N638&lt;2,IF(O638&lt;51,"低","中"),IF(N638&lt;6,IF(O638&lt;20,"低",IF(O638&lt;51,"中","高")),IF(O638&lt;20,"中","高")))),"不计算")))</f>
        <v/>
      </c>
      <c r="Q638" s="172">
        <f>IFERROR(IF(J638="EI",IF(P638="低",3,IF(P638="中",4,6)),IF(J638="EO",IF(P638="低",4,IF(P638="中",5,7)),IF(J638="EQ",IF(P638="低",3,IF(P638="中",4,6)),IF(J638="ILF",IF(P638="低",7,IF(P638="中",10,15)),IF(J638="EIF",IF(P638="低",5,IF(P638="中",7,10)),"不计算")))))*R638,"不计算")</f>
        <v/>
      </c>
      <c r="R638" s="172" t="n">
        <v>0.2</v>
      </c>
      <c r="S638" s="173">
        <f>调整因子!$F$13</f>
        <v/>
      </c>
      <c r="T638" s="93" t="n">
        <v>1</v>
      </c>
      <c r="U638" s="174">
        <f>IFERROR(Q638*S638,0)</f>
        <v/>
      </c>
      <c r="V638" s="174">
        <f>U638*T638</f>
        <v/>
      </c>
      <c r="W638" s="93" t="inlineStr">
        <is>
          <t>弱口令扫描覆盖统计数据表、业务场景数据表、资产数据表、弱口令字典数据表、弱口令扫描任务数据表</t>
        </is>
      </c>
      <c r="X638" s="91" t="n"/>
      <c r="Y638" s="93" t="inlineStr">
        <is>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Z638" s="90" t="n"/>
      <c r="AA638" s="90" t="n"/>
      <c r="AB638" s="92" t="n"/>
    </row>
    <row r="639" s="112">
      <c r="A639" s="72">
        <f>ROW()-1</f>
        <v/>
      </c>
      <c r="B639" s="175" t="n"/>
      <c r="C639" s="80" t="n">
        <v>2025</v>
      </c>
      <c r="D639" s="80" t="inlineStr">
        <is>
          <t>汤凤欣</t>
        </is>
      </c>
      <c r="E639" s="81">
        <f>VLOOKUP(I639,'25年交付功能（不含废弃）'!A:A,1,FALSE)</f>
        <v/>
      </c>
      <c r="F639" s="175" t="n"/>
      <c r="G639" s="175" t="n"/>
      <c r="H639" s="175" t="n"/>
      <c r="I639" s="117" t="inlineStr">
        <is>
          <t>待核实系统漏洞统计</t>
        </is>
      </c>
      <c r="J639" s="93" t="inlineStr">
        <is>
          <t>EO</t>
        </is>
      </c>
      <c r="K639" s="84" t="n"/>
      <c r="L639" s="84" t="inlineStr">
        <is>
          <t>无法判断是否在相同界面展示统计结果</t>
        </is>
      </c>
      <c r="M639" s="85">
        <f>IF(OR(Y639="估算法",Y639="算法类",Y639="无法识别"),"",IF(W639="",IF(OR(J639="EI",J639="EO",J639="EQ"),0,""),LEN(W639)-LEN(SUBSTITUTE(W639,"、",""))+1))</f>
        <v/>
      </c>
      <c r="N639" s="85">
        <f>IF(OR(Y639="估算法",Y639="算法类",Y639="无法识别"),"",IF(X639="",IF(OR(J639="ILF",J639="EIF"),0,""),LEN(X639)-LEN(SUBSTITUTE(X639,"、",""))+1))</f>
        <v/>
      </c>
      <c r="O639" s="85">
        <f>IF(OR(Y639="估算法",Y639="算法类",Y639="无法识别"),"",IF(Y639="",IF(OR(J639="ILF",J639="EIF",J639="EI",J639="EO",J639="EQ"),0,""),LEN(Y639)-LEN(SUBSTITUTE(SUBSTITUTE(SUBSTITUTE(SUBSTITUTE(SUBSTITUTE(Y639,"|}","--"),"{|","--"),CHAR(10),""),"、",""),"|",""))+IF(AND(OR(J639="EI",J639="EO",J639="EQ"),$AE$1="NESMA"),2,1)))</f>
        <v/>
      </c>
      <c r="P639" s="86">
        <f>IF(J639="EI",IF(OR(Y639="估算法",Y639="算法类"),"中",IF(Y639="无法识别","低",IF(M639&lt;2,IF(O639&lt;16,"低","中"),IF(M639&lt;3,IF(O639&lt;5,"低",IF(O639&lt;16,"中","高")),IF(O639&lt;5,"中","高"))))),IF(OR(J639="EO",J639="EQ"),IF(OR(Y639="估算法",Y639="算法类"),"中",IF(Y639="无法识别","低",IF(M639&lt;2,IF(O639&lt;20,"低","中"),IF(M639&lt;4,IF(O639&lt;6,"低",IF(O639&lt;20,"中","高")),IF(O639&lt;6,"中","高"))))),IF(OR(J639="ILF",J639="EIF"),IF(OR(Y639="估算法",Y639="算法类",Y639="无法识别"),"低",IF(N639&lt;2,IF(O639&lt;51,"低","中"),IF(N639&lt;6,IF(O639&lt;20,"低",IF(O639&lt;51,"中","高")),IF(O639&lt;20,"中","高")))),"不计算")))</f>
        <v/>
      </c>
      <c r="Q639" s="172">
        <f>IFERROR(IF(J639="EI",IF(P639="低",3,IF(P639="中",4,6)),IF(J639="EO",IF(P639="低",4,IF(P639="中",5,7)),IF(J639="EQ",IF(P639="低",3,IF(P639="中",4,6)),IF(J639="ILF",IF(P639="低",7,IF(P639="中",10,15)),IF(J639="EIF",IF(P639="低",5,IF(P639="中",7,10)),"不计算")))))*R639,"不计算")</f>
        <v/>
      </c>
      <c r="R639" s="172" t="n">
        <v>0.2</v>
      </c>
      <c r="S639" s="173">
        <f>调整因子!$F$13</f>
        <v/>
      </c>
      <c r="T639" s="92" t="n">
        <v>1</v>
      </c>
      <c r="U639" s="174">
        <f>IFERROR(Q639*S639,0)</f>
        <v/>
      </c>
      <c r="V639" s="174">
        <f>U639*T639</f>
        <v/>
      </c>
      <c r="W639" s="93" t="inlineStr">
        <is>
          <t>待核实系统漏洞统计数据表、业务场景数据表、系统漏洞数据表、系统漏洞状态数据表</t>
        </is>
      </c>
      <c r="X639" s="91" t="n"/>
      <c r="Y639" s="93" t="inlineStr">
        <is>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is>
      </c>
      <c r="Z639" s="90" t="n"/>
      <c r="AA639" s="90" t="n"/>
      <c r="AB639" s="115" t="n"/>
    </row>
    <row r="640" s="112">
      <c r="A640" s="72">
        <f>ROW()-1</f>
        <v/>
      </c>
      <c r="B640" s="175" t="n"/>
      <c r="C640" s="80" t="n">
        <v>2025</v>
      </c>
      <c r="D640" s="80" t="inlineStr">
        <is>
          <t>汤凤欣</t>
        </is>
      </c>
      <c r="E640" s="81">
        <f>VLOOKUP(I640,'25年交付功能（不含废弃）'!A:A,1,FALSE)</f>
        <v/>
      </c>
      <c r="F640" s="175" t="n"/>
      <c r="G640" s="175" t="n"/>
      <c r="H640" s="175" t="n"/>
      <c r="I640" s="116" t="inlineStr">
        <is>
          <t>有效系统漏洞数统计</t>
        </is>
      </c>
      <c r="J640" s="93" t="inlineStr">
        <is>
          <t>EO</t>
        </is>
      </c>
      <c r="K640" s="84" t="n"/>
      <c r="L640" s="84" t="inlineStr">
        <is>
          <t>无法判断是否在相同界面展示统计结果</t>
        </is>
      </c>
      <c r="M640" s="85">
        <f>IF(OR(Y640="估算法",Y640="算法类",Y640="无法识别"),"",IF(W640="",IF(OR(J640="EI",J640="EO",J640="EQ"),0,""),LEN(W640)-LEN(SUBSTITUTE(W640,"、",""))+1))</f>
        <v/>
      </c>
      <c r="N640" s="85">
        <f>IF(OR(Y640="估算法",Y640="算法类",Y640="无法识别"),"",IF(X640="",IF(OR(J640="ILF",J640="EIF"),0,""),LEN(X640)-LEN(SUBSTITUTE(X640,"、",""))+1))</f>
        <v/>
      </c>
      <c r="O640" s="85">
        <f>IF(OR(Y640="估算法",Y640="算法类",Y640="无法识别"),"",IF(Y640="",IF(OR(J640="ILF",J640="EIF",J640="EI",J640="EO",J640="EQ"),0,""),LEN(Y640)-LEN(SUBSTITUTE(SUBSTITUTE(SUBSTITUTE(SUBSTITUTE(SUBSTITUTE(Y640,"|}","--"),"{|","--"),CHAR(10),""),"、",""),"|",""))+IF(AND(OR(J640="EI",J640="EO",J640="EQ"),$AE$1="NESMA"),2,1)))</f>
        <v/>
      </c>
      <c r="P640" s="86">
        <f>IF(J640="EI",IF(OR(Y640="估算法",Y640="算法类"),"中",IF(Y640="无法识别","低",IF(M640&lt;2,IF(O640&lt;16,"低","中"),IF(M640&lt;3,IF(O640&lt;5,"低",IF(O640&lt;16,"中","高")),IF(O640&lt;5,"中","高"))))),IF(OR(J640="EO",J640="EQ"),IF(OR(Y640="估算法",Y640="算法类"),"中",IF(Y640="无法识别","低",IF(M640&lt;2,IF(O640&lt;20,"低","中"),IF(M640&lt;4,IF(O640&lt;6,"低",IF(O640&lt;20,"中","高")),IF(O640&lt;6,"中","高"))))),IF(OR(J640="ILF",J640="EIF"),IF(OR(Y640="估算法",Y640="算法类",Y640="无法识别"),"低",IF(N640&lt;2,IF(O640&lt;51,"低","中"),IF(N640&lt;6,IF(O640&lt;20,"低",IF(O640&lt;51,"中","高")),IF(O640&lt;20,"中","高")))),"不计算")))</f>
        <v/>
      </c>
      <c r="Q640" s="172">
        <f>IFERROR(IF(J640="EI",IF(P640="低",3,IF(P640="中",4,6)),IF(J640="EO",IF(P640="低",4,IF(P640="中",5,7)),IF(J640="EQ",IF(P640="低",3,IF(P640="中",4,6)),IF(J640="ILF",IF(P640="低",7,IF(P640="中",10,15)),IF(J640="EIF",IF(P640="低",5,IF(P640="中",7,10)),"不计算")))))*R640,"不计算")</f>
        <v/>
      </c>
      <c r="R640" s="172" t="n">
        <v>0.2</v>
      </c>
      <c r="S640" s="173">
        <f>调整因子!$F$13</f>
        <v/>
      </c>
      <c r="T640" s="92" t="n">
        <v>1</v>
      </c>
      <c r="U640" s="174">
        <f>IFERROR(Q640*S640,0)</f>
        <v/>
      </c>
      <c r="V640" s="174">
        <f>U640*T640</f>
        <v/>
      </c>
      <c r="W640" s="93" t="inlineStr">
        <is>
          <t>有效系统漏洞数统计数据表、业务场景数据表、系统漏洞数据表</t>
        </is>
      </c>
      <c r="X640" s="91" t="n"/>
      <c r="Y640" s="93" t="inlineStr">
        <is>
          <t>有效系统漏洞数统计数据表{ID、日期、业务场景ID、有效系统漏洞ID|}
业务场景数据表{业务场景ID、场景编码、场景名称、场景等级|}
系统漏洞数据表{系统漏洞ID、产品漏洞ID、资产ID、系统漏洞状态ID、时间戳、弱口令字典ID|}</t>
        </is>
      </c>
      <c r="Z640" s="90" t="n"/>
      <c r="AA640" s="90" t="n"/>
      <c r="AB640" s="92" t="n"/>
    </row>
    <row r="641" s="112">
      <c r="A641" s="72">
        <f>ROW()-1</f>
        <v/>
      </c>
      <c r="B641" s="175" t="n"/>
      <c r="C641" s="80" t="n">
        <v>2025</v>
      </c>
      <c r="D641" s="80" t="inlineStr">
        <is>
          <t>汤凤欣</t>
        </is>
      </c>
      <c r="E641" s="81">
        <f>VLOOKUP(I641,'25年交付功能（不含废弃）'!A:A,1,FALSE)</f>
        <v/>
      </c>
      <c r="F641" s="175" t="n"/>
      <c r="G641" s="175" t="n"/>
      <c r="H641" s="175" t="n"/>
      <c r="I641" s="116" t="inlineStr">
        <is>
          <t>未排查资产数量统计</t>
        </is>
      </c>
      <c r="J641" s="93" t="inlineStr">
        <is>
          <t>EO</t>
        </is>
      </c>
      <c r="K641" s="84" t="n"/>
      <c r="L641" s="84" t="inlineStr">
        <is>
          <t>无法判断是否在相同界面展示统计结果</t>
        </is>
      </c>
      <c r="M641" s="85">
        <f>IF(OR(Y641="估算法",Y641="算法类",Y641="无法识别"),"",IF(W641="",IF(OR(J641="EI",J641="EO",J641="EQ"),0,""),LEN(W641)-LEN(SUBSTITUTE(W641,"、",""))+1))</f>
        <v/>
      </c>
      <c r="N641" s="85">
        <f>IF(OR(Y641="估算法",Y641="算法类",Y641="无法识别"),"",IF(X641="",IF(OR(J641="ILF",J641="EIF"),0,""),LEN(X641)-LEN(SUBSTITUTE(X641,"、",""))+1))</f>
        <v/>
      </c>
      <c r="O641" s="85">
        <f>IF(OR(Y641="估算法",Y641="算法类",Y641="无法识别"),"",IF(Y641="",IF(OR(J641="ILF",J641="EIF",J641="EI",J641="EO",J641="EQ"),0,""),LEN(Y641)-LEN(SUBSTITUTE(SUBSTITUTE(SUBSTITUTE(SUBSTITUTE(SUBSTITUTE(Y641,"|}","--"),"{|","--"),CHAR(10),""),"、",""),"|",""))+IF(AND(OR(J641="EI",J641="EO",J641="EQ"),$AE$1="NESMA"),2,1)))</f>
        <v/>
      </c>
      <c r="P641" s="86">
        <f>IF(J641="EI",IF(OR(Y641="估算法",Y641="算法类"),"中",IF(Y641="无法识别","低",IF(M641&lt;2,IF(O641&lt;16,"低","中"),IF(M641&lt;3,IF(O641&lt;5,"低",IF(O641&lt;16,"中","高")),IF(O641&lt;5,"中","高"))))),IF(OR(J641="EO",J641="EQ"),IF(OR(Y641="估算法",Y641="算法类"),"中",IF(Y641="无法识别","低",IF(M641&lt;2,IF(O641&lt;20,"低","中"),IF(M641&lt;4,IF(O641&lt;6,"低",IF(O641&lt;20,"中","高")),IF(O641&lt;6,"中","高"))))),IF(OR(J641="ILF",J641="EIF"),IF(OR(Y641="估算法",Y641="算法类",Y641="无法识别"),"低",IF(N641&lt;2,IF(O641&lt;51,"低","中"),IF(N641&lt;6,IF(O641&lt;20,"低",IF(O641&lt;51,"中","高")),IF(O641&lt;20,"中","高")))),"不计算")))</f>
        <v/>
      </c>
      <c r="Q641" s="172">
        <f>IFERROR(IF(J641="EI",IF(P641="低",3,IF(P641="中",4,6)),IF(J641="EO",IF(P641="低",4,IF(P641="中",5,7)),IF(J641="EQ",IF(P641="低",3,IF(P641="中",4,6)),IF(J641="ILF",IF(P641="低",7,IF(P641="中",10,15)),IF(J641="EIF",IF(P641="低",5,IF(P641="中",7,10)),"不计算")))))*R641,"不计算")</f>
        <v/>
      </c>
      <c r="R641" s="172" t="n">
        <v>0.1</v>
      </c>
      <c r="S641" s="173">
        <f>调整因子!$F$13</f>
        <v/>
      </c>
      <c r="T641" s="93" t="n">
        <v>1</v>
      </c>
      <c r="U641" s="174">
        <f>IFERROR(Q641*S641,0)</f>
        <v/>
      </c>
      <c r="V641" s="174">
        <f>U641*T641</f>
        <v/>
      </c>
      <c r="W641" s="93" t="inlineStr">
        <is>
          <t>未排查资产数量统计数据表、业务场景数据表、工单数据表、资产数据表</t>
        </is>
      </c>
      <c r="X641" s="91" t="n"/>
      <c r="Y641" s="93" t="inlineStr">
        <is>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is>
      </c>
      <c r="Z641" s="90" t="n"/>
      <c r="AA641" s="90" t="n"/>
      <c r="AB641" s="115" t="n"/>
    </row>
    <row r="642" s="112">
      <c r="A642" s="72">
        <f>ROW()-1</f>
        <v/>
      </c>
      <c r="B642" s="175" t="n"/>
      <c r="C642" s="80" t="n">
        <v>2025</v>
      </c>
      <c r="D642" s="80" t="inlineStr">
        <is>
          <t>汤凤欣</t>
        </is>
      </c>
      <c r="E642" s="81">
        <f>VLOOKUP(I642,'25年交付功能（不含废弃）'!A:A,1,FALSE)</f>
        <v/>
      </c>
      <c r="F642" s="175" t="n"/>
      <c r="G642" s="175" t="n"/>
      <c r="H642" s="175" t="n"/>
      <c r="I642" s="117" t="inlineStr">
        <is>
          <t>未闭环系统漏洞统计</t>
        </is>
      </c>
      <c r="J642" s="93" t="inlineStr">
        <is>
          <t>EO</t>
        </is>
      </c>
      <c r="K642" s="84" t="n"/>
      <c r="L642" s="84" t="inlineStr">
        <is>
          <t>无法判断是否在相同界面展示统计结果</t>
        </is>
      </c>
      <c r="M642" s="85">
        <f>IF(OR(Y642="估算法",Y642="算法类",Y642="无法识别"),"",IF(W642="",IF(OR(J642="EI",J642="EO",J642="EQ"),0,""),LEN(W642)-LEN(SUBSTITUTE(W642,"、",""))+1))</f>
        <v/>
      </c>
      <c r="N642" s="85">
        <f>IF(OR(Y642="估算法",Y642="算法类",Y642="无法识别"),"",IF(X642="",IF(OR(J642="ILF",J642="EIF"),0,""),LEN(X642)-LEN(SUBSTITUTE(X642,"、",""))+1))</f>
        <v/>
      </c>
      <c r="O642" s="85">
        <f>IF(OR(Y642="估算法",Y642="算法类",Y642="无法识别"),"",IF(Y642="",IF(OR(J642="ILF",J642="EIF",J642="EI",J642="EO",J642="EQ"),0,""),LEN(Y642)-LEN(SUBSTITUTE(SUBSTITUTE(SUBSTITUTE(SUBSTITUTE(SUBSTITUTE(Y642,"|}","--"),"{|","--"),CHAR(10),""),"、",""),"|",""))+IF(AND(OR(J642="EI",J642="EO",J642="EQ"),$AE$1="NESMA"),2,1)))</f>
        <v/>
      </c>
      <c r="P642" s="86">
        <f>IF(J642="EI",IF(OR(Y642="估算法",Y642="算法类"),"中",IF(Y642="无法识别","低",IF(M642&lt;2,IF(O642&lt;16,"低","中"),IF(M642&lt;3,IF(O642&lt;5,"低",IF(O642&lt;16,"中","高")),IF(O642&lt;5,"中","高"))))),IF(OR(J642="EO",J642="EQ"),IF(OR(Y642="估算法",Y642="算法类"),"中",IF(Y642="无法识别","低",IF(M642&lt;2,IF(O642&lt;20,"低","中"),IF(M642&lt;4,IF(O642&lt;6,"低",IF(O642&lt;20,"中","高")),IF(O642&lt;6,"中","高"))))),IF(OR(J642="ILF",J642="EIF"),IF(OR(Y642="估算法",Y642="算法类",Y642="无法识别"),"低",IF(N642&lt;2,IF(O642&lt;51,"低","中"),IF(N642&lt;6,IF(O642&lt;20,"低",IF(O642&lt;51,"中","高")),IF(O642&lt;20,"中","高")))),"不计算")))</f>
        <v/>
      </c>
      <c r="Q642" s="172">
        <f>IFERROR(IF(J642="EI",IF(P642="低",3,IF(P642="中",4,6)),IF(J642="EO",IF(P642="低",4,IF(P642="中",5,7)),IF(J642="EQ",IF(P642="低",3,IF(P642="中",4,6)),IF(J642="ILF",IF(P642="低",7,IF(P642="中",10,15)),IF(J642="EIF",IF(P642="低",5,IF(P642="中",7,10)),"不计算")))))*R642,"不计算")</f>
        <v/>
      </c>
      <c r="R642" s="172" t="n">
        <v>0.1</v>
      </c>
      <c r="S642" s="173">
        <f>调整因子!$F$13</f>
        <v/>
      </c>
      <c r="T642" s="92" t="n">
        <v>1</v>
      </c>
      <c r="U642" s="174">
        <f>IFERROR(Q642*S642,0)</f>
        <v/>
      </c>
      <c r="V642" s="174">
        <f>U642*T642</f>
        <v/>
      </c>
      <c r="W642" s="93" t="inlineStr">
        <is>
          <t>未闭环系统漏洞统计数据表、业务场景数据表、系统漏洞数据表、工单数据表、系统漏洞状态数据表</t>
        </is>
      </c>
      <c r="X642" s="91" t="n"/>
      <c r="Y642" s="93" t="inlineStr">
        <is>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is>
      </c>
      <c r="Z642" s="90" t="n"/>
      <c r="AA642" s="90" t="n"/>
      <c r="AB642" s="92" t="n"/>
    </row>
    <row r="643" s="112">
      <c r="A643" s="72">
        <f>ROW()-1</f>
        <v/>
      </c>
      <c r="B643" s="175" t="n"/>
      <c r="C643" s="80" t="n">
        <v>2025</v>
      </c>
      <c r="D643" s="80" t="inlineStr">
        <is>
          <t>汤凤欣</t>
        </is>
      </c>
      <c r="E643" s="81">
        <f>VLOOKUP(I643,'25年交付功能（不含废弃）'!A:A,1,FALSE)</f>
        <v/>
      </c>
      <c r="F643" s="175" t="n"/>
      <c r="G643" s="175" t="n"/>
      <c r="H643" s="175" t="n"/>
      <c r="I643" s="117" t="inlineStr">
        <is>
          <t>漏洞扫描覆盖资产统计</t>
        </is>
      </c>
      <c r="J643" s="93" t="inlineStr">
        <is>
          <t>EO</t>
        </is>
      </c>
      <c r="K643" s="84" t="n"/>
      <c r="L643" s="84" t="inlineStr">
        <is>
          <t>无法判断是否在相同界面展示统计结果</t>
        </is>
      </c>
      <c r="M643" s="85">
        <f>IF(OR(Y643="估算法",Y643="算法类",Y643="无法识别"),"",IF(W643="",IF(OR(J643="EI",J643="EO",J643="EQ"),0,""),LEN(W643)-LEN(SUBSTITUTE(W643,"、",""))+1))</f>
        <v/>
      </c>
      <c r="N643" s="85">
        <f>IF(OR(Y643="估算法",Y643="算法类",Y643="无法识别"),"",IF(X643="",IF(OR(J643="ILF",J643="EIF"),0,""),LEN(X643)-LEN(SUBSTITUTE(X643,"、",""))+1))</f>
        <v/>
      </c>
      <c r="O643" s="85">
        <f>IF(OR(Y643="估算法",Y643="算法类",Y643="无法识别"),"",IF(Y643="",IF(OR(J643="ILF",J643="EIF",J643="EI",J643="EO",J643="EQ"),0,""),LEN(Y643)-LEN(SUBSTITUTE(SUBSTITUTE(SUBSTITUTE(SUBSTITUTE(SUBSTITUTE(Y643,"|}","--"),"{|","--"),CHAR(10),""),"、",""),"|",""))+IF(AND(OR(J643="EI",J643="EO",J643="EQ"),$AE$1="NESMA"),2,1)))</f>
        <v/>
      </c>
      <c r="P643" s="86">
        <f>IF(J643="EI",IF(OR(Y643="估算法",Y643="算法类"),"中",IF(Y643="无法识别","低",IF(M643&lt;2,IF(O643&lt;16,"低","中"),IF(M643&lt;3,IF(O643&lt;5,"低",IF(O643&lt;16,"中","高")),IF(O643&lt;5,"中","高"))))),IF(OR(J643="EO",J643="EQ"),IF(OR(Y643="估算法",Y643="算法类"),"中",IF(Y643="无法识别","低",IF(M643&lt;2,IF(O643&lt;20,"低","中"),IF(M643&lt;4,IF(O643&lt;6,"低",IF(O643&lt;20,"中","高")),IF(O643&lt;6,"中","高"))))),IF(OR(J643="ILF",J643="EIF"),IF(OR(Y643="估算法",Y643="算法类",Y643="无法识别"),"低",IF(N643&lt;2,IF(O643&lt;51,"低","中"),IF(N643&lt;6,IF(O643&lt;20,"低",IF(O643&lt;51,"中","高")),IF(O643&lt;20,"中","高")))),"不计算")))</f>
        <v/>
      </c>
      <c r="Q643" s="172">
        <f>IFERROR(IF(J643="EI",IF(P643="低",3,IF(P643="中",4,6)),IF(J643="EO",IF(P643="低",4,IF(P643="中",5,7)),IF(J643="EQ",IF(P643="低",3,IF(P643="中",4,6)),IF(J643="ILF",IF(P643="低",7,IF(P643="中",10,15)),IF(J643="EIF",IF(P643="低",5,IF(P643="中",7,10)),"不计算")))))*R643,"不计算")</f>
        <v/>
      </c>
      <c r="R643" s="172" t="n">
        <v>0.1</v>
      </c>
      <c r="S643" s="173">
        <f>调整因子!$F$13</f>
        <v/>
      </c>
      <c r="T643" s="92" t="n">
        <v>1</v>
      </c>
      <c r="U643" s="174">
        <f>IFERROR(Q643*S643,0)</f>
        <v/>
      </c>
      <c r="V643" s="174">
        <f>U643*T643</f>
        <v/>
      </c>
      <c r="W643" s="93" t="inlineStr">
        <is>
          <t>漏洞扫描覆盖资产统计数据表、业务场景数据表、系统漏洞数据表、扫描任务数据表</t>
        </is>
      </c>
      <c r="X643" s="91" t="n"/>
      <c r="Y643" s="93" t="inlineStr">
        <is>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is>
      </c>
      <c r="Z643" s="90" t="n"/>
      <c r="AA643" s="90" t="n"/>
      <c r="AB643" s="115" t="n"/>
    </row>
    <row r="644" s="112">
      <c r="A644" s="72">
        <f>ROW()-1</f>
        <v/>
      </c>
      <c r="B644" s="175" t="n"/>
      <c r="C644" s="80" t="n">
        <v>2025</v>
      </c>
      <c r="D644" s="80" t="inlineStr">
        <is>
          <t>汤凤欣</t>
        </is>
      </c>
      <c r="E644" s="81">
        <f>VLOOKUP(I644,'25年交付功能（不含废弃）'!A:A,1,FALSE)</f>
        <v/>
      </c>
      <c r="F644" s="175" t="n"/>
      <c r="G644" s="175" t="n"/>
      <c r="H644" s="175" t="n"/>
      <c r="I644" s="116" t="inlineStr">
        <is>
          <t>系统漏洞修复成功统计</t>
        </is>
      </c>
      <c r="J644" s="93" t="inlineStr">
        <is>
          <t>EO</t>
        </is>
      </c>
      <c r="K644" s="84" t="n"/>
      <c r="L644" s="84" t="inlineStr">
        <is>
          <t>无法判断是否在相同界面展示统计结果</t>
        </is>
      </c>
      <c r="M644" s="85">
        <f>IF(OR(Y644="估算法",Y644="算法类",Y644="无法识别"),"",IF(W644="",IF(OR(J644="EI",J644="EO",J644="EQ"),0,""),LEN(W644)-LEN(SUBSTITUTE(W644,"、",""))+1))</f>
        <v/>
      </c>
      <c r="N644" s="85">
        <f>IF(OR(Y644="估算法",Y644="算法类",Y644="无法识别"),"",IF(X644="",IF(OR(J644="ILF",J644="EIF"),0,""),LEN(X644)-LEN(SUBSTITUTE(X644,"、",""))+1))</f>
        <v/>
      </c>
      <c r="O644" s="85">
        <f>IF(OR(Y644="估算法",Y644="算法类",Y644="无法识别"),"",IF(Y644="",IF(OR(J644="ILF",J644="EIF",J644="EI",J644="EO",J644="EQ"),0,""),LEN(Y644)-LEN(SUBSTITUTE(SUBSTITUTE(SUBSTITUTE(SUBSTITUTE(SUBSTITUTE(Y644,"|}","--"),"{|","--"),CHAR(10),""),"、",""),"|",""))+IF(AND(OR(J644="EI",J644="EO",J644="EQ"),$AE$1="NESMA"),2,1)))</f>
        <v/>
      </c>
      <c r="P644" s="86">
        <f>IF(J644="EI",IF(OR(Y644="估算法",Y644="算法类"),"中",IF(Y644="无法识别","低",IF(M644&lt;2,IF(O644&lt;16,"低","中"),IF(M644&lt;3,IF(O644&lt;5,"低",IF(O644&lt;16,"中","高")),IF(O644&lt;5,"中","高"))))),IF(OR(J644="EO",J644="EQ"),IF(OR(Y644="估算法",Y644="算法类"),"中",IF(Y644="无法识别","低",IF(M644&lt;2,IF(O644&lt;20,"低","中"),IF(M644&lt;4,IF(O644&lt;6,"低",IF(O644&lt;20,"中","高")),IF(O644&lt;6,"中","高"))))),IF(OR(J644="ILF",J644="EIF"),IF(OR(Y644="估算法",Y644="算法类",Y644="无法识别"),"低",IF(N644&lt;2,IF(O644&lt;51,"低","中"),IF(N644&lt;6,IF(O644&lt;20,"低",IF(O644&lt;51,"中","高")),IF(O644&lt;20,"中","高")))),"不计算")))</f>
        <v/>
      </c>
      <c r="Q644" s="172">
        <f>IFERROR(IF(J644="EI",IF(P644="低",3,IF(P644="中",4,6)),IF(J644="EO",IF(P644="低",4,IF(P644="中",5,7)),IF(J644="EQ",IF(P644="低",3,IF(P644="中",4,6)),IF(J644="ILF",IF(P644="低",7,IF(P644="中",10,15)),IF(J644="EIF",IF(P644="低",5,IF(P644="中",7,10)),"不计算")))))*R644,"不计算")</f>
        <v/>
      </c>
      <c r="R644" s="172" t="n">
        <v>0.1</v>
      </c>
      <c r="S644" s="173">
        <f>调整因子!$F$13</f>
        <v/>
      </c>
      <c r="T644" s="93" t="n">
        <v>1</v>
      </c>
      <c r="U644" s="174">
        <f>IFERROR(Q644*S644,0)</f>
        <v/>
      </c>
      <c r="V644" s="174">
        <f>U644*T644</f>
        <v/>
      </c>
      <c r="W644" s="93" t="inlineStr">
        <is>
          <t>系统漏洞修复成功统计数据表、业务场景数据表、系统漏洞数据表、工单数据表</t>
        </is>
      </c>
      <c r="X644" s="91" t="n"/>
      <c r="Y644" s="93" t="inlineStr">
        <is>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4" s="90" t="n"/>
      <c r="AA644" s="90" t="n"/>
      <c r="AB644" s="92" t="n"/>
    </row>
    <row r="645" s="112">
      <c r="A645" s="72">
        <f>ROW()-1</f>
        <v/>
      </c>
      <c r="B645" s="175" t="n"/>
      <c r="C645" s="80" t="n">
        <v>2025</v>
      </c>
      <c r="D645" s="80" t="inlineStr">
        <is>
          <t>汤凤欣</t>
        </is>
      </c>
      <c r="E645" s="81">
        <f>VLOOKUP(I645,'25年交付功能（不含废弃）'!A:A,1,FALSE)</f>
        <v/>
      </c>
      <c r="F645" s="175" t="n"/>
      <c r="G645" s="175" t="n"/>
      <c r="H645" s="175" t="n"/>
      <c r="I645" s="117" t="inlineStr">
        <is>
          <t>系统漏洞初始修复统计</t>
        </is>
      </c>
      <c r="J645" s="93" t="inlineStr">
        <is>
          <t>EO</t>
        </is>
      </c>
      <c r="K645" s="84" t="n"/>
      <c r="L645" s="84" t="inlineStr">
        <is>
          <t>无法判断是否在相同界面展示统计结果</t>
        </is>
      </c>
      <c r="M645" s="85">
        <f>IF(OR(Y645="估算法",Y645="算法类",Y645="无法识别"),"",IF(W645="",IF(OR(J645="EI",J645="EO",J645="EQ"),0,""),LEN(W645)-LEN(SUBSTITUTE(W645,"、",""))+1))</f>
        <v/>
      </c>
      <c r="N645" s="85">
        <f>IF(OR(Y645="估算法",Y645="算法类",Y645="无法识别"),"",IF(X645="",IF(OR(J645="ILF",J645="EIF"),0,""),LEN(X645)-LEN(SUBSTITUTE(X645,"、",""))+1))</f>
        <v/>
      </c>
      <c r="O645" s="85">
        <f>IF(OR(Y645="估算法",Y645="算法类",Y645="无法识别"),"",IF(Y645="",IF(OR(J645="ILF",J645="EIF",J645="EI",J645="EO",J645="EQ"),0,""),LEN(Y645)-LEN(SUBSTITUTE(SUBSTITUTE(SUBSTITUTE(SUBSTITUTE(SUBSTITUTE(Y645,"|}","--"),"{|","--"),CHAR(10),""),"、",""),"|",""))+IF(AND(OR(J645="EI",J645="EO",J645="EQ"),$AE$1="NESMA"),2,1)))</f>
        <v/>
      </c>
      <c r="P645" s="86">
        <f>IF(J645="EI",IF(OR(Y645="估算法",Y645="算法类"),"中",IF(Y645="无法识别","低",IF(M645&lt;2,IF(O645&lt;16,"低","中"),IF(M645&lt;3,IF(O645&lt;5,"低",IF(O645&lt;16,"中","高")),IF(O645&lt;5,"中","高"))))),IF(OR(J645="EO",J645="EQ"),IF(OR(Y645="估算法",Y645="算法类"),"中",IF(Y645="无法识别","低",IF(M645&lt;2,IF(O645&lt;20,"低","中"),IF(M645&lt;4,IF(O645&lt;6,"低",IF(O645&lt;20,"中","高")),IF(O645&lt;6,"中","高"))))),IF(OR(J645="ILF",J645="EIF"),IF(OR(Y645="估算法",Y645="算法类",Y645="无法识别"),"低",IF(N645&lt;2,IF(O645&lt;51,"低","中"),IF(N645&lt;6,IF(O645&lt;20,"低",IF(O645&lt;51,"中","高")),IF(O645&lt;20,"中","高")))),"不计算")))</f>
        <v/>
      </c>
      <c r="Q645" s="172">
        <f>IFERROR(IF(J645="EI",IF(P645="低",3,IF(P645="中",4,6)),IF(J645="EO",IF(P645="低",4,IF(P645="中",5,7)),IF(J645="EQ",IF(P645="低",3,IF(P645="中",4,6)),IF(J645="ILF",IF(P645="低",7,IF(P645="中",10,15)),IF(J645="EIF",IF(P645="低",5,IF(P645="中",7,10)),"不计算")))))*R645,"不计算")</f>
        <v/>
      </c>
      <c r="R645" s="172" t="n">
        <v>0.1</v>
      </c>
      <c r="S645" s="173">
        <f>调整因子!$F$13</f>
        <v/>
      </c>
      <c r="T645" s="92" t="n">
        <v>1</v>
      </c>
      <c r="U645" s="174">
        <f>IFERROR(Q645*S645,0)</f>
        <v/>
      </c>
      <c r="V645" s="174">
        <f>U645*T645</f>
        <v/>
      </c>
      <c r="W645" s="93" t="inlineStr">
        <is>
          <t>系统漏洞初始修复统计数据表、业务场景数据表、系统漏洞数据表、工单数据表</t>
        </is>
      </c>
      <c r="X645" s="91" t="n"/>
      <c r="Y645" s="93" t="inlineStr">
        <is>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5" s="90" t="n"/>
      <c r="AA645" s="90" t="n"/>
      <c r="AB645" s="115" t="n"/>
    </row>
    <row r="646" s="112">
      <c r="A646" s="72">
        <f>ROW()-1</f>
        <v/>
      </c>
      <c r="B646" s="175" t="n"/>
      <c r="C646" s="80" t="n">
        <v>2025</v>
      </c>
      <c r="D646" s="80" t="inlineStr">
        <is>
          <t>汤凤欣</t>
        </is>
      </c>
      <c r="E646" s="81">
        <f>VLOOKUP(I646,'25年交付功能（不含废弃）'!A:A,1,FALSE)</f>
        <v/>
      </c>
      <c r="F646" s="175" t="n"/>
      <c r="G646" s="175" t="n"/>
      <c r="H646" s="175" t="n"/>
      <c r="I646" s="117" t="inlineStr">
        <is>
          <t>误报系统漏洞数统计</t>
        </is>
      </c>
      <c r="J646" s="93" t="inlineStr">
        <is>
          <t>EO</t>
        </is>
      </c>
      <c r="K646" s="84" t="n"/>
      <c r="L646" s="84" t="inlineStr">
        <is>
          <t>无法判断是否在相同界面展示统计结果</t>
        </is>
      </c>
      <c r="M646" s="85">
        <f>IF(OR(Y646="估算法",Y646="算法类",Y646="无法识别"),"",IF(W646="",IF(OR(J646="EI",J646="EO",J646="EQ"),0,""),LEN(W646)-LEN(SUBSTITUTE(W646,"、",""))+1))</f>
        <v/>
      </c>
      <c r="N646" s="85">
        <f>IF(OR(Y646="估算法",Y646="算法类",Y646="无法识别"),"",IF(X646="",IF(OR(J646="ILF",J646="EIF"),0,""),LEN(X646)-LEN(SUBSTITUTE(X646,"、",""))+1))</f>
        <v/>
      </c>
      <c r="O646" s="85">
        <f>IF(OR(Y646="估算法",Y646="算法类",Y646="无法识别"),"",IF(Y646="",IF(OR(J646="ILF",J646="EIF",J646="EI",J646="EO",J646="EQ"),0,""),LEN(Y646)-LEN(SUBSTITUTE(SUBSTITUTE(SUBSTITUTE(SUBSTITUTE(SUBSTITUTE(Y646,"|}","--"),"{|","--"),CHAR(10),""),"、",""),"|",""))+IF(AND(OR(J646="EI",J646="EO",J646="EQ"),$AE$1="NESMA"),2,1)))</f>
        <v/>
      </c>
      <c r="P646" s="86">
        <f>IF(J646="EI",IF(OR(Y646="估算法",Y646="算法类"),"中",IF(Y646="无法识别","低",IF(M646&lt;2,IF(O646&lt;16,"低","中"),IF(M646&lt;3,IF(O646&lt;5,"低",IF(O646&lt;16,"中","高")),IF(O646&lt;5,"中","高"))))),IF(OR(J646="EO",J646="EQ"),IF(OR(Y646="估算法",Y646="算法类"),"中",IF(Y646="无法识别","低",IF(M646&lt;2,IF(O646&lt;20,"低","中"),IF(M646&lt;4,IF(O646&lt;6,"低",IF(O646&lt;20,"中","高")),IF(O646&lt;6,"中","高"))))),IF(OR(J646="ILF",J646="EIF"),IF(OR(Y646="估算法",Y646="算法类",Y646="无法识别"),"低",IF(N646&lt;2,IF(O646&lt;51,"低","中"),IF(N646&lt;6,IF(O646&lt;20,"低",IF(O646&lt;51,"中","高")),IF(O646&lt;20,"中","高")))),"不计算")))</f>
        <v/>
      </c>
      <c r="Q646" s="172">
        <f>IFERROR(IF(J646="EI",IF(P646="低",3,IF(P646="中",4,6)),IF(J646="EO",IF(P646="低",4,IF(P646="中",5,7)),IF(J646="EQ",IF(P646="低",3,IF(P646="中",4,6)),IF(J646="ILF",IF(P646="低",7,IF(P646="中",10,15)),IF(J646="EIF",IF(P646="低",5,IF(P646="中",7,10)),"不计算")))))*R646,"不计算")</f>
        <v/>
      </c>
      <c r="R646" s="172" t="n">
        <v>0.1</v>
      </c>
      <c r="S646" s="173">
        <f>调整因子!$F$13</f>
        <v/>
      </c>
      <c r="T646" s="92" t="n">
        <v>1</v>
      </c>
      <c r="U646" s="174">
        <f>IFERROR(Q646*S646,0)</f>
        <v/>
      </c>
      <c r="V646" s="174">
        <f>U646*T646</f>
        <v/>
      </c>
      <c r="W646" s="93" t="inlineStr">
        <is>
          <t>误报系统漏洞数统计数据表、业务场景数据表、系统漏洞数据表、工单数据表</t>
        </is>
      </c>
      <c r="X646" s="91" t="n"/>
      <c r="Y646" s="93" t="inlineStr">
        <is>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46" s="90" t="n"/>
      <c r="AA646" s="90" t="n"/>
      <c r="AB646" s="92" t="n"/>
    </row>
    <row r="647" s="112">
      <c r="A647" s="72">
        <f>ROW()-1</f>
        <v/>
      </c>
      <c r="B647" s="175" t="n"/>
      <c r="C647" s="80" t="n">
        <v>2025</v>
      </c>
      <c r="D647" s="80" t="inlineStr">
        <is>
          <t>汤凤欣</t>
        </is>
      </c>
      <c r="E647" s="81">
        <f>VLOOKUP(I647,'25年交付功能（不含废弃）'!A:A,1,FALSE)</f>
        <v/>
      </c>
      <c r="F647" s="175" t="n"/>
      <c r="G647" s="175" t="n"/>
      <c r="H647" s="175" t="n"/>
      <c r="I647" s="98" t="inlineStr">
        <is>
          <t>修复失败原因漏洞统计数据表</t>
        </is>
      </c>
      <c r="J647" s="93" t="inlineStr">
        <is>
          <t>ILF</t>
        </is>
      </c>
      <c r="K647" s="84" t="n"/>
      <c r="L647" s="84" t="inlineStr">
        <is>
          <t>数据库表未被本系统所维护</t>
        </is>
      </c>
      <c r="M647" s="85">
        <f>IF(OR(Y647="估算法",Y647="算法类",Y647="无法识别"),"",IF(W647="",IF(OR(J647="EI",J647="EO",J647="EQ"),0,""),LEN(W647)-LEN(SUBSTITUTE(W647,"、",""))+1))</f>
        <v/>
      </c>
      <c r="N647" s="85">
        <f>IF(OR(Y647="估算法",Y647="算法类",Y647="无法识别"),"",IF(X647="",IF(OR(J647="ILF",J647="EIF"),0,""),LEN(X647)-LEN(SUBSTITUTE(X647,"、",""))+1))</f>
        <v/>
      </c>
      <c r="O647" s="85">
        <f>IF(OR(Y647="估算法",Y647="算法类",Y647="无法识别"),"",IF(Y647="",IF(OR(J647="ILF",J647="EIF",J647="EI",J647="EO",J647="EQ"),0,""),LEN(Y647)-LEN(SUBSTITUTE(SUBSTITUTE(SUBSTITUTE(SUBSTITUTE(SUBSTITUTE(Y647,"|}","--"),"{|","--"),CHAR(10),""),"、",""),"|",""))+IF(AND(OR(J647="EI",J647="EO",J647="EQ"),$AE$1="NESMA"),2,1)))</f>
        <v/>
      </c>
      <c r="P647" s="86">
        <f>IF(J647="EI",IF(OR(Y647="估算法",Y647="算法类"),"中",IF(Y647="无法识别","低",IF(M647&lt;2,IF(O647&lt;16,"低","中"),IF(M647&lt;3,IF(O647&lt;5,"低",IF(O647&lt;16,"中","高")),IF(O647&lt;5,"中","高"))))),IF(OR(J647="EO",J647="EQ"),IF(OR(Y647="估算法",Y647="算法类"),"中",IF(Y647="无法识别","低",IF(M647&lt;2,IF(O647&lt;20,"低","中"),IF(M647&lt;4,IF(O647&lt;6,"低",IF(O647&lt;20,"中","高")),IF(O647&lt;6,"中","高"))))),IF(OR(J647="ILF",J647="EIF"),IF(OR(Y647="估算法",Y647="算法类",Y647="无法识别"),"低",IF(N647&lt;2,IF(O647&lt;51,"低","中"),IF(N647&lt;6,IF(O647&lt;20,"低",IF(O647&lt;51,"中","高")),IF(O647&lt;20,"中","高")))),"不计算")))</f>
        <v/>
      </c>
      <c r="Q647" s="172">
        <f>IFERROR(IF(J647="EI",IF(P647="低",3,IF(P647="中",4,6)),IF(J647="EO",IF(P647="低",4,IF(P647="中",5,7)),IF(J647="EQ",IF(P647="低",3,IF(P647="中",4,6)),IF(J647="ILF",IF(P647="低",7,IF(P647="中",10,15)),IF(J647="EIF",IF(P647="低",5,IF(P647="中",7,10)),"不计算")))))*R647,"不计算")</f>
        <v/>
      </c>
      <c r="R647" s="172" t="n">
        <v>0</v>
      </c>
      <c r="S647" s="173">
        <f>调整因子!$F$13</f>
        <v/>
      </c>
      <c r="T647" s="93" t="n">
        <v>1</v>
      </c>
      <c r="U647" s="174">
        <f>IFERROR(Q647*S647,0)</f>
        <v/>
      </c>
      <c r="V647" s="174">
        <f>U647*T647</f>
        <v/>
      </c>
      <c r="W647" s="91" t="n"/>
      <c r="X647" s="93" t="inlineStr">
        <is>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is>
      </c>
      <c r="Y647" s="93" t="inlineStr">
        <is>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is>
      </c>
      <c r="Z647" s="90">
        <f>IF(COUNTIFS(W:W,"*"&amp;I647&amp;"*")&gt;0,"存在","不存在")</f>
        <v/>
      </c>
      <c r="AA647" s="90">
        <f>IF(COUNTIFS(AB:AB,"*"&amp;I647&amp;"*")&gt;0,"存在","不存在")</f>
        <v/>
      </c>
      <c r="AB647" s="115" t="n"/>
    </row>
    <row r="648" s="112">
      <c r="A648" s="72">
        <f>ROW()-1</f>
        <v/>
      </c>
      <c r="B648" s="175" t="n"/>
      <c r="C648" s="80" t="n">
        <v>2025</v>
      </c>
      <c r="D648" s="80" t="inlineStr">
        <is>
          <t>汤凤欣</t>
        </is>
      </c>
      <c r="E648" s="81">
        <f>VLOOKUP(I648,'25年交付功能（不含废弃）'!A:A,1,FALSE)</f>
        <v/>
      </c>
      <c r="F648" s="175" t="n"/>
      <c r="G648" s="175" t="n"/>
      <c r="H648" s="175" t="n"/>
      <c r="I648" s="98" t="inlineStr">
        <is>
          <t>入口系统漏洞数统计数据表</t>
        </is>
      </c>
      <c r="J648" s="93" t="inlineStr">
        <is>
          <t>ILF</t>
        </is>
      </c>
      <c r="K648" s="84" t="n"/>
      <c r="L648" s="84" t="inlineStr">
        <is>
          <t>数据库表未被本系统所维护</t>
        </is>
      </c>
      <c r="M648" s="85">
        <f>IF(OR(Y648="估算法",Y648="算法类",Y648="无法识别"),"",IF(W648="",IF(OR(J648="EI",J648="EO",J648="EQ"),0,""),LEN(W648)-LEN(SUBSTITUTE(W648,"、",""))+1))</f>
        <v/>
      </c>
      <c r="N648" s="85">
        <f>IF(OR(Y648="估算法",Y648="算法类",Y648="无法识别"),"",IF(X648="",IF(OR(J648="ILF",J648="EIF"),0,""),LEN(X648)-LEN(SUBSTITUTE(X648,"、",""))+1))</f>
        <v/>
      </c>
      <c r="O648" s="85">
        <f>IF(OR(Y648="估算法",Y648="算法类",Y648="无法识别"),"",IF(Y648="",IF(OR(J648="ILF",J648="EIF",J648="EI",J648="EO",J648="EQ"),0,""),LEN(Y648)-LEN(SUBSTITUTE(SUBSTITUTE(SUBSTITUTE(SUBSTITUTE(SUBSTITUTE(Y648,"|}","--"),"{|","--"),CHAR(10),""),"、",""),"|",""))+IF(AND(OR(J648="EI",J648="EO",J648="EQ"),$AE$1="NESMA"),2,1)))</f>
        <v/>
      </c>
      <c r="P648" s="86">
        <f>IF(J648="EI",IF(OR(Y648="估算法",Y648="算法类"),"中",IF(Y648="无法识别","低",IF(M648&lt;2,IF(O648&lt;16,"低","中"),IF(M648&lt;3,IF(O648&lt;5,"低",IF(O648&lt;16,"中","高")),IF(O648&lt;5,"中","高"))))),IF(OR(J648="EO",J648="EQ"),IF(OR(Y648="估算法",Y648="算法类"),"中",IF(Y648="无法识别","低",IF(M648&lt;2,IF(O648&lt;20,"低","中"),IF(M648&lt;4,IF(O648&lt;6,"低",IF(O648&lt;20,"中","高")),IF(O648&lt;6,"中","高"))))),IF(OR(J648="ILF",J648="EIF"),IF(OR(Y648="估算法",Y648="算法类",Y648="无法识别"),"低",IF(N648&lt;2,IF(O648&lt;51,"低","中"),IF(N648&lt;6,IF(O648&lt;20,"低",IF(O648&lt;51,"中","高")),IF(O648&lt;20,"中","高")))),"不计算")))</f>
        <v/>
      </c>
      <c r="Q648" s="172">
        <f>IFERROR(IF(J648="EI",IF(P648="低",3,IF(P648="中",4,6)),IF(J648="EO",IF(P648="低",4,IF(P648="中",5,7)),IF(J648="EQ",IF(P648="低",3,IF(P648="中",4,6)),IF(J648="ILF",IF(P648="低",7,IF(P648="中",10,15)),IF(J648="EIF",IF(P648="低",5,IF(P648="中",7,10)),"不计算")))))*R648,"不计算")</f>
        <v/>
      </c>
      <c r="R648" s="172" t="n">
        <v>0</v>
      </c>
      <c r="S648" s="173">
        <f>调整因子!$F$13</f>
        <v/>
      </c>
      <c r="T648" s="92" t="n">
        <v>1</v>
      </c>
      <c r="U648" s="174">
        <f>IFERROR(Q648*S648,0)</f>
        <v/>
      </c>
      <c r="V648" s="174">
        <f>U648*T648</f>
        <v/>
      </c>
      <c r="W648" s="91" t="n"/>
      <c r="X648" s="93" t="inlineStr">
        <is>
          <t>入口系统漏洞数统计数据表</t>
        </is>
      </c>
      <c r="Y648" s="93" t="inlineStr">
        <is>
          <t>入口系统漏洞数统计数据表{ID、日期、业务场景ID、系统漏洞ID、排查工单ID|}</t>
        </is>
      </c>
      <c r="Z648" s="90">
        <f>IF(COUNTIFS(W:W,"*"&amp;I648&amp;"*")&gt;0,"存在","不存在")</f>
        <v/>
      </c>
      <c r="AA648" s="90">
        <f>IF(COUNTIFS(AB:AB,"*"&amp;I648&amp;"*")&gt;0,"存在","不存在")</f>
        <v/>
      </c>
      <c r="AB648" s="92" t="n"/>
    </row>
    <row r="649" s="112">
      <c r="A649" s="72">
        <f>ROW()-1</f>
        <v/>
      </c>
      <c r="B649" s="175" t="n"/>
      <c r="C649" s="80" t="n">
        <v>2025</v>
      </c>
      <c r="D649" s="80" t="inlineStr">
        <is>
          <t>汤凤欣</t>
        </is>
      </c>
      <c r="E649" s="81">
        <f>VLOOKUP(I649,'25年交付功能（不含废弃）'!A:A,1,FALSE)</f>
        <v/>
      </c>
      <c r="F649" s="175" t="n"/>
      <c r="G649" s="175" t="n"/>
      <c r="H649" s="175" t="n"/>
      <c r="I649" s="98" t="inlineStr">
        <is>
          <t>关联分析覆盖统计数据表</t>
        </is>
      </c>
      <c r="J649" s="93" t="inlineStr">
        <is>
          <t>ILF</t>
        </is>
      </c>
      <c r="K649" s="84" t="n"/>
      <c r="L649" s="84" t="inlineStr">
        <is>
          <t>数据库表未被本系统所维护</t>
        </is>
      </c>
      <c r="M649" s="85">
        <f>IF(OR(Y649="估算法",Y649="算法类",Y649="无法识别"),"",IF(W649="",IF(OR(J649="EI",J649="EO",J649="EQ"),0,""),LEN(W649)-LEN(SUBSTITUTE(W649,"、",""))+1))</f>
        <v/>
      </c>
      <c r="N649" s="85">
        <f>IF(OR(Y649="估算法",Y649="算法类",Y649="无法识别"),"",IF(X649="",IF(OR(J649="ILF",J649="EIF"),0,""),LEN(X649)-LEN(SUBSTITUTE(X649,"、",""))+1))</f>
        <v/>
      </c>
      <c r="O649" s="85">
        <f>IF(OR(Y649="估算法",Y649="算法类",Y649="无法识别"),"",IF(Y649="",IF(OR(J649="ILF",J649="EIF",J649="EI",J649="EO",J649="EQ"),0,""),LEN(Y649)-LEN(SUBSTITUTE(SUBSTITUTE(SUBSTITUTE(SUBSTITUTE(SUBSTITUTE(Y649,"|}","--"),"{|","--"),CHAR(10),""),"、",""),"|",""))+IF(AND(OR(J649="EI",J649="EO",J649="EQ"),$AE$1="NESMA"),2,1)))</f>
        <v/>
      </c>
      <c r="P649" s="86">
        <f>IF(J649="EI",IF(OR(Y649="估算法",Y649="算法类"),"中",IF(Y649="无法识别","低",IF(M649&lt;2,IF(O649&lt;16,"低","中"),IF(M649&lt;3,IF(O649&lt;5,"低",IF(O649&lt;16,"中","高")),IF(O649&lt;5,"中","高"))))),IF(OR(J649="EO",J649="EQ"),IF(OR(Y649="估算法",Y649="算法类"),"中",IF(Y649="无法识别","低",IF(M649&lt;2,IF(O649&lt;20,"低","中"),IF(M649&lt;4,IF(O649&lt;6,"低",IF(O649&lt;20,"中","高")),IF(O649&lt;6,"中","高"))))),IF(OR(J649="ILF",J649="EIF"),IF(OR(Y649="估算法",Y649="算法类",Y649="无法识别"),"低",IF(N649&lt;2,IF(O649&lt;51,"低","中"),IF(N649&lt;6,IF(O649&lt;20,"低",IF(O649&lt;51,"中","高")),IF(O649&lt;20,"中","高")))),"不计算")))</f>
        <v/>
      </c>
      <c r="Q649" s="172">
        <f>IFERROR(IF(J649="EI",IF(P649="低",3,IF(P649="中",4,6)),IF(J649="EO",IF(P649="低",4,IF(P649="中",5,7)),IF(J649="EQ",IF(P649="低",3,IF(P649="中",4,6)),IF(J649="ILF",IF(P649="低",7,IF(P649="中",10,15)),IF(J649="EIF",IF(P649="低",5,IF(P649="中",7,10)),"不计算")))))*R649,"不计算")</f>
        <v/>
      </c>
      <c r="R649" s="172" t="n">
        <v>0</v>
      </c>
      <c r="S649" s="173">
        <f>调整因子!$F$13</f>
        <v/>
      </c>
      <c r="T649" s="92" t="n">
        <v>1</v>
      </c>
      <c r="U649" s="174">
        <f>IFERROR(Q649*S649,0)</f>
        <v/>
      </c>
      <c r="V649" s="174">
        <f>U649*T649</f>
        <v/>
      </c>
      <c r="W649" s="91" t="n"/>
      <c r="X649" s="93" t="inlineStr">
        <is>
          <t>关联分析覆盖统计数据表</t>
        </is>
      </c>
      <c r="Y649" s="93" t="inlineStr">
        <is>
          <t>关联分析覆盖统计数据表{ID、日期、业务场景ID、资产ID、预警任务ID|}</t>
        </is>
      </c>
      <c r="Z649" s="90">
        <f>IF(COUNTIFS(W:W,"*"&amp;I649&amp;"*")&gt;0,"存在","不存在")</f>
        <v/>
      </c>
      <c r="AA649" s="90">
        <f>IF(COUNTIFS(AB:AB,"*"&amp;I649&amp;"*")&gt;0,"存在","不存在")</f>
        <v/>
      </c>
      <c r="AB649" s="115" t="n"/>
    </row>
    <row r="650" s="112">
      <c r="A650" s="72">
        <f>ROW()-1</f>
        <v/>
      </c>
      <c r="B650" s="175" t="n"/>
      <c r="C650" s="80" t="n">
        <v>2025</v>
      </c>
      <c r="D650" s="80" t="inlineStr">
        <is>
          <t>汤凤欣</t>
        </is>
      </c>
      <c r="E650" s="81">
        <f>VLOOKUP(I650,'25年交付功能（不含废弃）'!A:A,1,FALSE)</f>
        <v/>
      </c>
      <c r="F650" s="175" t="n"/>
      <c r="G650" s="175" t="n"/>
      <c r="H650" s="175" t="n"/>
      <c r="I650" s="98" t="inlineStr">
        <is>
          <t>已扫描产品漏洞统计数据表</t>
        </is>
      </c>
      <c r="J650" s="93" t="inlineStr">
        <is>
          <t>ILF</t>
        </is>
      </c>
      <c r="K650" s="84" t="n"/>
      <c r="L650" s="84" t="inlineStr">
        <is>
          <t>数据库表未被本系统所维护</t>
        </is>
      </c>
      <c r="M650" s="85">
        <f>IF(OR(Y650="估算法",Y650="算法类",Y650="无法识别"),"",IF(W650="",IF(OR(J650="EI",J650="EO",J650="EQ"),0,""),LEN(W650)-LEN(SUBSTITUTE(W650,"、",""))+1))</f>
        <v/>
      </c>
      <c r="N650" s="85">
        <f>IF(OR(Y650="估算法",Y650="算法类",Y650="无法识别"),"",IF(X650="",IF(OR(J650="ILF",J650="EIF"),0,""),LEN(X650)-LEN(SUBSTITUTE(X650,"、",""))+1))</f>
        <v/>
      </c>
      <c r="O650" s="85">
        <f>IF(OR(Y650="估算法",Y650="算法类",Y650="无法识别"),"",IF(Y650="",IF(OR(J650="ILF",J650="EIF",J650="EI",J650="EO",J650="EQ"),0,""),LEN(Y650)-LEN(SUBSTITUTE(SUBSTITUTE(SUBSTITUTE(SUBSTITUTE(SUBSTITUTE(Y650,"|}","--"),"{|","--"),CHAR(10),""),"、",""),"|",""))+IF(AND(OR(J650="EI",J650="EO",J650="EQ"),$AE$1="NESMA"),2,1)))</f>
        <v/>
      </c>
      <c r="P650" s="86">
        <f>IF(J650="EI",IF(OR(Y650="估算法",Y650="算法类"),"中",IF(Y650="无法识别","低",IF(M650&lt;2,IF(O650&lt;16,"低","中"),IF(M650&lt;3,IF(O650&lt;5,"低",IF(O650&lt;16,"中","高")),IF(O650&lt;5,"中","高"))))),IF(OR(J650="EO",J650="EQ"),IF(OR(Y650="估算法",Y650="算法类"),"中",IF(Y650="无法识别","低",IF(M650&lt;2,IF(O650&lt;20,"低","中"),IF(M650&lt;4,IF(O650&lt;6,"低",IF(O650&lt;20,"中","高")),IF(O650&lt;6,"中","高"))))),IF(OR(J650="ILF",J650="EIF"),IF(OR(Y650="估算法",Y650="算法类",Y650="无法识别"),"低",IF(N650&lt;2,IF(O650&lt;51,"低","中"),IF(N650&lt;6,IF(O650&lt;20,"低",IF(O650&lt;51,"中","高")),IF(O650&lt;20,"中","高")))),"不计算")))</f>
        <v/>
      </c>
      <c r="Q650" s="172">
        <f>IFERROR(IF(J650="EI",IF(P650="低",3,IF(P650="中",4,6)),IF(J650="EO",IF(P650="低",4,IF(P650="中",5,7)),IF(J650="EQ",IF(P650="低",3,IF(P650="中",4,6)),IF(J650="ILF",IF(P650="低",7,IF(P650="中",10,15)),IF(J650="EIF",IF(P650="低",5,IF(P650="中",7,10)),"不计算")))))*R650,"不计算")</f>
        <v/>
      </c>
      <c r="R650" s="172" t="n">
        <v>0</v>
      </c>
      <c r="S650" s="173">
        <f>调整因子!$F$13</f>
        <v/>
      </c>
      <c r="T650" s="93" t="n">
        <v>1</v>
      </c>
      <c r="U650" s="174">
        <f>IFERROR(Q650*S650,0)</f>
        <v/>
      </c>
      <c r="V650" s="174">
        <f>U650*T650</f>
        <v/>
      </c>
      <c r="W650" s="91" t="n"/>
      <c r="X650" s="93" t="inlineStr">
        <is>
          <t>已扫描产品漏洞统计数据表</t>
        </is>
      </c>
      <c r="Y650" s="93" t="inlineStr">
        <is>
          <t>已扫描产品漏洞统计数据表{ID、日期、业务场景ID、产品漏洞ID、漏洞扫描任务ID|}</t>
        </is>
      </c>
      <c r="Z650" s="90">
        <f>IF(COUNTIFS(W:W,"*"&amp;I650&amp;"*")&gt;0,"存在","不存在")</f>
        <v/>
      </c>
      <c r="AA650" s="90">
        <f>IF(COUNTIFS(AB:AB,"*"&amp;I650&amp;"*")&gt;0,"存在","不存在")</f>
        <v/>
      </c>
      <c r="AB650" s="92" t="n"/>
    </row>
    <row r="651" s="112">
      <c r="A651" s="72">
        <f>ROW()-1</f>
        <v/>
      </c>
      <c r="B651" s="175" t="n"/>
      <c r="C651" s="80" t="n">
        <v>2025</v>
      </c>
      <c r="D651" s="80" t="inlineStr">
        <is>
          <t>汤凤欣</t>
        </is>
      </c>
      <c r="E651" s="81">
        <f>VLOOKUP(I651,'25年交付功能（不含废弃）'!A:A,1,FALSE)</f>
        <v/>
      </c>
      <c r="F651" s="175" t="n"/>
      <c r="G651" s="175" t="n"/>
      <c r="H651" s="175" t="n"/>
      <c r="I651" s="98" t="inlineStr">
        <is>
          <t>已扫描口令字典统计数据表</t>
        </is>
      </c>
      <c r="J651" s="93" t="inlineStr">
        <is>
          <t>ILF</t>
        </is>
      </c>
      <c r="K651" s="84" t="n"/>
      <c r="L651" s="84" t="inlineStr">
        <is>
          <t>数据库表未被本系统所维护</t>
        </is>
      </c>
      <c r="M651" s="85">
        <f>IF(OR(Y651="估算法",Y651="算法类",Y651="无法识别"),"",IF(W651="",IF(OR(J651="EI",J651="EO",J651="EQ"),0,""),LEN(W651)-LEN(SUBSTITUTE(W651,"、",""))+1))</f>
        <v/>
      </c>
      <c r="N651" s="85">
        <f>IF(OR(Y651="估算法",Y651="算法类",Y651="无法识别"),"",IF(X651="",IF(OR(J651="ILF",J651="EIF"),0,""),LEN(X651)-LEN(SUBSTITUTE(X651,"、",""))+1))</f>
        <v/>
      </c>
      <c r="O651" s="85">
        <f>IF(OR(Y651="估算法",Y651="算法类",Y651="无法识别"),"",IF(Y651="",IF(OR(J651="ILF",J651="EIF",J651="EI",J651="EO",J651="EQ"),0,""),LEN(Y651)-LEN(SUBSTITUTE(SUBSTITUTE(SUBSTITUTE(SUBSTITUTE(SUBSTITUTE(Y651,"|}","--"),"{|","--"),CHAR(10),""),"、",""),"|",""))+IF(AND(OR(J651="EI",J651="EO",J651="EQ"),$AE$1="NESMA"),2,1)))</f>
        <v/>
      </c>
      <c r="P651" s="86">
        <f>IF(J651="EI",IF(OR(Y651="估算法",Y651="算法类"),"中",IF(Y651="无法识别","低",IF(M651&lt;2,IF(O651&lt;16,"低","中"),IF(M651&lt;3,IF(O651&lt;5,"低",IF(O651&lt;16,"中","高")),IF(O651&lt;5,"中","高"))))),IF(OR(J651="EO",J651="EQ"),IF(OR(Y651="估算法",Y651="算法类"),"中",IF(Y651="无法识别","低",IF(M651&lt;2,IF(O651&lt;20,"低","中"),IF(M651&lt;4,IF(O651&lt;6,"低",IF(O651&lt;20,"中","高")),IF(O651&lt;6,"中","高"))))),IF(OR(J651="ILF",J651="EIF"),IF(OR(Y651="估算法",Y651="算法类",Y651="无法识别"),"低",IF(N651&lt;2,IF(O651&lt;51,"低","中"),IF(N651&lt;6,IF(O651&lt;20,"低",IF(O651&lt;51,"中","高")),IF(O651&lt;20,"中","高")))),"不计算")))</f>
        <v/>
      </c>
      <c r="Q651" s="172">
        <f>IFERROR(IF(J651="EI",IF(P651="低",3,IF(P651="中",4,6)),IF(J651="EO",IF(P651="低",4,IF(P651="中",5,7)),IF(J651="EQ",IF(P651="低",3,IF(P651="中",4,6)),IF(J651="ILF",IF(P651="低",7,IF(P651="中",10,15)),IF(J651="EIF",IF(P651="低",5,IF(P651="中",7,10)),"不计算")))))*R651,"不计算")</f>
        <v/>
      </c>
      <c r="R651" s="172" t="n">
        <v>0</v>
      </c>
      <c r="S651" s="173">
        <f>调整因子!$F$13</f>
        <v/>
      </c>
      <c r="T651" s="92" t="n">
        <v>1</v>
      </c>
      <c r="U651" s="174">
        <f>IFERROR(Q651*S651,0)</f>
        <v/>
      </c>
      <c r="V651" s="174">
        <f>U651*T651</f>
        <v/>
      </c>
      <c r="W651" s="91" t="n"/>
      <c r="X651" s="93" t="inlineStr">
        <is>
          <t>已扫描口令字典统计数据表</t>
        </is>
      </c>
      <c r="Y651" s="93" t="inlineStr">
        <is>
          <t xml:space="preserve">已扫描口令字典统计数据表{ID、日期、业务场景ID、口令字典ID、弱口令扫描任务ID| </t>
        </is>
      </c>
      <c r="Z651" s="90">
        <f>IF(COUNTIFS(W:W,"*"&amp;I651&amp;"*")&gt;0,"存在","不存在")</f>
        <v/>
      </c>
      <c r="AA651" s="90">
        <f>IF(COUNTIFS(AB:AB,"*"&amp;I651&amp;"*")&gt;0,"存在","不存在")</f>
        <v/>
      </c>
      <c r="AB651" s="115" t="n"/>
    </row>
    <row r="652" s="112">
      <c r="A652" s="72">
        <f>ROW()-1</f>
        <v/>
      </c>
      <c r="B652" s="175" t="n"/>
      <c r="C652" s="80" t="n">
        <v>2025</v>
      </c>
      <c r="D652" s="80" t="inlineStr">
        <is>
          <t>汤凤欣</t>
        </is>
      </c>
      <c r="E652" s="81">
        <f>VLOOKUP(I652,'25年交付功能（不含废弃）'!A:A,1,FALSE)</f>
        <v/>
      </c>
      <c r="F652" s="175" t="n"/>
      <c r="G652" s="175" t="n"/>
      <c r="H652" s="175" t="n"/>
      <c r="I652" s="98" t="inlineStr">
        <is>
          <t>应扫描产品漏洞统计数据表</t>
        </is>
      </c>
      <c r="J652" s="93" t="inlineStr">
        <is>
          <t>ILF</t>
        </is>
      </c>
      <c r="K652" s="84" t="n"/>
      <c r="L652" s="84" t="inlineStr">
        <is>
          <t>数据库表未被本系统所维护</t>
        </is>
      </c>
      <c r="M652" s="85">
        <f>IF(OR(Y652="估算法",Y652="算法类",Y652="无法识别"),"",IF(W652="",IF(OR(J652="EI",J652="EO",J652="EQ"),0,""),LEN(W652)-LEN(SUBSTITUTE(W652,"、",""))+1))</f>
        <v/>
      </c>
      <c r="N652" s="85">
        <f>IF(OR(Y652="估算法",Y652="算法类",Y652="无法识别"),"",IF(X652="",IF(OR(J652="ILF",J652="EIF"),0,""),LEN(X652)-LEN(SUBSTITUTE(X652,"、",""))+1))</f>
        <v/>
      </c>
      <c r="O652" s="85">
        <f>IF(OR(Y652="估算法",Y652="算法类",Y652="无法识别"),"",IF(Y652="",IF(OR(J652="ILF",J652="EIF",J652="EI",J652="EO",J652="EQ"),0,""),LEN(Y652)-LEN(SUBSTITUTE(SUBSTITUTE(SUBSTITUTE(SUBSTITUTE(SUBSTITUTE(Y652,"|}","--"),"{|","--"),CHAR(10),""),"、",""),"|",""))+IF(AND(OR(J652="EI",J652="EO",J652="EQ"),$AE$1="NESMA"),2,1)))</f>
        <v/>
      </c>
      <c r="P652" s="86">
        <f>IF(J652="EI",IF(OR(Y652="估算法",Y652="算法类"),"中",IF(Y652="无法识别","低",IF(M652&lt;2,IF(O652&lt;16,"低","中"),IF(M652&lt;3,IF(O652&lt;5,"低",IF(O652&lt;16,"中","高")),IF(O652&lt;5,"中","高"))))),IF(OR(J652="EO",J652="EQ"),IF(OR(Y652="估算法",Y652="算法类"),"中",IF(Y652="无法识别","低",IF(M652&lt;2,IF(O652&lt;20,"低","中"),IF(M652&lt;4,IF(O652&lt;6,"低",IF(O652&lt;20,"中","高")),IF(O652&lt;6,"中","高"))))),IF(OR(J652="ILF",J652="EIF"),IF(OR(Y652="估算法",Y652="算法类",Y652="无法识别"),"低",IF(N652&lt;2,IF(O652&lt;51,"低","中"),IF(N652&lt;6,IF(O652&lt;20,"低",IF(O652&lt;51,"中","高")),IF(O652&lt;20,"中","高")))),"不计算")))</f>
        <v/>
      </c>
      <c r="Q652" s="172">
        <f>IFERROR(IF(J652="EI",IF(P652="低",3,IF(P652="中",4,6)),IF(J652="EO",IF(P652="低",4,IF(P652="中",5,7)),IF(J652="EQ",IF(P652="低",3,IF(P652="中",4,6)),IF(J652="ILF",IF(P652="低",7,IF(P652="中",10,15)),IF(J652="EIF",IF(P652="低",5,IF(P652="中",7,10)),"不计算")))))*R652,"不计算")</f>
        <v/>
      </c>
      <c r="R652" s="172" t="n">
        <v>0</v>
      </c>
      <c r="S652" s="173">
        <f>调整因子!$F$13</f>
        <v/>
      </c>
      <c r="T652" s="92" t="n">
        <v>1</v>
      </c>
      <c r="U652" s="174">
        <f>IFERROR(Q652*S652,0)</f>
        <v/>
      </c>
      <c r="V652" s="174">
        <f>U652*T652</f>
        <v/>
      </c>
      <c r="W652" s="91" t="n"/>
      <c r="X652" s="93" t="inlineStr">
        <is>
          <t>应扫描产品漏洞统计数据表</t>
        </is>
      </c>
      <c r="Y652" s="93" t="inlineStr">
        <is>
          <t>应扫描产品漏洞统计数据表{ID、日期、业务场景ID、产品漏洞ID、漏洞扫描任务ID|}</t>
        </is>
      </c>
      <c r="Z652" s="90">
        <f>IF(COUNTIFS(W:W,"*"&amp;I652&amp;"*")&gt;0,"存在","不存在")</f>
        <v/>
      </c>
      <c r="AA652" s="90">
        <f>IF(COUNTIFS(AB:AB,"*"&amp;I652&amp;"*")&gt;0,"存在","不存在")</f>
        <v/>
      </c>
      <c r="AB652" s="92" t="n"/>
    </row>
    <row r="653" s="112">
      <c r="A653" s="72">
        <f>ROW()-1</f>
        <v/>
      </c>
      <c r="B653" s="175" t="n"/>
      <c r="C653" s="80" t="n">
        <v>2025</v>
      </c>
      <c r="D653" s="80" t="inlineStr">
        <is>
          <t>汤凤欣</t>
        </is>
      </c>
      <c r="E653" s="81">
        <f>VLOOKUP(I653,'25年交付功能（不含废弃）'!A:A,1,FALSE)</f>
        <v/>
      </c>
      <c r="F653" s="175" t="n"/>
      <c r="G653" s="175" t="n"/>
      <c r="H653" s="175" t="n"/>
      <c r="I653" s="98" t="inlineStr">
        <is>
          <t>应扫描口令字典统计数据表</t>
        </is>
      </c>
      <c r="J653" s="93" t="inlineStr">
        <is>
          <t>ILF</t>
        </is>
      </c>
      <c r="K653" s="84" t="n"/>
      <c r="L653" s="84" t="inlineStr">
        <is>
          <t>数据库表未被本系统所维护</t>
        </is>
      </c>
      <c r="M653" s="85">
        <f>IF(OR(Y653="估算法",Y653="算法类",Y653="无法识别"),"",IF(W653="",IF(OR(J653="EI",J653="EO",J653="EQ"),0,""),LEN(W653)-LEN(SUBSTITUTE(W653,"、",""))+1))</f>
        <v/>
      </c>
      <c r="N653" s="85">
        <f>IF(OR(Y653="估算法",Y653="算法类",Y653="无法识别"),"",IF(X653="",IF(OR(J653="ILF",J653="EIF"),0,""),LEN(X653)-LEN(SUBSTITUTE(X653,"、",""))+1))</f>
        <v/>
      </c>
      <c r="O653" s="85">
        <f>IF(OR(Y653="估算法",Y653="算法类",Y653="无法识别"),"",IF(Y653="",IF(OR(J653="ILF",J653="EIF",J653="EI",J653="EO",J653="EQ"),0,""),LEN(Y653)-LEN(SUBSTITUTE(SUBSTITUTE(SUBSTITUTE(SUBSTITUTE(SUBSTITUTE(Y653,"|}","--"),"{|","--"),CHAR(10),""),"、",""),"|",""))+IF(AND(OR(J653="EI",J653="EO",J653="EQ"),$AE$1="NESMA"),2,1)))</f>
        <v/>
      </c>
      <c r="P653" s="86">
        <f>IF(J653="EI",IF(OR(Y653="估算法",Y653="算法类"),"中",IF(Y653="无法识别","低",IF(M653&lt;2,IF(O653&lt;16,"低","中"),IF(M653&lt;3,IF(O653&lt;5,"低",IF(O653&lt;16,"中","高")),IF(O653&lt;5,"中","高"))))),IF(OR(J653="EO",J653="EQ"),IF(OR(Y653="估算法",Y653="算法类"),"中",IF(Y653="无法识别","低",IF(M653&lt;2,IF(O653&lt;20,"低","中"),IF(M653&lt;4,IF(O653&lt;6,"低",IF(O653&lt;20,"中","高")),IF(O653&lt;6,"中","高"))))),IF(OR(J653="ILF",J653="EIF"),IF(OR(Y653="估算法",Y653="算法类",Y653="无法识别"),"低",IF(N653&lt;2,IF(O653&lt;51,"低","中"),IF(N653&lt;6,IF(O653&lt;20,"低",IF(O653&lt;51,"中","高")),IF(O653&lt;20,"中","高")))),"不计算")))</f>
        <v/>
      </c>
      <c r="Q653" s="172">
        <f>IFERROR(IF(J653="EI",IF(P653="低",3,IF(P653="中",4,6)),IF(J653="EO",IF(P653="低",4,IF(P653="中",5,7)),IF(J653="EQ",IF(P653="低",3,IF(P653="中",4,6)),IF(J653="ILF",IF(P653="低",7,IF(P653="中",10,15)),IF(J653="EIF",IF(P653="低",5,IF(P653="中",7,10)),"不计算")))))*R653,"不计算")</f>
        <v/>
      </c>
      <c r="R653" s="172" t="n">
        <v>0</v>
      </c>
      <c r="S653" s="173">
        <f>调整因子!$F$13</f>
        <v/>
      </c>
      <c r="T653" s="93" t="n">
        <v>1</v>
      </c>
      <c r="U653" s="174">
        <f>IFERROR(Q653*S653,0)</f>
        <v/>
      </c>
      <c r="V653" s="174">
        <f>U653*T653</f>
        <v/>
      </c>
      <c r="W653" s="91" t="n"/>
      <c r="X653" s="93" t="inlineStr">
        <is>
          <t>应扫描口令字典统计数据表</t>
        </is>
      </c>
      <c r="Y653" s="93" t="inlineStr">
        <is>
          <t>应扫描口令字典统计数据表{ID、日期、业务场景ID、口令字典ID、弱口令扫描任务ID|}</t>
        </is>
      </c>
      <c r="Z653" s="90">
        <f>IF(COUNTIFS(W:W,"*"&amp;I653&amp;"*")&gt;0,"存在","不存在")</f>
        <v/>
      </c>
      <c r="AA653" s="90">
        <f>IF(COUNTIFS(AB:AB,"*"&amp;I653&amp;"*")&gt;0,"存在","不存在")</f>
        <v/>
      </c>
      <c r="AB653" s="115" t="n"/>
    </row>
    <row r="654" s="112">
      <c r="A654" s="72">
        <f>ROW()-1</f>
        <v/>
      </c>
      <c r="B654" s="175" t="n"/>
      <c r="C654" s="80" t="n">
        <v>2025</v>
      </c>
      <c r="D654" s="80" t="inlineStr">
        <is>
          <t>汤凤欣</t>
        </is>
      </c>
      <c r="E654" s="81">
        <f>VLOOKUP(I654,'25年交付功能（不含废弃）'!A:A,1,FALSE)</f>
        <v/>
      </c>
      <c r="F654" s="175" t="n"/>
      <c r="G654" s="175" t="n"/>
      <c r="H654" s="175" t="n"/>
      <c r="I654" s="98" t="inlineStr">
        <is>
          <t>应覆盖资产总数统计数据表</t>
        </is>
      </c>
      <c r="J654" s="93" t="inlineStr">
        <is>
          <t>ILF</t>
        </is>
      </c>
      <c r="K654" s="84" t="n"/>
      <c r="L654" s="84" t="inlineStr">
        <is>
          <t>数据库表未被本系统所维护</t>
        </is>
      </c>
      <c r="M654" s="85">
        <f>IF(OR(Y654="估算法",Y654="算法类",Y654="无法识别"),"",IF(W654="",IF(OR(J654="EI",J654="EO",J654="EQ"),0,""),LEN(W654)-LEN(SUBSTITUTE(W654,"、",""))+1))</f>
        <v/>
      </c>
      <c r="N654" s="85">
        <f>IF(OR(Y654="估算法",Y654="算法类",Y654="无法识别"),"",IF(X654="",IF(OR(J654="ILF",J654="EIF"),0,""),LEN(X654)-LEN(SUBSTITUTE(X654,"、",""))+1))</f>
        <v/>
      </c>
      <c r="O654" s="85">
        <f>IF(OR(Y654="估算法",Y654="算法类",Y654="无法识别"),"",IF(Y654="",IF(OR(J654="ILF",J654="EIF",J654="EI",J654="EO",J654="EQ"),0,""),LEN(Y654)-LEN(SUBSTITUTE(SUBSTITUTE(SUBSTITUTE(SUBSTITUTE(SUBSTITUTE(Y654,"|}","--"),"{|","--"),CHAR(10),""),"、",""),"|",""))+IF(AND(OR(J654="EI",J654="EO",J654="EQ"),$AE$1="NESMA"),2,1)))</f>
        <v/>
      </c>
      <c r="P654" s="86">
        <f>IF(J654="EI",IF(OR(Y654="估算法",Y654="算法类"),"中",IF(Y654="无法识别","低",IF(M654&lt;2,IF(O654&lt;16,"低","中"),IF(M654&lt;3,IF(O654&lt;5,"低",IF(O654&lt;16,"中","高")),IF(O654&lt;5,"中","高"))))),IF(OR(J654="EO",J654="EQ"),IF(OR(Y654="估算法",Y654="算法类"),"中",IF(Y654="无法识别","低",IF(M654&lt;2,IF(O654&lt;20,"低","中"),IF(M654&lt;4,IF(O654&lt;6,"低",IF(O654&lt;20,"中","高")),IF(O654&lt;6,"中","高"))))),IF(OR(J654="ILF",J654="EIF"),IF(OR(Y654="估算法",Y654="算法类",Y654="无法识别"),"低",IF(N654&lt;2,IF(O654&lt;51,"低","中"),IF(N654&lt;6,IF(O654&lt;20,"低",IF(O654&lt;51,"中","高")),IF(O654&lt;20,"中","高")))),"不计算")))</f>
        <v/>
      </c>
      <c r="Q654" s="172">
        <f>IFERROR(IF(J654="EI",IF(P654="低",3,IF(P654="中",4,6)),IF(J654="EO",IF(P654="低",4,IF(P654="中",5,7)),IF(J654="EQ",IF(P654="低",3,IF(P654="中",4,6)),IF(J654="ILF",IF(P654="低",7,IF(P654="中",10,15)),IF(J654="EIF",IF(P654="低",5,IF(P654="中",7,10)),"不计算")))))*R654,"不计算")</f>
        <v/>
      </c>
      <c r="R654" s="172" t="n">
        <v>0</v>
      </c>
      <c r="S654" s="173">
        <f>调整因子!$F$13</f>
        <v/>
      </c>
      <c r="T654" s="92" t="n">
        <v>1</v>
      </c>
      <c r="U654" s="174">
        <f>IFERROR(Q654*S654,0)</f>
        <v/>
      </c>
      <c r="V654" s="174">
        <f>U654*T654</f>
        <v/>
      </c>
      <c r="W654" s="91" t="n"/>
      <c r="X654" s="93" t="inlineStr">
        <is>
          <t>应覆盖资产总数统计数据表</t>
        </is>
      </c>
      <c r="Y654" s="93" t="inlineStr">
        <is>
          <t>应覆盖资产总数统计数据表{ID、日期、业务场景ID、资产ID、漏洞扫描任务ID|}</t>
        </is>
      </c>
      <c r="Z654" s="90">
        <f>IF(COUNTIFS(W:W,"*"&amp;I654&amp;"*")&gt;0,"存在","不存在")</f>
        <v/>
      </c>
      <c r="AA654" s="90">
        <f>IF(COUNTIFS(AB:AB,"*"&amp;I654&amp;"*")&gt;0,"存在","不存在")</f>
        <v/>
      </c>
      <c r="AB654" s="92" t="n"/>
    </row>
    <row r="655" s="112">
      <c r="A655" s="72">
        <f>ROW()-1</f>
        <v/>
      </c>
      <c r="B655" s="175" t="n"/>
      <c r="C655" s="80" t="n">
        <v>2025</v>
      </c>
      <c r="D655" s="80" t="inlineStr">
        <is>
          <t>汤凤欣</t>
        </is>
      </c>
      <c r="E655" s="81">
        <f>VLOOKUP(I655,'25年交付功能（不含废弃）'!A:A,1,FALSE)</f>
        <v/>
      </c>
      <c r="F655" s="175" t="n"/>
      <c r="G655" s="175" t="n"/>
      <c r="H655" s="175" t="n"/>
      <c r="I655" s="98" t="inlineStr">
        <is>
          <t>弱口令扫描覆盖统计数据表</t>
        </is>
      </c>
      <c r="J655" s="93" t="inlineStr">
        <is>
          <t>ILF</t>
        </is>
      </c>
      <c r="K655" s="84" t="n"/>
      <c r="L655" s="84" t="inlineStr">
        <is>
          <t>数据库表未被本系统所维护</t>
        </is>
      </c>
      <c r="M655" s="85">
        <f>IF(OR(Y655="估算法",Y655="算法类",Y655="无法识别"),"",IF(W655="",IF(OR(J655="EI",J655="EO",J655="EQ"),0,""),LEN(W655)-LEN(SUBSTITUTE(W655,"、",""))+1))</f>
        <v/>
      </c>
      <c r="N655" s="85">
        <f>IF(OR(Y655="估算法",Y655="算法类",Y655="无法识别"),"",IF(X655="",IF(OR(J655="ILF",J655="EIF"),0,""),LEN(X655)-LEN(SUBSTITUTE(X655,"、",""))+1))</f>
        <v/>
      </c>
      <c r="O655" s="85">
        <f>IF(OR(Y655="估算法",Y655="算法类",Y655="无法识别"),"",IF(Y655="",IF(OR(J655="ILF",J655="EIF",J655="EI",J655="EO",J655="EQ"),0,""),LEN(Y655)-LEN(SUBSTITUTE(SUBSTITUTE(SUBSTITUTE(SUBSTITUTE(SUBSTITUTE(Y655,"|}","--"),"{|","--"),CHAR(10),""),"、",""),"|",""))+IF(AND(OR(J655="EI",J655="EO",J655="EQ"),$AE$1="NESMA"),2,1)))</f>
        <v/>
      </c>
      <c r="P655" s="86">
        <f>IF(J655="EI",IF(OR(Y655="估算法",Y655="算法类"),"中",IF(Y655="无法识别","低",IF(M655&lt;2,IF(O655&lt;16,"低","中"),IF(M655&lt;3,IF(O655&lt;5,"低",IF(O655&lt;16,"中","高")),IF(O655&lt;5,"中","高"))))),IF(OR(J655="EO",J655="EQ"),IF(OR(Y655="估算法",Y655="算法类"),"中",IF(Y655="无法识别","低",IF(M655&lt;2,IF(O655&lt;20,"低","中"),IF(M655&lt;4,IF(O655&lt;6,"低",IF(O655&lt;20,"中","高")),IF(O655&lt;6,"中","高"))))),IF(OR(J655="ILF",J655="EIF"),IF(OR(Y655="估算法",Y655="算法类",Y655="无法识别"),"低",IF(N655&lt;2,IF(O655&lt;51,"低","中"),IF(N655&lt;6,IF(O655&lt;20,"低",IF(O655&lt;51,"中","高")),IF(O655&lt;20,"中","高")))),"不计算")))</f>
        <v/>
      </c>
      <c r="Q655" s="172">
        <f>IFERROR(IF(J655="EI",IF(P655="低",3,IF(P655="中",4,6)),IF(J655="EO",IF(P655="低",4,IF(P655="中",5,7)),IF(J655="EQ",IF(P655="低",3,IF(P655="中",4,6)),IF(J655="ILF",IF(P655="低",7,IF(P655="中",10,15)),IF(J655="EIF",IF(P655="低",5,IF(P655="中",7,10)),"不计算")))))*R655,"不计算")</f>
        <v/>
      </c>
      <c r="R655" s="172" t="n">
        <v>0</v>
      </c>
      <c r="S655" s="173">
        <f>调整因子!$F$13</f>
        <v/>
      </c>
      <c r="T655" s="92" t="n">
        <v>1</v>
      </c>
      <c r="U655" s="174">
        <f>IFERROR(Q655*S655,0)</f>
        <v/>
      </c>
      <c r="V655" s="174">
        <f>U655*T655</f>
        <v/>
      </c>
      <c r="W655" s="91" t="n"/>
      <c r="X655" s="93" t="inlineStr">
        <is>
          <t>弱口令扫描覆盖统计数据表</t>
        </is>
      </c>
      <c r="Y655" s="93" t="inlineStr">
        <is>
          <t>弱口令扫描覆盖统计数据表{ID、日期、业务场景ID、弱口令排查资产ID、弱口令扫描任务ID|}</t>
        </is>
      </c>
      <c r="Z655" s="90">
        <f>IF(COUNTIFS(W:W,"*"&amp;I655&amp;"*")&gt;0,"存在","不存在")</f>
        <v/>
      </c>
      <c r="AA655" s="90">
        <f>IF(COUNTIFS(AB:AB,"*"&amp;I655&amp;"*")&gt;0,"存在","不存在")</f>
        <v/>
      </c>
      <c r="AB655" s="115" t="n"/>
    </row>
    <row r="656" s="112">
      <c r="A656" s="72">
        <f>ROW()-1</f>
        <v/>
      </c>
      <c r="B656" s="175" t="n"/>
      <c r="C656" s="80" t="n">
        <v>2025</v>
      </c>
      <c r="D656" s="80" t="inlineStr">
        <is>
          <t>汤凤欣</t>
        </is>
      </c>
      <c r="E656" s="81">
        <f>VLOOKUP(I656,'25年交付功能（不含废弃）'!A:A,1,FALSE)</f>
        <v/>
      </c>
      <c r="F656" s="175" t="n"/>
      <c r="G656" s="175" t="n"/>
      <c r="H656" s="175" t="n"/>
      <c r="I656" s="98" t="inlineStr">
        <is>
          <t>待核实系统漏洞统计数据表</t>
        </is>
      </c>
      <c r="J656" s="93" t="inlineStr">
        <is>
          <t>ILF</t>
        </is>
      </c>
      <c r="K656" s="84" t="n"/>
      <c r="L656" s="84" t="inlineStr">
        <is>
          <t>数据库表未被本系统所维护</t>
        </is>
      </c>
      <c r="M656" s="85">
        <f>IF(OR(Y656="估算法",Y656="算法类",Y656="无法识别"),"",IF(W656="",IF(OR(J656="EI",J656="EO",J656="EQ"),0,""),LEN(W656)-LEN(SUBSTITUTE(W656,"、",""))+1))</f>
        <v/>
      </c>
      <c r="N656" s="85">
        <f>IF(OR(Y656="估算法",Y656="算法类",Y656="无法识别"),"",IF(X656="",IF(OR(J656="ILF",J656="EIF"),0,""),LEN(X656)-LEN(SUBSTITUTE(X656,"、",""))+1))</f>
        <v/>
      </c>
      <c r="O656" s="85">
        <f>IF(OR(Y656="估算法",Y656="算法类",Y656="无法识别"),"",IF(Y656="",IF(OR(J656="ILF",J656="EIF",J656="EI",J656="EO",J656="EQ"),0,""),LEN(Y656)-LEN(SUBSTITUTE(SUBSTITUTE(SUBSTITUTE(SUBSTITUTE(SUBSTITUTE(Y656,"|}","--"),"{|","--"),CHAR(10),""),"、",""),"|",""))+IF(AND(OR(J656="EI",J656="EO",J656="EQ"),$AE$1="NESMA"),2,1)))</f>
        <v/>
      </c>
      <c r="P656" s="86">
        <f>IF(J656="EI",IF(OR(Y656="估算法",Y656="算法类"),"中",IF(Y656="无法识别","低",IF(M656&lt;2,IF(O656&lt;16,"低","中"),IF(M656&lt;3,IF(O656&lt;5,"低",IF(O656&lt;16,"中","高")),IF(O656&lt;5,"中","高"))))),IF(OR(J656="EO",J656="EQ"),IF(OR(Y656="估算法",Y656="算法类"),"中",IF(Y656="无法识别","低",IF(M656&lt;2,IF(O656&lt;20,"低","中"),IF(M656&lt;4,IF(O656&lt;6,"低",IF(O656&lt;20,"中","高")),IF(O656&lt;6,"中","高"))))),IF(OR(J656="ILF",J656="EIF"),IF(OR(Y656="估算法",Y656="算法类",Y656="无法识别"),"低",IF(N656&lt;2,IF(O656&lt;51,"低","中"),IF(N656&lt;6,IF(O656&lt;20,"低",IF(O656&lt;51,"中","高")),IF(O656&lt;20,"中","高")))),"不计算")))</f>
        <v/>
      </c>
      <c r="Q656" s="172">
        <f>IFERROR(IF(J656="EI",IF(P656="低",3,IF(P656="中",4,6)),IF(J656="EO",IF(P656="低",4,IF(P656="中",5,7)),IF(J656="EQ",IF(P656="低",3,IF(P656="中",4,6)),IF(J656="ILF",IF(P656="低",7,IF(P656="中",10,15)),IF(J656="EIF",IF(P656="低",5,IF(P656="中",7,10)),"不计算")))))*R656,"不计算")</f>
        <v/>
      </c>
      <c r="R656" s="172" t="n">
        <v>0</v>
      </c>
      <c r="S656" s="173">
        <f>调整因子!$F$13</f>
        <v/>
      </c>
      <c r="T656" s="93" t="n">
        <v>1</v>
      </c>
      <c r="U656" s="174">
        <f>IFERROR(Q656*S656,0)</f>
        <v/>
      </c>
      <c r="V656" s="174">
        <f>U656*T656</f>
        <v/>
      </c>
      <c r="W656" s="91" t="n"/>
      <c r="X656" s="93" t="inlineStr">
        <is>
          <t>待核实系统漏洞统计数据表</t>
        </is>
      </c>
      <c r="Y656" s="93" t="inlineStr">
        <is>
          <t>待核实系统漏洞统计数据表{ID、日期、业务场景ID、待核实系统漏洞ID、系统漏洞状态|}</t>
        </is>
      </c>
      <c r="Z656" s="90">
        <f>IF(COUNTIFS(W:W,"*"&amp;I656&amp;"*")&gt;0,"存在","不存在")</f>
        <v/>
      </c>
      <c r="AA656" s="90">
        <f>IF(COUNTIFS(AB:AB,"*"&amp;I656&amp;"*")&gt;0,"存在","不存在")</f>
        <v/>
      </c>
      <c r="AB656" s="92" t="n"/>
    </row>
    <row r="657" s="112">
      <c r="A657" s="72">
        <f>ROW()-1</f>
        <v/>
      </c>
      <c r="B657" s="175" t="n"/>
      <c r="C657" s="80" t="n">
        <v>2025</v>
      </c>
      <c r="D657" s="80" t="inlineStr">
        <is>
          <t>汤凤欣</t>
        </is>
      </c>
      <c r="E657" s="81">
        <f>VLOOKUP(I657,'25年交付功能（不含废弃）'!A:A,1,FALSE)</f>
        <v/>
      </c>
      <c r="F657" s="175" t="n"/>
      <c r="G657" s="175" t="n"/>
      <c r="H657" s="175" t="n"/>
      <c r="I657" s="98" t="inlineStr">
        <is>
          <t>有效系统漏洞数统计数据表</t>
        </is>
      </c>
      <c r="J657" s="93" t="inlineStr">
        <is>
          <t>ILF</t>
        </is>
      </c>
      <c r="K657" s="84" t="n"/>
      <c r="L657" s="84" t="inlineStr">
        <is>
          <t>数据库表未被本系统所维护</t>
        </is>
      </c>
      <c r="M657" s="85">
        <f>IF(OR(Y657="估算法",Y657="算法类",Y657="无法识别"),"",IF(W657="",IF(OR(J657="EI",J657="EO",J657="EQ"),0,""),LEN(W657)-LEN(SUBSTITUTE(W657,"、",""))+1))</f>
        <v/>
      </c>
      <c r="N657" s="85">
        <f>IF(OR(Y657="估算法",Y657="算法类",Y657="无法识别"),"",IF(X657="",IF(OR(J657="ILF",J657="EIF"),0,""),LEN(X657)-LEN(SUBSTITUTE(X657,"、",""))+1))</f>
        <v/>
      </c>
      <c r="O657" s="85">
        <f>IF(OR(Y657="估算法",Y657="算法类",Y657="无法识别"),"",IF(Y657="",IF(OR(J657="ILF",J657="EIF",J657="EI",J657="EO",J657="EQ"),0,""),LEN(Y657)-LEN(SUBSTITUTE(SUBSTITUTE(SUBSTITUTE(SUBSTITUTE(SUBSTITUTE(Y657,"|}","--"),"{|","--"),CHAR(10),""),"、",""),"|",""))+IF(AND(OR(J657="EI",J657="EO",J657="EQ"),$AE$1="NESMA"),2,1)))</f>
        <v/>
      </c>
      <c r="P657" s="86">
        <f>IF(J657="EI",IF(OR(Y657="估算法",Y657="算法类"),"中",IF(Y657="无法识别","低",IF(M657&lt;2,IF(O657&lt;16,"低","中"),IF(M657&lt;3,IF(O657&lt;5,"低",IF(O657&lt;16,"中","高")),IF(O657&lt;5,"中","高"))))),IF(OR(J657="EO",J657="EQ"),IF(OR(Y657="估算法",Y657="算法类"),"中",IF(Y657="无法识别","低",IF(M657&lt;2,IF(O657&lt;20,"低","中"),IF(M657&lt;4,IF(O657&lt;6,"低",IF(O657&lt;20,"中","高")),IF(O657&lt;6,"中","高"))))),IF(OR(J657="ILF",J657="EIF"),IF(OR(Y657="估算法",Y657="算法类",Y657="无法识别"),"低",IF(N657&lt;2,IF(O657&lt;51,"低","中"),IF(N657&lt;6,IF(O657&lt;20,"低",IF(O657&lt;51,"中","高")),IF(O657&lt;20,"中","高")))),"不计算")))</f>
        <v/>
      </c>
      <c r="Q657" s="172">
        <f>IFERROR(IF(J657="EI",IF(P657="低",3,IF(P657="中",4,6)),IF(J657="EO",IF(P657="低",4,IF(P657="中",5,7)),IF(J657="EQ",IF(P657="低",3,IF(P657="中",4,6)),IF(J657="ILF",IF(P657="低",7,IF(P657="中",10,15)),IF(J657="EIF",IF(P657="低",5,IF(P657="中",7,10)),"不计算")))))*R657,"不计算")</f>
        <v/>
      </c>
      <c r="R657" s="172" t="n">
        <v>0</v>
      </c>
      <c r="S657" s="173">
        <f>调整因子!$F$13</f>
        <v/>
      </c>
      <c r="T657" s="92" t="n">
        <v>1</v>
      </c>
      <c r="U657" s="174">
        <f>IFERROR(Q657*S657,0)</f>
        <v/>
      </c>
      <c r="V657" s="174">
        <f>U657*T657</f>
        <v/>
      </c>
      <c r="W657" s="91" t="n"/>
      <c r="X657" s="93" t="inlineStr">
        <is>
          <t>有效系统漏洞数统计数据表</t>
        </is>
      </c>
      <c r="Y657" s="93" t="inlineStr">
        <is>
          <t>有效系统漏洞数统计数据表{ID、日期、业务场景ID、有效系统漏洞ID|}</t>
        </is>
      </c>
      <c r="Z657" s="90">
        <f>IF(COUNTIFS(W:W,"*"&amp;I657&amp;"*")&gt;0,"存在","不存在")</f>
        <v/>
      </c>
      <c r="AA657" s="90">
        <f>IF(COUNTIFS(AB:AB,"*"&amp;I657&amp;"*")&gt;0,"存在","不存在")</f>
        <v/>
      </c>
      <c r="AB657" s="115" t="n"/>
    </row>
    <row r="658" s="112">
      <c r="A658" s="72">
        <f>ROW()-1</f>
        <v/>
      </c>
      <c r="B658" s="175" t="n"/>
      <c r="C658" s="80" t="n">
        <v>2025</v>
      </c>
      <c r="D658" s="80" t="inlineStr">
        <is>
          <t>汤凤欣</t>
        </is>
      </c>
      <c r="E658" s="81">
        <f>VLOOKUP(I658,'25年交付功能（不含废弃）'!A:A,1,FALSE)</f>
        <v/>
      </c>
      <c r="F658" s="175" t="n"/>
      <c r="G658" s="175" t="n"/>
      <c r="H658" s="175" t="n"/>
      <c r="I658" s="98" t="inlineStr">
        <is>
          <t>未排查资产数量统计数据表</t>
        </is>
      </c>
      <c r="J658" s="93" t="inlineStr">
        <is>
          <t>ILF</t>
        </is>
      </c>
      <c r="K658" s="84" t="n"/>
      <c r="L658" s="84" t="inlineStr">
        <is>
          <t>数据库表未被本系统所维护</t>
        </is>
      </c>
      <c r="M658" s="85">
        <f>IF(OR(Y658="估算法",Y658="算法类",Y658="无法识别"),"",IF(W658="",IF(OR(J658="EI",J658="EO",J658="EQ"),0,""),LEN(W658)-LEN(SUBSTITUTE(W658,"、",""))+1))</f>
        <v/>
      </c>
      <c r="N658" s="85">
        <f>IF(OR(Y658="估算法",Y658="算法类",Y658="无法识别"),"",IF(X658="",IF(OR(J658="ILF",J658="EIF"),0,""),LEN(X658)-LEN(SUBSTITUTE(X658,"、",""))+1))</f>
        <v/>
      </c>
      <c r="O658" s="85">
        <f>IF(OR(Y658="估算法",Y658="算法类",Y658="无法识别"),"",IF(Y658="",IF(OR(J658="ILF",J658="EIF",J658="EI",J658="EO",J658="EQ"),0,""),LEN(Y658)-LEN(SUBSTITUTE(SUBSTITUTE(SUBSTITUTE(SUBSTITUTE(SUBSTITUTE(Y658,"|}","--"),"{|","--"),CHAR(10),""),"、",""),"|",""))+IF(AND(OR(J658="EI",J658="EO",J658="EQ"),$AE$1="NESMA"),2,1)))</f>
        <v/>
      </c>
      <c r="P658" s="86">
        <f>IF(J658="EI",IF(OR(Y658="估算法",Y658="算法类"),"中",IF(Y658="无法识别","低",IF(M658&lt;2,IF(O658&lt;16,"低","中"),IF(M658&lt;3,IF(O658&lt;5,"低",IF(O658&lt;16,"中","高")),IF(O658&lt;5,"中","高"))))),IF(OR(J658="EO",J658="EQ"),IF(OR(Y658="估算法",Y658="算法类"),"中",IF(Y658="无法识别","低",IF(M658&lt;2,IF(O658&lt;20,"低","中"),IF(M658&lt;4,IF(O658&lt;6,"低",IF(O658&lt;20,"中","高")),IF(O658&lt;6,"中","高"))))),IF(OR(J658="ILF",J658="EIF"),IF(OR(Y658="估算法",Y658="算法类",Y658="无法识别"),"低",IF(N658&lt;2,IF(O658&lt;51,"低","中"),IF(N658&lt;6,IF(O658&lt;20,"低",IF(O658&lt;51,"中","高")),IF(O658&lt;20,"中","高")))),"不计算")))</f>
        <v/>
      </c>
      <c r="Q658" s="172">
        <f>IFERROR(IF(J658="EI",IF(P658="低",3,IF(P658="中",4,6)),IF(J658="EO",IF(P658="低",4,IF(P658="中",5,7)),IF(J658="EQ",IF(P658="低",3,IF(P658="中",4,6)),IF(J658="ILF",IF(P658="低",7,IF(P658="中",10,15)),IF(J658="EIF",IF(P658="低",5,IF(P658="中",7,10)),"不计算")))))*R658,"不计算")</f>
        <v/>
      </c>
      <c r="R658" s="172" t="n">
        <v>0</v>
      </c>
      <c r="S658" s="173">
        <f>调整因子!$F$13</f>
        <v/>
      </c>
      <c r="T658" s="92" t="n">
        <v>1</v>
      </c>
      <c r="U658" s="174">
        <f>IFERROR(Q658*S658,0)</f>
        <v/>
      </c>
      <c r="V658" s="174">
        <f>U658*T658</f>
        <v/>
      </c>
      <c r="W658" s="91" t="n"/>
      <c r="X658" s="93" t="inlineStr">
        <is>
          <t>未排查资产数量统计数据表</t>
        </is>
      </c>
      <c r="Y658" s="93" t="inlineStr">
        <is>
          <t>未排查资产数量统计数据表{ID、日期、业务场景ID、未排查资产ID、未排查原因、排查工单ID|}</t>
        </is>
      </c>
      <c r="Z658" s="90">
        <f>IF(COUNTIFS(W:W,"*"&amp;I658&amp;"*")&gt;0,"存在","不存在")</f>
        <v/>
      </c>
      <c r="AA658" s="90">
        <f>IF(COUNTIFS(AB:AB,"*"&amp;I658&amp;"*")&gt;0,"存在","不存在")</f>
        <v/>
      </c>
      <c r="AB658" s="92" t="n"/>
    </row>
    <row r="659" s="112">
      <c r="A659" s="72">
        <f>ROW()-1</f>
        <v/>
      </c>
      <c r="B659" s="175" t="n"/>
      <c r="C659" s="80" t="n">
        <v>2025</v>
      </c>
      <c r="D659" s="80" t="inlineStr">
        <is>
          <t>汤凤欣</t>
        </is>
      </c>
      <c r="E659" s="81">
        <f>VLOOKUP(I659,'25年交付功能（不含废弃）'!A:A,1,FALSE)</f>
        <v/>
      </c>
      <c r="F659" s="175" t="n"/>
      <c r="G659" s="175" t="n"/>
      <c r="H659" s="175" t="n"/>
      <c r="I659" s="98" t="inlineStr">
        <is>
          <t>未闭环系统漏洞统计数据表</t>
        </is>
      </c>
      <c r="J659" s="93" t="inlineStr">
        <is>
          <t>ILF</t>
        </is>
      </c>
      <c r="K659" s="84" t="n"/>
      <c r="L659" s="84" t="inlineStr">
        <is>
          <t>数据库表未被本系统所维护</t>
        </is>
      </c>
      <c r="M659" s="85">
        <f>IF(OR(Y659="估算法",Y659="算法类",Y659="无法识别"),"",IF(W659="",IF(OR(J659="EI",J659="EO",J659="EQ"),0,""),LEN(W659)-LEN(SUBSTITUTE(W659,"、",""))+1))</f>
        <v/>
      </c>
      <c r="N659" s="85">
        <f>IF(OR(Y659="估算法",Y659="算法类",Y659="无法识别"),"",IF(X659="",IF(OR(J659="ILF",J659="EIF"),0,""),LEN(X659)-LEN(SUBSTITUTE(X659,"、",""))+1))</f>
        <v/>
      </c>
      <c r="O659" s="85">
        <f>IF(OR(Y659="估算法",Y659="算法类",Y659="无法识别"),"",IF(Y659="",IF(OR(J659="ILF",J659="EIF",J659="EI",J659="EO",J659="EQ"),0,""),LEN(Y659)-LEN(SUBSTITUTE(SUBSTITUTE(SUBSTITUTE(SUBSTITUTE(SUBSTITUTE(Y659,"|}","--"),"{|","--"),CHAR(10),""),"、",""),"|",""))+IF(AND(OR(J659="EI",J659="EO",J659="EQ"),$AE$1="NESMA"),2,1)))</f>
        <v/>
      </c>
      <c r="P659" s="86">
        <f>IF(J659="EI",IF(OR(Y659="估算法",Y659="算法类"),"中",IF(Y659="无法识别","低",IF(M659&lt;2,IF(O659&lt;16,"低","中"),IF(M659&lt;3,IF(O659&lt;5,"低",IF(O659&lt;16,"中","高")),IF(O659&lt;5,"中","高"))))),IF(OR(J659="EO",J659="EQ"),IF(OR(Y659="估算法",Y659="算法类"),"中",IF(Y659="无法识别","低",IF(M659&lt;2,IF(O659&lt;20,"低","中"),IF(M659&lt;4,IF(O659&lt;6,"低",IF(O659&lt;20,"中","高")),IF(O659&lt;6,"中","高"))))),IF(OR(J659="ILF",J659="EIF"),IF(OR(Y659="估算法",Y659="算法类",Y659="无法识别"),"低",IF(N659&lt;2,IF(O659&lt;51,"低","中"),IF(N659&lt;6,IF(O659&lt;20,"低",IF(O659&lt;51,"中","高")),IF(O659&lt;20,"中","高")))),"不计算")))</f>
        <v/>
      </c>
      <c r="Q659" s="172">
        <f>IFERROR(IF(J659="EI",IF(P659="低",3,IF(P659="中",4,6)),IF(J659="EO",IF(P659="低",4,IF(P659="中",5,7)),IF(J659="EQ",IF(P659="低",3,IF(P659="中",4,6)),IF(J659="ILF",IF(P659="低",7,IF(P659="中",10,15)),IF(J659="EIF",IF(P659="低",5,IF(P659="中",7,10)),"不计算")))))*R659,"不计算")</f>
        <v/>
      </c>
      <c r="R659" s="172" t="n">
        <v>0</v>
      </c>
      <c r="S659" s="173">
        <f>调整因子!$F$13</f>
        <v/>
      </c>
      <c r="T659" s="93" t="n">
        <v>1</v>
      </c>
      <c r="U659" s="174">
        <f>IFERROR(Q659*S659,0)</f>
        <v/>
      </c>
      <c r="V659" s="174">
        <f>U659*T659</f>
        <v/>
      </c>
      <c r="W659" s="91" t="n"/>
      <c r="X659" s="93" t="inlineStr">
        <is>
          <t>未闭环系统漏洞统计数据表</t>
        </is>
      </c>
      <c r="Y659" s="93" t="inlineStr">
        <is>
          <t>未闭环系统漏洞统计数据表{ID、日期、业务场景ID、未闭环系统漏洞ID、系统漏洞状态、工单ID|}</t>
        </is>
      </c>
      <c r="Z659" s="90">
        <f>IF(COUNTIFS(W:W,"*"&amp;I659&amp;"*")&gt;0,"存在","不存在")</f>
        <v/>
      </c>
      <c r="AA659" s="90">
        <f>IF(COUNTIFS(AB:AB,"*"&amp;I659&amp;"*")&gt;0,"存在","不存在")</f>
        <v/>
      </c>
      <c r="AB659" s="115" t="n"/>
    </row>
    <row r="660" s="112">
      <c r="A660" s="72">
        <f>ROW()-1</f>
        <v/>
      </c>
      <c r="B660" s="175" t="n"/>
      <c r="C660" s="80" t="n">
        <v>2025</v>
      </c>
      <c r="D660" s="80" t="inlineStr">
        <is>
          <t>汤凤欣</t>
        </is>
      </c>
      <c r="E660" s="81">
        <f>VLOOKUP(I660,'25年交付功能（不含废弃）'!A:A,1,FALSE)</f>
        <v/>
      </c>
      <c r="F660" s="175" t="n"/>
      <c r="G660" s="175" t="n"/>
      <c r="H660" s="175" t="n"/>
      <c r="I660" s="98" t="inlineStr">
        <is>
          <t>漏洞扫描覆盖资产统计数据表</t>
        </is>
      </c>
      <c r="J660" s="93" t="inlineStr">
        <is>
          <t>ILF</t>
        </is>
      </c>
      <c r="K660" s="84" t="n"/>
      <c r="L660" s="84" t="inlineStr">
        <is>
          <t>数据库表未被本系统所维护</t>
        </is>
      </c>
      <c r="M660" s="85">
        <f>IF(OR(Y660="估算法",Y660="算法类",Y660="无法识别"),"",IF(W660="",IF(OR(J660="EI",J660="EO",J660="EQ"),0,""),LEN(W660)-LEN(SUBSTITUTE(W660,"、",""))+1))</f>
        <v/>
      </c>
      <c r="N660" s="85">
        <f>IF(OR(Y660="估算法",Y660="算法类",Y660="无法识别"),"",IF(X660="",IF(OR(J660="ILF",J660="EIF"),0,""),LEN(X660)-LEN(SUBSTITUTE(X660,"、",""))+1))</f>
        <v/>
      </c>
      <c r="O660" s="85">
        <f>IF(OR(Y660="估算法",Y660="算法类",Y660="无法识别"),"",IF(Y660="",IF(OR(J660="ILF",J660="EIF",J660="EI",J660="EO",J660="EQ"),0,""),LEN(Y660)-LEN(SUBSTITUTE(SUBSTITUTE(SUBSTITUTE(SUBSTITUTE(SUBSTITUTE(Y660,"|}","--"),"{|","--"),CHAR(10),""),"、",""),"|",""))+IF(AND(OR(J660="EI",J660="EO",J660="EQ"),$AE$1="NESMA"),2,1)))</f>
        <v/>
      </c>
      <c r="P660" s="86">
        <f>IF(J660="EI",IF(OR(Y660="估算法",Y660="算法类"),"中",IF(Y660="无法识别","低",IF(M660&lt;2,IF(O660&lt;16,"低","中"),IF(M660&lt;3,IF(O660&lt;5,"低",IF(O660&lt;16,"中","高")),IF(O660&lt;5,"中","高"))))),IF(OR(J660="EO",J660="EQ"),IF(OR(Y660="估算法",Y660="算法类"),"中",IF(Y660="无法识别","低",IF(M660&lt;2,IF(O660&lt;20,"低","中"),IF(M660&lt;4,IF(O660&lt;6,"低",IF(O660&lt;20,"中","高")),IF(O660&lt;6,"中","高"))))),IF(OR(J660="ILF",J660="EIF"),IF(OR(Y660="估算法",Y660="算法类",Y660="无法识别"),"低",IF(N660&lt;2,IF(O660&lt;51,"低","中"),IF(N660&lt;6,IF(O660&lt;20,"低",IF(O660&lt;51,"中","高")),IF(O660&lt;20,"中","高")))),"不计算")))</f>
        <v/>
      </c>
      <c r="Q660" s="172">
        <f>IFERROR(IF(J660="EI",IF(P660="低",3,IF(P660="中",4,6)),IF(J660="EO",IF(P660="低",4,IF(P660="中",5,7)),IF(J660="EQ",IF(P660="低",3,IF(P660="中",4,6)),IF(J660="ILF",IF(P660="低",7,IF(P660="中",10,15)),IF(J660="EIF",IF(P660="低",5,IF(P660="中",7,10)),"不计算")))))*R660,"不计算")</f>
        <v/>
      </c>
      <c r="R660" s="172" t="n">
        <v>0</v>
      </c>
      <c r="S660" s="173">
        <f>调整因子!$F$13</f>
        <v/>
      </c>
      <c r="T660" s="92" t="n">
        <v>1</v>
      </c>
      <c r="U660" s="174">
        <f>IFERROR(Q660*S660,0)</f>
        <v/>
      </c>
      <c r="V660" s="174">
        <f>U660*T660</f>
        <v/>
      </c>
      <c r="W660" s="91" t="n"/>
      <c r="X660" s="93" t="inlineStr">
        <is>
          <t>漏洞扫描覆盖资产统计数据表</t>
        </is>
      </c>
      <c r="Y660" s="93" t="inlineStr">
        <is>
          <t>漏洞扫描覆盖资产统计数据表{ID、日期、业务场景ID、漏洞扫描资产ID、扫描任务ID|}</t>
        </is>
      </c>
      <c r="Z660" s="90">
        <f>IF(COUNTIFS(W:W,"*"&amp;I660&amp;"*")&gt;0,"存在","不存在")</f>
        <v/>
      </c>
      <c r="AA660" s="90">
        <f>IF(COUNTIFS(AB:AB,"*"&amp;I660&amp;"*")&gt;0,"存在","不存在")</f>
        <v/>
      </c>
      <c r="AB660" s="92" t="n"/>
    </row>
    <row r="661" s="112">
      <c r="A661" s="72">
        <f>ROW()-1</f>
        <v/>
      </c>
      <c r="B661" s="175" t="n"/>
      <c r="C661" s="80" t="n">
        <v>2025</v>
      </c>
      <c r="D661" s="80" t="inlineStr">
        <is>
          <t>汤凤欣</t>
        </is>
      </c>
      <c r="E661" s="81">
        <f>VLOOKUP(I661,'25年交付功能（不含废弃）'!A:A,1,FALSE)</f>
        <v/>
      </c>
      <c r="F661" s="175" t="n"/>
      <c r="G661" s="175" t="n"/>
      <c r="H661" s="175" t="n"/>
      <c r="I661" s="98" t="inlineStr">
        <is>
          <t>系统漏洞修复成功统计数据表</t>
        </is>
      </c>
      <c r="J661" s="93" t="inlineStr">
        <is>
          <t>ILF</t>
        </is>
      </c>
      <c r="K661" s="84" t="n"/>
      <c r="L661" s="84" t="inlineStr">
        <is>
          <t>数据库表未被本系统所维护</t>
        </is>
      </c>
      <c r="M661" s="85">
        <f>IF(OR(Y661="估算法",Y661="算法类",Y661="无法识别"),"",IF(W661="",IF(OR(J661="EI",J661="EO",J661="EQ"),0,""),LEN(W661)-LEN(SUBSTITUTE(W661,"、",""))+1))</f>
        <v/>
      </c>
      <c r="N661" s="85">
        <f>IF(OR(Y661="估算法",Y661="算法类",Y661="无法识别"),"",IF(X661="",IF(OR(J661="ILF",J661="EIF"),0,""),LEN(X661)-LEN(SUBSTITUTE(X661,"、",""))+1))</f>
        <v/>
      </c>
      <c r="O661" s="85">
        <f>IF(OR(Y661="估算法",Y661="算法类",Y661="无法识别"),"",IF(Y661="",IF(OR(J661="ILF",J661="EIF",J661="EI",J661="EO",J661="EQ"),0,""),LEN(Y661)-LEN(SUBSTITUTE(SUBSTITUTE(SUBSTITUTE(SUBSTITUTE(SUBSTITUTE(Y661,"|}","--"),"{|","--"),CHAR(10),""),"、",""),"|",""))+IF(AND(OR(J661="EI",J661="EO",J661="EQ"),$AE$1="NESMA"),2,1)))</f>
        <v/>
      </c>
      <c r="P661" s="86">
        <f>IF(J661="EI",IF(OR(Y661="估算法",Y661="算法类"),"中",IF(Y661="无法识别","低",IF(M661&lt;2,IF(O661&lt;16,"低","中"),IF(M661&lt;3,IF(O661&lt;5,"低",IF(O661&lt;16,"中","高")),IF(O661&lt;5,"中","高"))))),IF(OR(J661="EO",J661="EQ"),IF(OR(Y661="估算法",Y661="算法类"),"中",IF(Y661="无法识别","低",IF(M661&lt;2,IF(O661&lt;20,"低","中"),IF(M661&lt;4,IF(O661&lt;6,"低",IF(O661&lt;20,"中","高")),IF(O661&lt;6,"中","高"))))),IF(OR(J661="ILF",J661="EIF"),IF(OR(Y661="估算法",Y661="算法类",Y661="无法识别"),"低",IF(N661&lt;2,IF(O661&lt;51,"低","中"),IF(N661&lt;6,IF(O661&lt;20,"低",IF(O661&lt;51,"中","高")),IF(O661&lt;20,"中","高")))),"不计算")))</f>
        <v/>
      </c>
      <c r="Q661" s="172">
        <f>IFERROR(IF(J661="EI",IF(P661="低",3,IF(P661="中",4,6)),IF(J661="EO",IF(P661="低",4,IF(P661="中",5,7)),IF(J661="EQ",IF(P661="低",3,IF(P661="中",4,6)),IF(J661="ILF",IF(P661="低",7,IF(P661="中",10,15)),IF(J661="EIF",IF(P661="低",5,IF(P661="中",7,10)),"不计算")))))*R661,"不计算")</f>
        <v/>
      </c>
      <c r="R661" s="172" t="n">
        <v>0</v>
      </c>
      <c r="S661" s="173">
        <f>调整因子!$F$13</f>
        <v/>
      </c>
      <c r="T661" s="92" t="n">
        <v>1</v>
      </c>
      <c r="U661" s="174">
        <f>IFERROR(Q661*S661,0)</f>
        <v/>
      </c>
      <c r="V661" s="174">
        <f>U661*T661</f>
        <v/>
      </c>
      <c r="W661" s="91" t="n"/>
      <c r="X661" s="93" t="inlineStr">
        <is>
          <t>系统漏洞修复成功统计数据表</t>
        </is>
      </c>
      <c r="Y661" s="93" t="inlineStr">
        <is>
          <t>系统漏洞修复成功统计数据表{ID、日期、业务场景ID、修复成功系统漏洞ID、修复工单ID|}</t>
        </is>
      </c>
      <c r="Z661" s="90">
        <f>IF(COUNTIFS(W:W,"*"&amp;I661&amp;"*")&gt;0,"存在","不存在")</f>
        <v/>
      </c>
      <c r="AA661" s="90">
        <f>IF(COUNTIFS(AB:AB,"*"&amp;I661&amp;"*")&gt;0,"存在","不存在")</f>
        <v/>
      </c>
      <c r="AB661" s="115" t="n"/>
    </row>
    <row r="662" s="112">
      <c r="A662" s="72">
        <f>ROW()-1</f>
        <v/>
      </c>
      <c r="B662" s="175" t="n"/>
      <c r="C662" s="80" t="n">
        <v>2025</v>
      </c>
      <c r="D662" s="80" t="inlineStr">
        <is>
          <t>汤凤欣</t>
        </is>
      </c>
      <c r="E662" s="81">
        <f>VLOOKUP(I662,'25年交付功能（不含废弃）'!A:A,1,FALSE)</f>
        <v/>
      </c>
      <c r="F662" s="175" t="n"/>
      <c r="G662" s="175" t="n"/>
      <c r="H662" s="175" t="n"/>
      <c r="I662" s="98" t="inlineStr">
        <is>
          <t>系统漏洞初始修复统计数据表</t>
        </is>
      </c>
      <c r="J662" s="93" t="inlineStr">
        <is>
          <t>ILF</t>
        </is>
      </c>
      <c r="K662" s="84" t="n"/>
      <c r="L662" s="84" t="inlineStr">
        <is>
          <t>数据库表未被本系统所维护</t>
        </is>
      </c>
      <c r="M662" s="85">
        <f>IF(OR(Y662="估算法",Y662="算法类",Y662="无法识别"),"",IF(W662="",IF(OR(J662="EI",J662="EO",J662="EQ"),0,""),LEN(W662)-LEN(SUBSTITUTE(W662,"、",""))+1))</f>
        <v/>
      </c>
      <c r="N662" s="85">
        <f>IF(OR(Y662="估算法",Y662="算法类",Y662="无法识别"),"",IF(X662="",IF(OR(J662="ILF",J662="EIF"),0,""),LEN(X662)-LEN(SUBSTITUTE(X662,"、",""))+1))</f>
        <v/>
      </c>
      <c r="O662" s="85">
        <f>IF(OR(Y662="估算法",Y662="算法类",Y662="无法识别"),"",IF(Y662="",IF(OR(J662="ILF",J662="EIF",J662="EI",J662="EO",J662="EQ"),0,""),LEN(Y662)-LEN(SUBSTITUTE(SUBSTITUTE(SUBSTITUTE(SUBSTITUTE(SUBSTITUTE(Y662,"|}","--"),"{|","--"),CHAR(10),""),"、",""),"|",""))+IF(AND(OR(J662="EI",J662="EO",J662="EQ"),$AE$1="NESMA"),2,1)))</f>
        <v/>
      </c>
      <c r="P662" s="86">
        <f>IF(J662="EI",IF(OR(Y662="估算法",Y662="算法类"),"中",IF(Y662="无法识别","低",IF(M662&lt;2,IF(O662&lt;16,"低","中"),IF(M662&lt;3,IF(O662&lt;5,"低",IF(O662&lt;16,"中","高")),IF(O662&lt;5,"中","高"))))),IF(OR(J662="EO",J662="EQ"),IF(OR(Y662="估算法",Y662="算法类"),"中",IF(Y662="无法识别","低",IF(M662&lt;2,IF(O662&lt;20,"低","中"),IF(M662&lt;4,IF(O662&lt;6,"低",IF(O662&lt;20,"中","高")),IF(O662&lt;6,"中","高"))))),IF(OR(J662="ILF",J662="EIF"),IF(OR(Y662="估算法",Y662="算法类",Y662="无法识别"),"低",IF(N662&lt;2,IF(O662&lt;51,"低","中"),IF(N662&lt;6,IF(O662&lt;20,"低",IF(O662&lt;51,"中","高")),IF(O662&lt;20,"中","高")))),"不计算")))</f>
        <v/>
      </c>
      <c r="Q662" s="172">
        <f>IFERROR(IF(J662="EI",IF(P662="低",3,IF(P662="中",4,6)),IF(J662="EO",IF(P662="低",4,IF(P662="中",5,7)),IF(J662="EQ",IF(P662="低",3,IF(P662="中",4,6)),IF(J662="ILF",IF(P662="低",7,IF(P662="中",10,15)),IF(J662="EIF",IF(P662="低",5,IF(P662="中",7,10)),"不计算")))))*R662,"不计算")</f>
        <v/>
      </c>
      <c r="R662" s="172" t="n">
        <v>0</v>
      </c>
      <c r="S662" s="173">
        <f>调整因子!$F$13</f>
        <v/>
      </c>
      <c r="T662" s="93" t="n">
        <v>1</v>
      </c>
      <c r="U662" s="174">
        <f>IFERROR(Q662*S662,0)</f>
        <v/>
      </c>
      <c r="V662" s="174">
        <f>U662*T662</f>
        <v/>
      </c>
      <c r="W662" s="91" t="n"/>
      <c r="X662" s="93" t="inlineStr">
        <is>
          <t>系统漏洞初始修复统计数据表</t>
        </is>
      </c>
      <c r="Y662" s="93" t="inlineStr">
        <is>
          <t>系统漏洞初始修复统计数据表{ID、日期、业务场景ID、系统漏洞ID、修复工单ID|}</t>
        </is>
      </c>
      <c r="Z662" s="90">
        <f>IF(COUNTIFS(W:W,"*"&amp;I662&amp;"*")&gt;0,"存在","不存在")</f>
        <v/>
      </c>
      <c r="AA662" s="90">
        <f>IF(COUNTIFS(AB:AB,"*"&amp;I662&amp;"*")&gt;0,"存在","不存在")</f>
        <v/>
      </c>
      <c r="AB662" s="92" t="n"/>
    </row>
    <row r="663" s="112">
      <c r="A663" s="72">
        <f>ROW()-1</f>
        <v/>
      </c>
      <c r="B663" s="175" t="n"/>
      <c r="C663" s="80" t="n">
        <v>2025</v>
      </c>
      <c r="D663" s="80" t="inlineStr">
        <is>
          <t>汤凤欣</t>
        </is>
      </c>
      <c r="E663" s="81">
        <f>VLOOKUP(I663,'25年交付功能（不含废弃）'!A:A,1,FALSE)</f>
        <v/>
      </c>
      <c r="F663" s="175" t="n"/>
      <c r="G663" s="175" t="n"/>
      <c r="H663" s="176" t="n"/>
      <c r="I663" s="98" t="inlineStr">
        <is>
          <t>误报系统漏洞数统计数据表</t>
        </is>
      </c>
      <c r="J663" s="93" t="inlineStr">
        <is>
          <t>ILF</t>
        </is>
      </c>
      <c r="K663" s="84" t="n"/>
      <c r="L663" s="84" t="inlineStr">
        <is>
          <t>数据库表未被本系统所维护</t>
        </is>
      </c>
      <c r="M663" s="85">
        <f>IF(OR(Y663="估算法",Y663="算法类",Y663="无法识别"),"",IF(W663="",IF(OR(J663="EI",J663="EO",J663="EQ"),0,""),LEN(W663)-LEN(SUBSTITUTE(W663,"、",""))+1))</f>
        <v/>
      </c>
      <c r="N663" s="85">
        <f>IF(OR(Y663="估算法",Y663="算法类",Y663="无法识别"),"",IF(X663="",IF(OR(J663="ILF",J663="EIF"),0,""),LEN(X663)-LEN(SUBSTITUTE(X663,"、",""))+1))</f>
        <v/>
      </c>
      <c r="O663" s="85">
        <f>IF(OR(Y663="估算法",Y663="算法类",Y663="无法识别"),"",IF(Y663="",IF(OR(J663="ILF",J663="EIF",J663="EI",J663="EO",J663="EQ"),0,""),LEN(Y663)-LEN(SUBSTITUTE(SUBSTITUTE(SUBSTITUTE(SUBSTITUTE(SUBSTITUTE(Y663,"|}","--"),"{|","--"),CHAR(10),""),"、",""),"|",""))+IF(AND(OR(J663="EI",J663="EO",J663="EQ"),$AE$1="NESMA"),2,1)))</f>
        <v/>
      </c>
      <c r="P663" s="86">
        <f>IF(J663="EI",IF(OR(Y663="估算法",Y663="算法类"),"中",IF(Y663="无法识别","低",IF(M663&lt;2,IF(O663&lt;16,"低","中"),IF(M663&lt;3,IF(O663&lt;5,"低",IF(O663&lt;16,"中","高")),IF(O663&lt;5,"中","高"))))),IF(OR(J663="EO",J663="EQ"),IF(OR(Y663="估算法",Y663="算法类"),"中",IF(Y663="无法识别","低",IF(M663&lt;2,IF(O663&lt;20,"低","中"),IF(M663&lt;4,IF(O663&lt;6,"低",IF(O663&lt;20,"中","高")),IF(O663&lt;6,"中","高"))))),IF(OR(J663="ILF",J663="EIF"),IF(OR(Y663="估算法",Y663="算法类",Y663="无法识别"),"低",IF(N663&lt;2,IF(O663&lt;51,"低","中"),IF(N663&lt;6,IF(O663&lt;20,"低",IF(O663&lt;51,"中","高")),IF(O663&lt;20,"中","高")))),"不计算")))</f>
        <v/>
      </c>
      <c r="Q663" s="172">
        <f>IFERROR(IF(J663="EI",IF(P663="低",3,IF(P663="中",4,6)),IF(J663="EO",IF(P663="低",4,IF(P663="中",5,7)),IF(J663="EQ",IF(P663="低",3,IF(P663="中",4,6)),IF(J663="ILF",IF(P663="低",7,IF(P663="中",10,15)),IF(J663="EIF",IF(P663="低",5,IF(P663="中",7,10)),"不计算")))))*R663,"不计算")</f>
        <v/>
      </c>
      <c r="R663" s="172" t="n">
        <v>0</v>
      </c>
      <c r="S663" s="173">
        <f>调整因子!$F$13</f>
        <v/>
      </c>
      <c r="T663" s="92" t="n">
        <v>1</v>
      </c>
      <c r="U663" s="174">
        <f>IFERROR(Q663*S663,0)</f>
        <v/>
      </c>
      <c r="V663" s="174">
        <f>U663*T663</f>
        <v/>
      </c>
      <c r="W663" s="91" t="n"/>
      <c r="X663" s="93" t="inlineStr">
        <is>
          <t>误报系统漏洞数统计数据表</t>
        </is>
      </c>
      <c r="Y663" s="93" t="inlineStr">
        <is>
          <t>误报系统漏洞数统计数据表{ID、日期、业务场景ID、误报系统漏洞ID、工单ID|}</t>
        </is>
      </c>
      <c r="Z663" s="90">
        <f>IF(COUNTIFS(W:W,"*"&amp;I663&amp;"*")&gt;0,"存在","不存在")</f>
        <v/>
      </c>
      <c r="AA663" s="90">
        <f>IF(COUNTIFS(AB:AB,"*"&amp;I663&amp;"*")&gt;0,"存在","不存在")</f>
        <v/>
      </c>
      <c r="AB663" s="115" t="n"/>
    </row>
    <row r="664" s="112">
      <c r="A664" s="72">
        <f>ROW()-1</f>
        <v/>
      </c>
      <c r="B664" s="175" t="n"/>
      <c r="C664" s="80" t="n">
        <v>2025</v>
      </c>
      <c r="D664" s="80" t="inlineStr">
        <is>
          <t>汤凤欣</t>
        </is>
      </c>
      <c r="E664" s="81">
        <f>VLOOKUP(I664,'25年交付功能（不含废弃）'!A:A,1,FALSE)</f>
        <v/>
      </c>
      <c r="F664" s="175" t="n"/>
      <c r="G664" s="175" t="n"/>
      <c r="H664" s="82" t="inlineStr">
        <is>
          <t>效能指标度量</t>
        </is>
      </c>
      <c r="I664" s="116" t="inlineStr">
        <is>
          <t>VPT风险等级统计</t>
        </is>
      </c>
      <c r="J664" s="93" t="inlineStr">
        <is>
          <t>EO</t>
        </is>
      </c>
      <c r="K664" s="84" t="n"/>
      <c r="L664" s="84" t="n"/>
      <c r="M664" s="85">
        <f>IF(OR(Y664="估算法",Y664="算法类",Y664="无法识别"),"",IF(W664="",IF(OR(J664="EI",J664="EO",J664="EQ"),0,""),LEN(W664)-LEN(SUBSTITUTE(W664,"、",""))+1))</f>
        <v/>
      </c>
      <c r="N664" s="85">
        <f>IF(OR(Y664="估算法",Y664="算法类",Y664="无法识别"),"",IF(X664="",IF(OR(J664="ILF",J664="EIF"),0,""),LEN(X664)-LEN(SUBSTITUTE(X664,"、",""))+1))</f>
        <v/>
      </c>
      <c r="O664" s="85">
        <f>IF(OR(Y664="估算法",Y664="算法类",Y664="无法识别"),"",IF(Y664="",IF(OR(J664="ILF",J664="EIF",J664="EI",J664="EO",J664="EQ"),0,""),LEN(Y664)-LEN(SUBSTITUTE(SUBSTITUTE(SUBSTITUTE(SUBSTITUTE(SUBSTITUTE(Y664,"|}","--"),"{|","--"),CHAR(10),""),"、",""),"|",""))+IF(AND(OR(J664="EI",J664="EO",J664="EQ"),$AE$1="NESMA"),2,1)))</f>
        <v/>
      </c>
      <c r="P664" s="86">
        <f>IF(J664="EI",IF(OR(Y664="估算法",Y664="算法类"),"中",IF(Y664="无法识别","低",IF(M664&lt;2,IF(O664&lt;16,"低","中"),IF(M664&lt;3,IF(O664&lt;5,"低",IF(O664&lt;16,"中","高")),IF(O664&lt;5,"中","高"))))),IF(OR(J664="EO",J664="EQ"),IF(OR(Y664="估算法",Y664="算法类"),"中",IF(Y664="无法识别","低",IF(M664&lt;2,IF(O664&lt;20,"低","中"),IF(M664&lt;4,IF(O664&lt;6,"低",IF(O664&lt;20,"中","高")),IF(O664&lt;6,"中","高"))))),IF(OR(J664="ILF",J664="EIF"),IF(OR(Y664="估算法",Y664="算法类",Y664="无法识别"),"低",IF(N664&lt;2,IF(O664&lt;51,"低","中"),IF(N664&lt;6,IF(O664&lt;20,"低",IF(O664&lt;51,"中","高")),IF(O664&lt;20,"中","高")))),"不计算")))</f>
        <v/>
      </c>
      <c r="Q664" s="172">
        <f>IFERROR(IF(J664="EI",IF(P664="低",3,IF(P664="中",4,6)),IF(J664="EO",IF(P664="低",4,IF(P664="中",5,7)),IF(J664="EQ",IF(P664="低",3,IF(P664="中",4,6)),IF(J664="ILF",IF(P664="低",7,IF(P664="中",10,15)),IF(J664="EIF",IF(P664="低",5,IF(P664="中",7,10)),"不计算")))))*R664,"不计算")</f>
        <v/>
      </c>
      <c r="R664" s="172" t="n">
        <v>1</v>
      </c>
      <c r="S664" s="173">
        <f>调整因子!$F$13</f>
        <v/>
      </c>
      <c r="T664" s="92" t="n">
        <v>1</v>
      </c>
      <c r="U664" s="174">
        <f>IFERROR(Q664*S664,0)</f>
        <v/>
      </c>
      <c r="V664" s="174">
        <f>U664*T664</f>
        <v/>
      </c>
      <c r="W664" s="90" t="inlineStr">
        <is>
          <t>VPT风险等级统计数据表、业务场景数据表、系统漏洞数据表、系统漏洞状态数据表、工单数据表</t>
        </is>
      </c>
      <c r="X664" s="81" t="n"/>
      <c r="Y664" s="82" t="inlineStr">
        <is>
          <t>VPT风险等级统计数据表{记录ID、日期、业务场景ID、系统漏洞ID、VPT级别、系统漏洞状态、工单ID、工单类型|}
系统漏洞数据表{系统漏洞ID、产品漏洞ID、资产ID、系统漏洞状态ID、时间戳、弱口令字典ID|}
系统漏洞状态数据表{系统漏洞状态ID、漏洞状态名称、漏洞状态说明|}
业务场景数据表{业务场景ID、场景编码、场景名称、场景等级|}
工单数据表{工单ID、工单编号、工单类型、处置时间、处置方式、资产范围、漏洞范围、口令字典范围、目标系统漏洞状态|}</t>
        </is>
      </c>
      <c r="Z664" s="90" t="n"/>
      <c r="AA664" s="90" t="n"/>
      <c r="AB664" s="92" t="n"/>
    </row>
    <row r="665" s="112">
      <c r="A665" s="72">
        <f>ROW()-1</f>
        <v/>
      </c>
      <c r="B665" s="175" t="n"/>
      <c r="C665" s="80" t="n">
        <v>2025</v>
      </c>
      <c r="D665" s="80" t="inlineStr">
        <is>
          <t>汤凤欣</t>
        </is>
      </c>
      <c r="E665" s="81">
        <f>VLOOKUP(I665,'25年交付功能（不含废弃）'!A:A,1,FALSE)</f>
        <v/>
      </c>
      <c r="F665" s="175" t="n"/>
      <c r="G665" s="175" t="n"/>
      <c r="H665" s="175" t="n"/>
      <c r="I665" s="117" t="inlineStr">
        <is>
          <t>产品漏洞覆盖率统计</t>
        </is>
      </c>
      <c r="J665" s="93" t="inlineStr">
        <is>
          <t>EO</t>
        </is>
      </c>
      <c r="K665" s="84" t="n"/>
      <c r="L665" s="84" t="inlineStr">
        <is>
          <t>无法判断是否在相同界面展示统计结果</t>
        </is>
      </c>
      <c r="M665" s="85">
        <f>IF(OR(Y665="估算法",Y665="算法类",Y665="无法识别"),"",IF(W665="",IF(OR(J665="EI",J665="EO",J665="EQ"),0,""),LEN(W665)-LEN(SUBSTITUTE(W665,"、",""))+1))</f>
        <v/>
      </c>
      <c r="N665" s="85">
        <f>IF(OR(Y665="估算法",Y665="算法类",Y665="无法识别"),"",IF(X665="",IF(OR(J665="ILF",J665="EIF"),0,""),LEN(X665)-LEN(SUBSTITUTE(X665,"、",""))+1))</f>
        <v/>
      </c>
      <c r="O665" s="85">
        <f>IF(OR(Y665="估算法",Y665="算法类",Y665="无法识别"),"",IF(Y665="",IF(OR(J665="ILF",J665="EIF",J665="EI",J665="EO",J665="EQ"),0,""),LEN(Y665)-LEN(SUBSTITUTE(SUBSTITUTE(SUBSTITUTE(SUBSTITUTE(SUBSTITUTE(Y665,"|}","--"),"{|","--"),CHAR(10),""),"、",""),"|",""))+IF(AND(OR(J665="EI",J665="EO",J665="EQ"),$AE$1="NESMA"),2,1)))</f>
        <v/>
      </c>
      <c r="P665" s="86">
        <f>IF(J665="EI",IF(OR(Y665="估算法",Y665="算法类"),"中",IF(Y665="无法识别","低",IF(M665&lt;2,IF(O665&lt;16,"低","中"),IF(M665&lt;3,IF(O665&lt;5,"低",IF(O665&lt;16,"中","高")),IF(O665&lt;5,"中","高"))))),IF(OR(J665="EO",J665="EQ"),IF(OR(Y665="估算法",Y665="算法类"),"中",IF(Y665="无法识别","低",IF(M665&lt;2,IF(O665&lt;20,"低","中"),IF(M665&lt;4,IF(O665&lt;6,"低",IF(O665&lt;20,"中","高")),IF(O665&lt;6,"中","高"))))),IF(OR(J665="ILF",J665="EIF"),IF(OR(Y665="估算法",Y665="算法类",Y665="无法识别"),"低",IF(N665&lt;2,IF(O665&lt;51,"低","中"),IF(N665&lt;6,IF(O665&lt;20,"低",IF(O665&lt;51,"中","高")),IF(O665&lt;20,"中","高")))),"不计算")))</f>
        <v/>
      </c>
      <c r="Q665" s="172">
        <f>IFERROR(IF(J665="EI",IF(P665="低",3,IF(P665="中",4,6)),IF(J665="EO",IF(P665="低",4,IF(P665="中",5,7)),IF(J665="EQ",IF(P665="低",3,IF(P665="中",4,6)),IF(J665="ILF",IF(P665="低",7,IF(P665="中",10,15)),IF(J665="EIF",IF(P665="低",5,IF(P665="中",7,10)),"不计算")))))*R665,"不计算")</f>
        <v/>
      </c>
      <c r="R665" s="172" t="n">
        <v>0.333333333333333</v>
      </c>
      <c r="S665" s="173">
        <f>调整因子!$F$13</f>
        <v/>
      </c>
      <c r="T665" s="93" t="n">
        <v>1</v>
      </c>
      <c r="U665" s="174">
        <f>IFERROR(Q665*S665,0)</f>
        <v/>
      </c>
      <c r="V665" s="174">
        <f>U665*T665</f>
        <v/>
      </c>
      <c r="W665" s="93" t="inlineStr">
        <is>
          <t>产品漏洞覆盖率统计数据表、业务场景数据表、工单数据表、产品漏洞数据表</t>
        </is>
      </c>
      <c r="X665" s="98" t="n"/>
      <c r="Y665" s="93" t="inlineStr">
        <is>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is>
      </c>
      <c r="Z665" s="90" t="n"/>
      <c r="AA665" s="90" t="n"/>
      <c r="AB665" s="115" t="n"/>
    </row>
    <row r="666" s="112">
      <c r="A666" s="72">
        <f>ROW()-1</f>
        <v/>
      </c>
      <c r="B666" s="175" t="n"/>
      <c r="C666" s="80" t="n">
        <v>2025</v>
      </c>
      <c r="D666" s="80" t="inlineStr">
        <is>
          <t>汤凤欣</t>
        </is>
      </c>
      <c r="E666" s="81">
        <f>VLOOKUP(I666,'25年交付功能（不含废弃）'!A:A,1,FALSE)</f>
        <v/>
      </c>
      <c r="F666" s="175" t="n"/>
      <c r="G666" s="175" t="n"/>
      <c r="H666" s="175" t="n"/>
      <c r="I666" s="116" t="inlineStr">
        <is>
          <t>弱口令扫描检测周期统计</t>
        </is>
      </c>
      <c r="J666" s="93" t="inlineStr">
        <is>
          <t>EO</t>
        </is>
      </c>
      <c r="K666" s="84" t="n"/>
      <c r="L666" s="84" t="inlineStr">
        <is>
          <t>无法判断是否在相同界面展示统计结果</t>
        </is>
      </c>
      <c r="M666" s="85">
        <f>IF(OR(Y666="估算法",Y666="算法类",Y666="无法识别"),"",IF(W666="",IF(OR(J666="EI",J666="EO",J666="EQ"),0,""),LEN(W666)-LEN(SUBSTITUTE(W666,"、",""))+1))</f>
        <v/>
      </c>
      <c r="N666" s="85">
        <f>IF(OR(Y666="估算法",Y666="算法类",Y666="无法识别"),"",IF(X666="",IF(OR(J666="ILF",J666="EIF"),0,""),LEN(X666)-LEN(SUBSTITUTE(X666,"、",""))+1))</f>
        <v/>
      </c>
      <c r="O666" s="85">
        <f>IF(OR(Y666="估算法",Y666="算法类",Y666="无法识别"),"",IF(Y666="",IF(OR(J666="ILF",J666="EIF",J666="EI",J666="EO",J666="EQ"),0,""),LEN(Y666)-LEN(SUBSTITUTE(SUBSTITUTE(SUBSTITUTE(SUBSTITUTE(SUBSTITUTE(Y666,"|}","--"),"{|","--"),CHAR(10),""),"、",""),"|",""))+IF(AND(OR(J666="EI",J666="EO",J666="EQ"),$AE$1="NESMA"),2,1)))</f>
        <v/>
      </c>
      <c r="P666" s="86">
        <f>IF(J666="EI",IF(OR(Y666="估算法",Y666="算法类"),"中",IF(Y666="无法识别","低",IF(M666&lt;2,IF(O666&lt;16,"低","中"),IF(M666&lt;3,IF(O666&lt;5,"低",IF(O666&lt;16,"中","高")),IF(O666&lt;5,"中","高"))))),IF(OR(J666="EO",J666="EQ"),IF(OR(Y666="估算法",Y666="算法类"),"中",IF(Y666="无法识别","低",IF(M666&lt;2,IF(O666&lt;20,"低","中"),IF(M666&lt;4,IF(O666&lt;6,"低",IF(O666&lt;20,"中","高")),IF(O666&lt;6,"中","高"))))),IF(OR(J666="ILF",J666="EIF"),IF(OR(Y666="估算法",Y666="算法类",Y666="无法识别"),"低",IF(N666&lt;2,IF(O666&lt;51,"低","中"),IF(N666&lt;6,IF(O666&lt;20,"低",IF(O666&lt;51,"中","高")),IF(O666&lt;20,"中","高")))),"不计算")))</f>
        <v/>
      </c>
      <c r="Q666" s="172">
        <f>IFERROR(IF(J666="EI",IF(P666="低",3,IF(P666="中",4,6)),IF(J666="EO",IF(P666="低",4,IF(P666="中",5,7)),IF(J666="EQ",IF(P666="低",3,IF(P666="中",4,6)),IF(J666="ILF",IF(P666="低",7,IF(P666="中",10,15)),IF(J666="EIF",IF(P666="低",5,IF(P666="中",7,10)),"不计算")))))*R666,"不计算")</f>
        <v/>
      </c>
      <c r="R666" s="172" t="n">
        <v>0.333333333333333</v>
      </c>
      <c r="S666" s="173">
        <f>调整因子!$F$13</f>
        <v/>
      </c>
      <c r="T666" s="92" t="n">
        <v>1</v>
      </c>
      <c r="U666" s="174">
        <f>IFERROR(Q666*S666,0)</f>
        <v/>
      </c>
      <c r="V666" s="174">
        <f>U666*T666</f>
        <v/>
      </c>
      <c r="W666" s="93" t="inlineStr">
        <is>
          <t>弱口令扫描检测周期统计数据表、业务场景数据表、资产数据表、弱口令扫描任务</t>
        </is>
      </c>
      <c r="X666" s="98" t="n"/>
      <c r="Y666" s="93" t="inlineStr">
        <is>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is>
      </c>
      <c r="Z666" s="90" t="n"/>
      <c r="AA666" s="90" t="n"/>
      <c r="AB666" s="92" t="n"/>
    </row>
    <row r="667" s="112">
      <c r="A667" s="72">
        <f>ROW()-1</f>
        <v/>
      </c>
      <c r="B667" s="175" t="n"/>
      <c r="C667" s="80" t="n">
        <v>2025</v>
      </c>
      <c r="D667" s="80" t="inlineStr">
        <is>
          <t>汤凤欣</t>
        </is>
      </c>
      <c r="E667" s="81">
        <f>VLOOKUP(I667,'25年交付功能（不含废弃）'!A:A,1,FALSE)</f>
        <v/>
      </c>
      <c r="F667" s="175" t="n"/>
      <c r="G667" s="175" t="n"/>
      <c r="H667" s="175" t="n"/>
      <c r="I667" s="116" t="inlineStr">
        <is>
          <t>弱口令扫描资产覆盖率统计</t>
        </is>
      </c>
      <c r="J667" s="93" t="inlineStr">
        <is>
          <t>EO</t>
        </is>
      </c>
      <c r="K667" s="84" t="n"/>
      <c r="L667" s="84" t="inlineStr">
        <is>
          <t>无法判断是否在相同界面展示统计结果</t>
        </is>
      </c>
      <c r="M667" s="85">
        <f>IF(OR(Y667="估算法",Y667="算法类",Y667="无法识别"),"",IF(W667="",IF(OR(J667="EI",J667="EO",J667="EQ"),0,""),LEN(W667)-LEN(SUBSTITUTE(W667,"、",""))+1))</f>
        <v/>
      </c>
      <c r="N667" s="85">
        <f>IF(OR(Y667="估算法",Y667="算法类",Y667="无法识别"),"",IF(X667="",IF(OR(J667="ILF",J667="EIF"),0,""),LEN(X667)-LEN(SUBSTITUTE(X667,"、",""))+1))</f>
        <v/>
      </c>
      <c r="O667" s="85">
        <f>IF(OR(Y667="估算法",Y667="算法类",Y667="无法识别"),"",IF(Y667="",IF(OR(J667="ILF",J667="EIF",J667="EI",J667="EO",J667="EQ"),0,""),LEN(Y667)-LEN(SUBSTITUTE(SUBSTITUTE(SUBSTITUTE(SUBSTITUTE(SUBSTITUTE(Y667,"|}","--"),"{|","--"),CHAR(10),""),"、",""),"|",""))+IF(AND(OR(J667="EI",J667="EO",J667="EQ"),$AE$1="NESMA"),2,1)))</f>
        <v/>
      </c>
      <c r="P667" s="86">
        <f>IF(J667="EI",IF(OR(Y667="估算法",Y667="算法类"),"中",IF(Y667="无法识别","低",IF(M667&lt;2,IF(O667&lt;16,"低","中"),IF(M667&lt;3,IF(O667&lt;5,"低",IF(O667&lt;16,"中","高")),IF(O667&lt;5,"中","高"))))),IF(OR(J667="EO",J667="EQ"),IF(OR(Y667="估算法",Y667="算法类"),"中",IF(Y667="无法识别","低",IF(M667&lt;2,IF(O667&lt;20,"低","中"),IF(M667&lt;4,IF(O667&lt;6,"低",IF(O667&lt;20,"中","高")),IF(O667&lt;6,"中","高"))))),IF(OR(J667="ILF",J667="EIF"),IF(OR(Y667="估算法",Y667="算法类",Y667="无法识别"),"低",IF(N667&lt;2,IF(O667&lt;51,"低","中"),IF(N667&lt;6,IF(O667&lt;20,"低",IF(O667&lt;51,"中","高")),IF(O667&lt;20,"中","高")))),"不计算")))</f>
        <v/>
      </c>
      <c r="Q667" s="172">
        <f>IFERROR(IF(J667="EI",IF(P667="低",3,IF(P667="中",4,6)),IF(J667="EO",IF(P667="低",4,IF(P667="中",5,7)),IF(J667="EQ",IF(P667="低",3,IF(P667="中",4,6)),IF(J667="ILF",IF(P667="低",7,IF(P667="中",10,15)),IF(J667="EIF",IF(P667="低",5,IF(P667="中",7,10)),"不计算")))))*R667,"不计算")</f>
        <v/>
      </c>
      <c r="R667" s="172" t="n">
        <v>0.333333333333333</v>
      </c>
      <c r="S667" s="173">
        <f>调整因子!$F$13</f>
        <v/>
      </c>
      <c r="T667" s="92" t="n">
        <v>1</v>
      </c>
      <c r="U667" s="174">
        <f>IFERROR(Q667*S667,0)</f>
        <v/>
      </c>
      <c r="V667" s="174">
        <f>U667*T667</f>
        <v/>
      </c>
      <c r="W667" s="93" t="inlineStr">
        <is>
          <t>弱口令扫描资产覆盖率统计数据表、业务场景数据表、弱口令扫描任务、资产数据表</t>
        </is>
      </c>
      <c r="X667" s="98" t="n"/>
      <c r="Y667" s="93" t="inlineStr">
        <is>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is>
      </c>
      <c r="Z667" s="90" t="n"/>
      <c r="AA667" s="90" t="n"/>
      <c r="AB667" s="115" t="n"/>
    </row>
    <row r="668" s="112">
      <c r="A668" s="72">
        <f>ROW()-1</f>
        <v/>
      </c>
      <c r="B668" s="175" t="n"/>
      <c r="C668" s="80" t="n">
        <v>2025</v>
      </c>
      <c r="D668" s="80" t="inlineStr">
        <is>
          <t>汤凤欣</t>
        </is>
      </c>
      <c r="E668" s="81">
        <f>VLOOKUP(I668,'25年交付功能（不含废弃）'!A:A,1,FALSE)</f>
        <v/>
      </c>
      <c r="F668" s="175" t="n"/>
      <c r="G668" s="175" t="n"/>
      <c r="H668" s="175" t="n"/>
      <c r="I668" s="117" t="inlineStr">
        <is>
          <t>弱口令覆盖率统计</t>
        </is>
      </c>
      <c r="J668" s="93" t="inlineStr">
        <is>
          <t>EO</t>
        </is>
      </c>
      <c r="K668" s="84" t="n"/>
      <c r="L668" s="84" t="inlineStr">
        <is>
          <t>无法判断是否在相同界面展示统计结果</t>
        </is>
      </c>
      <c r="M668" s="85">
        <f>IF(OR(Y668="估算法",Y668="算法类",Y668="无法识别"),"",IF(W668="",IF(OR(J668="EI",J668="EO",J668="EQ"),0,""),LEN(W668)-LEN(SUBSTITUTE(W668,"、",""))+1))</f>
        <v/>
      </c>
      <c r="N668" s="85">
        <f>IF(OR(Y668="估算法",Y668="算法类",Y668="无法识别"),"",IF(X668="",IF(OR(J668="ILF",J668="EIF"),0,""),LEN(X668)-LEN(SUBSTITUTE(X668,"、",""))+1))</f>
        <v/>
      </c>
      <c r="O668" s="85">
        <f>IF(OR(Y668="估算法",Y668="算法类",Y668="无法识别"),"",IF(Y668="",IF(OR(J668="ILF",J668="EIF",J668="EI",J668="EO",J668="EQ"),0,""),LEN(Y668)-LEN(SUBSTITUTE(SUBSTITUTE(SUBSTITUTE(SUBSTITUTE(SUBSTITUTE(Y668,"|}","--"),"{|","--"),CHAR(10),""),"、",""),"|",""))+IF(AND(OR(J668="EI",J668="EO",J668="EQ"),$AE$1="NESMA"),2,1)))</f>
        <v/>
      </c>
      <c r="P668" s="86">
        <f>IF(J668="EI",IF(OR(Y668="估算法",Y668="算法类"),"中",IF(Y668="无法识别","低",IF(M668&lt;2,IF(O668&lt;16,"低","中"),IF(M668&lt;3,IF(O668&lt;5,"低",IF(O668&lt;16,"中","高")),IF(O668&lt;5,"中","高"))))),IF(OR(J668="EO",J668="EQ"),IF(OR(Y668="估算法",Y668="算法类"),"中",IF(Y668="无法识别","低",IF(M668&lt;2,IF(O668&lt;20,"低","中"),IF(M668&lt;4,IF(O668&lt;6,"低",IF(O668&lt;20,"中","高")),IF(O668&lt;6,"中","高"))))),IF(OR(J668="ILF",J668="EIF"),IF(OR(Y668="估算法",Y668="算法类",Y668="无法识别"),"低",IF(N668&lt;2,IF(O668&lt;51,"低","中"),IF(N668&lt;6,IF(O668&lt;20,"低",IF(O668&lt;51,"中","高")),IF(O668&lt;20,"中","高")))),"不计算")))</f>
        <v/>
      </c>
      <c r="Q668" s="172">
        <f>IFERROR(IF(J668="EI",IF(P668="低",3,IF(P668="中",4,6)),IF(J668="EO",IF(P668="低",4,IF(P668="中",5,7)),IF(J668="EQ",IF(P668="低",3,IF(P668="中",4,6)),IF(J668="ILF",IF(P668="低",7,IF(P668="中",10,15)),IF(J668="EIF",IF(P668="低",5,IF(P668="中",7,10)),"不计算")))))*R668,"不计算")</f>
        <v/>
      </c>
      <c r="R668" s="172" t="n">
        <v>0.333333333333333</v>
      </c>
      <c r="S668" s="173">
        <f>调整因子!$F$13</f>
        <v/>
      </c>
      <c r="T668" s="93" t="n">
        <v>1</v>
      </c>
      <c r="U668" s="174">
        <f>IFERROR(Q668*S668,0)</f>
        <v/>
      </c>
      <c r="V668" s="174">
        <f>U668*T668</f>
        <v/>
      </c>
      <c r="W668" s="93" t="inlineStr">
        <is>
          <t>弱口令覆盖率统计数据表、业务场景数据表、弱口令字典数据表、弱口令扫描任务</t>
        </is>
      </c>
      <c r="X668" s="98" t="n"/>
      <c r="Y668" s="93" t="inlineStr">
        <is>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is>
      </c>
      <c r="Z668" s="90" t="n"/>
      <c r="AA668" s="90" t="n"/>
      <c r="AB668" s="92" t="n"/>
    </row>
    <row r="669" s="112">
      <c r="A669" s="72">
        <f>ROW()-1</f>
        <v/>
      </c>
      <c r="B669" s="175" t="n"/>
      <c r="C669" s="80" t="n">
        <v>2025</v>
      </c>
      <c r="D669" s="80" t="inlineStr">
        <is>
          <t>汤凤欣</t>
        </is>
      </c>
      <c r="E669" s="81">
        <f>VLOOKUP(I669,'25年交付功能（不含废弃）'!A:A,1,FALSE)</f>
        <v/>
      </c>
      <c r="F669" s="175" t="n"/>
      <c r="G669" s="175" t="n"/>
      <c r="H669" s="175" t="n"/>
      <c r="I669" s="116" t="inlineStr">
        <is>
          <t>有效漏洞率统计</t>
        </is>
      </c>
      <c r="J669" s="93" t="inlineStr">
        <is>
          <t>EO</t>
        </is>
      </c>
      <c r="K669" s="84" t="n"/>
      <c r="L669" s="84" t="inlineStr">
        <is>
          <t>无法判断是否在相同界面展示统计结果</t>
        </is>
      </c>
      <c r="M669" s="85">
        <f>IF(OR(Y669="估算法",Y669="算法类",Y669="无法识别"),"",IF(W669="",IF(OR(J669="EI",J669="EO",J669="EQ"),0,""),LEN(W669)-LEN(SUBSTITUTE(W669,"、",""))+1))</f>
        <v/>
      </c>
      <c r="N669" s="85">
        <f>IF(OR(Y669="估算法",Y669="算法类",Y669="无法识别"),"",IF(X669="",IF(OR(J669="ILF",J669="EIF"),0,""),LEN(X669)-LEN(SUBSTITUTE(X669,"、",""))+1))</f>
        <v/>
      </c>
      <c r="O669" s="85">
        <f>IF(OR(Y669="估算法",Y669="算法类",Y669="无法识别"),"",IF(Y669="",IF(OR(J669="ILF",J669="EIF",J669="EI",J669="EO",J669="EQ"),0,""),LEN(Y669)-LEN(SUBSTITUTE(SUBSTITUTE(SUBSTITUTE(SUBSTITUTE(SUBSTITUTE(Y669,"|}","--"),"{|","--"),CHAR(10),""),"、",""),"|",""))+IF(AND(OR(J669="EI",J669="EO",J669="EQ"),$AE$1="NESMA"),2,1)))</f>
        <v/>
      </c>
      <c r="P669" s="86">
        <f>IF(J669="EI",IF(OR(Y669="估算法",Y669="算法类"),"中",IF(Y669="无法识别","低",IF(M669&lt;2,IF(O669&lt;16,"低","中"),IF(M669&lt;3,IF(O669&lt;5,"低",IF(O669&lt;16,"中","高")),IF(O669&lt;5,"中","高"))))),IF(OR(J669="EO",J669="EQ"),IF(OR(Y669="估算法",Y669="算法类"),"中",IF(Y669="无法识别","低",IF(M669&lt;2,IF(O669&lt;20,"低","中"),IF(M669&lt;4,IF(O669&lt;6,"低",IF(O669&lt;20,"中","高")),IF(O669&lt;6,"中","高"))))),IF(OR(J669="ILF",J669="EIF"),IF(OR(Y669="估算法",Y669="算法类",Y669="无法识别"),"低",IF(N669&lt;2,IF(O669&lt;51,"低","中"),IF(N669&lt;6,IF(O669&lt;20,"低",IF(O669&lt;51,"中","高")),IF(O669&lt;20,"中","高")))),"不计算")))</f>
        <v/>
      </c>
      <c r="Q669" s="172">
        <f>IFERROR(IF(J669="EI",IF(P669="低",3,IF(P669="中",4,6)),IF(J669="EO",IF(P669="低",4,IF(P669="中",5,7)),IF(J669="EQ",IF(P669="低",3,IF(P669="中",4,6)),IF(J669="ILF",IF(P669="低",7,IF(P669="中",10,15)),IF(J669="EIF",IF(P669="低",5,IF(P669="中",7,10)),"不计算")))))*R669,"不计算")</f>
        <v/>
      </c>
      <c r="R669" s="172" t="n">
        <v>0.333333333333333</v>
      </c>
      <c r="S669" s="173">
        <f>调整因子!$F$13</f>
        <v/>
      </c>
      <c r="T669" s="92" t="n">
        <v>1</v>
      </c>
      <c r="U669" s="174">
        <f>IFERROR(Q669*S669,0)</f>
        <v/>
      </c>
      <c r="V669" s="174">
        <f>U669*T669</f>
        <v/>
      </c>
      <c r="W669" s="93" t="inlineStr">
        <is>
          <t>有效漏洞率统计数据表、业务场景数据表、系统漏洞数据表、工单数据表</t>
        </is>
      </c>
      <c r="X669" s="98" t="n"/>
      <c r="Y669" s="93" t="inlineStr">
        <is>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69" s="90" t="n"/>
      <c r="AA669" s="90" t="n"/>
      <c r="AB669" s="115" t="n"/>
    </row>
    <row r="670" s="112">
      <c r="A670" s="72">
        <f>ROW()-1</f>
        <v/>
      </c>
      <c r="B670" s="175" t="n"/>
      <c r="C670" s="80" t="n">
        <v>2025</v>
      </c>
      <c r="D670" s="80" t="inlineStr">
        <is>
          <t>汤凤欣</t>
        </is>
      </c>
      <c r="E670" s="81">
        <f>VLOOKUP(I670,'25年交付功能（不含废弃）'!A:A,1,FALSE)</f>
        <v/>
      </c>
      <c r="F670" s="175" t="n"/>
      <c r="G670" s="175" t="n"/>
      <c r="H670" s="175" t="n"/>
      <c r="I670" s="117" t="inlineStr">
        <is>
          <t>未排查原因比例统计</t>
        </is>
      </c>
      <c r="J670" s="93" t="inlineStr">
        <is>
          <t>EO</t>
        </is>
      </c>
      <c r="K670" s="84" t="n"/>
      <c r="L670" s="84" t="inlineStr">
        <is>
          <t>无法判断是否在相同界面展示统计结果</t>
        </is>
      </c>
      <c r="M670" s="85">
        <f>IF(OR(Y670="估算法",Y670="算法类",Y670="无法识别"),"",IF(W670="",IF(OR(J670="EI",J670="EO",J670="EQ"),0,""),LEN(W670)-LEN(SUBSTITUTE(W670,"、",""))+1))</f>
        <v/>
      </c>
      <c r="N670" s="85">
        <f>IF(OR(Y670="估算法",Y670="算法类",Y670="无法识别"),"",IF(X670="",IF(OR(J670="ILF",J670="EIF"),0,""),LEN(X670)-LEN(SUBSTITUTE(X670,"、",""))+1))</f>
        <v/>
      </c>
      <c r="O670" s="85">
        <f>IF(OR(Y670="估算法",Y670="算法类",Y670="无法识别"),"",IF(Y670="",IF(OR(J670="ILF",J670="EIF",J670="EI",J670="EO",J670="EQ"),0,""),LEN(Y670)-LEN(SUBSTITUTE(SUBSTITUTE(SUBSTITUTE(SUBSTITUTE(SUBSTITUTE(Y670,"|}","--"),"{|","--"),CHAR(10),""),"、",""),"|",""))+IF(AND(OR(J670="EI",J670="EO",J670="EQ"),$AE$1="NESMA"),2,1)))</f>
        <v/>
      </c>
      <c r="P670" s="86">
        <f>IF(J670="EI",IF(OR(Y670="估算法",Y670="算法类"),"中",IF(Y670="无法识别","低",IF(M670&lt;2,IF(O670&lt;16,"低","中"),IF(M670&lt;3,IF(O670&lt;5,"低",IF(O670&lt;16,"中","高")),IF(O670&lt;5,"中","高"))))),IF(OR(J670="EO",J670="EQ"),IF(OR(Y670="估算法",Y670="算法类"),"中",IF(Y670="无法识别","低",IF(M670&lt;2,IF(O670&lt;20,"低","中"),IF(M670&lt;4,IF(O670&lt;6,"低",IF(O670&lt;20,"中","高")),IF(O670&lt;6,"中","高"))))),IF(OR(J670="ILF",J670="EIF"),IF(OR(Y670="估算法",Y670="算法类",Y670="无法识别"),"低",IF(N670&lt;2,IF(O670&lt;51,"低","中"),IF(N670&lt;6,IF(O670&lt;20,"低",IF(O670&lt;51,"中","高")),IF(O670&lt;20,"中","高")))),"不计算")))</f>
        <v/>
      </c>
      <c r="Q670" s="172">
        <f>IFERROR(IF(J670="EI",IF(P670="低",3,IF(P670="中",4,6)),IF(J670="EO",IF(P670="低",4,IF(P670="中",5,7)),IF(J670="EQ",IF(P670="低",3,IF(P670="中",4,6)),IF(J670="ILF",IF(P670="低",7,IF(P670="中",10,15)),IF(J670="EIF",IF(P670="低",5,IF(P670="中",7,10)),"不计算")))))*R670,"不计算")</f>
        <v/>
      </c>
      <c r="R670" s="172" t="n">
        <v>0.2</v>
      </c>
      <c r="S670" s="173">
        <f>调整因子!$F$13</f>
        <v/>
      </c>
      <c r="T670" s="92" t="n">
        <v>1</v>
      </c>
      <c r="U670" s="174">
        <f>IFERROR(Q670*S670,0)</f>
        <v/>
      </c>
      <c r="V670" s="174">
        <f>U670*T670</f>
        <v/>
      </c>
      <c r="W670" s="93" t="inlineStr">
        <is>
          <t>未排查原因比例统计数据表、业务场景数据表、资产数据表、工单数据表</t>
        </is>
      </c>
      <c r="X670" s="98" t="n"/>
      <c r="Y670" s="93" t="inlineStr">
        <is>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is>
      </c>
      <c r="Z670" s="90" t="n"/>
      <c r="AA670" s="90" t="n"/>
      <c r="AB670" s="92" t="n"/>
    </row>
    <row r="671" s="112">
      <c r="A671" s="72">
        <f>ROW()-1</f>
        <v/>
      </c>
      <c r="B671" s="175" t="n"/>
      <c r="C671" s="80" t="n">
        <v>2025</v>
      </c>
      <c r="D671" s="80" t="inlineStr">
        <is>
          <t>汤凤欣</t>
        </is>
      </c>
      <c r="E671" s="81">
        <f>VLOOKUP(I671,'25年交付功能（不含废弃）'!A:A,1,FALSE)</f>
        <v/>
      </c>
      <c r="F671" s="175" t="n"/>
      <c r="G671" s="175" t="n"/>
      <c r="H671" s="175" t="n"/>
      <c r="I671" s="116" t="inlineStr">
        <is>
          <t>未闭环漏洞一致率统计</t>
        </is>
      </c>
      <c r="J671" s="93" t="inlineStr">
        <is>
          <t>EO</t>
        </is>
      </c>
      <c r="K671" s="84" t="n"/>
      <c r="L671" s="84" t="inlineStr">
        <is>
          <t>无法判断是否在相同界面展示统计结果</t>
        </is>
      </c>
      <c r="M671" s="85">
        <f>IF(OR(Y671="估算法",Y671="算法类",Y671="无法识别"),"",IF(W671="",IF(OR(J671="EI",J671="EO",J671="EQ"),0,""),LEN(W671)-LEN(SUBSTITUTE(W671,"、",""))+1))</f>
        <v/>
      </c>
      <c r="N671" s="85">
        <f>IF(OR(Y671="估算法",Y671="算法类",Y671="无法识别"),"",IF(X671="",IF(OR(J671="ILF",J671="EIF"),0,""),LEN(X671)-LEN(SUBSTITUTE(X671,"、",""))+1))</f>
        <v/>
      </c>
      <c r="O671" s="85">
        <f>IF(OR(Y671="估算法",Y671="算法类",Y671="无法识别"),"",IF(Y671="",IF(OR(J671="ILF",J671="EIF",J671="EI",J671="EO",J671="EQ"),0,""),LEN(Y671)-LEN(SUBSTITUTE(SUBSTITUTE(SUBSTITUTE(SUBSTITUTE(SUBSTITUTE(Y671,"|}","--"),"{|","--"),CHAR(10),""),"、",""),"|",""))+IF(AND(OR(J671="EI",J671="EO",J671="EQ"),$AE$1="NESMA"),2,1)))</f>
        <v/>
      </c>
      <c r="P671" s="86">
        <f>IF(J671="EI",IF(OR(Y671="估算法",Y671="算法类"),"中",IF(Y671="无法识别","低",IF(M671&lt;2,IF(O671&lt;16,"低","中"),IF(M671&lt;3,IF(O671&lt;5,"低",IF(O671&lt;16,"中","高")),IF(O671&lt;5,"中","高"))))),IF(OR(J671="EO",J671="EQ"),IF(OR(Y671="估算法",Y671="算法类"),"中",IF(Y671="无法识别","低",IF(M671&lt;2,IF(O671&lt;20,"低","中"),IF(M671&lt;4,IF(O671&lt;6,"低",IF(O671&lt;20,"中","高")),IF(O671&lt;6,"中","高"))))),IF(OR(J671="ILF",J671="EIF"),IF(OR(Y671="估算法",Y671="算法类",Y671="无法识别"),"低",IF(N671&lt;2,IF(O671&lt;51,"低","中"),IF(N671&lt;6,IF(O671&lt;20,"低",IF(O671&lt;51,"中","高")),IF(O671&lt;20,"中","高")))),"不计算")))</f>
        <v/>
      </c>
      <c r="Q671" s="172">
        <f>IFERROR(IF(J671="EI",IF(P671="低",3,IF(P671="中",4,6)),IF(J671="EO",IF(P671="低",4,IF(P671="中",5,7)),IF(J671="EQ",IF(P671="低",3,IF(P671="中",4,6)),IF(J671="ILF",IF(P671="低",7,IF(P671="中",10,15)),IF(J671="EIF",IF(P671="低",5,IF(P671="中",7,10)),"不计算")))))*R671,"不计算")</f>
        <v/>
      </c>
      <c r="R671" s="172" t="n">
        <v>0.2</v>
      </c>
      <c r="S671" s="173">
        <f>调整因子!$F$13</f>
        <v/>
      </c>
      <c r="T671" s="93" t="n">
        <v>1</v>
      </c>
      <c r="U671" s="174">
        <f>IFERROR(Q671*S671,0)</f>
        <v/>
      </c>
      <c r="V671" s="174">
        <f>U671*T671</f>
        <v/>
      </c>
      <c r="W671" s="93" t="inlineStr">
        <is>
          <t>未闭环漏洞一致率统计数据表、业务场景数据表、系统漏洞数据表、工单数据表</t>
        </is>
      </c>
      <c r="X671" s="98" t="n"/>
      <c r="Y671" s="93" t="inlineStr">
        <is>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1" s="90" t="n"/>
      <c r="AA671" s="90" t="n"/>
      <c r="AB671" s="115" t="n"/>
    </row>
    <row r="672" s="112">
      <c r="A672" s="72">
        <f>ROW()-1</f>
        <v/>
      </c>
      <c r="B672" s="175" t="n"/>
      <c r="C672" s="80" t="n">
        <v>2025</v>
      </c>
      <c r="D672" s="80" t="inlineStr">
        <is>
          <t>汤凤欣</t>
        </is>
      </c>
      <c r="E672" s="81">
        <f>VLOOKUP(I672,'25年交付功能（不含废弃）'!A:A,1,FALSE)</f>
        <v/>
      </c>
      <c r="F672" s="175" t="n"/>
      <c r="G672" s="175" t="n"/>
      <c r="H672" s="175" t="n"/>
      <c r="I672" s="117" t="inlineStr">
        <is>
          <t>漏洞修复成功率统计</t>
        </is>
      </c>
      <c r="J672" s="93" t="inlineStr">
        <is>
          <t>EO</t>
        </is>
      </c>
      <c r="K672" s="84" t="n"/>
      <c r="L672" s="84" t="inlineStr">
        <is>
          <t>无法判断是否在相同界面展示统计结果</t>
        </is>
      </c>
      <c r="M672" s="85">
        <f>IF(OR(Y672="估算法",Y672="算法类",Y672="无法识别"),"",IF(W672="",IF(OR(J672="EI",J672="EO",J672="EQ"),0,""),LEN(W672)-LEN(SUBSTITUTE(W672,"、",""))+1))</f>
        <v/>
      </c>
      <c r="N672" s="85">
        <f>IF(OR(Y672="估算法",Y672="算法类",Y672="无法识别"),"",IF(X672="",IF(OR(J672="ILF",J672="EIF"),0,""),LEN(X672)-LEN(SUBSTITUTE(X672,"、",""))+1))</f>
        <v/>
      </c>
      <c r="O672" s="85">
        <f>IF(OR(Y672="估算法",Y672="算法类",Y672="无法识别"),"",IF(Y672="",IF(OR(J672="ILF",J672="EIF",J672="EI",J672="EO",J672="EQ"),0,""),LEN(Y672)-LEN(SUBSTITUTE(SUBSTITUTE(SUBSTITUTE(SUBSTITUTE(SUBSTITUTE(Y672,"|}","--"),"{|","--"),CHAR(10),""),"、",""),"|",""))+IF(AND(OR(J672="EI",J672="EO",J672="EQ"),$AE$1="NESMA"),2,1)))</f>
        <v/>
      </c>
      <c r="P672" s="86">
        <f>IF(J672="EI",IF(OR(Y672="估算法",Y672="算法类"),"中",IF(Y672="无法识别","低",IF(M672&lt;2,IF(O672&lt;16,"低","中"),IF(M672&lt;3,IF(O672&lt;5,"低",IF(O672&lt;16,"中","高")),IF(O672&lt;5,"中","高"))))),IF(OR(J672="EO",J672="EQ"),IF(OR(Y672="估算法",Y672="算法类"),"中",IF(Y672="无法识别","低",IF(M672&lt;2,IF(O672&lt;20,"低","中"),IF(M672&lt;4,IF(O672&lt;6,"低",IF(O672&lt;20,"中","高")),IF(O672&lt;6,"中","高"))))),IF(OR(J672="ILF",J672="EIF"),IF(OR(Y672="估算法",Y672="算法类",Y672="无法识别"),"低",IF(N672&lt;2,IF(O672&lt;51,"低","中"),IF(N672&lt;6,IF(O672&lt;20,"低",IF(O672&lt;51,"中","高")),IF(O672&lt;20,"中","高")))),"不计算")))</f>
        <v/>
      </c>
      <c r="Q672" s="172">
        <f>IFERROR(IF(J672="EI",IF(P672="低",3,IF(P672="中",4,6)),IF(J672="EO",IF(P672="低",4,IF(P672="中",5,7)),IF(J672="EQ",IF(P672="低",3,IF(P672="中",4,6)),IF(J672="ILF",IF(P672="低",7,IF(P672="中",10,15)),IF(J672="EIF",IF(P672="低",5,IF(P672="中",7,10)),"不计算")))))*R672,"不计算")</f>
        <v/>
      </c>
      <c r="R672" s="172" t="n">
        <v>0.2</v>
      </c>
      <c r="S672" s="173">
        <f>调整因子!$F$13</f>
        <v/>
      </c>
      <c r="T672" s="92" t="n">
        <v>1</v>
      </c>
      <c r="U672" s="174">
        <f>IFERROR(Q672*S672,0)</f>
        <v/>
      </c>
      <c r="V672" s="174">
        <f>U672*T672</f>
        <v/>
      </c>
      <c r="W672" s="93" t="inlineStr">
        <is>
          <t>漏洞修复成功率统计数据表、业务场景数据表、系统漏洞数据表、工单数据表</t>
        </is>
      </c>
      <c r="X672" s="98" t="n"/>
      <c r="Y672" s="93" t="inlineStr">
        <is>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2" s="90" t="n"/>
      <c r="AA672" s="90" t="n"/>
      <c r="AB672" s="92" t="n"/>
    </row>
    <row r="673" s="112">
      <c r="A673" s="72">
        <f>ROW()-1</f>
        <v/>
      </c>
      <c r="B673" s="175" t="n"/>
      <c r="C673" s="80" t="n">
        <v>2025</v>
      </c>
      <c r="D673" s="80" t="inlineStr">
        <is>
          <t>汤凤欣</t>
        </is>
      </c>
      <c r="E673" s="81">
        <f>VLOOKUP(I673,'25年交付功能（不含废弃）'!A:A,1,FALSE)</f>
        <v/>
      </c>
      <c r="F673" s="175" t="n"/>
      <c r="G673" s="175" t="n"/>
      <c r="H673" s="175" t="n"/>
      <c r="I673" s="116" t="inlineStr">
        <is>
          <t>漏洞关联分析资产覆盖率统计</t>
        </is>
      </c>
      <c r="J673" s="93" t="inlineStr">
        <is>
          <t>EO</t>
        </is>
      </c>
      <c r="K673" s="84" t="n"/>
      <c r="L673" s="84" t="inlineStr">
        <is>
          <t>无法判断是否在相同界面展示统计结果</t>
        </is>
      </c>
      <c r="M673" s="85">
        <f>IF(OR(Y673="估算法",Y673="算法类",Y673="无法识别"),"",IF(W673="",IF(OR(J673="EI",J673="EO",J673="EQ"),0,""),LEN(W673)-LEN(SUBSTITUTE(W673,"、",""))+1))</f>
        <v/>
      </c>
      <c r="N673" s="85">
        <f>IF(OR(Y673="估算法",Y673="算法类",Y673="无法识别"),"",IF(X673="",IF(OR(J673="ILF",J673="EIF"),0,""),LEN(X673)-LEN(SUBSTITUTE(X673,"、",""))+1))</f>
        <v/>
      </c>
      <c r="O673" s="85">
        <f>IF(OR(Y673="估算法",Y673="算法类",Y673="无法识别"),"",IF(Y673="",IF(OR(J673="ILF",J673="EIF",J673="EI",J673="EO",J673="EQ"),0,""),LEN(Y673)-LEN(SUBSTITUTE(SUBSTITUTE(SUBSTITUTE(SUBSTITUTE(SUBSTITUTE(Y673,"|}","--"),"{|","--"),CHAR(10),""),"、",""),"|",""))+IF(AND(OR(J673="EI",J673="EO",J673="EQ"),$AE$1="NESMA"),2,1)))</f>
        <v/>
      </c>
      <c r="P673" s="86">
        <f>IF(J673="EI",IF(OR(Y673="估算法",Y673="算法类"),"中",IF(Y673="无法识别","低",IF(M673&lt;2,IF(O673&lt;16,"低","中"),IF(M673&lt;3,IF(O673&lt;5,"低",IF(O673&lt;16,"中","高")),IF(O673&lt;5,"中","高"))))),IF(OR(J673="EO",J673="EQ"),IF(OR(Y673="估算法",Y673="算法类"),"中",IF(Y673="无法识别","低",IF(M673&lt;2,IF(O673&lt;20,"低","中"),IF(M673&lt;4,IF(O673&lt;6,"低",IF(O673&lt;20,"中","高")),IF(O673&lt;6,"中","高"))))),IF(OR(J673="ILF",J673="EIF"),IF(OR(Y673="估算法",Y673="算法类",Y673="无法识别"),"低",IF(N673&lt;2,IF(O673&lt;51,"低","中"),IF(N673&lt;6,IF(O673&lt;20,"低",IF(O673&lt;51,"中","高")),IF(O673&lt;20,"中","高")))),"不计算")))</f>
        <v/>
      </c>
      <c r="Q673" s="172">
        <f>IFERROR(IF(J673="EI",IF(P673="低",3,IF(P673="中",4,6)),IF(J673="EO",IF(P673="低",4,IF(P673="中",5,7)),IF(J673="EQ",IF(P673="低",3,IF(P673="中",4,6)),IF(J673="ILF",IF(P673="低",7,IF(P673="中",10,15)),IF(J673="EIF",IF(P673="低",5,IF(P673="中",7,10)),"不计算")))))*R673,"不计算")</f>
        <v/>
      </c>
      <c r="R673" s="172" t="n">
        <v>0.2</v>
      </c>
      <c r="S673" s="173">
        <f>调整因子!$F$13</f>
        <v/>
      </c>
      <c r="T673" s="92" t="n">
        <v>1</v>
      </c>
      <c r="U673" s="174">
        <f>IFERROR(Q673*S673,0)</f>
        <v/>
      </c>
      <c r="V673" s="174">
        <f>U673*T673</f>
        <v/>
      </c>
      <c r="W673" s="93" t="inlineStr">
        <is>
          <t>漏洞关联分析资产覆盖率统计数据表、业务场景数据表、资产数据表、预警任务数据表</t>
        </is>
      </c>
      <c r="X673" s="98" t="n"/>
      <c r="Y673" s="93" t="inlineStr">
        <is>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is>
      </c>
      <c r="Z673" s="90" t="n"/>
      <c r="AA673" s="90" t="n"/>
      <c r="AB673" s="115" t="n"/>
    </row>
    <row r="674" s="112">
      <c r="A674" s="72">
        <f>ROW()-1</f>
        <v/>
      </c>
      <c r="B674" s="175" t="n"/>
      <c r="C674" s="80" t="n">
        <v>2025</v>
      </c>
      <c r="D674" s="80" t="inlineStr">
        <is>
          <t>汤凤欣</t>
        </is>
      </c>
      <c r="E674" s="81">
        <f>VLOOKUP(I674,'25年交付功能（不含废弃）'!A:A,1,FALSE)</f>
        <v/>
      </c>
      <c r="F674" s="175" t="n"/>
      <c r="G674" s="175" t="n"/>
      <c r="H674" s="175" t="n"/>
      <c r="I674" s="116" t="inlineStr">
        <is>
          <t>漏洞初始修复率统计</t>
        </is>
      </c>
      <c r="J674" s="93" t="inlineStr">
        <is>
          <t>EO</t>
        </is>
      </c>
      <c r="K674" s="84" t="n"/>
      <c r="L674" s="84" t="inlineStr">
        <is>
          <t>无法判断是否在相同界面展示统计结果</t>
        </is>
      </c>
      <c r="M674" s="85">
        <f>IF(OR(Y674="估算法",Y674="算法类",Y674="无法识别"),"",IF(W674="",IF(OR(J674="EI",J674="EO",J674="EQ"),0,""),LEN(W674)-LEN(SUBSTITUTE(W674,"、",""))+1))</f>
        <v/>
      </c>
      <c r="N674" s="85">
        <f>IF(OR(Y674="估算法",Y674="算法类",Y674="无法识别"),"",IF(X674="",IF(OR(J674="ILF",J674="EIF"),0,""),LEN(X674)-LEN(SUBSTITUTE(X674,"、",""))+1))</f>
        <v/>
      </c>
      <c r="O674" s="85">
        <f>IF(OR(Y674="估算法",Y674="算法类",Y674="无法识别"),"",IF(Y674="",IF(OR(J674="ILF",J674="EIF",J674="EI",J674="EO",J674="EQ"),0,""),LEN(Y674)-LEN(SUBSTITUTE(SUBSTITUTE(SUBSTITUTE(SUBSTITUTE(SUBSTITUTE(Y674,"|}","--"),"{|","--"),CHAR(10),""),"、",""),"|",""))+IF(AND(OR(J674="EI",J674="EO",J674="EQ"),$AE$1="NESMA"),2,1)))</f>
        <v/>
      </c>
      <c r="P674" s="86">
        <f>IF(J674="EI",IF(OR(Y674="估算法",Y674="算法类"),"中",IF(Y674="无法识别","低",IF(M674&lt;2,IF(O674&lt;16,"低","中"),IF(M674&lt;3,IF(O674&lt;5,"低",IF(O674&lt;16,"中","高")),IF(O674&lt;5,"中","高"))))),IF(OR(J674="EO",J674="EQ"),IF(OR(Y674="估算法",Y674="算法类"),"中",IF(Y674="无法识别","低",IF(M674&lt;2,IF(O674&lt;20,"低","中"),IF(M674&lt;4,IF(O674&lt;6,"低",IF(O674&lt;20,"中","高")),IF(O674&lt;6,"中","高"))))),IF(OR(J674="ILF",J674="EIF"),IF(OR(Y674="估算法",Y674="算法类",Y674="无法识别"),"低",IF(N674&lt;2,IF(O674&lt;51,"低","中"),IF(N674&lt;6,IF(O674&lt;20,"低",IF(O674&lt;51,"中","高")),IF(O674&lt;20,"中","高")))),"不计算")))</f>
        <v/>
      </c>
      <c r="Q674" s="172">
        <f>IFERROR(IF(J674="EI",IF(P674="低",3,IF(P674="中",4,6)),IF(J674="EO",IF(P674="低",4,IF(P674="中",5,7)),IF(J674="EQ",IF(P674="低",3,IF(P674="中",4,6)),IF(J674="ILF",IF(P674="低",7,IF(P674="中",10,15)),IF(J674="EIF",IF(P674="低",5,IF(P674="中",7,10)),"不计算")))))*R674,"不计算")</f>
        <v/>
      </c>
      <c r="R674" s="172" t="n">
        <v>0.2</v>
      </c>
      <c r="S674" s="173">
        <f>调整因子!$F$13</f>
        <v/>
      </c>
      <c r="T674" s="93" t="n">
        <v>1</v>
      </c>
      <c r="U674" s="174">
        <f>IFERROR(Q674*S674,0)</f>
        <v/>
      </c>
      <c r="V674" s="174">
        <f>U674*T674</f>
        <v/>
      </c>
      <c r="W674" s="93" t="inlineStr">
        <is>
          <t>漏洞初始修复率统计数据表、业务场景数据表、工单数据表、系统漏洞数据表</t>
        </is>
      </c>
      <c r="X674" s="98" t="n"/>
      <c r="Y674" s="93" t="inlineStr">
        <is>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is>
      </c>
      <c r="Z674" s="90" t="n"/>
      <c r="AA674" s="90" t="n"/>
      <c r="AB674" s="92" t="n"/>
    </row>
    <row r="675" s="112">
      <c r="A675" s="72">
        <f>ROW()-1</f>
        <v/>
      </c>
      <c r="B675" s="175" t="n"/>
      <c r="C675" s="80" t="n">
        <v>2025</v>
      </c>
      <c r="D675" s="80" t="inlineStr">
        <is>
          <t>汤凤欣</t>
        </is>
      </c>
      <c r="E675" s="81">
        <f>VLOOKUP(I675,'25年交付功能（不含废弃）'!A:A,1,FALSE)</f>
        <v/>
      </c>
      <c r="F675" s="175" t="n"/>
      <c r="G675" s="175" t="n"/>
      <c r="H675" s="175" t="n"/>
      <c r="I675" s="117" t="inlineStr">
        <is>
          <t>漏洞失败原因比例统计</t>
        </is>
      </c>
      <c r="J675" s="93" t="inlineStr">
        <is>
          <t>EO</t>
        </is>
      </c>
      <c r="K675" s="84" t="n"/>
      <c r="L675" s="84" t="inlineStr">
        <is>
          <t>无法判断是否在相同界面展示统计结果</t>
        </is>
      </c>
      <c r="M675" s="85">
        <f>IF(OR(Y675="估算法",Y675="算法类",Y675="无法识别"),"",IF(W675="",IF(OR(J675="EI",J675="EO",J675="EQ"),0,""),LEN(W675)-LEN(SUBSTITUTE(W675,"、",""))+1))</f>
        <v/>
      </c>
      <c r="N675" s="85">
        <f>IF(OR(Y675="估算法",Y675="算法类",Y675="无法识别"),"",IF(X675="",IF(OR(J675="ILF",J675="EIF"),0,""),LEN(X675)-LEN(SUBSTITUTE(X675,"、",""))+1))</f>
        <v/>
      </c>
      <c r="O675" s="85">
        <f>IF(OR(Y675="估算法",Y675="算法类",Y675="无法识别"),"",IF(Y675="",IF(OR(J675="ILF",J675="EIF",J675="EI",J675="EO",J675="EQ"),0,""),LEN(Y675)-LEN(SUBSTITUTE(SUBSTITUTE(SUBSTITUTE(SUBSTITUTE(SUBSTITUTE(Y675,"|}","--"),"{|","--"),CHAR(10),""),"、",""),"|",""))+IF(AND(OR(J675="EI",J675="EO",J675="EQ"),$AE$1="NESMA"),2,1)))</f>
        <v/>
      </c>
      <c r="P675" s="86">
        <f>IF(J675="EI",IF(OR(Y675="估算法",Y675="算法类"),"中",IF(Y675="无法识别","低",IF(M675&lt;2,IF(O675&lt;16,"低","中"),IF(M675&lt;3,IF(O675&lt;5,"低",IF(O675&lt;16,"中","高")),IF(O675&lt;5,"中","高"))))),IF(OR(J675="EO",J675="EQ"),IF(OR(Y675="估算法",Y675="算法类"),"中",IF(Y675="无法识别","低",IF(M675&lt;2,IF(O675&lt;20,"低","中"),IF(M675&lt;4,IF(O675&lt;6,"低",IF(O675&lt;20,"中","高")),IF(O675&lt;6,"中","高"))))),IF(OR(J675="ILF",J675="EIF"),IF(OR(Y675="估算法",Y675="算法类",Y675="无法识别"),"低",IF(N675&lt;2,IF(O675&lt;51,"低","中"),IF(N675&lt;6,IF(O675&lt;20,"低",IF(O675&lt;51,"中","高")),IF(O675&lt;20,"中","高")))),"不计算")))</f>
        <v/>
      </c>
      <c r="Q675" s="172">
        <f>IFERROR(IF(J675="EI",IF(P675="低",3,IF(P675="中",4,6)),IF(J675="EO",IF(P675="低",4,IF(P675="中",5,7)),IF(J675="EQ",IF(P675="低",3,IF(P675="中",4,6)),IF(J675="ILF",IF(P675="低",7,IF(P675="中",10,15)),IF(J675="EIF",IF(P675="低",5,IF(P675="中",7,10)),"不计算")))))*R675,"不计算")</f>
        <v/>
      </c>
      <c r="R675" s="172" t="n">
        <v>0.1</v>
      </c>
      <c r="S675" s="173">
        <f>调整因子!$F$13</f>
        <v/>
      </c>
      <c r="T675" s="92" t="n">
        <v>1</v>
      </c>
      <c r="U675" s="174">
        <f>IFERROR(Q675*S675,0)</f>
        <v/>
      </c>
      <c r="V675" s="174">
        <f>U675*T675</f>
        <v/>
      </c>
      <c r="W675" s="93" t="inlineStr">
        <is>
          <t>漏洞修复失败原因比例统计数据表、业务场景数据表、系统漏洞数据表、工单数据表</t>
        </is>
      </c>
      <c r="X675" s="98" t="n"/>
      <c r="Y675" s="93" t="inlineStr">
        <is>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5" s="90" t="n"/>
      <c r="AA675" s="90" t="n"/>
      <c r="AB675" s="115" t="n"/>
    </row>
    <row r="676" s="112">
      <c r="A676" s="72">
        <f>ROW()-1</f>
        <v/>
      </c>
      <c r="B676" s="175" t="n"/>
      <c r="C676" s="80" t="n">
        <v>2025</v>
      </c>
      <c r="D676" s="80" t="inlineStr">
        <is>
          <t>汤凤欣</t>
        </is>
      </c>
      <c r="E676" s="81">
        <f>VLOOKUP(I676,'25年交付功能（不含废弃）'!A:A,1,FALSE)</f>
        <v/>
      </c>
      <c r="F676" s="175" t="n"/>
      <c r="G676" s="175" t="n"/>
      <c r="H676" s="175" t="n"/>
      <c r="I676" s="117" t="inlineStr">
        <is>
          <t>漏洞平均修复时间(已验证)统计</t>
        </is>
      </c>
      <c r="J676" s="93" t="inlineStr">
        <is>
          <t>EO</t>
        </is>
      </c>
      <c r="K676" s="84" t="n"/>
      <c r="L676" s="84" t="inlineStr">
        <is>
          <t>无法判断是否在相同界面展示统计结果</t>
        </is>
      </c>
      <c r="M676" s="85">
        <f>IF(OR(Y676="估算法",Y676="算法类",Y676="无法识别"),"",IF(W676="",IF(OR(J676="EI",J676="EO",J676="EQ"),0,""),LEN(W676)-LEN(SUBSTITUTE(W676,"、",""))+1))</f>
        <v/>
      </c>
      <c r="N676" s="85">
        <f>IF(OR(Y676="估算法",Y676="算法类",Y676="无法识别"),"",IF(X676="",IF(OR(J676="ILF",J676="EIF"),0,""),LEN(X676)-LEN(SUBSTITUTE(X676,"、",""))+1))</f>
        <v/>
      </c>
      <c r="O676" s="85">
        <f>IF(OR(Y676="估算法",Y676="算法类",Y676="无法识别"),"",IF(Y676="",IF(OR(J676="ILF",J676="EIF",J676="EI",J676="EO",J676="EQ"),0,""),LEN(Y676)-LEN(SUBSTITUTE(SUBSTITUTE(SUBSTITUTE(SUBSTITUTE(SUBSTITUTE(Y676,"|}","--"),"{|","--"),CHAR(10),""),"、",""),"|",""))+IF(AND(OR(J676="EI",J676="EO",J676="EQ"),$AE$1="NESMA"),2,1)))</f>
        <v/>
      </c>
      <c r="P676" s="86">
        <f>IF(J676="EI",IF(OR(Y676="估算法",Y676="算法类"),"中",IF(Y676="无法识别","低",IF(M676&lt;2,IF(O676&lt;16,"低","中"),IF(M676&lt;3,IF(O676&lt;5,"低",IF(O676&lt;16,"中","高")),IF(O676&lt;5,"中","高"))))),IF(OR(J676="EO",J676="EQ"),IF(OR(Y676="估算法",Y676="算法类"),"中",IF(Y676="无法识别","低",IF(M676&lt;2,IF(O676&lt;20,"低","中"),IF(M676&lt;4,IF(O676&lt;6,"低",IF(O676&lt;20,"中","高")),IF(O676&lt;6,"中","高"))))),IF(OR(J676="ILF",J676="EIF"),IF(OR(Y676="估算法",Y676="算法类",Y676="无法识别"),"低",IF(N676&lt;2,IF(O676&lt;51,"低","中"),IF(N676&lt;6,IF(O676&lt;20,"低",IF(O676&lt;51,"中","高")),IF(O676&lt;20,"中","高")))),"不计算")))</f>
        <v/>
      </c>
      <c r="Q676" s="172">
        <f>IFERROR(IF(J676="EI",IF(P676="低",3,IF(P676="中",4,6)),IF(J676="EO",IF(P676="低",4,IF(P676="中",5,7)),IF(J676="EQ",IF(P676="低",3,IF(P676="中",4,6)),IF(J676="ILF",IF(P676="低",7,IF(P676="中",10,15)),IF(J676="EIF",IF(P676="低",5,IF(P676="中",7,10)),"不计算")))))*R676,"不计算")</f>
        <v/>
      </c>
      <c r="R676" s="172" t="n">
        <v>0.1</v>
      </c>
      <c r="S676" s="173">
        <f>调整因子!$F$13</f>
        <v/>
      </c>
      <c r="T676" s="92" t="n">
        <v>1</v>
      </c>
      <c r="U676" s="174">
        <f>IFERROR(Q676*S676,0)</f>
        <v/>
      </c>
      <c r="V676" s="174">
        <f>U676*T676</f>
        <v/>
      </c>
      <c r="W676" s="93" t="inlineStr">
        <is>
          <t>漏洞平均修复时间(已验证)统计数据表、业务场景数据表、系统漏洞数据表、工单数据表</t>
        </is>
      </c>
      <c r="X676" s="98" t="n"/>
      <c r="Y676" s="93" t="inlineStr">
        <is>
          <t>漏洞平均修复时间(已验证)统计数据表{记录ID、日期、业务场景ID、已验证修复系统漏洞ID、修复耗时、工单ID|}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6" s="90" t="n"/>
      <c r="AA676" s="90" t="n"/>
      <c r="AB676" s="92" t="n"/>
    </row>
    <row r="677" s="112">
      <c r="A677" s="72">
        <f>ROW()-1</f>
        <v/>
      </c>
      <c r="B677" s="175" t="n"/>
      <c r="C677" s="80" t="n">
        <v>2025</v>
      </c>
      <c r="D677" s="80" t="inlineStr">
        <is>
          <t>汤凤欣</t>
        </is>
      </c>
      <c r="E677" s="81">
        <f>VLOOKUP(I677,'25年交付功能（不含废弃）'!A:A,1,FALSE)</f>
        <v/>
      </c>
      <c r="F677" s="175" t="n"/>
      <c r="G677" s="175" t="n"/>
      <c r="H677" s="175" t="n"/>
      <c r="I677" s="81" t="inlineStr">
        <is>
          <t>漏洞平均修复时间(未验证)统计</t>
        </is>
      </c>
      <c r="J677" s="93" t="inlineStr">
        <is>
          <t>EO</t>
        </is>
      </c>
      <c r="K677" s="84" t="n"/>
      <c r="L677" s="84" t="inlineStr">
        <is>
          <t>无法判断是否在相同界面展示统计结果</t>
        </is>
      </c>
      <c r="M677" s="85">
        <f>IF(OR(Y677="估算法",Y677="算法类",Y677="无法识别"),"",IF(W677="",IF(OR(J677="EI",J677="EO",J677="EQ"),0,""),LEN(W677)-LEN(SUBSTITUTE(W677,"、",""))+1))</f>
        <v/>
      </c>
      <c r="N677" s="85">
        <f>IF(OR(Y677="估算法",Y677="算法类",Y677="无法识别"),"",IF(X677="",IF(OR(J677="ILF",J677="EIF"),0,""),LEN(X677)-LEN(SUBSTITUTE(X677,"、",""))+1))</f>
        <v/>
      </c>
      <c r="O677" s="85">
        <f>IF(OR(Y677="估算法",Y677="算法类",Y677="无法识别"),"",IF(Y677="",IF(OR(J677="ILF",J677="EIF",J677="EI",J677="EO",J677="EQ"),0,""),LEN(Y677)-LEN(SUBSTITUTE(SUBSTITUTE(SUBSTITUTE(SUBSTITUTE(SUBSTITUTE(Y677,"|}","--"),"{|","--"),CHAR(10),""),"、",""),"|",""))+IF(AND(OR(J677="EI",J677="EO",J677="EQ"),$AE$1="NESMA"),2,1)))</f>
        <v/>
      </c>
      <c r="P677" s="86">
        <f>IF(J677="EI",IF(OR(Y677="估算法",Y677="算法类"),"中",IF(Y677="无法识别","低",IF(M677&lt;2,IF(O677&lt;16,"低","中"),IF(M677&lt;3,IF(O677&lt;5,"低",IF(O677&lt;16,"中","高")),IF(O677&lt;5,"中","高"))))),IF(OR(J677="EO",J677="EQ"),IF(OR(Y677="估算法",Y677="算法类"),"中",IF(Y677="无法识别","低",IF(M677&lt;2,IF(O677&lt;20,"低","中"),IF(M677&lt;4,IF(O677&lt;6,"低",IF(O677&lt;20,"中","高")),IF(O677&lt;6,"中","高"))))),IF(OR(J677="ILF",J677="EIF"),IF(OR(Y677="估算法",Y677="算法类",Y677="无法识别"),"低",IF(N677&lt;2,IF(O677&lt;51,"低","中"),IF(N677&lt;6,IF(O677&lt;20,"低",IF(O677&lt;51,"中","高")),IF(O677&lt;20,"中","高")))),"不计算")))</f>
        <v/>
      </c>
      <c r="Q677" s="172">
        <f>IFERROR(IF(J677="EI",IF(P677="低",3,IF(P677="中",4,6)),IF(J677="EO",IF(P677="低",4,IF(P677="中",5,7)),IF(J677="EQ",IF(P677="低",3,IF(P677="中",4,6)),IF(J677="ILF",IF(P677="低",7,IF(P677="中",10,15)),IF(J677="EIF",IF(P677="低",5,IF(P677="中",7,10)),"不计算")))))*R677,"不计算")</f>
        <v/>
      </c>
      <c r="R677" s="172" t="n">
        <v>0.1</v>
      </c>
      <c r="S677" s="173">
        <f>调整因子!$F$13</f>
        <v/>
      </c>
      <c r="T677" s="93" t="n">
        <v>1</v>
      </c>
      <c r="U677" s="174">
        <f>IFERROR(Q677*S677,0)</f>
        <v/>
      </c>
      <c r="V677" s="174">
        <f>U677*T677</f>
        <v/>
      </c>
      <c r="W677" s="93" t="inlineStr">
        <is>
          <t>漏洞平均修复时间(未验证)统计数据表、业务场景数据表、系统漏洞数据表、工单数据表</t>
        </is>
      </c>
      <c r="X677" s="98" t="n"/>
      <c r="Y677" s="93" t="inlineStr">
        <is>
          <t>漏洞平均修复时间(未验证)统计数据表{记录ID、日期、业务场景ID、未验证修复系统漏洞ID、修复耗时、工单ID|}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77" s="90" t="n"/>
      <c r="AA677" s="90" t="n"/>
      <c r="AB677" s="115" t="n"/>
    </row>
    <row r="678" s="112">
      <c r="A678" s="72">
        <f>ROW()-1</f>
        <v/>
      </c>
      <c r="B678" s="175" t="n"/>
      <c r="C678" s="80" t="n">
        <v>2025</v>
      </c>
      <c r="D678" s="80" t="inlineStr">
        <is>
          <t>汤凤欣</t>
        </is>
      </c>
      <c r="E678" s="81">
        <f>VLOOKUP(I678,'25年交付功能（不含废弃）'!A:A,1,FALSE)</f>
        <v/>
      </c>
      <c r="F678" s="175" t="n"/>
      <c r="G678" s="175" t="n"/>
      <c r="H678" s="175" t="n"/>
      <c r="I678" s="98" t="inlineStr">
        <is>
          <t>漏洞扫描检测周期统计</t>
        </is>
      </c>
      <c r="J678" s="93" t="inlineStr">
        <is>
          <t>EO</t>
        </is>
      </c>
      <c r="K678" s="84" t="n"/>
      <c r="L678" s="84" t="inlineStr">
        <is>
          <t>无法判断是否在相同界面展示统计结果</t>
        </is>
      </c>
      <c r="M678" s="85">
        <f>IF(OR(Y678="估算法",Y678="算法类",Y678="无法识别"),"",IF(W678="",IF(OR(J678="EI",J678="EO",J678="EQ"),0,""),LEN(W678)-LEN(SUBSTITUTE(W678,"、",""))+1))</f>
        <v/>
      </c>
      <c r="N678" s="85">
        <f>IF(OR(Y678="估算法",Y678="算法类",Y678="无法识别"),"",IF(X678="",IF(OR(J678="ILF",J678="EIF"),0,""),LEN(X678)-LEN(SUBSTITUTE(X678,"、",""))+1))</f>
        <v/>
      </c>
      <c r="O678" s="85">
        <f>IF(OR(Y678="估算法",Y678="算法类",Y678="无法识别"),"",IF(Y678="",IF(OR(J678="ILF",J678="EIF",J678="EI",J678="EO",J678="EQ"),0,""),LEN(Y678)-LEN(SUBSTITUTE(SUBSTITUTE(SUBSTITUTE(SUBSTITUTE(SUBSTITUTE(Y678,"|}","--"),"{|","--"),CHAR(10),""),"、",""),"|",""))+IF(AND(OR(J678="EI",J678="EO",J678="EQ"),$AE$1="NESMA"),2,1)))</f>
        <v/>
      </c>
      <c r="P678" s="86">
        <f>IF(J678="EI",IF(OR(Y678="估算法",Y678="算法类"),"中",IF(Y678="无法识别","低",IF(M678&lt;2,IF(O678&lt;16,"低","中"),IF(M678&lt;3,IF(O678&lt;5,"低",IF(O678&lt;16,"中","高")),IF(O678&lt;5,"中","高"))))),IF(OR(J678="EO",J678="EQ"),IF(OR(Y678="估算法",Y678="算法类"),"中",IF(Y678="无法识别","低",IF(M678&lt;2,IF(O678&lt;20,"低","中"),IF(M678&lt;4,IF(O678&lt;6,"低",IF(O678&lt;20,"中","高")),IF(O678&lt;6,"中","高"))))),IF(OR(J678="ILF",J678="EIF"),IF(OR(Y678="估算法",Y678="算法类",Y678="无法识别"),"低",IF(N678&lt;2,IF(O678&lt;51,"低","中"),IF(N678&lt;6,IF(O678&lt;20,"低",IF(O678&lt;51,"中","高")),IF(O678&lt;20,"中","高")))),"不计算")))</f>
        <v/>
      </c>
      <c r="Q678" s="172">
        <f>IFERROR(IF(J678="EI",IF(P678="低",3,IF(P678="中",4,6)),IF(J678="EO",IF(P678="低",4,IF(P678="中",5,7)),IF(J678="EQ",IF(P678="低",3,IF(P678="中",4,6)),IF(J678="ILF",IF(P678="低",7,IF(P678="中",10,15)),IF(J678="EIF",IF(P678="低",5,IF(P678="中",7,10)),"不计算")))))*R678,"不计算")</f>
        <v/>
      </c>
      <c r="R678" s="172" t="n">
        <v>0.1</v>
      </c>
      <c r="S678" s="173">
        <f>调整因子!$F$13</f>
        <v/>
      </c>
      <c r="T678" s="92" t="n">
        <v>1</v>
      </c>
      <c r="U678" s="174">
        <f>IFERROR(Q678*S678,0)</f>
        <v/>
      </c>
      <c r="V678" s="174">
        <f>U678*T678</f>
        <v/>
      </c>
      <c r="W678" s="93" t="inlineStr">
        <is>
          <t>漏洞扫描检测周期统计数据表、业务场景数据表、漏洞扫描任务</t>
        </is>
      </c>
      <c r="X678" s="98" t="n"/>
      <c r="Y678" s="93" t="inlineStr">
        <is>
          <t>漏洞扫描检测周期统计数据表{记录ID、日期、业务场景ID、漏洞扫描任务ID|}
业务场景数据表{业务场景ID、场景编码、场景名称、场景等级|}
漏洞扫描任务{扫描任务ID、任务名称、扫描资产范围、漏洞范围、执行时间、创建人|}</t>
        </is>
      </c>
      <c r="Z678" s="90" t="n"/>
      <c r="AA678" s="90" t="n"/>
      <c r="AB678" s="92" t="n"/>
    </row>
    <row r="679" s="112">
      <c r="A679" s="72">
        <f>ROW()-1</f>
        <v/>
      </c>
      <c r="B679" s="175" t="n"/>
      <c r="C679" s="80" t="n">
        <v>2025</v>
      </c>
      <c r="D679" s="80" t="inlineStr">
        <is>
          <t>汤凤欣</t>
        </is>
      </c>
      <c r="E679" s="81">
        <f>VLOOKUP(I679,'25年交付功能（不含废弃）'!A:A,1,FALSE)</f>
        <v/>
      </c>
      <c r="F679" s="175" t="n"/>
      <c r="G679" s="175" t="n"/>
      <c r="H679" s="175" t="n"/>
      <c r="I679" s="117" t="inlineStr">
        <is>
          <t>漏洞扫描资产覆盖率统计</t>
        </is>
      </c>
      <c r="J679" s="93" t="inlineStr">
        <is>
          <t>EO</t>
        </is>
      </c>
      <c r="K679" s="84" t="n"/>
      <c r="L679" s="84" t="inlineStr">
        <is>
          <t>无法判断是否在相同界面展示统计结果</t>
        </is>
      </c>
      <c r="M679" s="85">
        <f>IF(OR(Y679="估算法",Y679="算法类",Y679="无法识别"),"",IF(W679="",IF(OR(J679="EI",J679="EO",J679="EQ"),0,""),LEN(W679)-LEN(SUBSTITUTE(W679,"、",""))+1))</f>
        <v/>
      </c>
      <c r="N679" s="85">
        <f>IF(OR(Y679="估算法",Y679="算法类",Y679="无法识别"),"",IF(X679="",IF(OR(J679="ILF",J679="EIF"),0,""),LEN(X679)-LEN(SUBSTITUTE(X679,"、",""))+1))</f>
        <v/>
      </c>
      <c r="O679" s="85">
        <f>IF(OR(Y679="估算法",Y679="算法类",Y679="无法识别"),"",IF(Y679="",IF(OR(J679="ILF",J679="EIF",J679="EI",J679="EO",J679="EQ"),0,""),LEN(Y679)-LEN(SUBSTITUTE(SUBSTITUTE(SUBSTITUTE(SUBSTITUTE(SUBSTITUTE(Y679,"|}","--"),"{|","--"),CHAR(10),""),"、",""),"|",""))+IF(AND(OR(J679="EI",J679="EO",J679="EQ"),$AE$1="NESMA"),2,1)))</f>
        <v/>
      </c>
      <c r="P679" s="86">
        <f>IF(J679="EI",IF(OR(Y679="估算法",Y679="算法类"),"中",IF(Y679="无法识别","低",IF(M679&lt;2,IF(O679&lt;16,"低","中"),IF(M679&lt;3,IF(O679&lt;5,"低",IF(O679&lt;16,"中","高")),IF(O679&lt;5,"中","高"))))),IF(OR(J679="EO",J679="EQ"),IF(OR(Y679="估算法",Y679="算法类"),"中",IF(Y679="无法识别","低",IF(M679&lt;2,IF(O679&lt;20,"低","中"),IF(M679&lt;4,IF(O679&lt;6,"低",IF(O679&lt;20,"中","高")),IF(O679&lt;6,"中","高"))))),IF(OR(J679="ILF",J679="EIF"),IF(OR(Y679="估算法",Y679="算法类",Y679="无法识别"),"低",IF(N679&lt;2,IF(O679&lt;51,"低","中"),IF(N679&lt;6,IF(O679&lt;20,"低",IF(O679&lt;51,"中","高")),IF(O679&lt;20,"中","高")))),"不计算")))</f>
        <v/>
      </c>
      <c r="Q679" s="172">
        <f>IFERROR(IF(J679="EI",IF(P679="低",3,IF(P679="中",4,6)),IF(J679="EO",IF(P679="低",4,IF(P679="中",5,7)),IF(J679="EQ",IF(P679="低",3,IF(P679="中",4,6)),IF(J679="ILF",IF(P679="低",7,IF(P679="中",10,15)),IF(J679="EIF",IF(P679="低",5,IF(P679="中",7,10)),"不计算")))))*R679,"不计算")</f>
        <v/>
      </c>
      <c r="R679" s="172" t="n">
        <v>0.1</v>
      </c>
      <c r="S679" s="173">
        <f>调整因子!$F$13</f>
        <v/>
      </c>
      <c r="T679" s="92" t="n">
        <v>1</v>
      </c>
      <c r="U679" s="174">
        <f>IFERROR(Q679*S679,0)</f>
        <v/>
      </c>
      <c r="V679" s="174">
        <f>U679*T679</f>
        <v/>
      </c>
      <c r="W679" s="93" t="inlineStr">
        <is>
          <t>漏洞扫描资产覆盖率统计数据表、业务场景数据表、资产数据表、漏洞扫描任务</t>
        </is>
      </c>
      <c r="X679" s="98" t="n"/>
      <c r="Y679" s="93" t="inlineStr">
        <is>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is>
      </c>
      <c r="Z679" s="90" t="n"/>
      <c r="AA679" s="90" t="n"/>
      <c r="AB679" s="115" t="n"/>
    </row>
    <row r="680" s="112">
      <c r="A680" s="72">
        <f>ROW()-1</f>
        <v/>
      </c>
      <c r="B680" s="175" t="n"/>
      <c r="C680" s="80" t="n">
        <v>2025</v>
      </c>
      <c r="D680" s="80" t="inlineStr">
        <is>
          <t>汤凤欣</t>
        </is>
      </c>
      <c r="E680" s="81">
        <f>VLOOKUP(I680,'25年交付功能（不含废弃）'!A:A,1,FALSE)</f>
        <v/>
      </c>
      <c r="F680" s="175" t="n"/>
      <c r="G680" s="175" t="n"/>
      <c r="H680" s="175" t="n"/>
      <c r="I680" s="116" t="inlineStr">
        <is>
          <t>漏洞未验证率统计</t>
        </is>
      </c>
      <c r="J680" s="93" t="inlineStr">
        <is>
          <t>EO</t>
        </is>
      </c>
      <c r="K680" s="84" t="n"/>
      <c r="L680" s="84" t="inlineStr">
        <is>
          <t>无法判断是否在相同界面展示统计结果</t>
        </is>
      </c>
      <c r="M680" s="85">
        <f>IF(OR(Y680="估算法",Y680="算法类",Y680="无法识别"),"",IF(W680="",IF(OR(J680="EI",J680="EO",J680="EQ"),0,""),LEN(W680)-LEN(SUBSTITUTE(W680,"、",""))+1))</f>
        <v/>
      </c>
      <c r="N680" s="85">
        <f>IF(OR(Y680="估算法",Y680="算法类",Y680="无法识别"),"",IF(X680="",IF(OR(J680="ILF",J680="EIF"),0,""),LEN(X680)-LEN(SUBSTITUTE(X680,"、",""))+1))</f>
        <v/>
      </c>
      <c r="O680" s="85">
        <f>IF(OR(Y680="估算法",Y680="算法类",Y680="无法识别"),"",IF(Y680="",IF(OR(J680="ILF",J680="EIF",J680="EI",J680="EO",J680="EQ"),0,""),LEN(Y680)-LEN(SUBSTITUTE(SUBSTITUTE(SUBSTITUTE(SUBSTITUTE(SUBSTITUTE(Y680,"|}","--"),"{|","--"),CHAR(10),""),"、",""),"|",""))+IF(AND(OR(J680="EI",J680="EO",J680="EQ"),$AE$1="NESMA"),2,1)))</f>
        <v/>
      </c>
      <c r="P680" s="86">
        <f>IF(J680="EI",IF(OR(Y680="估算法",Y680="算法类"),"中",IF(Y680="无法识别","低",IF(M680&lt;2,IF(O680&lt;16,"低","中"),IF(M680&lt;3,IF(O680&lt;5,"低",IF(O680&lt;16,"中","高")),IF(O680&lt;5,"中","高"))))),IF(OR(J680="EO",J680="EQ"),IF(OR(Y680="估算法",Y680="算法类"),"中",IF(Y680="无法识别","低",IF(M680&lt;2,IF(O680&lt;20,"低","中"),IF(M680&lt;4,IF(O680&lt;6,"低",IF(O680&lt;20,"中","高")),IF(O680&lt;6,"中","高"))))),IF(OR(J680="ILF",J680="EIF"),IF(OR(Y680="估算法",Y680="算法类",Y680="无法识别"),"低",IF(N680&lt;2,IF(O680&lt;51,"低","中"),IF(N680&lt;6,IF(O680&lt;20,"低",IF(O680&lt;51,"中","高")),IF(O680&lt;20,"中","高")))),"不计算")))</f>
        <v/>
      </c>
      <c r="Q680" s="172">
        <f>IFERROR(IF(J680="EI",IF(P680="低",3,IF(P680="中",4,6)),IF(J680="EO",IF(P680="低",4,IF(P680="中",5,7)),IF(J680="EQ",IF(P680="低",3,IF(P680="中",4,6)),IF(J680="ILF",IF(P680="低",7,IF(P680="中",10,15)),IF(J680="EIF",IF(P680="低",5,IF(P680="中",7,10)),"不计算")))))*R680,"不计算")</f>
        <v/>
      </c>
      <c r="R680" s="172" t="n">
        <v>0.1</v>
      </c>
      <c r="S680" s="173">
        <f>调整因子!$F$13</f>
        <v/>
      </c>
      <c r="T680" s="93" t="n">
        <v>1</v>
      </c>
      <c r="U680" s="174">
        <f>IFERROR(Q680*S680,0)</f>
        <v/>
      </c>
      <c r="V680" s="174">
        <f>U680*T680</f>
        <v/>
      </c>
      <c r="W680" s="93" t="inlineStr">
        <is>
          <t>漏洞未验证率统计数据表、业务场景数据表、系统漏洞数据表、工单数据表</t>
        </is>
      </c>
      <c r="X680" s="98" t="n"/>
      <c r="Y680" s="93" t="inlineStr">
        <is>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80" s="90" t="n"/>
      <c r="AA680" s="90" t="n"/>
      <c r="AB680" s="92" t="n"/>
    </row>
    <row r="681" s="112">
      <c r="A681" s="72">
        <f>ROW()-1</f>
        <v/>
      </c>
      <c r="B681" s="175" t="n"/>
      <c r="C681" s="80" t="n">
        <v>2025</v>
      </c>
      <c r="D681" s="80" t="inlineStr">
        <is>
          <t>汤凤欣</t>
        </is>
      </c>
      <c r="E681" s="81">
        <f>VLOOKUP(I681,'25年交付功能（不含废弃）'!A:A,1,FALSE)</f>
        <v/>
      </c>
      <c r="F681" s="175" t="n"/>
      <c r="G681" s="175" t="n"/>
      <c r="H681" s="175" t="n"/>
      <c r="I681" s="117" t="inlineStr">
        <is>
          <t>漏洞误报率统计</t>
        </is>
      </c>
      <c r="J681" s="93" t="inlineStr">
        <is>
          <t>EO</t>
        </is>
      </c>
      <c r="K681" s="84" t="n"/>
      <c r="L681" s="84" t="inlineStr">
        <is>
          <t>无法判断是否在相同界面展示统计结果</t>
        </is>
      </c>
      <c r="M681" s="85">
        <f>IF(OR(Y681="估算法",Y681="算法类",Y681="无法识别"),"",IF(W681="",IF(OR(J681="EI",J681="EO",J681="EQ"),0,""),LEN(W681)-LEN(SUBSTITUTE(W681,"、",""))+1))</f>
        <v/>
      </c>
      <c r="N681" s="85">
        <f>IF(OR(Y681="估算法",Y681="算法类",Y681="无法识别"),"",IF(X681="",IF(OR(J681="ILF",J681="EIF"),0,""),LEN(X681)-LEN(SUBSTITUTE(X681,"、",""))+1))</f>
        <v/>
      </c>
      <c r="O681" s="85">
        <f>IF(OR(Y681="估算法",Y681="算法类",Y681="无法识别"),"",IF(Y681="",IF(OR(J681="ILF",J681="EIF",J681="EI",J681="EO",J681="EQ"),0,""),LEN(Y681)-LEN(SUBSTITUTE(SUBSTITUTE(SUBSTITUTE(SUBSTITUTE(SUBSTITUTE(Y681,"|}","--"),"{|","--"),CHAR(10),""),"、",""),"|",""))+IF(AND(OR(J681="EI",J681="EO",J681="EQ"),$AE$1="NESMA"),2,1)))</f>
        <v/>
      </c>
      <c r="P681" s="86">
        <f>IF(J681="EI",IF(OR(Y681="估算法",Y681="算法类"),"中",IF(Y681="无法识别","低",IF(M681&lt;2,IF(O681&lt;16,"低","中"),IF(M681&lt;3,IF(O681&lt;5,"低",IF(O681&lt;16,"中","高")),IF(O681&lt;5,"中","高"))))),IF(OR(J681="EO",J681="EQ"),IF(OR(Y681="估算法",Y681="算法类"),"中",IF(Y681="无法识别","低",IF(M681&lt;2,IF(O681&lt;20,"低","中"),IF(M681&lt;4,IF(O681&lt;6,"低",IF(O681&lt;20,"中","高")),IF(O681&lt;6,"中","高"))))),IF(OR(J681="ILF",J681="EIF"),IF(OR(Y681="估算法",Y681="算法类",Y681="无法识别"),"低",IF(N681&lt;2,IF(O681&lt;51,"低","中"),IF(N681&lt;6,IF(O681&lt;20,"低",IF(O681&lt;51,"中","高")),IF(O681&lt;20,"中","高")))),"不计算")))</f>
        <v/>
      </c>
      <c r="Q681" s="172">
        <f>IFERROR(IF(J681="EI",IF(P681="低",3,IF(P681="中",4,6)),IF(J681="EO",IF(P681="低",4,IF(P681="中",5,7)),IF(J681="EQ",IF(P681="低",3,IF(P681="中",4,6)),IF(J681="ILF",IF(P681="低",7,IF(P681="中",10,15)),IF(J681="EIF",IF(P681="低",5,IF(P681="中",7,10)),"不计算")))))*R681,"不计算")</f>
        <v/>
      </c>
      <c r="R681" s="172" t="n">
        <v>0.1</v>
      </c>
      <c r="S681" s="173">
        <f>调整因子!$F$13</f>
        <v/>
      </c>
      <c r="T681" s="92" t="n">
        <v>1</v>
      </c>
      <c r="U681" s="174">
        <f>IFERROR(Q681*S681,0)</f>
        <v/>
      </c>
      <c r="V681" s="174">
        <f>U681*T681</f>
        <v/>
      </c>
      <c r="W681" s="93" t="inlineStr">
        <is>
          <t>漏洞误报率统计数据表、业务场景数据表、系统漏洞数据表、工单数据表</t>
        </is>
      </c>
      <c r="X681" s="98" t="n"/>
      <c r="Y681" s="93" t="inlineStr">
        <is>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is>
      </c>
      <c r="Z681" s="90" t="n"/>
      <c r="AA681" s="90" t="n"/>
      <c r="AB681" s="115" t="n"/>
    </row>
    <row r="682" s="112">
      <c r="A682" s="72">
        <f>ROW()-1</f>
        <v/>
      </c>
      <c r="B682" s="175" t="n"/>
      <c r="C682" s="80" t="n">
        <v>2025</v>
      </c>
      <c r="D682" s="80" t="inlineStr">
        <is>
          <t>汤凤欣</t>
        </is>
      </c>
      <c r="E682" s="81">
        <f>VLOOKUP(I682,'25年交付功能（不含废弃）'!A:A,1,FALSE)</f>
        <v/>
      </c>
      <c r="F682" s="175" t="n"/>
      <c r="G682" s="175" t="n"/>
      <c r="H682" s="175" t="n"/>
      <c r="I682" s="81" t="inlineStr">
        <is>
          <t>VPT风险等级统计数据表</t>
        </is>
      </c>
      <c r="J682" s="93" t="inlineStr">
        <is>
          <t>ILF</t>
        </is>
      </c>
      <c r="K682" s="84" t="n"/>
      <c r="L682" s="84" t="inlineStr">
        <is>
          <t>数据库表未被本系统所维护</t>
        </is>
      </c>
      <c r="M682" s="85">
        <f>IF(OR(Y682="估算法",Y682="算法类",Y682="无法识别"),"",IF(W682="",IF(OR(J682="EI",J682="EO",J682="EQ"),0,""),LEN(W682)-LEN(SUBSTITUTE(W682,"、",""))+1))</f>
        <v/>
      </c>
      <c r="N682" s="85">
        <f>IF(OR(Y682="估算法",Y682="算法类",Y682="无法识别"),"",IF(X682="",IF(OR(J682="ILF",J682="EIF"),0,""),LEN(X682)-LEN(SUBSTITUTE(X682,"、",""))+1))</f>
        <v/>
      </c>
      <c r="O682" s="85">
        <f>IF(OR(Y682="估算法",Y682="算法类",Y682="无法识别"),"",IF(Y682="",IF(OR(J682="ILF",J682="EIF",J682="EI",J682="EO",J682="EQ"),0,""),LEN(Y682)-LEN(SUBSTITUTE(SUBSTITUTE(SUBSTITUTE(SUBSTITUTE(SUBSTITUTE(Y682,"|}","--"),"{|","--"),CHAR(10),""),"、",""),"|",""))+IF(AND(OR(J682="EI",J682="EO",J682="EQ"),$AE$1="NESMA"),2,1)))</f>
        <v/>
      </c>
      <c r="P682" s="86">
        <f>IF(J682="EI",IF(OR(Y682="估算法",Y682="算法类"),"中",IF(Y682="无法识别","低",IF(M682&lt;2,IF(O682&lt;16,"低","中"),IF(M682&lt;3,IF(O682&lt;5,"低",IF(O682&lt;16,"中","高")),IF(O682&lt;5,"中","高"))))),IF(OR(J682="EO",J682="EQ"),IF(OR(Y682="估算法",Y682="算法类"),"中",IF(Y682="无法识别","低",IF(M682&lt;2,IF(O682&lt;20,"低","中"),IF(M682&lt;4,IF(O682&lt;6,"低",IF(O682&lt;20,"中","高")),IF(O682&lt;6,"中","高"))))),IF(OR(J682="ILF",J682="EIF"),IF(OR(Y682="估算法",Y682="算法类",Y682="无法识别"),"低",IF(N682&lt;2,IF(O682&lt;51,"低","中"),IF(N682&lt;6,IF(O682&lt;20,"低",IF(O682&lt;51,"中","高")),IF(O682&lt;20,"中","高")))),"不计算")))</f>
        <v/>
      </c>
      <c r="Q682" s="172">
        <f>IFERROR(IF(J682="EI",IF(P682="低",3,IF(P682="中",4,6)),IF(J682="EO",IF(P682="低",4,IF(P682="中",5,7)),IF(J682="EQ",IF(P682="低",3,IF(P682="中",4,6)),IF(J682="ILF",IF(P682="低",7,IF(P682="中",10,15)),IF(J682="EIF",IF(P682="低",5,IF(P682="中",7,10)),"不计算")))))*R682,"不计算")</f>
        <v/>
      </c>
      <c r="R682" s="172" t="n">
        <v>0</v>
      </c>
      <c r="S682" s="173">
        <f>调整因子!$F$13</f>
        <v/>
      </c>
      <c r="T682" s="92" t="n">
        <v>1</v>
      </c>
      <c r="U682" s="174">
        <f>IFERROR(Q682*S682,0)</f>
        <v/>
      </c>
      <c r="V682" s="174">
        <f>U682*T682</f>
        <v/>
      </c>
      <c r="W682" s="113" t="n"/>
      <c r="X682" s="82" t="inlineStr">
        <is>
          <t>VP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已验证)统计数据表、漏洞平均修复时间(未验证)统计数据表、漏洞扫描检测周期统计数据表、漏洞扫描资产覆盖率统计数据表、漏洞未验证率统计数据表、漏洞误报率统计数据表</t>
        </is>
      </c>
      <c r="Y682" s="93" t="inlineStr">
        <is>
          <t>记录ID、日期、业务场景ID、系统漏洞ID、VPT级别、系统漏洞状态、工单ID、工单类型、产品漏洞ID、资产ID、弱口令扫描任务ID、弱口令字典ID、有效系统漏洞ID、未排查资产ID、未排查原因、排查工单ID、未闭环系统漏洞ID、修复核验工单ID、已修复系统漏洞ID、修复工单ID、关联分析资产ID、预警任务ID、初始修复系统漏洞ID、修复失败系统漏洞ID、已验证修复系统漏洞ID、修复耗时、未验证修复系统漏洞ID、漏洞扫描任务ID、未验证系统漏洞ID、误报系统漏洞ID</t>
        </is>
      </c>
      <c r="Z682" s="90">
        <f>IF(COUNTIFS(W:W,"*"&amp;I682&amp;"*")&gt;0,"存在","不存在")</f>
        <v/>
      </c>
      <c r="AA682" s="90">
        <f>IF(COUNTIFS(AB:AB,"*"&amp;I682&amp;"*")&gt;0,"存在","不存在")</f>
        <v/>
      </c>
      <c r="AB682" s="92" t="n"/>
    </row>
    <row r="683" s="112">
      <c r="A683" s="72">
        <f>ROW()-1</f>
        <v/>
      </c>
      <c r="B683" s="175" t="n"/>
      <c r="C683" s="80" t="n">
        <v>2025</v>
      </c>
      <c r="D683" s="80" t="inlineStr">
        <is>
          <t>汤凤欣</t>
        </is>
      </c>
      <c r="E683" s="81">
        <f>VLOOKUP(I683,'25年交付功能（不含废弃）'!A:A,1,FALSE)</f>
        <v/>
      </c>
      <c r="F683" s="175" t="n"/>
      <c r="G683" s="175" t="n"/>
      <c r="H683" s="175" t="n"/>
      <c r="I683" s="98" t="inlineStr">
        <is>
          <t>产品漏洞覆盖率统计数据表</t>
        </is>
      </c>
      <c r="J683" s="93" t="inlineStr">
        <is>
          <t>ILF</t>
        </is>
      </c>
      <c r="K683" s="84" t="n"/>
      <c r="L683" s="84" t="inlineStr">
        <is>
          <t>数据库表未被本系统所维护</t>
        </is>
      </c>
      <c r="M683" s="85">
        <f>IF(OR(Y683="估算法",Y683="算法类",Y683="无法识别"),"",IF(W683="",IF(OR(J683="EI",J683="EO",J683="EQ"),0,""),LEN(W683)-LEN(SUBSTITUTE(W683,"、",""))+1))</f>
        <v/>
      </c>
      <c r="N683" s="85">
        <f>IF(OR(Y683="估算法",Y683="算法类",Y683="无法识别"),"",IF(X683="",IF(OR(J683="ILF",J683="EIF"),0,""),LEN(X683)-LEN(SUBSTITUTE(X683,"、",""))+1))</f>
        <v/>
      </c>
      <c r="O683" s="85">
        <f>IF(OR(Y683="估算法",Y683="算法类",Y683="无法识别"),"",IF(Y683="",IF(OR(J683="ILF",J683="EIF",J683="EI",J683="EO",J683="EQ"),0,""),LEN(Y683)-LEN(SUBSTITUTE(SUBSTITUTE(SUBSTITUTE(SUBSTITUTE(SUBSTITUTE(Y683,"|}","--"),"{|","--"),CHAR(10),""),"、",""),"|",""))+IF(AND(OR(J683="EI",J683="EO",J683="EQ"),$AE$1="NESMA"),2,1)))</f>
        <v/>
      </c>
      <c r="P683" s="86">
        <f>IF(J683="EI",IF(OR(Y683="估算法",Y683="算法类"),"中",IF(Y683="无法识别","低",IF(M683&lt;2,IF(O683&lt;16,"低","中"),IF(M683&lt;3,IF(O683&lt;5,"低",IF(O683&lt;16,"中","高")),IF(O683&lt;5,"中","高"))))),IF(OR(J683="EO",J683="EQ"),IF(OR(Y683="估算法",Y683="算法类"),"中",IF(Y683="无法识别","低",IF(M683&lt;2,IF(O683&lt;20,"低","中"),IF(M683&lt;4,IF(O683&lt;6,"低",IF(O683&lt;20,"中","高")),IF(O683&lt;6,"中","高"))))),IF(OR(J683="ILF",J683="EIF"),IF(OR(Y683="估算法",Y683="算法类",Y683="无法识别"),"低",IF(N683&lt;2,IF(O683&lt;51,"低","中"),IF(N683&lt;6,IF(O683&lt;20,"低",IF(O683&lt;51,"中","高")),IF(O683&lt;20,"中","高")))),"不计算")))</f>
        <v/>
      </c>
      <c r="Q683" s="172">
        <f>IFERROR(IF(J683="EI",IF(P683="低",3,IF(P683="中",4,6)),IF(J683="EO",IF(P683="低",4,IF(P683="中",5,7)),IF(J683="EQ",IF(P683="低",3,IF(P683="中",4,6)),IF(J683="ILF",IF(P683="低",7,IF(P683="中",10,15)),IF(J683="EIF",IF(P683="低",5,IF(P683="中",7,10)),"不计算")))))*R683,"不计算")</f>
        <v/>
      </c>
      <c r="R683" s="172" t="n">
        <v>0</v>
      </c>
      <c r="S683" s="173">
        <f>调整因子!$F$13</f>
        <v/>
      </c>
      <c r="T683" s="93" t="n">
        <v>1</v>
      </c>
      <c r="U683" s="174">
        <f>IFERROR(Q683*S683,0)</f>
        <v/>
      </c>
      <c r="V683" s="174">
        <f>U683*T683</f>
        <v/>
      </c>
      <c r="W683" s="113" t="n"/>
      <c r="X683" s="93" t="inlineStr">
        <is>
          <t>产品漏洞覆盖率统计数据表</t>
        </is>
      </c>
      <c r="Y683" s="93" t="inlineStr">
        <is>
          <t>产品漏洞覆盖率统计数据表{记录ID、日期、业务场景ID、产品漏洞ID、工单ID、工单类型|}</t>
        </is>
      </c>
      <c r="Z683" s="90">
        <f>IF(COUNTIFS(W:W,"*"&amp;I683&amp;"*")&gt;0,"存在","不存在")</f>
        <v/>
      </c>
      <c r="AA683" s="90">
        <f>IF(COUNTIFS(AB:AB,"*"&amp;I683&amp;"*")&gt;0,"存在","不存在")</f>
        <v/>
      </c>
      <c r="AB683" s="115" t="n"/>
    </row>
    <row r="684" s="112">
      <c r="A684" s="72">
        <f>ROW()-1</f>
        <v/>
      </c>
      <c r="B684" s="175" t="n"/>
      <c r="C684" s="80" t="n">
        <v>2025</v>
      </c>
      <c r="D684" s="80" t="inlineStr">
        <is>
          <t>汤凤欣</t>
        </is>
      </c>
      <c r="E684" s="81">
        <f>VLOOKUP(I684,'25年交付功能（不含废弃）'!A:A,1,FALSE)</f>
        <v/>
      </c>
      <c r="F684" s="175" t="n"/>
      <c r="G684" s="175" t="n"/>
      <c r="H684" s="175" t="n"/>
      <c r="I684" s="98" t="inlineStr">
        <is>
          <t>弱口令扫描检测周期统计数据表</t>
        </is>
      </c>
      <c r="J684" s="93" t="inlineStr">
        <is>
          <t>ILF</t>
        </is>
      </c>
      <c r="K684" s="84" t="n"/>
      <c r="L684" s="84" t="inlineStr">
        <is>
          <t>数据库表未被本系统所维护</t>
        </is>
      </c>
      <c r="M684" s="85">
        <f>IF(OR(Y684="估算法",Y684="算法类",Y684="无法识别"),"",IF(W684="",IF(OR(J684="EI",J684="EO",J684="EQ"),0,""),LEN(W684)-LEN(SUBSTITUTE(W684,"、",""))+1))</f>
        <v/>
      </c>
      <c r="N684" s="85">
        <f>IF(OR(Y684="估算法",Y684="算法类",Y684="无法识别"),"",IF(X684="",IF(OR(J684="ILF",J684="EIF"),0,""),LEN(X684)-LEN(SUBSTITUTE(X684,"、",""))+1))</f>
        <v/>
      </c>
      <c r="O684" s="85">
        <f>IF(OR(Y684="估算法",Y684="算法类",Y684="无法识别"),"",IF(Y684="",IF(OR(J684="ILF",J684="EIF",J684="EI",J684="EO",J684="EQ"),0,""),LEN(Y684)-LEN(SUBSTITUTE(SUBSTITUTE(SUBSTITUTE(SUBSTITUTE(SUBSTITUTE(Y684,"|}","--"),"{|","--"),CHAR(10),""),"、",""),"|",""))+IF(AND(OR(J684="EI",J684="EO",J684="EQ"),$AE$1="NESMA"),2,1)))</f>
        <v/>
      </c>
      <c r="P684" s="86">
        <f>IF(J684="EI",IF(OR(Y684="估算法",Y684="算法类"),"中",IF(Y684="无法识别","低",IF(M684&lt;2,IF(O684&lt;16,"低","中"),IF(M684&lt;3,IF(O684&lt;5,"低",IF(O684&lt;16,"中","高")),IF(O684&lt;5,"中","高"))))),IF(OR(J684="EO",J684="EQ"),IF(OR(Y684="估算法",Y684="算法类"),"中",IF(Y684="无法识别","低",IF(M684&lt;2,IF(O684&lt;20,"低","中"),IF(M684&lt;4,IF(O684&lt;6,"低",IF(O684&lt;20,"中","高")),IF(O684&lt;6,"中","高"))))),IF(OR(J684="ILF",J684="EIF"),IF(OR(Y684="估算法",Y684="算法类",Y684="无法识别"),"低",IF(N684&lt;2,IF(O684&lt;51,"低","中"),IF(N684&lt;6,IF(O684&lt;20,"低",IF(O684&lt;51,"中","高")),IF(O684&lt;20,"中","高")))),"不计算")))</f>
        <v/>
      </c>
      <c r="Q684" s="172">
        <f>IFERROR(IF(J684="EI",IF(P684="低",3,IF(P684="中",4,6)),IF(J684="EO",IF(P684="低",4,IF(P684="中",5,7)),IF(J684="EQ",IF(P684="低",3,IF(P684="中",4,6)),IF(J684="ILF",IF(P684="低",7,IF(P684="中",10,15)),IF(J684="EIF",IF(P684="低",5,IF(P684="中",7,10)),"不计算")))))*R684,"不计算")</f>
        <v/>
      </c>
      <c r="R684" s="172" t="n">
        <v>0</v>
      </c>
      <c r="S684" s="173">
        <f>调整因子!$F$13</f>
        <v/>
      </c>
      <c r="T684" s="92" t="n">
        <v>1</v>
      </c>
      <c r="U684" s="174">
        <f>IFERROR(Q684*S684,0)</f>
        <v/>
      </c>
      <c r="V684" s="174">
        <f>U684*T684</f>
        <v/>
      </c>
      <c r="W684" s="113" t="n"/>
      <c r="X684" s="93" t="inlineStr">
        <is>
          <t>弱口令扫描检测周期统计数据表</t>
        </is>
      </c>
      <c r="Y684" s="93" t="inlineStr">
        <is>
          <t>弱口令扫描检测周期统计数据表{记录ID、日期、业务场景ID、资产ID、弱口令扫描任务ID|}</t>
        </is>
      </c>
      <c r="Z684" s="90">
        <f>IF(COUNTIFS(W:W,"*"&amp;I684&amp;"*")&gt;0,"存在","不存在")</f>
        <v/>
      </c>
      <c r="AA684" s="90">
        <f>IF(COUNTIFS(AB:AB,"*"&amp;I684&amp;"*")&gt;0,"存在","不存在")</f>
        <v/>
      </c>
      <c r="AB684" s="92" t="n"/>
    </row>
    <row r="685" s="112">
      <c r="A685" s="72">
        <f>ROW()-1</f>
        <v/>
      </c>
      <c r="B685" s="175" t="n"/>
      <c r="C685" s="80" t="n">
        <v>2025</v>
      </c>
      <c r="D685" s="80" t="inlineStr">
        <is>
          <t>汤凤欣</t>
        </is>
      </c>
      <c r="E685" s="81">
        <f>VLOOKUP(I685,'25年交付功能（不含废弃）'!A:A,1,FALSE)</f>
        <v/>
      </c>
      <c r="F685" s="175" t="n"/>
      <c r="G685" s="175" t="n"/>
      <c r="H685" s="175" t="n"/>
      <c r="I685" s="98" t="inlineStr">
        <is>
          <t>弱口令扫描资产覆盖率统计数据表</t>
        </is>
      </c>
      <c r="J685" s="93" t="inlineStr">
        <is>
          <t>ILF</t>
        </is>
      </c>
      <c r="K685" s="84" t="n"/>
      <c r="L685" s="84" t="inlineStr">
        <is>
          <t>数据库表未被本系统所维护</t>
        </is>
      </c>
      <c r="M685" s="85">
        <f>IF(OR(Y685="估算法",Y685="算法类",Y685="无法识别"),"",IF(W685="",IF(OR(J685="EI",J685="EO",J685="EQ"),0,""),LEN(W685)-LEN(SUBSTITUTE(W685,"、",""))+1))</f>
        <v/>
      </c>
      <c r="N685" s="85">
        <f>IF(OR(Y685="估算法",Y685="算法类",Y685="无法识别"),"",IF(X685="",IF(OR(J685="ILF",J685="EIF"),0,""),LEN(X685)-LEN(SUBSTITUTE(X685,"、",""))+1))</f>
        <v/>
      </c>
      <c r="O685" s="85">
        <f>IF(OR(Y685="估算法",Y685="算法类",Y685="无法识别"),"",IF(Y685="",IF(OR(J685="ILF",J685="EIF",J685="EI",J685="EO",J685="EQ"),0,""),LEN(Y685)-LEN(SUBSTITUTE(SUBSTITUTE(SUBSTITUTE(SUBSTITUTE(SUBSTITUTE(Y685,"|}","--"),"{|","--"),CHAR(10),""),"、",""),"|",""))+IF(AND(OR(J685="EI",J685="EO",J685="EQ"),$AE$1="NESMA"),2,1)))</f>
        <v/>
      </c>
      <c r="P685" s="86">
        <f>IF(J685="EI",IF(OR(Y685="估算法",Y685="算法类"),"中",IF(Y685="无法识别","低",IF(M685&lt;2,IF(O685&lt;16,"低","中"),IF(M685&lt;3,IF(O685&lt;5,"低",IF(O685&lt;16,"中","高")),IF(O685&lt;5,"中","高"))))),IF(OR(J685="EO",J685="EQ"),IF(OR(Y685="估算法",Y685="算法类"),"中",IF(Y685="无法识别","低",IF(M685&lt;2,IF(O685&lt;20,"低","中"),IF(M685&lt;4,IF(O685&lt;6,"低",IF(O685&lt;20,"中","高")),IF(O685&lt;6,"中","高"))))),IF(OR(J685="ILF",J685="EIF"),IF(OR(Y685="估算法",Y685="算法类",Y685="无法识别"),"低",IF(N685&lt;2,IF(O685&lt;51,"低","中"),IF(N685&lt;6,IF(O685&lt;20,"低",IF(O685&lt;51,"中","高")),IF(O685&lt;20,"中","高")))),"不计算")))</f>
        <v/>
      </c>
      <c r="Q685" s="172">
        <f>IFERROR(IF(J685="EI",IF(P685="低",3,IF(P685="中",4,6)),IF(J685="EO",IF(P685="低",4,IF(P685="中",5,7)),IF(J685="EQ",IF(P685="低",3,IF(P685="中",4,6)),IF(J685="ILF",IF(P685="低",7,IF(P685="中",10,15)),IF(J685="EIF",IF(P685="低",5,IF(P685="中",7,10)),"不计算")))))*R685,"不计算")</f>
        <v/>
      </c>
      <c r="R685" s="172" t="n">
        <v>0</v>
      </c>
      <c r="S685" s="173">
        <f>调整因子!$F$13</f>
        <v/>
      </c>
      <c r="T685" s="92" t="n">
        <v>1</v>
      </c>
      <c r="U685" s="174">
        <f>IFERROR(Q685*S685,0)</f>
        <v/>
      </c>
      <c r="V685" s="174">
        <f>U685*T685</f>
        <v/>
      </c>
      <c r="W685" s="113" t="n"/>
      <c r="X685" s="93" t="inlineStr">
        <is>
          <t>弱口令扫描资产覆盖率统计数据表</t>
        </is>
      </c>
      <c r="Y685" s="93" t="inlineStr">
        <is>
          <t>弱口令扫描资产覆盖率统计数据表{记录ID、日期、业务场景ID、弱口令扫描任务ID、资产ID|}</t>
        </is>
      </c>
      <c r="Z685" s="90">
        <f>IF(COUNTIFS(W:W,"*"&amp;I685&amp;"*")&gt;0,"存在","不存在")</f>
        <v/>
      </c>
      <c r="AA685" s="90">
        <f>IF(COUNTIFS(AB:AB,"*"&amp;I685&amp;"*")&gt;0,"存在","不存在")</f>
        <v/>
      </c>
      <c r="AB685" s="115" t="n"/>
    </row>
    <row r="686" s="112">
      <c r="A686" s="72">
        <f>ROW()-1</f>
        <v/>
      </c>
      <c r="B686" s="175" t="n"/>
      <c r="C686" s="80" t="n">
        <v>2025</v>
      </c>
      <c r="D686" s="80" t="inlineStr">
        <is>
          <t>汤凤欣</t>
        </is>
      </c>
      <c r="E686" s="81">
        <f>VLOOKUP(I686,'25年交付功能（不含废弃）'!A:A,1,FALSE)</f>
        <v/>
      </c>
      <c r="F686" s="175" t="n"/>
      <c r="G686" s="175" t="n"/>
      <c r="H686" s="175" t="n"/>
      <c r="I686" s="98" t="inlineStr">
        <is>
          <t>弱口令覆盖率统计数据表</t>
        </is>
      </c>
      <c r="J686" s="93" t="inlineStr">
        <is>
          <t>ILF</t>
        </is>
      </c>
      <c r="K686" s="84" t="n"/>
      <c r="L686" s="84" t="inlineStr">
        <is>
          <t>数据库表未被本系统所维护</t>
        </is>
      </c>
      <c r="M686" s="85">
        <f>IF(OR(Y686="估算法",Y686="算法类",Y686="无法识别"),"",IF(W686="",IF(OR(J686="EI",J686="EO",J686="EQ"),0,""),LEN(W686)-LEN(SUBSTITUTE(W686,"、",""))+1))</f>
        <v/>
      </c>
      <c r="N686" s="85">
        <f>IF(OR(Y686="估算法",Y686="算法类",Y686="无法识别"),"",IF(X686="",IF(OR(J686="ILF",J686="EIF"),0,""),LEN(X686)-LEN(SUBSTITUTE(X686,"、",""))+1))</f>
        <v/>
      </c>
      <c r="O686" s="85">
        <f>IF(OR(Y686="估算法",Y686="算法类",Y686="无法识别"),"",IF(Y686="",IF(OR(J686="ILF",J686="EIF",J686="EI",J686="EO",J686="EQ"),0,""),LEN(Y686)-LEN(SUBSTITUTE(SUBSTITUTE(SUBSTITUTE(SUBSTITUTE(SUBSTITUTE(Y686,"|}","--"),"{|","--"),CHAR(10),""),"、",""),"|",""))+IF(AND(OR(J686="EI",J686="EO",J686="EQ"),$AE$1="NESMA"),2,1)))</f>
        <v/>
      </c>
      <c r="P686" s="86">
        <f>IF(J686="EI",IF(OR(Y686="估算法",Y686="算法类"),"中",IF(Y686="无法识别","低",IF(M686&lt;2,IF(O686&lt;16,"低","中"),IF(M686&lt;3,IF(O686&lt;5,"低",IF(O686&lt;16,"中","高")),IF(O686&lt;5,"中","高"))))),IF(OR(J686="EO",J686="EQ"),IF(OR(Y686="估算法",Y686="算法类"),"中",IF(Y686="无法识别","低",IF(M686&lt;2,IF(O686&lt;20,"低","中"),IF(M686&lt;4,IF(O686&lt;6,"低",IF(O686&lt;20,"中","高")),IF(O686&lt;6,"中","高"))))),IF(OR(J686="ILF",J686="EIF"),IF(OR(Y686="估算法",Y686="算法类",Y686="无法识别"),"低",IF(N686&lt;2,IF(O686&lt;51,"低","中"),IF(N686&lt;6,IF(O686&lt;20,"低",IF(O686&lt;51,"中","高")),IF(O686&lt;20,"中","高")))),"不计算")))</f>
        <v/>
      </c>
      <c r="Q686" s="172">
        <f>IFERROR(IF(J686="EI",IF(P686="低",3,IF(P686="中",4,6)),IF(J686="EO",IF(P686="低",4,IF(P686="中",5,7)),IF(J686="EQ",IF(P686="低",3,IF(P686="中",4,6)),IF(J686="ILF",IF(P686="低",7,IF(P686="中",10,15)),IF(J686="EIF",IF(P686="低",5,IF(P686="中",7,10)),"不计算")))))*R686,"不计算")</f>
        <v/>
      </c>
      <c r="R686" s="172" t="n">
        <v>0</v>
      </c>
      <c r="S686" s="173">
        <f>调整因子!$F$13</f>
        <v/>
      </c>
      <c r="T686" s="93" t="n">
        <v>1</v>
      </c>
      <c r="U686" s="174">
        <f>IFERROR(Q686*S686,0)</f>
        <v/>
      </c>
      <c r="V686" s="174">
        <f>U686*T686</f>
        <v/>
      </c>
      <c r="W686" s="113" t="n"/>
      <c r="X686" s="93" t="inlineStr">
        <is>
          <t>弱口令覆盖率统计数据表</t>
        </is>
      </c>
      <c r="Y686" s="93" t="inlineStr">
        <is>
          <t>弱口令覆盖率统计数据表{记录ID、日期、业务场景ID、弱口令字典ID、弱口令扫描任务ID|}</t>
        </is>
      </c>
      <c r="Z686" s="90">
        <f>IF(COUNTIFS(W:W,"*"&amp;I686&amp;"*")&gt;0,"存在","不存在")</f>
        <v/>
      </c>
      <c r="AA686" s="90">
        <f>IF(COUNTIFS(AB:AB,"*"&amp;I686&amp;"*")&gt;0,"存在","不存在")</f>
        <v/>
      </c>
      <c r="AB686" s="92" t="n"/>
    </row>
    <row r="687" s="112">
      <c r="A687" s="72">
        <f>ROW()-1</f>
        <v/>
      </c>
      <c r="B687" s="175" t="n"/>
      <c r="C687" s="80" t="n">
        <v>2025</v>
      </c>
      <c r="D687" s="80" t="inlineStr">
        <is>
          <t>汤凤欣</t>
        </is>
      </c>
      <c r="E687" s="81">
        <f>VLOOKUP(I687,'25年交付功能（不含废弃）'!A:A,1,FALSE)</f>
        <v/>
      </c>
      <c r="F687" s="175" t="n"/>
      <c r="G687" s="175" t="n"/>
      <c r="H687" s="175" t="n"/>
      <c r="I687" s="98" t="inlineStr">
        <is>
          <t>有效漏洞率统计数据表</t>
        </is>
      </c>
      <c r="J687" s="93" t="inlineStr">
        <is>
          <t>ILF</t>
        </is>
      </c>
      <c r="K687" s="84" t="n"/>
      <c r="L687" s="84" t="inlineStr">
        <is>
          <t>数据库表未被本系统所维护</t>
        </is>
      </c>
      <c r="M687" s="85">
        <f>IF(OR(Y687="估算法",Y687="算法类",Y687="无法识别"),"",IF(W687="",IF(OR(J687="EI",J687="EO",J687="EQ"),0,""),LEN(W687)-LEN(SUBSTITUTE(W687,"、",""))+1))</f>
        <v/>
      </c>
      <c r="N687" s="85">
        <f>IF(OR(Y687="估算法",Y687="算法类",Y687="无法识别"),"",IF(X687="",IF(OR(J687="ILF",J687="EIF"),0,""),LEN(X687)-LEN(SUBSTITUTE(X687,"、",""))+1))</f>
        <v/>
      </c>
      <c r="O687" s="85">
        <f>IF(OR(Y687="估算法",Y687="算法类",Y687="无法识别"),"",IF(Y687="",IF(OR(J687="ILF",J687="EIF",J687="EI",J687="EO",J687="EQ"),0,""),LEN(Y687)-LEN(SUBSTITUTE(SUBSTITUTE(SUBSTITUTE(SUBSTITUTE(SUBSTITUTE(Y687,"|}","--"),"{|","--"),CHAR(10),""),"、",""),"|",""))+IF(AND(OR(J687="EI",J687="EO",J687="EQ"),$AE$1="NESMA"),2,1)))</f>
        <v/>
      </c>
      <c r="P687" s="86">
        <f>IF(J687="EI",IF(OR(Y687="估算法",Y687="算法类"),"中",IF(Y687="无法识别","低",IF(M687&lt;2,IF(O687&lt;16,"低","中"),IF(M687&lt;3,IF(O687&lt;5,"低",IF(O687&lt;16,"中","高")),IF(O687&lt;5,"中","高"))))),IF(OR(J687="EO",J687="EQ"),IF(OR(Y687="估算法",Y687="算法类"),"中",IF(Y687="无法识别","低",IF(M687&lt;2,IF(O687&lt;20,"低","中"),IF(M687&lt;4,IF(O687&lt;6,"低",IF(O687&lt;20,"中","高")),IF(O687&lt;6,"中","高"))))),IF(OR(J687="ILF",J687="EIF"),IF(OR(Y687="估算法",Y687="算法类",Y687="无法识别"),"低",IF(N687&lt;2,IF(O687&lt;51,"低","中"),IF(N687&lt;6,IF(O687&lt;20,"低",IF(O687&lt;51,"中","高")),IF(O687&lt;20,"中","高")))),"不计算")))</f>
        <v/>
      </c>
      <c r="Q687" s="172">
        <f>IFERROR(IF(J687="EI",IF(P687="低",3,IF(P687="中",4,6)),IF(J687="EO",IF(P687="低",4,IF(P687="中",5,7)),IF(J687="EQ",IF(P687="低",3,IF(P687="中",4,6)),IF(J687="ILF",IF(P687="低",7,IF(P687="中",10,15)),IF(J687="EIF",IF(P687="低",5,IF(P687="中",7,10)),"不计算")))))*R687,"不计算")</f>
        <v/>
      </c>
      <c r="R687" s="172" t="n">
        <v>0</v>
      </c>
      <c r="S687" s="173">
        <f>调整因子!$F$13</f>
        <v/>
      </c>
      <c r="T687" s="92" t="n">
        <v>1</v>
      </c>
      <c r="U687" s="174">
        <f>IFERROR(Q687*S687,0)</f>
        <v/>
      </c>
      <c r="V687" s="174">
        <f>U687*T687</f>
        <v/>
      </c>
      <c r="W687" s="113" t="n"/>
      <c r="X687" s="93" t="inlineStr">
        <is>
          <t>有效漏洞率统计数据表</t>
        </is>
      </c>
      <c r="Y687" s="93" t="inlineStr">
        <is>
          <t>有效漏洞率统计数据表{记录ID、日期、业务场景ID、有效系统漏洞ID、工单ID|}</t>
        </is>
      </c>
      <c r="Z687" s="90">
        <f>IF(COUNTIFS(W:W,"*"&amp;I687&amp;"*")&gt;0,"存在","不存在")</f>
        <v/>
      </c>
      <c r="AA687" s="90">
        <f>IF(COUNTIFS(AB:AB,"*"&amp;I687&amp;"*")&gt;0,"存在","不存在")</f>
        <v/>
      </c>
      <c r="AB687" s="115" t="n"/>
    </row>
    <row r="688" s="112">
      <c r="A688" s="72">
        <f>ROW()-1</f>
        <v/>
      </c>
      <c r="B688" s="175" t="n"/>
      <c r="C688" s="80" t="n">
        <v>2025</v>
      </c>
      <c r="D688" s="80" t="inlineStr">
        <is>
          <t>汤凤欣</t>
        </is>
      </c>
      <c r="E688" s="81">
        <f>VLOOKUP(I688,'25年交付功能（不含废弃）'!A:A,1,FALSE)</f>
        <v/>
      </c>
      <c r="F688" s="175" t="n"/>
      <c r="G688" s="175" t="n"/>
      <c r="H688" s="175" t="n"/>
      <c r="I688" s="98" t="inlineStr">
        <is>
          <t>未排查原因比例统计数据表</t>
        </is>
      </c>
      <c r="J688" s="93" t="inlineStr">
        <is>
          <t>ILF</t>
        </is>
      </c>
      <c r="K688" s="84" t="n"/>
      <c r="L688" s="84" t="inlineStr">
        <is>
          <t>数据库表未被本系统所维护</t>
        </is>
      </c>
      <c r="M688" s="85">
        <f>IF(OR(Y688="估算法",Y688="算法类",Y688="无法识别"),"",IF(W688="",IF(OR(J688="EI",J688="EO",J688="EQ"),0,""),LEN(W688)-LEN(SUBSTITUTE(W688,"、",""))+1))</f>
        <v/>
      </c>
      <c r="N688" s="85">
        <f>IF(OR(Y688="估算法",Y688="算法类",Y688="无法识别"),"",IF(X688="",IF(OR(J688="ILF",J688="EIF"),0,""),LEN(X688)-LEN(SUBSTITUTE(X688,"、",""))+1))</f>
        <v/>
      </c>
      <c r="O688" s="85">
        <f>IF(OR(Y688="估算法",Y688="算法类",Y688="无法识别"),"",IF(Y688="",IF(OR(J688="ILF",J688="EIF",J688="EI",J688="EO",J688="EQ"),0,""),LEN(Y688)-LEN(SUBSTITUTE(SUBSTITUTE(SUBSTITUTE(SUBSTITUTE(SUBSTITUTE(Y688,"|}","--"),"{|","--"),CHAR(10),""),"、",""),"|",""))+IF(AND(OR(J688="EI",J688="EO",J688="EQ"),$AE$1="NESMA"),2,1)))</f>
        <v/>
      </c>
      <c r="P688" s="86">
        <f>IF(J688="EI",IF(OR(Y688="估算法",Y688="算法类"),"中",IF(Y688="无法识别","低",IF(M688&lt;2,IF(O688&lt;16,"低","中"),IF(M688&lt;3,IF(O688&lt;5,"低",IF(O688&lt;16,"中","高")),IF(O688&lt;5,"中","高"))))),IF(OR(J688="EO",J688="EQ"),IF(OR(Y688="估算法",Y688="算法类"),"中",IF(Y688="无法识别","低",IF(M688&lt;2,IF(O688&lt;20,"低","中"),IF(M688&lt;4,IF(O688&lt;6,"低",IF(O688&lt;20,"中","高")),IF(O688&lt;6,"中","高"))))),IF(OR(J688="ILF",J688="EIF"),IF(OR(Y688="估算法",Y688="算法类",Y688="无法识别"),"低",IF(N688&lt;2,IF(O688&lt;51,"低","中"),IF(N688&lt;6,IF(O688&lt;20,"低",IF(O688&lt;51,"中","高")),IF(O688&lt;20,"中","高")))),"不计算")))</f>
        <v/>
      </c>
      <c r="Q688" s="172">
        <f>IFERROR(IF(J688="EI",IF(P688="低",3,IF(P688="中",4,6)),IF(J688="EO",IF(P688="低",4,IF(P688="中",5,7)),IF(J688="EQ",IF(P688="低",3,IF(P688="中",4,6)),IF(J688="ILF",IF(P688="低",7,IF(P688="中",10,15)),IF(J688="EIF",IF(P688="低",5,IF(P688="中",7,10)),"不计算")))))*R688,"不计算")</f>
        <v/>
      </c>
      <c r="R688" s="172" t="n">
        <v>0</v>
      </c>
      <c r="S688" s="173">
        <f>调整因子!$F$13</f>
        <v/>
      </c>
      <c r="T688" s="92" t="n">
        <v>1</v>
      </c>
      <c r="U688" s="174">
        <f>IFERROR(Q688*S688,0)</f>
        <v/>
      </c>
      <c r="V688" s="174">
        <f>U688*T688</f>
        <v/>
      </c>
      <c r="W688" s="113" t="n"/>
      <c r="X688" s="93" t="inlineStr">
        <is>
          <t>未排查原因比例统计数据表</t>
        </is>
      </c>
      <c r="Y688" s="93" t="inlineStr">
        <is>
          <t>未排查原因比例统计数据表{记录ID、日期、业务场景ID、未排查资产ID、未排查原因、排查工单ID|}</t>
        </is>
      </c>
      <c r="Z688" s="90">
        <f>IF(COUNTIFS(W:W,"*"&amp;I688&amp;"*")&gt;0,"存在","不存在")</f>
        <v/>
      </c>
      <c r="AA688" s="90">
        <f>IF(COUNTIFS(AB:AB,"*"&amp;I688&amp;"*")&gt;0,"存在","不存在")</f>
        <v/>
      </c>
      <c r="AB688" s="92" t="n"/>
    </row>
    <row r="689" s="112">
      <c r="A689" s="72">
        <f>ROW()-1</f>
        <v/>
      </c>
      <c r="B689" s="175" t="n"/>
      <c r="C689" s="80" t="n">
        <v>2025</v>
      </c>
      <c r="D689" s="80" t="inlineStr">
        <is>
          <t>汤凤欣</t>
        </is>
      </c>
      <c r="E689" s="81">
        <f>VLOOKUP(I689,'25年交付功能（不含废弃）'!A:A,1,FALSE)</f>
        <v/>
      </c>
      <c r="F689" s="175" t="n"/>
      <c r="G689" s="175" t="n"/>
      <c r="H689" s="175" t="n"/>
      <c r="I689" s="98" t="inlineStr">
        <is>
          <t>未闭环漏洞一致率统计数据表</t>
        </is>
      </c>
      <c r="J689" s="93" t="inlineStr">
        <is>
          <t>ILF</t>
        </is>
      </c>
      <c r="K689" s="84" t="n"/>
      <c r="L689" s="84" t="inlineStr">
        <is>
          <t>数据库表未被本系统所维护</t>
        </is>
      </c>
      <c r="M689" s="85">
        <f>IF(OR(Y689="估算法",Y689="算法类",Y689="无法识别"),"",IF(W689="",IF(OR(J689="EI",J689="EO",J689="EQ"),0,""),LEN(W689)-LEN(SUBSTITUTE(W689,"、",""))+1))</f>
        <v/>
      </c>
      <c r="N689" s="85">
        <f>IF(OR(Y689="估算法",Y689="算法类",Y689="无法识别"),"",IF(X689="",IF(OR(J689="ILF",J689="EIF"),0,""),LEN(X689)-LEN(SUBSTITUTE(X689,"、",""))+1))</f>
        <v/>
      </c>
      <c r="O689" s="85">
        <f>IF(OR(Y689="估算法",Y689="算法类",Y689="无法识别"),"",IF(Y689="",IF(OR(J689="ILF",J689="EIF",J689="EI",J689="EO",J689="EQ"),0,""),LEN(Y689)-LEN(SUBSTITUTE(SUBSTITUTE(SUBSTITUTE(SUBSTITUTE(SUBSTITUTE(Y689,"|}","--"),"{|","--"),CHAR(10),""),"、",""),"|",""))+IF(AND(OR(J689="EI",J689="EO",J689="EQ"),$AE$1="NESMA"),2,1)))</f>
        <v/>
      </c>
      <c r="P689" s="86">
        <f>IF(J689="EI",IF(OR(Y689="估算法",Y689="算法类"),"中",IF(Y689="无法识别","低",IF(M689&lt;2,IF(O689&lt;16,"低","中"),IF(M689&lt;3,IF(O689&lt;5,"低",IF(O689&lt;16,"中","高")),IF(O689&lt;5,"中","高"))))),IF(OR(J689="EO",J689="EQ"),IF(OR(Y689="估算法",Y689="算法类"),"中",IF(Y689="无法识别","低",IF(M689&lt;2,IF(O689&lt;20,"低","中"),IF(M689&lt;4,IF(O689&lt;6,"低",IF(O689&lt;20,"中","高")),IF(O689&lt;6,"中","高"))))),IF(OR(J689="ILF",J689="EIF"),IF(OR(Y689="估算法",Y689="算法类",Y689="无法识别"),"低",IF(N689&lt;2,IF(O689&lt;51,"低","中"),IF(N689&lt;6,IF(O689&lt;20,"低",IF(O689&lt;51,"中","高")),IF(O689&lt;20,"中","高")))),"不计算")))</f>
        <v/>
      </c>
      <c r="Q689" s="172">
        <f>IFERROR(IF(J689="EI",IF(P689="低",3,IF(P689="中",4,6)),IF(J689="EO",IF(P689="低",4,IF(P689="中",5,7)),IF(J689="EQ",IF(P689="低",3,IF(P689="中",4,6)),IF(J689="ILF",IF(P689="低",7,IF(P689="中",10,15)),IF(J689="EIF",IF(P689="低",5,IF(P689="中",7,10)),"不计算")))))*R689,"不计算")</f>
        <v/>
      </c>
      <c r="R689" s="172" t="n">
        <v>0</v>
      </c>
      <c r="S689" s="173">
        <f>调整因子!$F$13</f>
        <v/>
      </c>
      <c r="T689" s="93" t="n">
        <v>1</v>
      </c>
      <c r="U689" s="174">
        <f>IFERROR(Q689*S689,0)</f>
        <v/>
      </c>
      <c r="V689" s="174">
        <f>U689*T689</f>
        <v/>
      </c>
      <c r="W689" s="113" t="n"/>
      <c r="X689" s="93" t="inlineStr">
        <is>
          <t>未闭环漏洞一致率统计数据表</t>
        </is>
      </c>
      <c r="Y689" s="93" t="inlineStr">
        <is>
          <t>未闭环漏洞一致率统计数据表{记录ID、日期、业务场景ID、未闭环系统漏洞ID、修复核验工单ID|}</t>
        </is>
      </c>
      <c r="Z689" s="90">
        <f>IF(COUNTIFS(W:W,"*"&amp;I689&amp;"*")&gt;0,"存在","不存在")</f>
        <v/>
      </c>
      <c r="AA689" s="90">
        <f>IF(COUNTIFS(AB:AB,"*"&amp;I689&amp;"*")&gt;0,"存在","不存在")</f>
        <v/>
      </c>
      <c r="AB689" s="115" t="n"/>
    </row>
    <row r="690" s="112">
      <c r="A690" s="72">
        <f>ROW()-1</f>
        <v/>
      </c>
      <c r="B690" s="175" t="n"/>
      <c r="C690" s="80" t="n">
        <v>2025</v>
      </c>
      <c r="D690" s="80" t="inlineStr">
        <is>
          <t>汤凤欣</t>
        </is>
      </c>
      <c r="E690" s="81">
        <f>VLOOKUP(I690,'25年交付功能（不含废弃）'!A:A,1,FALSE)</f>
        <v/>
      </c>
      <c r="F690" s="175" t="n"/>
      <c r="G690" s="175" t="n"/>
      <c r="H690" s="175" t="n"/>
      <c r="I690" s="98" t="inlineStr">
        <is>
          <t>漏洞修复成功率统计数据表</t>
        </is>
      </c>
      <c r="J690" s="93" t="inlineStr">
        <is>
          <t>ILF</t>
        </is>
      </c>
      <c r="K690" s="84" t="n"/>
      <c r="L690" s="84" t="inlineStr">
        <is>
          <t>数据库表未被本系统所维护</t>
        </is>
      </c>
      <c r="M690" s="85">
        <f>IF(OR(Y690="估算法",Y690="算法类",Y690="无法识别"),"",IF(W690="",IF(OR(J690="EI",J690="EO",J690="EQ"),0,""),LEN(W690)-LEN(SUBSTITUTE(W690,"、",""))+1))</f>
        <v/>
      </c>
      <c r="N690" s="85">
        <f>IF(OR(Y690="估算法",Y690="算法类",Y690="无法识别"),"",IF(X690="",IF(OR(J690="ILF",J690="EIF"),0,""),LEN(X690)-LEN(SUBSTITUTE(X690,"、",""))+1))</f>
        <v/>
      </c>
      <c r="O690" s="85">
        <f>IF(OR(Y690="估算法",Y690="算法类",Y690="无法识别"),"",IF(Y690="",IF(OR(J690="ILF",J690="EIF",J690="EI",J690="EO",J690="EQ"),0,""),LEN(Y690)-LEN(SUBSTITUTE(SUBSTITUTE(SUBSTITUTE(SUBSTITUTE(SUBSTITUTE(Y690,"|}","--"),"{|","--"),CHAR(10),""),"、",""),"|",""))+IF(AND(OR(J690="EI",J690="EO",J690="EQ"),$AE$1="NESMA"),2,1)))</f>
        <v/>
      </c>
      <c r="P690" s="86">
        <f>IF(J690="EI",IF(OR(Y690="估算法",Y690="算法类"),"中",IF(Y690="无法识别","低",IF(M690&lt;2,IF(O690&lt;16,"低","中"),IF(M690&lt;3,IF(O690&lt;5,"低",IF(O690&lt;16,"中","高")),IF(O690&lt;5,"中","高"))))),IF(OR(J690="EO",J690="EQ"),IF(OR(Y690="估算法",Y690="算法类"),"中",IF(Y690="无法识别","低",IF(M690&lt;2,IF(O690&lt;20,"低","中"),IF(M690&lt;4,IF(O690&lt;6,"低",IF(O690&lt;20,"中","高")),IF(O690&lt;6,"中","高"))))),IF(OR(J690="ILF",J690="EIF"),IF(OR(Y690="估算法",Y690="算法类",Y690="无法识别"),"低",IF(N690&lt;2,IF(O690&lt;51,"低","中"),IF(N690&lt;6,IF(O690&lt;20,"低",IF(O690&lt;51,"中","高")),IF(O690&lt;20,"中","高")))),"不计算")))</f>
        <v/>
      </c>
      <c r="Q690" s="172">
        <f>IFERROR(IF(J690="EI",IF(P690="低",3,IF(P690="中",4,6)),IF(J690="EO",IF(P690="低",4,IF(P690="中",5,7)),IF(J690="EQ",IF(P690="低",3,IF(P690="中",4,6)),IF(J690="ILF",IF(P690="低",7,IF(P690="中",10,15)),IF(J690="EIF",IF(P690="低",5,IF(P690="中",7,10)),"不计算")))))*R690,"不计算")</f>
        <v/>
      </c>
      <c r="R690" s="172" t="n">
        <v>0</v>
      </c>
      <c r="S690" s="173">
        <f>调整因子!$F$13</f>
        <v/>
      </c>
      <c r="T690" s="92" t="n">
        <v>1</v>
      </c>
      <c r="U690" s="174">
        <f>IFERROR(Q690*S690,0)</f>
        <v/>
      </c>
      <c r="V690" s="174">
        <f>U690*T690</f>
        <v/>
      </c>
      <c r="W690" s="113" t="n"/>
      <c r="X690" s="93" t="inlineStr">
        <is>
          <t>漏洞修复成功率统计数据表</t>
        </is>
      </c>
      <c r="Y690" s="93" t="inlineStr">
        <is>
          <t>漏洞修复成功率统计数据表{记录ID、日期、业务场景ID、已修复系统漏洞ID、修复工单ID|}</t>
        </is>
      </c>
      <c r="Z690" s="90">
        <f>IF(COUNTIFS(W:W,"*"&amp;I690&amp;"*")&gt;0,"存在","不存在")</f>
        <v/>
      </c>
      <c r="AA690" s="90">
        <f>IF(COUNTIFS(AB:AB,"*"&amp;I690&amp;"*")&gt;0,"存在","不存在")</f>
        <v/>
      </c>
      <c r="AB690" s="92" t="n"/>
    </row>
    <row r="691" s="112">
      <c r="A691" s="72">
        <f>ROW()-1</f>
        <v/>
      </c>
      <c r="B691" s="175" t="n"/>
      <c r="C691" s="80" t="n">
        <v>2025</v>
      </c>
      <c r="D691" s="80" t="inlineStr">
        <is>
          <t>汤凤欣</t>
        </is>
      </c>
      <c r="E691" s="81">
        <f>VLOOKUP(I691,'25年交付功能（不含废弃）'!A:A,1,FALSE)</f>
        <v/>
      </c>
      <c r="F691" s="175" t="n"/>
      <c r="G691" s="175" t="n"/>
      <c r="H691" s="175" t="n"/>
      <c r="I691" s="98" t="inlineStr">
        <is>
          <t>漏洞关联分析资产覆盖率统计数据表</t>
        </is>
      </c>
      <c r="J691" s="93" t="inlineStr">
        <is>
          <t>ILF</t>
        </is>
      </c>
      <c r="K691" s="84" t="n"/>
      <c r="L691" s="84" t="inlineStr">
        <is>
          <t>数据库表未被本系统所维护</t>
        </is>
      </c>
      <c r="M691" s="85">
        <f>IF(OR(Y691="估算法",Y691="算法类",Y691="无法识别"),"",IF(W691="",IF(OR(J691="EI",J691="EO",J691="EQ"),0,""),LEN(W691)-LEN(SUBSTITUTE(W691,"、",""))+1))</f>
        <v/>
      </c>
      <c r="N691" s="85">
        <f>IF(OR(Y691="估算法",Y691="算法类",Y691="无法识别"),"",IF(X691="",IF(OR(J691="ILF",J691="EIF"),0,""),LEN(X691)-LEN(SUBSTITUTE(X691,"、",""))+1))</f>
        <v/>
      </c>
      <c r="O691" s="85">
        <f>IF(OR(Y691="估算法",Y691="算法类",Y691="无法识别"),"",IF(Y691="",IF(OR(J691="ILF",J691="EIF",J691="EI",J691="EO",J691="EQ"),0,""),LEN(Y691)-LEN(SUBSTITUTE(SUBSTITUTE(SUBSTITUTE(SUBSTITUTE(SUBSTITUTE(Y691,"|}","--"),"{|","--"),CHAR(10),""),"、",""),"|",""))+IF(AND(OR(J691="EI",J691="EO",J691="EQ"),$AE$1="NESMA"),2,1)))</f>
        <v/>
      </c>
      <c r="P691" s="86">
        <f>IF(J691="EI",IF(OR(Y691="估算法",Y691="算法类"),"中",IF(Y691="无法识别","低",IF(M691&lt;2,IF(O691&lt;16,"低","中"),IF(M691&lt;3,IF(O691&lt;5,"低",IF(O691&lt;16,"中","高")),IF(O691&lt;5,"中","高"))))),IF(OR(J691="EO",J691="EQ"),IF(OR(Y691="估算法",Y691="算法类"),"中",IF(Y691="无法识别","低",IF(M691&lt;2,IF(O691&lt;20,"低","中"),IF(M691&lt;4,IF(O691&lt;6,"低",IF(O691&lt;20,"中","高")),IF(O691&lt;6,"中","高"))))),IF(OR(J691="ILF",J691="EIF"),IF(OR(Y691="估算法",Y691="算法类",Y691="无法识别"),"低",IF(N691&lt;2,IF(O691&lt;51,"低","中"),IF(N691&lt;6,IF(O691&lt;20,"低",IF(O691&lt;51,"中","高")),IF(O691&lt;20,"中","高")))),"不计算")))</f>
        <v/>
      </c>
      <c r="Q691" s="172">
        <f>IFERROR(IF(J691="EI",IF(P691="低",3,IF(P691="中",4,6)),IF(J691="EO",IF(P691="低",4,IF(P691="中",5,7)),IF(J691="EQ",IF(P691="低",3,IF(P691="中",4,6)),IF(J691="ILF",IF(P691="低",7,IF(P691="中",10,15)),IF(J691="EIF",IF(P691="低",5,IF(P691="中",7,10)),"不计算")))))*R691,"不计算")</f>
        <v/>
      </c>
      <c r="R691" s="172" t="n">
        <v>0</v>
      </c>
      <c r="S691" s="173">
        <f>调整因子!$F$13</f>
        <v/>
      </c>
      <c r="T691" s="92" t="n">
        <v>1</v>
      </c>
      <c r="U691" s="174">
        <f>IFERROR(Q691*S691,0)</f>
        <v/>
      </c>
      <c r="V691" s="174">
        <f>U691*T691</f>
        <v/>
      </c>
      <c r="W691" s="113" t="n"/>
      <c r="X691" s="93" t="inlineStr">
        <is>
          <t>漏洞关联分析资产覆盖率统计数据表</t>
        </is>
      </c>
      <c r="Y691" s="93" t="inlineStr">
        <is>
          <t>漏洞关联分析资产覆盖率统计数据表{记录ID、日期、业务场景ID、关联分析资产ID、预警任务ID|}</t>
        </is>
      </c>
      <c r="Z691" s="90">
        <f>IF(COUNTIFS(W:W,"*"&amp;I691&amp;"*")&gt;0,"存在","不存在")</f>
        <v/>
      </c>
      <c r="AA691" s="90">
        <f>IF(COUNTIFS(AB:AB,"*"&amp;I691&amp;"*")&gt;0,"存在","不存在")</f>
        <v/>
      </c>
      <c r="AB691" s="115" t="n"/>
    </row>
    <row r="692" s="112">
      <c r="A692" s="72">
        <f>ROW()-1</f>
        <v/>
      </c>
      <c r="B692" s="175" t="n"/>
      <c r="C692" s="80" t="n">
        <v>2025</v>
      </c>
      <c r="D692" s="80" t="inlineStr">
        <is>
          <t>汤凤欣</t>
        </is>
      </c>
      <c r="E692" s="81">
        <f>VLOOKUP(I692,'25年交付功能（不含废弃）'!A:A,1,FALSE)</f>
        <v/>
      </c>
      <c r="F692" s="175" t="n"/>
      <c r="G692" s="175" t="n"/>
      <c r="H692" s="175" t="n"/>
      <c r="I692" s="98" t="inlineStr">
        <is>
          <t>漏洞初始修复率统计数据表</t>
        </is>
      </c>
      <c r="J692" s="93" t="inlineStr">
        <is>
          <t>ILF</t>
        </is>
      </c>
      <c r="K692" s="84" t="n"/>
      <c r="L692" s="84" t="inlineStr">
        <is>
          <t>数据库表未被本系统所维护</t>
        </is>
      </c>
      <c r="M692" s="85">
        <f>IF(OR(Y692="估算法",Y692="算法类",Y692="无法识别"),"",IF(W692="",IF(OR(J692="EI",J692="EO",J692="EQ"),0,""),LEN(W692)-LEN(SUBSTITUTE(W692,"、",""))+1))</f>
        <v/>
      </c>
      <c r="N692" s="85">
        <f>IF(OR(Y692="估算法",Y692="算法类",Y692="无法识别"),"",IF(X692="",IF(OR(J692="ILF",J692="EIF"),0,""),LEN(X692)-LEN(SUBSTITUTE(X692,"、",""))+1))</f>
        <v/>
      </c>
      <c r="O692" s="85">
        <f>IF(OR(Y692="估算法",Y692="算法类",Y692="无法识别"),"",IF(Y692="",IF(OR(J692="ILF",J692="EIF",J692="EI",J692="EO",J692="EQ"),0,""),LEN(Y692)-LEN(SUBSTITUTE(SUBSTITUTE(SUBSTITUTE(SUBSTITUTE(SUBSTITUTE(Y692,"|}","--"),"{|","--"),CHAR(10),""),"、",""),"|",""))+IF(AND(OR(J692="EI",J692="EO",J692="EQ"),$AE$1="NESMA"),2,1)))</f>
        <v/>
      </c>
      <c r="P692" s="86">
        <f>IF(J692="EI",IF(OR(Y692="估算法",Y692="算法类"),"中",IF(Y692="无法识别","低",IF(M692&lt;2,IF(O692&lt;16,"低","中"),IF(M692&lt;3,IF(O692&lt;5,"低",IF(O692&lt;16,"中","高")),IF(O692&lt;5,"中","高"))))),IF(OR(J692="EO",J692="EQ"),IF(OR(Y692="估算法",Y692="算法类"),"中",IF(Y692="无法识别","低",IF(M692&lt;2,IF(O692&lt;20,"低","中"),IF(M692&lt;4,IF(O692&lt;6,"低",IF(O692&lt;20,"中","高")),IF(O692&lt;6,"中","高"))))),IF(OR(J692="ILF",J692="EIF"),IF(OR(Y692="估算法",Y692="算法类",Y692="无法识别"),"低",IF(N692&lt;2,IF(O692&lt;51,"低","中"),IF(N692&lt;6,IF(O692&lt;20,"低",IF(O692&lt;51,"中","高")),IF(O692&lt;20,"中","高")))),"不计算")))</f>
        <v/>
      </c>
      <c r="Q692" s="172">
        <f>IFERROR(IF(J692="EI",IF(P692="低",3,IF(P692="中",4,6)),IF(J692="EO",IF(P692="低",4,IF(P692="中",5,7)),IF(J692="EQ",IF(P692="低",3,IF(P692="中",4,6)),IF(J692="ILF",IF(P692="低",7,IF(P692="中",10,15)),IF(J692="EIF",IF(P692="低",5,IF(P692="中",7,10)),"不计算")))))*R692,"不计算")</f>
        <v/>
      </c>
      <c r="R692" s="172" t="n">
        <v>0</v>
      </c>
      <c r="S692" s="173">
        <f>调整因子!$F$13</f>
        <v/>
      </c>
      <c r="T692" s="93" t="n">
        <v>1</v>
      </c>
      <c r="U692" s="174">
        <f>IFERROR(Q692*S692,0)</f>
        <v/>
      </c>
      <c r="V692" s="174">
        <f>U692*T692</f>
        <v/>
      </c>
      <c r="W692" s="113" t="n"/>
      <c r="X692" s="93" t="inlineStr">
        <is>
          <t>漏洞初始修复率统计数据表</t>
        </is>
      </c>
      <c r="Y692" s="93" t="inlineStr">
        <is>
          <t>漏洞初始修复率统计数据表{记录ID、日期、业务场景ID、初始修复系统漏洞ID、工单ID|}</t>
        </is>
      </c>
      <c r="Z692" s="90">
        <f>IF(COUNTIFS(W:W,"*"&amp;I692&amp;"*")&gt;0,"存在","不存在")</f>
        <v/>
      </c>
      <c r="AA692" s="90">
        <f>IF(COUNTIFS(AB:AB,"*"&amp;I692&amp;"*")&gt;0,"存在","不存在")</f>
        <v/>
      </c>
      <c r="AB692" s="92" t="n"/>
    </row>
    <row r="693" s="112">
      <c r="A693" s="72">
        <f>ROW()-1</f>
        <v/>
      </c>
      <c r="B693" s="175" t="n"/>
      <c r="C693" s="80" t="n">
        <v>2025</v>
      </c>
      <c r="D693" s="80" t="inlineStr">
        <is>
          <t>汤凤欣</t>
        </is>
      </c>
      <c r="E693" s="81">
        <f>VLOOKUP(I693,'25年交付功能（不含废弃）'!A:A,1,FALSE)</f>
        <v/>
      </c>
      <c r="F693" s="175" t="n"/>
      <c r="G693" s="175" t="n"/>
      <c r="H693" s="175" t="n"/>
      <c r="I693" s="98" t="inlineStr">
        <is>
          <t>漏洞修复失败原因比例统计数据表</t>
        </is>
      </c>
      <c r="J693" s="93" t="inlineStr">
        <is>
          <t>ILF</t>
        </is>
      </c>
      <c r="K693" s="84" t="n"/>
      <c r="L693" s="84" t="inlineStr">
        <is>
          <t>数据库表未被本系统所维护</t>
        </is>
      </c>
      <c r="M693" s="85">
        <f>IF(OR(Y693="估算法",Y693="算法类",Y693="无法识别"),"",IF(W693="",IF(OR(J693="EI",J693="EO",J693="EQ"),0,""),LEN(W693)-LEN(SUBSTITUTE(W693,"、",""))+1))</f>
        <v/>
      </c>
      <c r="N693" s="85">
        <f>IF(OR(Y693="估算法",Y693="算法类",Y693="无法识别"),"",IF(X693="",IF(OR(J693="ILF",J693="EIF"),0,""),LEN(X693)-LEN(SUBSTITUTE(X693,"、",""))+1))</f>
        <v/>
      </c>
      <c r="O693" s="85">
        <f>IF(OR(Y693="估算法",Y693="算法类",Y693="无法识别"),"",IF(Y693="",IF(OR(J693="ILF",J693="EIF",J693="EI",J693="EO",J693="EQ"),0,""),LEN(Y693)-LEN(SUBSTITUTE(SUBSTITUTE(SUBSTITUTE(SUBSTITUTE(SUBSTITUTE(Y693,"|}","--"),"{|","--"),CHAR(10),""),"、",""),"|",""))+IF(AND(OR(J693="EI",J693="EO",J693="EQ"),$AE$1="NESMA"),2,1)))</f>
        <v/>
      </c>
      <c r="P693" s="86">
        <f>IF(J693="EI",IF(OR(Y693="估算法",Y693="算法类"),"中",IF(Y693="无法识别","低",IF(M693&lt;2,IF(O693&lt;16,"低","中"),IF(M693&lt;3,IF(O693&lt;5,"低",IF(O693&lt;16,"中","高")),IF(O693&lt;5,"中","高"))))),IF(OR(J693="EO",J693="EQ"),IF(OR(Y693="估算法",Y693="算法类"),"中",IF(Y693="无法识别","低",IF(M693&lt;2,IF(O693&lt;20,"低","中"),IF(M693&lt;4,IF(O693&lt;6,"低",IF(O693&lt;20,"中","高")),IF(O693&lt;6,"中","高"))))),IF(OR(J693="ILF",J693="EIF"),IF(OR(Y693="估算法",Y693="算法类",Y693="无法识别"),"低",IF(N693&lt;2,IF(O693&lt;51,"低","中"),IF(N693&lt;6,IF(O693&lt;20,"低",IF(O693&lt;51,"中","高")),IF(O693&lt;20,"中","高")))),"不计算")))</f>
        <v/>
      </c>
      <c r="Q693" s="172">
        <f>IFERROR(IF(J693="EI",IF(P693="低",3,IF(P693="中",4,6)),IF(J693="EO",IF(P693="低",4,IF(P693="中",5,7)),IF(J693="EQ",IF(P693="低",3,IF(P693="中",4,6)),IF(J693="ILF",IF(P693="低",7,IF(P693="中",10,15)),IF(J693="EIF",IF(P693="低",5,IF(P693="中",7,10)),"不计算")))))*R693,"不计算")</f>
        <v/>
      </c>
      <c r="R693" s="172" t="n">
        <v>0</v>
      </c>
      <c r="S693" s="173">
        <f>调整因子!$F$13</f>
        <v/>
      </c>
      <c r="T693" s="92" t="n">
        <v>1</v>
      </c>
      <c r="U693" s="174">
        <f>IFERROR(Q693*S693,0)</f>
        <v/>
      </c>
      <c r="V693" s="174">
        <f>U693*T693</f>
        <v/>
      </c>
      <c r="W693" s="113" t="n"/>
      <c r="X693" s="93" t="inlineStr">
        <is>
          <t>漏洞修复失败原因比例统计数据表</t>
        </is>
      </c>
      <c r="Y693" s="93" t="inlineStr">
        <is>
          <t>漏洞修复失败原因比例统计数据表{记录ID、日期、业务场景ID、修复失败系统漏洞ID、修复工单ID|}</t>
        </is>
      </c>
      <c r="Z693" s="90">
        <f>IF(COUNTIFS(W:W,"*"&amp;I693&amp;"*")&gt;0,"存在","不存在")</f>
        <v/>
      </c>
      <c r="AA693" s="90">
        <f>IF(COUNTIFS(AB:AB,"*"&amp;I693&amp;"*")&gt;0,"存在","不存在")</f>
        <v/>
      </c>
      <c r="AB693" s="115" t="n"/>
    </row>
    <row r="694" s="112">
      <c r="A694" s="72">
        <f>ROW()-1</f>
        <v/>
      </c>
      <c r="B694" s="175" t="n"/>
      <c r="C694" s="80" t="n">
        <v>2025</v>
      </c>
      <c r="D694" s="80" t="inlineStr">
        <is>
          <t>汤凤欣</t>
        </is>
      </c>
      <c r="E694" s="81">
        <f>VLOOKUP(I694,'25年交付功能（不含废弃）'!A:A,1,FALSE)</f>
        <v/>
      </c>
      <c r="F694" s="175" t="n"/>
      <c r="G694" s="175" t="n"/>
      <c r="H694" s="175" t="n"/>
      <c r="I694" s="98" t="inlineStr">
        <is>
          <t>漏洞平均修复时间(已验证)统计数据表</t>
        </is>
      </c>
      <c r="J694" s="93" t="inlineStr">
        <is>
          <t>ILF</t>
        </is>
      </c>
      <c r="K694" s="84" t="n"/>
      <c r="L694" s="84" t="inlineStr">
        <is>
          <t>数据库表未被本系统所维护</t>
        </is>
      </c>
      <c r="M694" s="85">
        <f>IF(OR(Y694="估算法",Y694="算法类",Y694="无法识别"),"",IF(W694="",IF(OR(J694="EI",J694="EO",J694="EQ"),0,""),LEN(W694)-LEN(SUBSTITUTE(W694,"、",""))+1))</f>
        <v/>
      </c>
      <c r="N694" s="85">
        <f>IF(OR(Y694="估算法",Y694="算法类",Y694="无法识别"),"",IF(X694="",IF(OR(J694="ILF",J694="EIF"),0,""),LEN(X694)-LEN(SUBSTITUTE(X694,"、",""))+1))</f>
        <v/>
      </c>
      <c r="O694" s="85">
        <f>IF(OR(Y694="估算法",Y694="算法类",Y694="无法识别"),"",IF(Y694="",IF(OR(J694="ILF",J694="EIF",J694="EI",J694="EO",J694="EQ"),0,""),LEN(Y694)-LEN(SUBSTITUTE(SUBSTITUTE(SUBSTITUTE(SUBSTITUTE(SUBSTITUTE(Y694,"|}","--"),"{|","--"),CHAR(10),""),"、",""),"|",""))+IF(AND(OR(J694="EI",J694="EO",J694="EQ"),$AE$1="NESMA"),2,1)))</f>
        <v/>
      </c>
      <c r="P694" s="86">
        <f>IF(J694="EI",IF(OR(Y694="估算法",Y694="算法类"),"中",IF(Y694="无法识别","低",IF(M694&lt;2,IF(O694&lt;16,"低","中"),IF(M694&lt;3,IF(O694&lt;5,"低",IF(O694&lt;16,"中","高")),IF(O694&lt;5,"中","高"))))),IF(OR(J694="EO",J694="EQ"),IF(OR(Y694="估算法",Y694="算法类"),"中",IF(Y694="无法识别","低",IF(M694&lt;2,IF(O694&lt;20,"低","中"),IF(M694&lt;4,IF(O694&lt;6,"低",IF(O694&lt;20,"中","高")),IF(O694&lt;6,"中","高"))))),IF(OR(J694="ILF",J694="EIF"),IF(OR(Y694="估算法",Y694="算法类",Y694="无法识别"),"低",IF(N694&lt;2,IF(O694&lt;51,"低","中"),IF(N694&lt;6,IF(O694&lt;20,"低",IF(O694&lt;51,"中","高")),IF(O694&lt;20,"中","高")))),"不计算")))</f>
        <v/>
      </c>
      <c r="Q694" s="172">
        <f>IFERROR(IF(J694="EI",IF(P694="低",3,IF(P694="中",4,6)),IF(J694="EO",IF(P694="低",4,IF(P694="中",5,7)),IF(J694="EQ",IF(P694="低",3,IF(P694="中",4,6)),IF(J694="ILF",IF(P694="低",7,IF(P694="中",10,15)),IF(J694="EIF",IF(P694="低",5,IF(P694="中",7,10)),"不计算")))))*R694,"不计算")</f>
        <v/>
      </c>
      <c r="R694" s="172" t="n">
        <v>0</v>
      </c>
      <c r="S694" s="173">
        <f>调整因子!$F$13</f>
        <v/>
      </c>
      <c r="T694" s="92" t="n">
        <v>1</v>
      </c>
      <c r="U694" s="174">
        <f>IFERROR(Q694*S694,0)</f>
        <v/>
      </c>
      <c r="V694" s="174">
        <f>U694*T694</f>
        <v/>
      </c>
      <c r="W694" s="113" t="n"/>
      <c r="X694" s="93" t="inlineStr">
        <is>
          <t>漏洞平均修复时间(已验证)统计数据表</t>
        </is>
      </c>
      <c r="Y694" s="93" t="inlineStr">
        <is>
          <t>漏洞平均修复时间(已验证)统计数据表{记录ID、日期、业务场景ID、已验证修复系统漏洞ID、修复耗时、工单ID|}</t>
        </is>
      </c>
      <c r="Z694" s="90">
        <f>IF(COUNTIFS(W:W,"*"&amp;I694&amp;"*")&gt;0,"存在","不存在")</f>
        <v/>
      </c>
      <c r="AA694" s="90">
        <f>IF(COUNTIFS(AB:AB,"*"&amp;I694&amp;"*")&gt;0,"存在","不存在")</f>
        <v/>
      </c>
      <c r="AB694" s="92" t="n"/>
    </row>
    <row r="695" s="112">
      <c r="A695" s="72">
        <f>ROW()-1</f>
        <v/>
      </c>
      <c r="B695" s="175" t="n"/>
      <c r="C695" s="80" t="n">
        <v>2025</v>
      </c>
      <c r="D695" s="80" t="inlineStr">
        <is>
          <t>汤凤欣</t>
        </is>
      </c>
      <c r="E695" s="81">
        <f>VLOOKUP(I695,'25年交付功能（不含废弃）'!A:A,1,FALSE)</f>
        <v/>
      </c>
      <c r="F695" s="175" t="n"/>
      <c r="G695" s="175" t="n"/>
      <c r="H695" s="175" t="n"/>
      <c r="I695" s="98" t="inlineStr">
        <is>
          <t>漏洞平均修复时间(未验证)统计数据表</t>
        </is>
      </c>
      <c r="J695" s="93" t="inlineStr">
        <is>
          <t>ILF</t>
        </is>
      </c>
      <c r="K695" s="84" t="n"/>
      <c r="L695" s="84" t="inlineStr">
        <is>
          <t>数据库表未被本系统所维护</t>
        </is>
      </c>
      <c r="M695" s="85">
        <f>IF(OR(Y695="估算法",Y695="算法类",Y695="无法识别"),"",IF(W695="",IF(OR(J695="EI",J695="EO",J695="EQ"),0,""),LEN(W695)-LEN(SUBSTITUTE(W695,"、",""))+1))</f>
        <v/>
      </c>
      <c r="N695" s="85">
        <f>IF(OR(Y695="估算法",Y695="算法类",Y695="无法识别"),"",IF(X695="",IF(OR(J695="ILF",J695="EIF"),0,""),LEN(X695)-LEN(SUBSTITUTE(X695,"、",""))+1))</f>
        <v/>
      </c>
      <c r="O695" s="85">
        <f>IF(OR(Y695="估算法",Y695="算法类",Y695="无法识别"),"",IF(Y695="",IF(OR(J695="ILF",J695="EIF",J695="EI",J695="EO",J695="EQ"),0,""),LEN(Y695)-LEN(SUBSTITUTE(SUBSTITUTE(SUBSTITUTE(SUBSTITUTE(SUBSTITUTE(Y695,"|}","--"),"{|","--"),CHAR(10),""),"、",""),"|",""))+IF(AND(OR(J695="EI",J695="EO",J695="EQ"),$AE$1="NESMA"),2,1)))</f>
        <v/>
      </c>
      <c r="P695" s="86">
        <f>IF(J695="EI",IF(OR(Y695="估算法",Y695="算法类"),"中",IF(Y695="无法识别","低",IF(M695&lt;2,IF(O695&lt;16,"低","中"),IF(M695&lt;3,IF(O695&lt;5,"低",IF(O695&lt;16,"中","高")),IF(O695&lt;5,"中","高"))))),IF(OR(J695="EO",J695="EQ"),IF(OR(Y695="估算法",Y695="算法类"),"中",IF(Y695="无法识别","低",IF(M695&lt;2,IF(O695&lt;20,"低","中"),IF(M695&lt;4,IF(O695&lt;6,"低",IF(O695&lt;20,"中","高")),IF(O695&lt;6,"中","高"))))),IF(OR(J695="ILF",J695="EIF"),IF(OR(Y695="估算法",Y695="算法类",Y695="无法识别"),"低",IF(N695&lt;2,IF(O695&lt;51,"低","中"),IF(N695&lt;6,IF(O695&lt;20,"低",IF(O695&lt;51,"中","高")),IF(O695&lt;20,"中","高")))),"不计算")))</f>
        <v/>
      </c>
      <c r="Q695" s="172">
        <f>IFERROR(IF(J695="EI",IF(P695="低",3,IF(P695="中",4,6)),IF(J695="EO",IF(P695="低",4,IF(P695="中",5,7)),IF(J695="EQ",IF(P695="低",3,IF(P695="中",4,6)),IF(J695="ILF",IF(P695="低",7,IF(P695="中",10,15)),IF(J695="EIF",IF(P695="低",5,IF(P695="中",7,10)),"不计算")))))*R695,"不计算")</f>
        <v/>
      </c>
      <c r="R695" s="172" t="n">
        <v>0</v>
      </c>
      <c r="S695" s="173">
        <f>调整因子!$F$13</f>
        <v/>
      </c>
      <c r="T695" s="93" t="n">
        <v>1</v>
      </c>
      <c r="U695" s="174">
        <f>IFERROR(Q695*S695,0)</f>
        <v/>
      </c>
      <c r="V695" s="174">
        <f>U695*T695</f>
        <v/>
      </c>
      <c r="W695" s="113" t="n"/>
      <c r="X695" s="93" t="inlineStr">
        <is>
          <t>漏洞平均修复时间(未验证)统计数据表</t>
        </is>
      </c>
      <c r="Y695" s="93" t="inlineStr">
        <is>
          <t>漏洞平均修复时间(未验证)统计数据表{记录ID、日期、业务场景ID、未验证修复系统漏洞ID、修复耗时、工单ID|}</t>
        </is>
      </c>
      <c r="Z695" s="90">
        <f>IF(COUNTIFS(W:W,"*"&amp;I695&amp;"*")&gt;0,"存在","不存在")</f>
        <v/>
      </c>
      <c r="AA695" s="90">
        <f>IF(COUNTIFS(AB:AB,"*"&amp;I695&amp;"*")&gt;0,"存在","不存在")</f>
        <v/>
      </c>
      <c r="AB695" s="115" t="n"/>
    </row>
    <row r="696" s="112">
      <c r="A696" s="72">
        <f>ROW()-1</f>
        <v/>
      </c>
      <c r="B696" s="175" t="n"/>
      <c r="C696" s="80" t="n">
        <v>2025</v>
      </c>
      <c r="D696" s="80" t="inlineStr">
        <is>
          <t>汤凤欣</t>
        </is>
      </c>
      <c r="E696" s="81">
        <f>VLOOKUP(I696,'25年交付功能（不含废弃）'!A:A,1,FALSE)</f>
        <v/>
      </c>
      <c r="F696" s="175" t="n"/>
      <c r="G696" s="175" t="n"/>
      <c r="H696" s="175" t="n"/>
      <c r="I696" s="98" t="inlineStr">
        <is>
          <t>漏洞扫描检测周期统计数据表</t>
        </is>
      </c>
      <c r="J696" s="93" t="inlineStr">
        <is>
          <t>ILF</t>
        </is>
      </c>
      <c r="K696" s="84" t="n"/>
      <c r="L696" s="84" t="inlineStr">
        <is>
          <t>数据库表未被本系统所维护</t>
        </is>
      </c>
      <c r="M696" s="85">
        <f>IF(OR(Y696="估算法",Y696="算法类",Y696="无法识别"),"",IF(W696="",IF(OR(J696="EI",J696="EO",J696="EQ"),0,""),LEN(W696)-LEN(SUBSTITUTE(W696,"、",""))+1))</f>
        <v/>
      </c>
      <c r="N696" s="85">
        <f>IF(OR(Y696="估算法",Y696="算法类",Y696="无法识别"),"",IF(X696="",IF(OR(J696="ILF",J696="EIF"),0,""),LEN(X696)-LEN(SUBSTITUTE(X696,"、",""))+1))</f>
        <v/>
      </c>
      <c r="O696" s="85">
        <f>IF(OR(Y696="估算法",Y696="算法类",Y696="无法识别"),"",IF(Y696="",IF(OR(J696="ILF",J696="EIF",J696="EI",J696="EO",J696="EQ"),0,""),LEN(Y696)-LEN(SUBSTITUTE(SUBSTITUTE(SUBSTITUTE(SUBSTITUTE(SUBSTITUTE(Y696,"|}","--"),"{|","--"),CHAR(10),""),"、",""),"|",""))+IF(AND(OR(J696="EI",J696="EO",J696="EQ"),$AE$1="NESMA"),2,1)))</f>
        <v/>
      </c>
      <c r="P696" s="86">
        <f>IF(J696="EI",IF(OR(Y696="估算法",Y696="算法类"),"中",IF(Y696="无法识别","低",IF(M696&lt;2,IF(O696&lt;16,"低","中"),IF(M696&lt;3,IF(O696&lt;5,"低",IF(O696&lt;16,"中","高")),IF(O696&lt;5,"中","高"))))),IF(OR(J696="EO",J696="EQ"),IF(OR(Y696="估算法",Y696="算法类"),"中",IF(Y696="无法识别","低",IF(M696&lt;2,IF(O696&lt;20,"低","中"),IF(M696&lt;4,IF(O696&lt;6,"低",IF(O696&lt;20,"中","高")),IF(O696&lt;6,"中","高"))))),IF(OR(J696="ILF",J696="EIF"),IF(OR(Y696="估算法",Y696="算法类",Y696="无法识别"),"低",IF(N696&lt;2,IF(O696&lt;51,"低","中"),IF(N696&lt;6,IF(O696&lt;20,"低",IF(O696&lt;51,"中","高")),IF(O696&lt;20,"中","高")))),"不计算")))</f>
        <v/>
      </c>
      <c r="Q696" s="172">
        <f>IFERROR(IF(J696="EI",IF(P696="低",3,IF(P696="中",4,6)),IF(J696="EO",IF(P696="低",4,IF(P696="中",5,7)),IF(J696="EQ",IF(P696="低",3,IF(P696="中",4,6)),IF(J696="ILF",IF(P696="低",7,IF(P696="中",10,15)),IF(J696="EIF",IF(P696="低",5,IF(P696="中",7,10)),"不计算")))))*R696,"不计算")</f>
        <v/>
      </c>
      <c r="R696" s="172" t="n">
        <v>0</v>
      </c>
      <c r="S696" s="173">
        <f>调整因子!$F$13</f>
        <v/>
      </c>
      <c r="T696" s="92" t="n">
        <v>1</v>
      </c>
      <c r="U696" s="174">
        <f>IFERROR(Q696*S696,0)</f>
        <v/>
      </c>
      <c r="V696" s="174">
        <f>U696*T696</f>
        <v/>
      </c>
      <c r="W696" s="113" t="n"/>
      <c r="X696" s="93" t="inlineStr">
        <is>
          <t>漏洞扫描检测周期统计数据表</t>
        </is>
      </c>
      <c r="Y696" s="93" t="inlineStr">
        <is>
          <t>漏洞扫描检测周期统计数据表{记录ID、日期、业务场景ID、漏洞扫描任务ID|}</t>
        </is>
      </c>
      <c r="Z696" s="90">
        <f>IF(COUNTIFS(W:W,"*"&amp;I696&amp;"*")&gt;0,"存在","不存在")</f>
        <v/>
      </c>
      <c r="AA696" s="90">
        <f>IF(COUNTIFS(AB:AB,"*"&amp;I696&amp;"*")&gt;0,"存在","不存在")</f>
        <v/>
      </c>
      <c r="AB696" s="92" t="n"/>
    </row>
    <row r="697" s="112">
      <c r="A697" s="72">
        <f>ROW()-1</f>
        <v/>
      </c>
      <c r="B697" s="175" t="n"/>
      <c r="C697" s="80" t="n">
        <v>2025</v>
      </c>
      <c r="D697" s="80" t="inlineStr">
        <is>
          <t>汤凤欣</t>
        </is>
      </c>
      <c r="E697" s="81">
        <f>VLOOKUP(I697,'25年交付功能（不含废弃）'!A:A,1,FALSE)</f>
        <v/>
      </c>
      <c r="F697" s="175" t="n"/>
      <c r="G697" s="175" t="n"/>
      <c r="H697" s="175" t="n"/>
      <c r="I697" s="98" t="inlineStr">
        <is>
          <t>漏洞扫描资产覆盖率统计数据表</t>
        </is>
      </c>
      <c r="J697" s="93" t="inlineStr">
        <is>
          <t>ILF</t>
        </is>
      </c>
      <c r="K697" s="84" t="n"/>
      <c r="L697" s="84" t="inlineStr">
        <is>
          <t>数据库表未被本系统所维护</t>
        </is>
      </c>
      <c r="M697" s="85">
        <f>IF(OR(Y697="估算法",Y697="算法类",Y697="无法识别"),"",IF(W697="",IF(OR(J697="EI",J697="EO",J697="EQ"),0,""),LEN(W697)-LEN(SUBSTITUTE(W697,"、",""))+1))</f>
        <v/>
      </c>
      <c r="N697" s="85">
        <f>IF(OR(Y697="估算法",Y697="算法类",Y697="无法识别"),"",IF(X697="",IF(OR(J697="ILF",J697="EIF"),0,""),LEN(X697)-LEN(SUBSTITUTE(X697,"、",""))+1))</f>
        <v/>
      </c>
      <c r="O697" s="85">
        <f>IF(OR(Y697="估算法",Y697="算法类",Y697="无法识别"),"",IF(Y697="",IF(OR(J697="ILF",J697="EIF",J697="EI",J697="EO",J697="EQ"),0,""),LEN(Y697)-LEN(SUBSTITUTE(SUBSTITUTE(SUBSTITUTE(SUBSTITUTE(SUBSTITUTE(Y697,"|}","--"),"{|","--"),CHAR(10),""),"、",""),"|",""))+IF(AND(OR(J697="EI",J697="EO",J697="EQ"),$AE$1="NESMA"),2,1)))</f>
        <v/>
      </c>
      <c r="P697" s="86">
        <f>IF(J697="EI",IF(OR(Y697="估算法",Y697="算法类"),"中",IF(Y697="无法识别","低",IF(M697&lt;2,IF(O697&lt;16,"低","中"),IF(M697&lt;3,IF(O697&lt;5,"低",IF(O697&lt;16,"中","高")),IF(O697&lt;5,"中","高"))))),IF(OR(J697="EO",J697="EQ"),IF(OR(Y697="估算法",Y697="算法类"),"中",IF(Y697="无法识别","低",IF(M697&lt;2,IF(O697&lt;20,"低","中"),IF(M697&lt;4,IF(O697&lt;6,"低",IF(O697&lt;20,"中","高")),IF(O697&lt;6,"中","高"))))),IF(OR(J697="ILF",J697="EIF"),IF(OR(Y697="估算法",Y697="算法类",Y697="无法识别"),"低",IF(N697&lt;2,IF(O697&lt;51,"低","中"),IF(N697&lt;6,IF(O697&lt;20,"低",IF(O697&lt;51,"中","高")),IF(O697&lt;20,"中","高")))),"不计算")))</f>
        <v/>
      </c>
      <c r="Q697" s="172">
        <f>IFERROR(IF(J697="EI",IF(P697="低",3,IF(P697="中",4,6)),IF(J697="EO",IF(P697="低",4,IF(P697="中",5,7)),IF(J697="EQ",IF(P697="低",3,IF(P697="中",4,6)),IF(J697="ILF",IF(P697="低",7,IF(P697="中",10,15)),IF(J697="EIF",IF(P697="低",5,IF(P697="中",7,10)),"不计算")))))*R697,"不计算")</f>
        <v/>
      </c>
      <c r="R697" s="172" t="n">
        <v>0</v>
      </c>
      <c r="S697" s="173">
        <f>调整因子!$F$13</f>
        <v/>
      </c>
      <c r="T697" s="92" t="n">
        <v>1</v>
      </c>
      <c r="U697" s="174">
        <f>IFERROR(Q697*S697,0)</f>
        <v/>
      </c>
      <c r="V697" s="174">
        <f>U697*T697</f>
        <v/>
      </c>
      <c r="W697" s="113" t="n"/>
      <c r="X697" s="93" t="inlineStr">
        <is>
          <t>漏洞扫描资产覆盖率统计数据表</t>
        </is>
      </c>
      <c r="Y697" s="93" t="inlineStr">
        <is>
          <t>漏洞扫描资产覆盖率统计数据表{记录ID、日期、业务场景ID、资产ID、漏洞扫描任务ID|}</t>
        </is>
      </c>
      <c r="Z697" s="90">
        <f>IF(COUNTIFS(W:W,"*"&amp;I697&amp;"*")&gt;0,"存在","不存在")</f>
        <v/>
      </c>
      <c r="AA697" s="90">
        <f>IF(COUNTIFS(AB:AB,"*"&amp;I697&amp;"*")&gt;0,"存在","不存在")</f>
        <v/>
      </c>
      <c r="AB697" s="115" t="n"/>
    </row>
    <row r="698" s="112">
      <c r="A698" s="72">
        <f>ROW()-1</f>
        <v/>
      </c>
      <c r="B698" s="175" t="n"/>
      <c r="C698" s="80" t="n">
        <v>2025</v>
      </c>
      <c r="D698" s="80" t="inlineStr">
        <is>
          <t>汤凤欣</t>
        </is>
      </c>
      <c r="E698" s="81">
        <f>VLOOKUP(I698,'25年交付功能（不含废弃）'!A:A,1,FALSE)</f>
        <v/>
      </c>
      <c r="F698" s="175" t="n"/>
      <c r="G698" s="175" t="n"/>
      <c r="H698" s="175" t="n"/>
      <c r="I698" s="98" t="inlineStr">
        <is>
          <t>漏洞未验证率统计数据表</t>
        </is>
      </c>
      <c r="J698" s="93" t="inlineStr">
        <is>
          <t>ILF</t>
        </is>
      </c>
      <c r="K698" s="84" t="n"/>
      <c r="L698" s="84" t="inlineStr">
        <is>
          <t>数据库表未被本系统所维护</t>
        </is>
      </c>
      <c r="M698" s="85">
        <f>IF(OR(Y698="估算法",Y698="算法类",Y698="无法识别"),"",IF(W698="",IF(OR(J698="EI",J698="EO",J698="EQ"),0,""),LEN(W698)-LEN(SUBSTITUTE(W698,"、",""))+1))</f>
        <v/>
      </c>
      <c r="N698" s="85">
        <f>IF(OR(Y698="估算法",Y698="算法类",Y698="无法识别"),"",IF(X698="",IF(OR(J698="ILF",J698="EIF"),0,""),LEN(X698)-LEN(SUBSTITUTE(X698,"、",""))+1))</f>
        <v/>
      </c>
      <c r="O698" s="85">
        <f>IF(OR(Y698="估算法",Y698="算法类",Y698="无法识别"),"",IF(Y698="",IF(OR(J698="ILF",J698="EIF",J698="EI",J698="EO",J698="EQ"),0,""),LEN(Y698)-LEN(SUBSTITUTE(SUBSTITUTE(SUBSTITUTE(SUBSTITUTE(SUBSTITUTE(Y698,"|}","--"),"{|","--"),CHAR(10),""),"、",""),"|",""))+IF(AND(OR(J698="EI",J698="EO",J698="EQ"),$AE$1="NESMA"),2,1)))</f>
        <v/>
      </c>
      <c r="P698" s="86">
        <f>IF(J698="EI",IF(OR(Y698="估算法",Y698="算法类"),"中",IF(Y698="无法识别","低",IF(M698&lt;2,IF(O698&lt;16,"低","中"),IF(M698&lt;3,IF(O698&lt;5,"低",IF(O698&lt;16,"中","高")),IF(O698&lt;5,"中","高"))))),IF(OR(J698="EO",J698="EQ"),IF(OR(Y698="估算法",Y698="算法类"),"中",IF(Y698="无法识别","低",IF(M698&lt;2,IF(O698&lt;20,"低","中"),IF(M698&lt;4,IF(O698&lt;6,"低",IF(O698&lt;20,"中","高")),IF(O698&lt;6,"中","高"))))),IF(OR(J698="ILF",J698="EIF"),IF(OR(Y698="估算法",Y698="算法类",Y698="无法识别"),"低",IF(N698&lt;2,IF(O698&lt;51,"低","中"),IF(N698&lt;6,IF(O698&lt;20,"低",IF(O698&lt;51,"中","高")),IF(O698&lt;20,"中","高")))),"不计算")))</f>
        <v/>
      </c>
      <c r="Q698" s="172">
        <f>IFERROR(IF(J698="EI",IF(P698="低",3,IF(P698="中",4,6)),IF(J698="EO",IF(P698="低",4,IF(P698="中",5,7)),IF(J698="EQ",IF(P698="低",3,IF(P698="中",4,6)),IF(J698="ILF",IF(P698="低",7,IF(P698="中",10,15)),IF(J698="EIF",IF(P698="低",5,IF(P698="中",7,10)),"不计算")))))*R698,"不计算")</f>
        <v/>
      </c>
      <c r="R698" s="172" t="n">
        <v>0</v>
      </c>
      <c r="S698" s="173">
        <f>调整因子!$F$13</f>
        <v/>
      </c>
      <c r="T698" s="93" t="n">
        <v>1</v>
      </c>
      <c r="U698" s="174">
        <f>IFERROR(Q698*S698,0)</f>
        <v/>
      </c>
      <c r="V698" s="174">
        <f>U698*T698</f>
        <v/>
      </c>
      <c r="W698" s="113" t="n"/>
      <c r="X698" s="93" t="inlineStr">
        <is>
          <t>漏洞未验证率统计数据表</t>
        </is>
      </c>
      <c r="Y698" s="93" t="inlineStr">
        <is>
          <t>漏洞未验证率统计数据表{记录ID、日期、业务场景ID、未验证系统漏洞ID、工单ID|}</t>
        </is>
      </c>
      <c r="Z698" s="90">
        <f>IF(COUNTIFS(W:W,"*"&amp;I698&amp;"*")&gt;0,"存在","不存在")</f>
        <v/>
      </c>
      <c r="AA698" s="90">
        <f>IF(COUNTIFS(AB:AB,"*"&amp;I698&amp;"*")&gt;0,"存在","不存在")</f>
        <v/>
      </c>
      <c r="AB698" s="92" t="n"/>
    </row>
    <row r="699" s="112">
      <c r="A699" s="72">
        <f>ROW()-1</f>
        <v/>
      </c>
      <c r="B699" s="175" t="n"/>
      <c r="C699" s="80" t="n">
        <v>2025</v>
      </c>
      <c r="D699" s="80" t="inlineStr">
        <is>
          <t>汤凤欣</t>
        </is>
      </c>
      <c r="E699" s="81">
        <f>VLOOKUP(I699,'25年交付功能（不含废弃）'!A:A,1,FALSE)</f>
        <v/>
      </c>
      <c r="F699" s="176" t="n"/>
      <c r="G699" s="176" t="n"/>
      <c r="H699" s="176" t="n"/>
      <c r="I699" s="98" t="inlineStr">
        <is>
          <t>漏洞误报率统计数据表</t>
        </is>
      </c>
      <c r="J699" s="93" t="inlineStr">
        <is>
          <t>ILF</t>
        </is>
      </c>
      <c r="K699" s="84" t="n"/>
      <c r="L699" s="84" t="inlineStr">
        <is>
          <t>数据库表未被本系统所维护</t>
        </is>
      </c>
      <c r="M699" s="85">
        <f>IF(OR(Y699="估算法",Y699="算法类",Y699="无法识别"),"",IF(W699="",IF(OR(J699="EI",J699="EO",J699="EQ"),0,""),LEN(W699)-LEN(SUBSTITUTE(W699,"、",""))+1))</f>
        <v/>
      </c>
      <c r="N699" s="85">
        <f>IF(OR(Y699="估算法",Y699="算法类",Y699="无法识别"),"",IF(X699="",IF(OR(J699="ILF",J699="EIF"),0,""),LEN(X699)-LEN(SUBSTITUTE(X699,"、",""))+1))</f>
        <v/>
      </c>
      <c r="O699" s="85">
        <f>IF(OR(Y699="估算法",Y699="算法类",Y699="无法识别"),"",IF(Y699="",IF(OR(J699="ILF",J699="EIF",J699="EI",J699="EO",J699="EQ"),0,""),LEN(Y699)-LEN(SUBSTITUTE(SUBSTITUTE(SUBSTITUTE(SUBSTITUTE(SUBSTITUTE(Y699,"|}","--"),"{|","--"),CHAR(10),""),"、",""),"|",""))+IF(AND(OR(J699="EI",J699="EO",J699="EQ"),$AE$1="NESMA"),2,1)))</f>
        <v/>
      </c>
      <c r="P699" s="86">
        <f>IF(J699="EI",IF(OR(Y699="估算法",Y699="算法类"),"中",IF(Y699="无法识别","低",IF(M699&lt;2,IF(O699&lt;16,"低","中"),IF(M699&lt;3,IF(O699&lt;5,"低",IF(O699&lt;16,"中","高")),IF(O699&lt;5,"中","高"))))),IF(OR(J699="EO",J699="EQ"),IF(OR(Y699="估算法",Y699="算法类"),"中",IF(Y699="无法识别","低",IF(M699&lt;2,IF(O699&lt;20,"低","中"),IF(M699&lt;4,IF(O699&lt;6,"低",IF(O699&lt;20,"中","高")),IF(O699&lt;6,"中","高"))))),IF(OR(J699="ILF",J699="EIF"),IF(OR(Y699="估算法",Y699="算法类",Y699="无法识别"),"低",IF(N699&lt;2,IF(O699&lt;51,"低","中"),IF(N699&lt;6,IF(O699&lt;20,"低",IF(O699&lt;51,"中","高")),IF(O699&lt;20,"中","高")))),"不计算")))</f>
        <v/>
      </c>
      <c r="Q699" s="172">
        <f>IFERROR(IF(J699="EI",IF(P699="低",3,IF(P699="中",4,6)),IF(J699="EO",IF(P699="低",4,IF(P699="中",5,7)),IF(J699="EQ",IF(P699="低",3,IF(P699="中",4,6)),IF(J699="ILF",IF(P699="低",7,IF(P699="中",10,15)),IF(J699="EIF",IF(P699="低",5,IF(P699="中",7,10)),"不计算")))))*R699,"不计算")</f>
        <v/>
      </c>
      <c r="R699" s="172" t="n">
        <v>0</v>
      </c>
      <c r="S699" s="173">
        <f>调整因子!$F$13</f>
        <v/>
      </c>
      <c r="T699" s="92" t="n">
        <v>1</v>
      </c>
      <c r="U699" s="174">
        <f>IFERROR(Q699*S699,0)</f>
        <v/>
      </c>
      <c r="V699" s="174">
        <f>U699*T699</f>
        <v/>
      </c>
      <c r="W699" s="113" t="n"/>
      <c r="X699" s="93" t="inlineStr">
        <is>
          <t>漏洞误报率统计数据表</t>
        </is>
      </c>
      <c r="Y699" s="93" t="inlineStr">
        <is>
          <t>漏洞误报率统计数据表{记录ID、日期、业务场景ID、误报系统漏洞ID、工单ID|}</t>
        </is>
      </c>
      <c r="Z699" s="90">
        <f>IF(COUNTIFS(W:W,"*"&amp;I699&amp;"*")&gt;0,"存在","不存在")</f>
        <v/>
      </c>
      <c r="AA699" s="90">
        <f>IF(COUNTIFS(AB:AB,"*"&amp;I699&amp;"*")&gt;0,"存在","不存在")</f>
        <v/>
      </c>
      <c r="AB699" s="115" t="n"/>
    </row>
    <row r="700" s="112">
      <c r="A700" s="72">
        <f>ROW()-1</f>
        <v/>
      </c>
      <c r="B700" s="175" t="n"/>
      <c r="C700" s="80" t="n">
        <v>2025</v>
      </c>
      <c r="D700" s="80" t="inlineStr">
        <is>
          <t>仲光华</t>
        </is>
      </c>
      <c r="E700" s="81">
        <f>VLOOKUP(I700,'25年交付功能（不含废弃）'!A:A,1,FALSE)</f>
        <v/>
      </c>
      <c r="F700" s="82" t="inlineStr">
        <is>
          <t>弱口令识别及上报</t>
        </is>
      </c>
      <c r="G700" s="82" t="inlineStr">
        <is>
          <t>弱口令检测任务管理</t>
        </is>
      </c>
      <c r="H700" s="82" t="inlineStr">
        <is>
          <t>弱口令检测任务下发与执行</t>
        </is>
      </c>
      <c r="I700" s="81" t="inlineStr">
        <is>
          <t>查询弱口令检测任务列表</t>
        </is>
      </c>
      <c r="J700" s="93" t="inlineStr">
        <is>
          <t>EQ</t>
        </is>
      </c>
      <c r="K700" s="84" t="n"/>
      <c r="L700" s="84" t="n"/>
      <c r="M700" s="85">
        <f>IF(OR(Y700="估算法",Y700="算法类",Y700="无法识别"),"",IF(W700="",IF(OR(J700="EI",J700="EO",J700="EQ"),0,""),LEN(W700)-LEN(SUBSTITUTE(W700,"、",""))+1))</f>
        <v/>
      </c>
      <c r="N700" s="85">
        <f>IF(OR(Y700="估算法",Y700="算法类",Y700="无法识别"),"",IF(X700="",IF(OR(J700="ILF",J700="EIF"),0,""),LEN(X700)-LEN(SUBSTITUTE(X700,"、",""))+1))</f>
        <v/>
      </c>
      <c r="O700" s="85">
        <f>IF(OR(Y700="估算法",Y700="算法类",Y700="无法识别"),"",IF(Y700="",IF(OR(J700="ILF",J700="EIF",J700="EI",J700="EO",J700="EQ"),0,""),LEN(Y700)-LEN(SUBSTITUTE(SUBSTITUTE(SUBSTITUTE(SUBSTITUTE(SUBSTITUTE(Y700,"|}","--"),"{|","--"),CHAR(10),""),"、",""),"|",""))+IF(AND(OR(J700="EI",J700="EO",J700="EQ"),$AE$1="NESMA"),2,1)))</f>
        <v/>
      </c>
      <c r="P700" s="86">
        <f>IF(J700="EI",IF(OR(Y700="估算法",Y700="算法类"),"中",IF(Y700="无法识别","低",IF(M700&lt;2,IF(O700&lt;16,"低","中"),IF(M700&lt;3,IF(O700&lt;5,"低",IF(O700&lt;16,"中","高")),IF(O700&lt;5,"中","高"))))),IF(OR(J700="EO",J700="EQ"),IF(OR(Y700="估算法",Y700="算法类"),"中",IF(Y700="无法识别","低",IF(M700&lt;2,IF(O700&lt;20,"低","中"),IF(M700&lt;4,IF(O700&lt;6,"低",IF(O700&lt;20,"中","高")),IF(O700&lt;6,"中","高"))))),IF(OR(J700="ILF",J700="EIF"),IF(OR(Y700="估算法",Y700="算法类",Y700="无法识别"),"低",IF(N700&lt;2,IF(O700&lt;51,"低","中"),IF(N700&lt;6,IF(O700&lt;20,"低",IF(O700&lt;51,"中","高")),IF(O700&lt;20,"中","高")))),"不计算")))</f>
        <v/>
      </c>
      <c r="Q700" s="172">
        <f>IFERROR(IF(J700="EI",IF(P700="低",3,IF(P700="中",4,6)),IF(J700="EO",IF(P700="低",4,IF(P700="中",5,7)),IF(J700="EQ",IF(P700="低",3,IF(P700="中",4,6)),IF(J700="ILF",IF(P700="低",7,IF(P700="中",10,15)),IF(J700="EIF",IF(P700="低",5,IF(P700="中",7,10)),"不计算")))))*R700,"不计算")</f>
        <v/>
      </c>
      <c r="R700" s="172" t="n">
        <v>1</v>
      </c>
      <c r="S700" s="173">
        <f>调整因子!$F$13</f>
        <v/>
      </c>
      <c r="T700" s="92" t="n">
        <v>1</v>
      </c>
      <c r="U700" s="174">
        <f>IFERROR(Q700*S700,0)</f>
        <v/>
      </c>
      <c r="V700" s="174">
        <f>U700*T700</f>
        <v/>
      </c>
      <c r="W700" s="90" t="inlineStr">
        <is>
          <t>弱口令扫描任务表、弱口令扫描任务实例表、扫描节点表、扫描器表、扫描器版本表、扫描器分类表、安全厂商信息、资产管理表、扫描任务日志表</t>
        </is>
      </c>
      <c r="X700" s="91" t="n"/>
      <c r="Y700"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00" s="90" t="n"/>
      <c r="AA700" s="90" t="n"/>
      <c r="AB700" s="92" t="n"/>
    </row>
    <row r="701" s="112">
      <c r="A701" s="72">
        <f>ROW()-1</f>
        <v/>
      </c>
      <c r="B701" s="175" t="n"/>
      <c r="C701" s="80" t="n">
        <v>2025</v>
      </c>
      <c r="D701" s="80" t="inlineStr">
        <is>
          <t>仲光华</t>
        </is>
      </c>
      <c r="E701" s="81">
        <f>VLOOKUP(I701,'25年交付功能（不含废弃）'!A:A,1,FALSE)</f>
        <v/>
      </c>
      <c r="F701" s="175" t="n"/>
      <c r="G701" s="175" t="n"/>
      <c r="H701" s="175" t="n"/>
      <c r="I701" s="81" t="inlineStr">
        <is>
          <t>新增弱口令检测任务</t>
        </is>
      </c>
      <c r="J701" s="93" t="inlineStr">
        <is>
          <t>EI</t>
        </is>
      </c>
      <c r="K701" s="84" t="n"/>
      <c r="L701" s="84" t="n"/>
      <c r="M701" s="85">
        <f>IF(OR(Y701="估算法",Y701="算法类",Y701="无法识别"),"",IF(W701="",IF(OR(J701="EI",J701="EO",J701="EQ"),0,""),LEN(W701)-LEN(SUBSTITUTE(W701,"、",""))+1))</f>
        <v/>
      </c>
      <c r="N701" s="85">
        <f>IF(OR(Y701="估算法",Y701="算法类",Y701="无法识别"),"",IF(X701="",IF(OR(J701="ILF",J701="EIF"),0,""),LEN(X701)-LEN(SUBSTITUTE(X701,"、",""))+1))</f>
        <v/>
      </c>
      <c r="O701" s="85">
        <f>IF(OR(Y701="估算法",Y701="算法类",Y701="无法识别"),"",IF(Y701="",IF(OR(J701="ILF",J701="EIF",J701="EI",J701="EO",J701="EQ"),0,""),LEN(Y701)-LEN(SUBSTITUTE(SUBSTITUTE(SUBSTITUTE(SUBSTITUTE(SUBSTITUTE(Y701,"|}","--"),"{|","--"),CHAR(10),""),"、",""),"|",""))+IF(AND(OR(J701="EI",J701="EO",J701="EQ"),$AE$1="NESMA"),2,1)))</f>
        <v/>
      </c>
      <c r="P701" s="86">
        <f>IF(J701="EI",IF(OR(Y701="估算法",Y701="算法类"),"中",IF(Y701="无法识别","低",IF(M701&lt;2,IF(O701&lt;16,"低","中"),IF(M701&lt;3,IF(O701&lt;5,"低",IF(O701&lt;16,"中","高")),IF(O701&lt;5,"中","高"))))),IF(OR(J701="EO",J701="EQ"),IF(OR(Y701="估算法",Y701="算法类"),"中",IF(Y701="无法识别","低",IF(M701&lt;2,IF(O701&lt;20,"低","中"),IF(M701&lt;4,IF(O701&lt;6,"低",IF(O701&lt;20,"中","高")),IF(O701&lt;6,"中","高"))))),IF(OR(J701="ILF",J701="EIF"),IF(OR(Y701="估算法",Y701="算法类",Y701="无法识别"),"低",IF(N701&lt;2,IF(O701&lt;51,"低","中"),IF(N701&lt;6,IF(O701&lt;20,"低",IF(O701&lt;51,"中","高")),IF(O701&lt;20,"中","高")))),"不计算")))</f>
        <v/>
      </c>
      <c r="Q701" s="172">
        <f>IFERROR(IF(J701="EI",IF(P701="低",3,IF(P701="中",4,6)),IF(J701="EO",IF(P701="低",4,IF(P701="中",5,7)),IF(J701="EQ",IF(P701="低",3,IF(P701="中",4,6)),IF(J701="ILF",IF(P701="低",7,IF(P701="中",10,15)),IF(J701="EIF",IF(P701="低",5,IF(P701="中",7,10)),"不计算")))))*R701,"不计算")</f>
        <v/>
      </c>
      <c r="R701" s="172" t="n">
        <v>1</v>
      </c>
      <c r="S701" s="173">
        <f>调整因子!$F$13</f>
        <v/>
      </c>
      <c r="T701" s="93" t="n">
        <v>1</v>
      </c>
      <c r="U701" s="174">
        <f>IFERROR(Q701*S701,0)</f>
        <v/>
      </c>
      <c r="V701" s="174">
        <f>U701*T701</f>
        <v/>
      </c>
      <c r="W701" s="90" t="inlineStr">
        <is>
          <t>弱口令扫描任务表、扫描节点表、扫描器表、扫描器版本表、扫描器分类表、安全厂商信息、资产管理表、扫描任务日志表</t>
        </is>
      </c>
      <c r="X701" s="91" t="n"/>
      <c r="Y701" s="90"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1" s="90" t="n"/>
      <c r="AA701" s="90" t="n"/>
      <c r="AB701" s="115" t="n"/>
    </row>
    <row r="702" s="112">
      <c r="A702" s="72">
        <f>ROW()-1</f>
        <v/>
      </c>
      <c r="B702" s="175" t="n"/>
      <c r="C702" s="80" t="n">
        <v>2025</v>
      </c>
      <c r="D702" s="80" t="inlineStr">
        <is>
          <t>仲光华</t>
        </is>
      </c>
      <c r="E702" s="81">
        <f>VLOOKUP(I702,'25年交付功能（不含废弃）'!A:A,1,FALSE)</f>
        <v/>
      </c>
      <c r="F702" s="175" t="n"/>
      <c r="G702" s="175" t="n"/>
      <c r="H702" s="175" t="n"/>
      <c r="I702" s="81" t="inlineStr">
        <is>
          <t>修改弱口令检测任务</t>
        </is>
      </c>
      <c r="J702" s="93" t="inlineStr">
        <is>
          <t>EI</t>
        </is>
      </c>
      <c r="K702" s="84" t="n"/>
      <c r="L702" s="84" t="n"/>
      <c r="M702" s="85">
        <f>IF(OR(Y702="估算法",Y702="算法类",Y702="无法识别"),"",IF(W702="",IF(OR(J702="EI",J702="EO",J702="EQ"),0,""),LEN(W702)-LEN(SUBSTITUTE(W702,"、",""))+1))</f>
        <v/>
      </c>
      <c r="N702" s="85">
        <f>IF(OR(Y702="估算法",Y702="算法类",Y702="无法识别"),"",IF(X702="",IF(OR(J702="ILF",J702="EIF"),0,""),LEN(X702)-LEN(SUBSTITUTE(X702,"、",""))+1))</f>
        <v/>
      </c>
      <c r="O702" s="85">
        <f>IF(OR(Y702="估算法",Y702="算法类",Y702="无法识别"),"",IF(Y702="",IF(OR(J702="ILF",J702="EIF",J702="EI",J702="EO",J702="EQ"),0,""),LEN(Y702)-LEN(SUBSTITUTE(SUBSTITUTE(SUBSTITUTE(SUBSTITUTE(SUBSTITUTE(Y702,"|}","--"),"{|","--"),CHAR(10),""),"、",""),"|",""))+IF(AND(OR(J702="EI",J702="EO",J702="EQ"),$AE$1="NESMA"),2,1)))</f>
        <v/>
      </c>
      <c r="P702" s="86">
        <f>IF(J702="EI",IF(OR(Y702="估算法",Y702="算法类"),"中",IF(Y702="无法识别","低",IF(M702&lt;2,IF(O702&lt;16,"低","中"),IF(M702&lt;3,IF(O702&lt;5,"低",IF(O702&lt;16,"中","高")),IF(O702&lt;5,"中","高"))))),IF(OR(J702="EO",J702="EQ"),IF(OR(Y702="估算法",Y702="算法类"),"中",IF(Y702="无法识别","低",IF(M702&lt;2,IF(O702&lt;20,"低","中"),IF(M702&lt;4,IF(O702&lt;6,"低",IF(O702&lt;20,"中","高")),IF(O702&lt;6,"中","高"))))),IF(OR(J702="ILF",J702="EIF"),IF(OR(Y702="估算法",Y702="算法类",Y702="无法识别"),"低",IF(N702&lt;2,IF(O702&lt;51,"低","中"),IF(N702&lt;6,IF(O702&lt;20,"低",IF(O702&lt;51,"中","高")),IF(O702&lt;20,"中","高")))),"不计算")))</f>
        <v/>
      </c>
      <c r="Q702" s="172">
        <f>IFERROR(IF(J702="EI",IF(P702="低",3,IF(P702="中",4,6)),IF(J702="EO",IF(P702="低",4,IF(P702="中",5,7)),IF(J702="EQ",IF(P702="低",3,IF(P702="中",4,6)),IF(J702="ILF",IF(P702="低",7,IF(P702="中",10,15)),IF(J702="EIF",IF(P702="低",5,IF(P702="中",7,10)),"不计算")))))*R702,"不计算")</f>
        <v/>
      </c>
      <c r="R702" s="172" t="n">
        <v>0.333333333333333</v>
      </c>
      <c r="S702" s="173">
        <f>调整因子!$F$13</f>
        <v/>
      </c>
      <c r="T702" s="92" t="n">
        <v>1</v>
      </c>
      <c r="U702" s="174">
        <f>IFERROR(Q702*S702,0)</f>
        <v/>
      </c>
      <c r="V702" s="174">
        <f>U702*T702</f>
        <v/>
      </c>
      <c r="W702" s="90" t="inlineStr">
        <is>
          <t>弱口令扫描任务表、扫描节点表、扫描器表、扫描器版本表、扫描器分类表、安全厂商信息、资产管理表、扫描任务日志表</t>
        </is>
      </c>
      <c r="X702" s="91" t="n"/>
      <c r="Y702" s="90" t="inlineStr">
        <is>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2" s="90" t="n"/>
      <c r="AA702" s="90" t="n"/>
      <c r="AB702" s="92" t="n"/>
    </row>
    <row r="703" s="112">
      <c r="A703" s="72">
        <f>ROW()-1</f>
        <v/>
      </c>
      <c r="B703" s="175" t="n"/>
      <c r="C703" s="80" t="n">
        <v>2025</v>
      </c>
      <c r="D703" s="80" t="inlineStr">
        <is>
          <t>仲光华</t>
        </is>
      </c>
      <c r="E703" s="81">
        <f>VLOOKUP(I703,'25年交付功能（不含废弃）'!A:A,1,FALSE)</f>
        <v/>
      </c>
      <c r="F703" s="175" t="n"/>
      <c r="G703" s="175" t="n"/>
      <c r="H703" s="176" t="n"/>
      <c r="I703" s="81" t="inlineStr">
        <is>
          <t>删除弱口令检测任务</t>
        </is>
      </c>
      <c r="J703" s="93" t="inlineStr">
        <is>
          <t>EI</t>
        </is>
      </c>
      <c r="K703" s="84" t="n"/>
      <c r="L703" s="84" t="n"/>
      <c r="M703" s="85">
        <f>IF(OR(Y703="估算法",Y703="算法类",Y703="无法识别"),"",IF(W703="",IF(OR(J703="EI",J703="EO",J703="EQ"),0,""),LEN(W703)-LEN(SUBSTITUTE(W703,"、",""))+1))</f>
        <v/>
      </c>
      <c r="N703" s="85">
        <f>IF(OR(Y703="估算法",Y703="算法类",Y703="无法识别"),"",IF(X703="",IF(OR(J703="ILF",J703="EIF"),0,""),LEN(X703)-LEN(SUBSTITUTE(X703,"、",""))+1))</f>
        <v/>
      </c>
      <c r="O703" s="85">
        <f>IF(OR(Y703="估算法",Y703="算法类",Y703="无法识别"),"",IF(Y703="",IF(OR(J703="ILF",J703="EIF",J703="EI",J703="EO",J703="EQ"),0,""),LEN(Y703)-LEN(SUBSTITUTE(SUBSTITUTE(SUBSTITUTE(SUBSTITUTE(SUBSTITUTE(Y703,"|}","--"),"{|","--"),CHAR(10),""),"、",""),"|",""))+IF(AND(OR(J703="EI",J703="EO",J703="EQ"),$AE$1="NESMA"),2,1)))</f>
        <v/>
      </c>
      <c r="P703" s="86">
        <f>IF(J703="EI",IF(OR(Y703="估算法",Y703="算法类"),"中",IF(Y703="无法识别","低",IF(M703&lt;2,IF(O703&lt;16,"低","中"),IF(M703&lt;3,IF(O703&lt;5,"低",IF(O703&lt;16,"中","高")),IF(O703&lt;5,"中","高"))))),IF(OR(J703="EO",J703="EQ"),IF(OR(Y703="估算法",Y703="算法类"),"中",IF(Y703="无法识别","低",IF(M703&lt;2,IF(O703&lt;20,"低","中"),IF(M703&lt;4,IF(O703&lt;6,"低",IF(O703&lt;20,"中","高")),IF(O703&lt;6,"中","高"))))),IF(OR(J703="ILF",J703="EIF"),IF(OR(Y703="估算法",Y703="算法类",Y703="无法识别"),"低",IF(N703&lt;2,IF(O703&lt;51,"低","中"),IF(N703&lt;6,IF(O703&lt;20,"低",IF(O703&lt;51,"中","高")),IF(O703&lt;20,"中","高")))),"不计算")))</f>
        <v/>
      </c>
      <c r="Q703" s="172">
        <f>IFERROR(IF(J703="EI",IF(P703="低",3,IF(P703="中",4,6)),IF(J703="EO",IF(P703="低",4,IF(P703="中",5,7)),IF(J703="EQ",IF(P703="低",3,IF(P703="中",4,6)),IF(J703="ILF",IF(P703="低",7,IF(P703="中",10,15)),IF(J703="EIF",IF(P703="低",5,IF(P703="中",7,10)),"不计算")))))*R703,"不计算")</f>
        <v/>
      </c>
      <c r="R703" s="172" t="n">
        <v>0.333333333333333</v>
      </c>
      <c r="S703" s="173">
        <f>调整因子!$F$13</f>
        <v/>
      </c>
      <c r="T703" s="92" t="n">
        <v>1</v>
      </c>
      <c r="U703" s="174">
        <f>IFERROR(Q703*S703,0)</f>
        <v/>
      </c>
      <c r="V703" s="174">
        <f>U703*T703</f>
        <v/>
      </c>
      <c r="W703" s="90" t="inlineStr">
        <is>
          <t>弱口令扫描任务表、扫描任务日志表</t>
        </is>
      </c>
      <c r="X703" s="91" t="n"/>
      <c r="Y703" s="90" t="inlineStr">
        <is>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is>
      </c>
      <c r="Z703" s="90" t="n"/>
      <c r="AA703" s="90" t="n"/>
      <c r="AB703" s="115" t="n"/>
    </row>
    <row r="704" s="112">
      <c r="A704" s="72">
        <f>ROW()-1</f>
        <v/>
      </c>
      <c r="B704" s="175" t="n"/>
      <c r="C704" s="80" t="n">
        <v>2025</v>
      </c>
      <c r="D704" s="80" t="inlineStr">
        <is>
          <t>仲光华</t>
        </is>
      </c>
      <c r="E704" s="81">
        <f>VLOOKUP(I704,'25年交付功能（不含废弃）'!A:A,1,FALSE)</f>
        <v/>
      </c>
      <c r="F704" s="175" t="n"/>
      <c r="G704" s="175" t="n"/>
      <c r="H704" s="82" t="inlineStr">
        <is>
          <t>弱口令检测任务调度执行</t>
        </is>
      </c>
      <c r="I704" s="81" t="inlineStr">
        <is>
          <t>弱口令检测立即执行</t>
        </is>
      </c>
      <c r="J704" s="93" t="inlineStr">
        <is>
          <t>EI</t>
        </is>
      </c>
      <c r="K704" s="84" t="n"/>
      <c r="L704" s="84" t="n"/>
      <c r="M704" s="85">
        <f>IF(OR(Y704="估算法",Y704="算法类",Y704="无法识别"),"",IF(W704="",IF(OR(J704="EI",J704="EO",J704="EQ"),0,""),LEN(W704)-LEN(SUBSTITUTE(W704,"、",""))+1))</f>
        <v/>
      </c>
      <c r="N704" s="85">
        <f>IF(OR(Y704="估算法",Y704="算法类",Y704="无法识别"),"",IF(X704="",IF(OR(J704="ILF",J704="EIF"),0,""),LEN(X704)-LEN(SUBSTITUTE(X704,"、",""))+1))</f>
        <v/>
      </c>
      <c r="O704" s="85">
        <f>IF(OR(Y704="估算法",Y704="算法类",Y704="无法识别"),"",IF(Y704="",IF(OR(J704="ILF",J704="EIF",J704="EI",J704="EO",J704="EQ"),0,""),LEN(Y704)-LEN(SUBSTITUTE(SUBSTITUTE(SUBSTITUTE(SUBSTITUTE(SUBSTITUTE(Y704,"|}","--"),"{|","--"),CHAR(10),""),"、",""),"|",""))+IF(AND(OR(J704="EI",J704="EO",J704="EQ"),$AE$1="NESMA"),2,1)))</f>
        <v/>
      </c>
      <c r="P704" s="86">
        <f>IF(J704="EI",IF(OR(Y704="估算法",Y704="算法类"),"中",IF(Y704="无法识别","低",IF(M704&lt;2,IF(O704&lt;16,"低","中"),IF(M704&lt;3,IF(O704&lt;5,"低",IF(O704&lt;16,"中","高")),IF(O704&lt;5,"中","高"))))),IF(OR(J704="EO",J704="EQ"),IF(OR(Y704="估算法",Y704="算法类"),"中",IF(Y704="无法识别","低",IF(M704&lt;2,IF(O704&lt;20,"低","中"),IF(M704&lt;4,IF(O704&lt;6,"低",IF(O704&lt;20,"中","高")),IF(O704&lt;6,"中","高"))))),IF(OR(J704="ILF",J704="EIF"),IF(OR(Y704="估算法",Y704="算法类",Y704="无法识别"),"低",IF(N704&lt;2,IF(O704&lt;51,"低","中"),IF(N704&lt;6,IF(O704&lt;20,"低",IF(O704&lt;51,"中","高")),IF(O704&lt;20,"中","高")))),"不计算")))</f>
        <v/>
      </c>
      <c r="Q704" s="172">
        <f>IFERROR(IF(J704="EI",IF(P704="低",3,IF(P704="中",4,6)),IF(J704="EO",IF(P704="低",4,IF(P704="中",5,7)),IF(J704="EQ",IF(P704="低",3,IF(P704="中",4,6)),IF(J704="ILF",IF(P704="低",7,IF(P704="中",10,15)),IF(J704="EIF",IF(P704="低",5,IF(P704="中",7,10)),"不计算")))))*R704,"不计算")</f>
        <v/>
      </c>
      <c r="R704" s="172" t="n">
        <v>1</v>
      </c>
      <c r="S704" s="173">
        <f>调整因子!$F$13</f>
        <v/>
      </c>
      <c r="T704" s="93" t="n">
        <v>1</v>
      </c>
      <c r="U704" s="174">
        <f>IFERROR(Q704*S704,0)</f>
        <v/>
      </c>
      <c r="V704" s="174">
        <f>U704*T704</f>
        <v/>
      </c>
      <c r="W704" s="90" t="inlineStr">
        <is>
          <t>弱口令扫描任务表、弱口令扫描任务实例表、扫描节点表、扫描器表、扫描任务日志表</t>
        </is>
      </c>
      <c r="X704" s="91" t="n"/>
      <c r="Y704"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4" s="90" t="n"/>
      <c r="AA704" s="90" t="n"/>
      <c r="AB704" s="92" t="n"/>
    </row>
    <row r="705" s="112">
      <c r="A705" s="72">
        <f>ROW()-1</f>
        <v/>
      </c>
      <c r="B705" s="175" t="n"/>
      <c r="C705" s="80" t="n">
        <v>2025</v>
      </c>
      <c r="D705" s="80" t="inlineStr">
        <is>
          <t>仲光华</t>
        </is>
      </c>
      <c r="E705" s="81">
        <f>VLOOKUP(I705,'25年交付功能（不含废弃）'!A:A,1,FALSE)</f>
        <v/>
      </c>
      <c r="F705" s="175" t="n"/>
      <c r="G705" s="175" t="n"/>
      <c r="H705" s="175" t="n"/>
      <c r="I705" s="81" t="inlineStr">
        <is>
          <t>弱口令检测定期执行</t>
        </is>
      </c>
      <c r="J705" s="93" t="inlineStr">
        <is>
          <t>EI</t>
        </is>
      </c>
      <c r="K705" s="84" t="n"/>
      <c r="L705" s="84" t="n"/>
      <c r="M705" s="85">
        <f>IF(OR(Y705="估算法",Y705="算法类",Y705="无法识别"),"",IF(W705="",IF(OR(J705="EI",J705="EO",J705="EQ"),0,""),LEN(W705)-LEN(SUBSTITUTE(W705,"、",""))+1))</f>
        <v/>
      </c>
      <c r="N705" s="85">
        <f>IF(OR(Y705="估算法",Y705="算法类",Y705="无法识别"),"",IF(X705="",IF(OR(J705="ILF",J705="EIF"),0,""),LEN(X705)-LEN(SUBSTITUTE(X705,"、",""))+1))</f>
        <v/>
      </c>
      <c r="O705" s="85">
        <f>IF(OR(Y705="估算法",Y705="算法类",Y705="无法识别"),"",IF(Y705="",IF(OR(J705="ILF",J705="EIF",J705="EI",J705="EO",J705="EQ"),0,""),LEN(Y705)-LEN(SUBSTITUTE(SUBSTITUTE(SUBSTITUTE(SUBSTITUTE(SUBSTITUTE(Y705,"|}","--"),"{|","--"),CHAR(10),""),"、",""),"|",""))+IF(AND(OR(J705="EI",J705="EO",J705="EQ"),$AE$1="NESMA"),2,1)))</f>
        <v/>
      </c>
      <c r="P705" s="86">
        <f>IF(J705="EI",IF(OR(Y705="估算法",Y705="算法类"),"中",IF(Y705="无法识别","低",IF(M705&lt;2,IF(O705&lt;16,"低","中"),IF(M705&lt;3,IF(O705&lt;5,"低",IF(O705&lt;16,"中","高")),IF(O705&lt;5,"中","高"))))),IF(OR(J705="EO",J705="EQ"),IF(OR(Y705="估算法",Y705="算法类"),"中",IF(Y705="无法识别","低",IF(M705&lt;2,IF(O705&lt;20,"低","中"),IF(M705&lt;4,IF(O705&lt;6,"低",IF(O705&lt;20,"中","高")),IF(O705&lt;6,"中","高"))))),IF(OR(J705="ILF",J705="EIF"),IF(OR(Y705="估算法",Y705="算法类",Y705="无法识别"),"低",IF(N705&lt;2,IF(O705&lt;51,"低","中"),IF(N705&lt;6,IF(O705&lt;20,"低",IF(O705&lt;51,"中","高")),IF(O705&lt;20,"中","高")))),"不计算")))</f>
        <v/>
      </c>
      <c r="Q705" s="172">
        <f>IFERROR(IF(J705="EI",IF(P705="低",3,IF(P705="中",4,6)),IF(J705="EO",IF(P705="低",4,IF(P705="中",5,7)),IF(J705="EQ",IF(P705="低",3,IF(P705="中",4,6)),IF(J705="ILF",IF(P705="低",7,IF(P705="中",10,15)),IF(J705="EIF",IF(P705="低",5,IF(P705="中",7,10)),"不计算")))))*R705,"不计算")</f>
        <v/>
      </c>
      <c r="R705" s="172" t="n">
        <v>0.333333333333333</v>
      </c>
      <c r="S705" s="173">
        <f>调整因子!$F$13</f>
        <v/>
      </c>
      <c r="T705" s="92" t="n">
        <v>1</v>
      </c>
      <c r="U705" s="174">
        <f>IFERROR(Q705*S705,0)</f>
        <v/>
      </c>
      <c r="V705" s="174">
        <f>U705*T705</f>
        <v/>
      </c>
      <c r="W705" s="90" t="inlineStr">
        <is>
          <t>弱口令扫描任务表、弱口令扫描任务实例表、扫描节点表、扫描器表、扫描任务日志表</t>
        </is>
      </c>
      <c r="X705" s="91" t="n"/>
      <c r="Y705"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5" s="90" t="n"/>
      <c r="AA705" s="90" t="n"/>
      <c r="AB705" s="115" t="n"/>
    </row>
    <row r="706" s="112">
      <c r="A706" s="72">
        <f>ROW()-1</f>
        <v/>
      </c>
      <c r="B706" s="175" t="n"/>
      <c r="C706" s="80" t="n">
        <v>2025</v>
      </c>
      <c r="D706" s="80" t="inlineStr">
        <is>
          <t>仲光华</t>
        </is>
      </c>
      <c r="E706" s="81">
        <f>VLOOKUP(I706,'25年交付功能（不含废弃）'!A:A,1,FALSE)</f>
        <v/>
      </c>
      <c r="F706" s="175" t="n"/>
      <c r="G706" s="175" t="n"/>
      <c r="H706" s="176" t="n"/>
      <c r="I706" s="81" t="inlineStr">
        <is>
          <t>弱口令检测进度监控</t>
        </is>
      </c>
      <c r="J706" s="93" t="n"/>
      <c r="K706" s="84" t="n"/>
      <c r="L706" s="84" t="inlineStr">
        <is>
          <t>单独非事务功能，需合并到输出</t>
        </is>
      </c>
      <c r="M706" s="85">
        <f>IF(OR(Y706="估算法",Y706="算法类",Y706="无法识别"),"",IF(W706="",IF(OR(J706="EI",J706="EO",J706="EQ"),0,""),LEN(W706)-LEN(SUBSTITUTE(W706,"、",""))+1))</f>
        <v/>
      </c>
      <c r="N706" s="85">
        <f>IF(OR(Y706="估算法",Y706="算法类",Y706="无法识别"),"",IF(X706="",IF(OR(J706="ILF",J706="EIF"),0,""),LEN(X706)-LEN(SUBSTITUTE(X706,"、",""))+1))</f>
        <v/>
      </c>
      <c r="O706" s="85">
        <f>IF(OR(Y706="估算法",Y706="算法类",Y706="无法识别"),"",IF(Y706="",IF(OR(J706="ILF",J706="EIF",J706="EI",J706="EO",J706="EQ"),0,""),LEN(Y706)-LEN(SUBSTITUTE(SUBSTITUTE(SUBSTITUTE(SUBSTITUTE(SUBSTITUTE(Y706,"|}","--"),"{|","--"),CHAR(10),""),"、",""),"|",""))+IF(AND(OR(J706="EI",J706="EO",J706="EQ"),$AE$1="NESMA"),2,1)))</f>
        <v/>
      </c>
      <c r="P706" s="86">
        <f>IF(J706="EI",IF(OR(Y706="估算法",Y706="算法类"),"中",IF(Y706="无法识别","低",IF(M706&lt;2,IF(O706&lt;16,"低","中"),IF(M706&lt;3,IF(O706&lt;5,"低",IF(O706&lt;16,"中","高")),IF(O706&lt;5,"中","高"))))),IF(OR(J706="EO",J706="EQ"),IF(OR(Y706="估算法",Y706="算法类"),"中",IF(Y706="无法识别","低",IF(M706&lt;2,IF(O706&lt;20,"低","中"),IF(M706&lt;4,IF(O706&lt;6,"低",IF(O706&lt;20,"中","高")),IF(O706&lt;6,"中","高"))))),IF(OR(J706="ILF",J706="EIF"),IF(OR(Y706="估算法",Y706="算法类",Y706="无法识别"),"低",IF(N706&lt;2,IF(O706&lt;51,"低","中"),IF(N706&lt;6,IF(O706&lt;20,"低",IF(O706&lt;51,"中","高")),IF(O706&lt;20,"中","高")))),"不计算")))</f>
        <v/>
      </c>
      <c r="Q706" s="172">
        <f>IFERROR(IF(J706="EI",IF(P706="低",3,IF(P706="中",4,6)),IF(J706="EO",IF(P706="低",4,IF(P706="中",5,7)),IF(J706="EQ",IF(P706="低",3,IF(P706="中",4,6)),IF(J706="ILF",IF(P706="低",7,IF(P706="中",10,15)),IF(J706="EIF",IF(P706="低",5,IF(P706="中",7,10)),"不计算")))))*R706,"不计算")</f>
        <v/>
      </c>
      <c r="R706" s="172" t="n">
        <v>1</v>
      </c>
      <c r="S706" s="173">
        <f>调整因子!$F$13</f>
        <v/>
      </c>
      <c r="T706" s="92" t="n">
        <v>1</v>
      </c>
      <c r="U706" s="174">
        <f>IFERROR(Q706*S706,0)</f>
        <v/>
      </c>
      <c r="V706" s="174">
        <f>U706*T706</f>
        <v/>
      </c>
      <c r="W706" s="90" t="inlineStr">
        <is>
          <t>弱口令扫描任务表、弱口令扫描任务实例表、扫描节点表、扫描器表、扫描任务日志表</t>
        </is>
      </c>
      <c r="X706" s="91" t="n"/>
      <c r="Y706"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is>
      </c>
      <c r="Z706" s="90" t="n"/>
      <c r="AA706" s="90" t="n"/>
      <c r="AB706" s="92" t="n"/>
    </row>
    <row r="707" s="112">
      <c r="A707" s="72">
        <f>ROW()-1</f>
        <v/>
      </c>
      <c r="B707" s="175" t="n"/>
      <c r="C707" s="80" t="n">
        <v>2025</v>
      </c>
      <c r="D707" s="80" t="inlineStr">
        <is>
          <t>仲光华</t>
        </is>
      </c>
      <c r="E707" s="81">
        <f>VLOOKUP(I707,'25年交付功能（不含废弃）'!A:A,1,FALSE)</f>
        <v/>
      </c>
      <c r="F707" s="175" t="n"/>
      <c r="G707" s="175" t="n"/>
      <c r="H707" s="82" t="inlineStr">
        <is>
          <t>弱口令检测结果分析展示</t>
        </is>
      </c>
      <c r="I707" s="81" t="inlineStr">
        <is>
          <t>查询弱口令汇总</t>
        </is>
      </c>
      <c r="J707" s="93" t="inlineStr">
        <is>
          <t>EQ</t>
        </is>
      </c>
      <c r="K707" s="84" t="n"/>
      <c r="L707" s="84" t="n"/>
      <c r="M707" s="85">
        <f>IF(OR(Y707="估算法",Y707="算法类",Y707="无法识别"),"",IF(W707="",IF(OR(J707="EI",J707="EO",J707="EQ"),0,""),LEN(W707)-LEN(SUBSTITUTE(W707,"、",""))+1))</f>
        <v/>
      </c>
      <c r="N707" s="85">
        <f>IF(OR(Y707="估算法",Y707="算法类",Y707="无法识别"),"",IF(X707="",IF(OR(J707="ILF",J707="EIF"),0,""),LEN(X707)-LEN(SUBSTITUTE(X707,"、",""))+1))</f>
        <v/>
      </c>
      <c r="O707" s="85">
        <f>IF(OR(Y707="估算法",Y707="算法类",Y707="无法识别"),"",IF(Y707="",IF(OR(J707="ILF",J707="EIF",J707="EI",J707="EO",J707="EQ"),0,""),LEN(Y707)-LEN(SUBSTITUTE(SUBSTITUTE(SUBSTITUTE(SUBSTITUTE(SUBSTITUTE(Y707,"|}","--"),"{|","--"),CHAR(10),""),"、",""),"|",""))+IF(AND(OR(J707="EI",J707="EO",J707="EQ"),$AE$1="NESMA"),2,1)))</f>
        <v/>
      </c>
      <c r="P707" s="86">
        <f>IF(J707="EI",IF(OR(Y707="估算法",Y707="算法类"),"中",IF(Y707="无法识别","低",IF(M707&lt;2,IF(O707&lt;16,"低","中"),IF(M707&lt;3,IF(O707&lt;5,"低",IF(O707&lt;16,"中","高")),IF(O707&lt;5,"中","高"))))),IF(OR(J707="EO",J707="EQ"),IF(OR(Y707="估算法",Y707="算法类"),"中",IF(Y707="无法识别","低",IF(M707&lt;2,IF(O707&lt;20,"低","中"),IF(M707&lt;4,IF(O707&lt;6,"低",IF(O707&lt;20,"中","高")),IF(O707&lt;6,"中","高"))))),IF(OR(J707="ILF",J707="EIF"),IF(OR(Y707="估算法",Y707="算法类",Y707="无法识别"),"低",IF(N707&lt;2,IF(O707&lt;51,"低","中"),IF(N707&lt;6,IF(O707&lt;20,"低",IF(O707&lt;51,"中","高")),IF(O707&lt;20,"中","高")))),"不计算")))</f>
        <v/>
      </c>
      <c r="Q707" s="172">
        <f>IFERROR(IF(J707="EI",IF(P707="低",3,IF(P707="中",4,6)),IF(J707="EO",IF(P707="低",4,IF(P707="中",5,7)),IF(J707="EQ",IF(P707="低",3,IF(P707="中",4,6)),IF(J707="ILF",IF(P707="低",7,IF(P707="中",10,15)),IF(J707="EIF",IF(P707="低",5,IF(P707="中",7,10)),"不计算")))))*R707,"不计算")</f>
        <v/>
      </c>
      <c r="R707" s="172" t="n">
        <v>1</v>
      </c>
      <c r="S707" s="173">
        <f>调整因子!$F$13</f>
        <v/>
      </c>
      <c r="T707" s="93" t="n">
        <v>1</v>
      </c>
      <c r="U707" s="174">
        <f>IFERROR(Q707*S707,0)</f>
        <v/>
      </c>
      <c r="V707" s="174">
        <f>U707*T707</f>
        <v/>
      </c>
      <c r="W707" s="90" t="inlineStr">
        <is>
          <t>弱口令扫描任务表、弱口令扫描任务实例表、扫描节点表、扫描器表、产品漏洞表、系统漏洞表、弱口令扫描结果表、资产管理表、扫描任务日志表</t>
        </is>
      </c>
      <c r="X707" s="91" t="n"/>
      <c r="Y707"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7" s="90" t="n"/>
      <c r="AA707" s="90" t="n"/>
      <c r="AB707" s="115" t="n"/>
    </row>
    <row r="708" s="112">
      <c r="A708" s="72">
        <f>ROW()-1</f>
        <v/>
      </c>
      <c r="B708" s="175" t="n"/>
      <c r="C708" s="80" t="n">
        <v>2025</v>
      </c>
      <c r="D708" s="80" t="inlineStr">
        <is>
          <t>仲光华</t>
        </is>
      </c>
      <c r="E708" s="81">
        <f>VLOOKUP(I708,'25年交付功能（不含废弃）'!A:A,1,FALSE)</f>
        <v/>
      </c>
      <c r="F708" s="175" t="n"/>
      <c r="G708" s="175" t="n"/>
      <c r="H708" s="176" t="n"/>
      <c r="I708" s="81" t="inlineStr">
        <is>
          <t>查询弱口令影响资产</t>
        </is>
      </c>
      <c r="J708" s="93" t="n"/>
      <c r="K708" s="84" t="n"/>
      <c r="L708" s="84" t="inlineStr">
        <is>
          <t>和上行合并，相同输入输出字段</t>
        </is>
      </c>
      <c r="M708" s="85">
        <f>IF(OR(Y708="估算法",Y708="算法类",Y708="无法识别"),"",IF(W708="",IF(OR(J708="EI",J708="EO",J708="EQ"),0,""),LEN(W708)-LEN(SUBSTITUTE(W708,"、",""))+1))</f>
        <v/>
      </c>
      <c r="N708" s="85">
        <f>IF(OR(Y708="估算法",Y708="算法类",Y708="无法识别"),"",IF(X708="",IF(OR(J708="ILF",J708="EIF"),0,""),LEN(X708)-LEN(SUBSTITUTE(X708,"、",""))+1))</f>
        <v/>
      </c>
      <c r="O708" s="85">
        <f>IF(OR(Y708="估算法",Y708="算法类",Y708="无法识别"),"",IF(Y708="",IF(OR(J708="ILF",J708="EIF",J708="EI",J708="EO",J708="EQ"),0,""),LEN(Y708)-LEN(SUBSTITUTE(SUBSTITUTE(SUBSTITUTE(SUBSTITUTE(SUBSTITUTE(Y708,"|}","--"),"{|","--"),CHAR(10),""),"、",""),"|",""))+IF(AND(OR(J708="EI",J708="EO",J708="EQ"),$AE$1="NESMA"),2,1)))</f>
        <v/>
      </c>
      <c r="P708" s="86">
        <f>IF(J708="EI",IF(OR(Y708="估算法",Y708="算法类"),"中",IF(Y708="无法识别","低",IF(M708&lt;2,IF(O708&lt;16,"低","中"),IF(M708&lt;3,IF(O708&lt;5,"低",IF(O708&lt;16,"中","高")),IF(O708&lt;5,"中","高"))))),IF(OR(J708="EO",J708="EQ"),IF(OR(Y708="估算法",Y708="算法类"),"中",IF(Y708="无法识别","低",IF(M708&lt;2,IF(O708&lt;20,"低","中"),IF(M708&lt;4,IF(O708&lt;6,"低",IF(O708&lt;20,"中","高")),IF(O708&lt;6,"中","高"))))),IF(OR(J708="ILF",J708="EIF"),IF(OR(Y708="估算法",Y708="算法类",Y708="无法识别"),"低",IF(N708&lt;2,IF(O708&lt;51,"低","中"),IF(N708&lt;6,IF(O708&lt;20,"低",IF(O708&lt;51,"中","高")),IF(O708&lt;20,"中","高")))),"不计算")))</f>
        <v/>
      </c>
      <c r="Q708" s="172">
        <f>IFERROR(IF(J708="EI",IF(P708="低",3,IF(P708="中",4,6)),IF(J708="EO",IF(P708="低",4,IF(P708="中",5,7)),IF(J708="EQ",IF(P708="低",3,IF(P708="中",4,6)),IF(J708="ILF",IF(P708="低",7,IF(P708="中",10,15)),IF(J708="EIF",IF(P708="低",5,IF(P708="中",7,10)),"不计算")))))*R708,"不计算")</f>
        <v/>
      </c>
      <c r="R708" s="172" t="n">
        <v>1</v>
      </c>
      <c r="S708" s="173">
        <f>调整因子!$F$13</f>
        <v/>
      </c>
      <c r="T708" s="92" t="n">
        <v>1</v>
      </c>
      <c r="U708" s="174">
        <f>IFERROR(Q708*S708,0)</f>
        <v/>
      </c>
      <c r="V708" s="174">
        <f>U708*T708</f>
        <v/>
      </c>
      <c r="W708" s="90" t="inlineStr">
        <is>
          <t>弱口令扫描任务表、弱口令扫描任务实例表、扫描节点表、扫描器表、产品漏洞表、系统漏洞表、弱口令扫描结果表、资产管理表、扫描任务日志表</t>
        </is>
      </c>
      <c r="X708" s="91" t="n"/>
      <c r="Y708"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8" s="90" t="n"/>
      <c r="AA708" s="90" t="n"/>
      <c r="AB708" s="92" t="n"/>
    </row>
    <row r="709" s="112">
      <c r="A709" s="72">
        <f>ROW()-1</f>
        <v/>
      </c>
      <c r="B709" s="175" t="n"/>
      <c r="C709" s="80" t="n">
        <v>2025</v>
      </c>
      <c r="D709" s="80" t="inlineStr">
        <is>
          <t>仲光华</t>
        </is>
      </c>
      <c r="E709" s="81">
        <f>VLOOKUP(I709,'25年交付功能（不含废弃）'!A:A,1,FALSE)</f>
        <v/>
      </c>
      <c r="F709" s="175" t="n"/>
      <c r="G709" s="175" t="n"/>
      <c r="H709" s="82" t="inlineStr">
        <is>
          <t>弱口令检测任务统计评估</t>
        </is>
      </c>
      <c r="I709" s="81" t="inlineStr">
        <is>
          <t>查询弱口令检测任务资产</t>
        </is>
      </c>
      <c r="J709" s="93" t="inlineStr">
        <is>
          <t>EQ</t>
        </is>
      </c>
      <c r="K709" s="84" t="n"/>
      <c r="L709" s="84" t="n"/>
      <c r="M709" s="85">
        <f>IF(OR(Y709="估算法",Y709="算法类",Y709="无法识别"),"",IF(W709="",IF(OR(J709="EI",J709="EO",J709="EQ"),0,""),LEN(W709)-LEN(SUBSTITUTE(W709,"、",""))+1))</f>
        <v/>
      </c>
      <c r="N709" s="85">
        <f>IF(OR(Y709="估算法",Y709="算法类",Y709="无法识别"),"",IF(X709="",IF(OR(J709="ILF",J709="EIF"),0,""),LEN(X709)-LEN(SUBSTITUTE(X709,"、",""))+1))</f>
        <v/>
      </c>
      <c r="O709" s="85">
        <f>IF(OR(Y709="估算法",Y709="算法类",Y709="无法识别"),"",IF(Y709="",IF(OR(J709="ILF",J709="EIF",J709="EI",J709="EO",J709="EQ"),0,""),LEN(Y709)-LEN(SUBSTITUTE(SUBSTITUTE(SUBSTITUTE(SUBSTITUTE(SUBSTITUTE(Y709,"|}","--"),"{|","--"),CHAR(10),""),"、",""),"|",""))+IF(AND(OR(J709="EI",J709="EO",J709="EQ"),$AE$1="NESMA"),2,1)))</f>
        <v/>
      </c>
      <c r="P709" s="86">
        <f>IF(J709="EI",IF(OR(Y709="估算法",Y709="算法类"),"中",IF(Y709="无法识别","低",IF(M709&lt;2,IF(O709&lt;16,"低","中"),IF(M709&lt;3,IF(O709&lt;5,"低",IF(O709&lt;16,"中","高")),IF(O709&lt;5,"中","高"))))),IF(OR(J709="EO",J709="EQ"),IF(OR(Y709="估算法",Y709="算法类"),"中",IF(Y709="无法识别","低",IF(M709&lt;2,IF(O709&lt;20,"低","中"),IF(M709&lt;4,IF(O709&lt;6,"低",IF(O709&lt;20,"中","高")),IF(O709&lt;6,"中","高"))))),IF(OR(J709="ILF",J709="EIF"),IF(OR(Y709="估算法",Y709="算法类",Y709="无法识别"),"低",IF(N709&lt;2,IF(O709&lt;51,"低","中"),IF(N709&lt;6,IF(O709&lt;20,"低",IF(O709&lt;51,"中","高")),IF(O709&lt;20,"中","高")))),"不计算")))</f>
        <v/>
      </c>
      <c r="Q709" s="172">
        <f>IFERROR(IF(J709="EI",IF(P709="低",3,IF(P709="中",4,6)),IF(J709="EO",IF(P709="低",4,IF(P709="中",5,7)),IF(J709="EQ",IF(P709="低",3,IF(P709="中",4,6)),IF(J709="ILF",IF(P709="低",7,IF(P709="中",10,15)),IF(J709="EIF",IF(P709="低",5,IF(P709="中",7,10)),"不计算")))))*R709,"不计算")</f>
        <v/>
      </c>
      <c r="R709" s="172" t="n">
        <v>1</v>
      </c>
      <c r="S709" s="173">
        <f>调整因子!$F$13</f>
        <v/>
      </c>
      <c r="T709" s="92" t="n">
        <v>1</v>
      </c>
      <c r="U709" s="174">
        <f>IFERROR(Q709*S709,0)</f>
        <v/>
      </c>
      <c r="V709" s="174">
        <f>U709*T709</f>
        <v/>
      </c>
      <c r="W709" s="90" t="inlineStr">
        <is>
          <t>弱口令扫描任务表、弱口令扫描任务实例表、扫描节点表、扫描器表、产品漏洞表、系统漏洞表、弱口令扫描结果表、资产管理表、扫描任务日志表</t>
        </is>
      </c>
      <c r="X709" s="91" t="n"/>
      <c r="Y709"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09" s="90" t="n"/>
      <c r="AA709" s="90" t="n"/>
      <c r="AB709" s="115" t="n"/>
    </row>
    <row r="710" s="112">
      <c r="A710" s="72">
        <f>ROW()-1</f>
        <v/>
      </c>
      <c r="B710" s="175" t="n"/>
      <c r="C710" s="80" t="n">
        <v>2025</v>
      </c>
      <c r="D710" s="80" t="inlineStr">
        <is>
          <t>仲光华</t>
        </is>
      </c>
      <c r="E710" s="81">
        <f>VLOOKUP(I710,'25年交付功能（不含废弃）'!A:A,1,FALSE)</f>
        <v/>
      </c>
      <c r="F710" s="175" t="n"/>
      <c r="G710" s="175" t="n"/>
      <c r="H710" s="175" t="n"/>
      <c r="I710" s="81" t="inlineStr">
        <is>
          <t>查询弱口令检测任务列表</t>
        </is>
      </c>
      <c r="J710" s="93" t="n"/>
      <c r="K710" s="84" t="n"/>
      <c r="L710" s="84" t="inlineStr">
        <is>
          <t>和上行合并，相同输入输出字段</t>
        </is>
      </c>
      <c r="M710" s="85">
        <f>IF(OR(Y710="估算法",Y710="算法类",Y710="无法识别"),"",IF(W710="",IF(OR(J710="EI",J710="EO",J710="EQ"),0,""),LEN(W710)-LEN(SUBSTITUTE(W710,"、",""))+1))</f>
        <v/>
      </c>
      <c r="N710" s="85">
        <f>IF(OR(Y710="估算法",Y710="算法类",Y710="无法识别"),"",IF(X710="",IF(OR(J710="ILF",J710="EIF"),0,""),LEN(X710)-LEN(SUBSTITUTE(X710,"、",""))+1))</f>
        <v/>
      </c>
      <c r="O710" s="85">
        <f>IF(OR(Y710="估算法",Y710="算法类",Y710="无法识别"),"",IF(Y710="",IF(OR(J710="ILF",J710="EIF",J710="EI",J710="EO",J710="EQ"),0,""),LEN(Y710)-LEN(SUBSTITUTE(SUBSTITUTE(SUBSTITUTE(SUBSTITUTE(SUBSTITUTE(Y710,"|}","--"),"{|","--"),CHAR(10),""),"、",""),"|",""))+IF(AND(OR(J710="EI",J710="EO",J710="EQ"),$AE$1="NESMA"),2,1)))</f>
        <v/>
      </c>
      <c r="P710" s="86">
        <f>IF(J710="EI",IF(OR(Y710="估算法",Y710="算法类"),"中",IF(Y710="无法识别","低",IF(M710&lt;2,IF(O710&lt;16,"低","中"),IF(M710&lt;3,IF(O710&lt;5,"低",IF(O710&lt;16,"中","高")),IF(O710&lt;5,"中","高"))))),IF(OR(J710="EO",J710="EQ"),IF(OR(Y710="估算法",Y710="算法类"),"中",IF(Y710="无法识别","低",IF(M710&lt;2,IF(O710&lt;20,"低","中"),IF(M710&lt;4,IF(O710&lt;6,"低",IF(O710&lt;20,"中","高")),IF(O710&lt;6,"中","高"))))),IF(OR(J710="ILF",J710="EIF"),IF(OR(Y710="估算法",Y710="算法类",Y710="无法识别"),"低",IF(N710&lt;2,IF(O710&lt;51,"低","中"),IF(N710&lt;6,IF(O710&lt;20,"低",IF(O710&lt;51,"中","高")),IF(O710&lt;20,"中","高")))),"不计算")))</f>
        <v/>
      </c>
      <c r="Q710" s="172">
        <f>IFERROR(IF(J710="EI",IF(P710="低",3,IF(P710="中",4,6)),IF(J710="EO",IF(P710="低",4,IF(P710="中",5,7)),IF(J710="EQ",IF(P710="低",3,IF(P710="中",4,6)),IF(J710="ILF",IF(P710="低",7,IF(P710="中",10,15)),IF(J710="EIF",IF(P710="低",5,IF(P710="中",7,10)),"不计算")))))*R710,"不计算")</f>
        <v/>
      </c>
      <c r="R710" s="172" t="n">
        <v>1</v>
      </c>
      <c r="S710" s="173">
        <f>调整因子!$F$13</f>
        <v/>
      </c>
      <c r="T710" s="93" t="n">
        <v>1</v>
      </c>
      <c r="U710" s="174">
        <f>IFERROR(Q710*S710,0)</f>
        <v/>
      </c>
      <c r="V710" s="174">
        <f>U710*T710</f>
        <v/>
      </c>
      <c r="W710" s="90" t="inlineStr">
        <is>
          <t>弱口令扫描任务表、弱口令扫描任务实例表、扫描节点表、扫描器表、产品漏洞表、系统漏洞表、弱口令扫描结果表、资产管理表、扫描任务日志表</t>
        </is>
      </c>
      <c r="X710" s="91" t="n"/>
      <c r="Y710"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10" s="90" t="n"/>
      <c r="AA710" s="90" t="n"/>
      <c r="AB710" s="92" t="n"/>
    </row>
    <row r="711" s="112">
      <c r="A711" s="72">
        <f>ROW()-1</f>
        <v/>
      </c>
      <c r="B711" s="175" t="n"/>
      <c r="C711" s="80" t="n">
        <v>2025</v>
      </c>
      <c r="D711" s="80" t="inlineStr">
        <is>
          <t>仲光华</t>
        </is>
      </c>
      <c r="E711" s="81">
        <f>VLOOKUP(I711,'25年交付功能（不含废弃）'!A:A,1,FALSE)</f>
        <v/>
      </c>
      <c r="F711" s="175" t="n"/>
      <c r="G711" s="175" t="n"/>
      <c r="H711" s="176" t="n"/>
      <c r="I711" s="81" t="inlineStr">
        <is>
          <t>查询弱口令列表</t>
        </is>
      </c>
      <c r="J711" s="93" t="n"/>
      <c r="K711" s="84" t="n"/>
      <c r="L711" s="84" t="inlineStr">
        <is>
          <t>和上行合并，相同输入输出字段</t>
        </is>
      </c>
      <c r="M711" s="85">
        <f>IF(OR(Y711="估算法",Y711="算法类",Y711="无法识别"),"",IF(W711="",IF(OR(J711="EI",J711="EO",J711="EQ"),0,""),LEN(W711)-LEN(SUBSTITUTE(W711,"、",""))+1))</f>
        <v/>
      </c>
      <c r="N711" s="85">
        <f>IF(OR(Y711="估算法",Y711="算法类",Y711="无法识别"),"",IF(X711="",IF(OR(J711="ILF",J711="EIF"),0,""),LEN(X711)-LEN(SUBSTITUTE(X711,"、",""))+1))</f>
        <v/>
      </c>
      <c r="O711" s="85">
        <f>IF(OR(Y711="估算法",Y711="算法类",Y711="无法识别"),"",IF(Y711="",IF(OR(J711="ILF",J711="EIF",J711="EI",J711="EO",J711="EQ"),0,""),LEN(Y711)-LEN(SUBSTITUTE(SUBSTITUTE(SUBSTITUTE(SUBSTITUTE(SUBSTITUTE(Y711,"|}","--"),"{|","--"),CHAR(10),""),"、",""),"|",""))+IF(AND(OR(J711="EI",J711="EO",J711="EQ"),$AE$1="NESMA"),2,1)))</f>
        <v/>
      </c>
      <c r="P711" s="86">
        <f>IF(J711="EI",IF(OR(Y711="估算法",Y711="算法类"),"中",IF(Y711="无法识别","低",IF(M711&lt;2,IF(O711&lt;16,"低","中"),IF(M711&lt;3,IF(O711&lt;5,"低",IF(O711&lt;16,"中","高")),IF(O711&lt;5,"中","高"))))),IF(OR(J711="EO",J711="EQ"),IF(OR(Y711="估算法",Y711="算法类"),"中",IF(Y711="无法识别","低",IF(M711&lt;2,IF(O711&lt;20,"低","中"),IF(M711&lt;4,IF(O711&lt;6,"低",IF(O711&lt;20,"中","高")),IF(O711&lt;6,"中","高"))))),IF(OR(J711="ILF",J711="EIF"),IF(OR(Y711="估算法",Y711="算法类",Y711="无法识别"),"低",IF(N711&lt;2,IF(O711&lt;51,"低","中"),IF(N711&lt;6,IF(O711&lt;20,"低",IF(O711&lt;51,"中","高")),IF(O711&lt;20,"中","高")))),"不计算")))</f>
        <v/>
      </c>
      <c r="Q711" s="172">
        <f>IFERROR(IF(J711="EI",IF(P711="低",3,IF(P711="中",4,6)),IF(J711="EO",IF(P711="低",4,IF(P711="中",5,7)),IF(J711="EQ",IF(P711="低",3,IF(P711="中",4,6)),IF(J711="ILF",IF(P711="低",7,IF(P711="中",10,15)),IF(J711="EIF",IF(P711="低",5,IF(P711="中",7,10)),"不计算")))))*R711,"不计算")</f>
        <v/>
      </c>
      <c r="R711" s="172" t="n">
        <v>1</v>
      </c>
      <c r="S711" s="173">
        <f>调整因子!$F$13</f>
        <v/>
      </c>
      <c r="T711" s="92" t="n">
        <v>1</v>
      </c>
      <c r="U711" s="174">
        <f>IFERROR(Q711*S711,0)</f>
        <v/>
      </c>
      <c r="V711" s="174">
        <f>U711*T711</f>
        <v/>
      </c>
      <c r="W711" s="90" t="inlineStr">
        <is>
          <t>弱口令扫描任务表、弱口令扫描任务实例表、扫描节点表、扫描器表、产品漏洞表、系统漏洞表、弱口令扫描结果表、资产管理表、扫描任务日志表</t>
        </is>
      </c>
      <c r="X711" s="91" t="n"/>
      <c r="Y711" s="90" t="inlineStr">
        <is>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is>
      </c>
      <c r="Z711" s="90" t="n"/>
      <c r="AA711" s="90" t="n"/>
      <c r="AB711" s="115" t="n"/>
    </row>
    <row r="712" s="112">
      <c r="A712" s="72">
        <f>ROW()-1</f>
        <v/>
      </c>
      <c r="B712" s="175" t="n"/>
      <c r="C712" s="80" t="n">
        <v>2025</v>
      </c>
      <c r="D712" s="80" t="inlineStr">
        <is>
          <t>仲光华</t>
        </is>
      </c>
      <c r="E712" s="81">
        <f>VLOOKUP(I712,'25年交付功能（不含废弃）'!A:A,1,FALSE)</f>
        <v/>
      </c>
      <c r="F712" s="175" t="n"/>
      <c r="G712" s="175" t="n"/>
      <c r="H712" s="82" t="inlineStr">
        <is>
          <t>扫描器集成与控制</t>
        </is>
      </c>
      <c r="I712" s="81" t="inlineStr">
        <is>
          <t>查询任务列表</t>
        </is>
      </c>
      <c r="J712" s="93" t="inlineStr">
        <is>
          <t>EQ</t>
        </is>
      </c>
      <c r="K712" s="84" t="n"/>
      <c r="L712" s="84" t="n"/>
      <c r="M712" s="85">
        <f>IF(OR(Y712="估算法",Y712="算法类",Y712="无法识别"),"",IF(W712="",IF(OR(J712="EI",J712="EO",J712="EQ"),0,""),LEN(W712)-LEN(SUBSTITUTE(W712,"、",""))+1))</f>
        <v/>
      </c>
      <c r="N712" s="85">
        <f>IF(OR(Y712="估算法",Y712="算法类",Y712="无法识别"),"",IF(X712="",IF(OR(J712="ILF",J712="EIF"),0,""),LEN(X712)-LEN(SUBSTITUTE(X712,"、",""))+1))</f>
        <v/>
      </c>
      <c r="O712" s="85">
        <f>IF(OR(Y712="估算法",Y712="算法类",Y712="无法识别"),"",IF(Y712="",IF(OR(J712="ILF",J712="EIF",J712="EI",J712="EO",J712="EQ"),0,""),LEN(Y712)-LEN(SUBSTITUTE(SUBSTITUTE(SUBSTITUTE(SUBSTITUTE(SUBSTITUTE(Y712,"|}","--"),"{|","--"),CHAR(10),""),"、",""),"|",""))+IF(AND(OR(J712="EI",J712="EO",J712="EQ"),$AE$1="NESMA"),2,1)))</f>
        <v/>
      </c>
      <c r="P712" s="86">
        <f>IF(J712="EI",IF(OR(Y712="估算法",Y712="算法类"),"中",IF(Y712="无法识别","低",IF(M712&lt;2,IF(O712&lt;16,"低","中"),IF(M712&lt;3,IF(O712&lt;5,"低",IF(O712&lt;16,"中","高")),IF(O712&lt;5,"中","高"))))),IF(OR(J712="EO",J712="EQ"),IF(OR(Y712="估算法",Y712="算法类"),"中",IF(Y712="无法识别","低",IF(M712&lt;2,IF(O712&lt;20,"低","中"),IF(M712&lt;4,IF(O712&lt;6,"低",IF(O712&lt;20,"中","高")),IF(O712&lt;6,"中","高"))))),IF(OR(J712="ILF",J712="EIF"),IF(OR(Y712="估算法",Y712="算法类",Y712="无法识别"),"低",IF(N712&lt;2,IF(O712&lt;51,"低","中"),IF(N712&lt;6,IF(O712&lt;20,"低",IF(O712&lt;51,"中","高")),IF(O712&lt;20,"中","高")))),"不计算")))</f>
        <v/>
      </c>
      <c r="Q712" s="172">
        <f>IFERROR(IF(J712="EI",IF(P712="低",3,IF(P712="中",4,6)),IF(J712="EO",IF(P712="低",4,IF(P712="中",5,7)),IF(J712="EQ",IF(P712="低",3,IF(P712="中",4,6)),IF(J712="ILF",IF(P712="低",7,IF(P712="中",10,15)),IF(J712="EIF",IF(P712="低",5,IF(P712="中",7,10)),"不计算")))))*R712,"不计算")</f>
        <v/>
      </c>
      <c r="R712" s="172" t="n">
        <v>1</v>
      </c>
      <c r="S712" s="173">
        <f>调整因子!$F$13</f>
        <v/>
      </c>
      <c r="T712" s="92" t="n">
        <v>1</v>
      </c>
      <c r="U712" s="174">
        <f>IFERROR(Q712*S712,0)</f>
        <v/>
      </c>
      <c r="V712" s="174">
        <f>U712*T712</f>
        <v/>
      </c>
      <c r="W712" s="90" t="inlineStr">
        <is>
          <t>弱口令扫描任务表、弱口令扫描任务实例表、扫描节点表、扫描器表、扫描器版本表、扫描器分类表、安全厂商信息、资产管理表、扫描任务日志表</t>
        </is>
      </c>
      <c r="X712" s="91" t="n"/>
      <c r="Y712"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2" s="90" t="n"/>
      <c r="AA712" s="90" t="n"/>
      <c r="AB712" s="92" t="n"/>
    </row>
    <row r="713" s="112">
      <c r="A713" s="72">
        <f>ROW()-1</f>
        <v/>
      </c>
      <c r="B713" s="175" t="n"/>
      <c r="C713" s="80" t="n">
        <v>2025</v>
      </c>
      <c r="D713" s="80" t="inlineStr">
        <is>
          <t>仲光华</t>
        </is>
      </c>
      <c r="E713" s="81">
        <f>VLOOKUP(I713,'25年交付功能（不含废弃）'!A:A,1,FALSE)</f>
        <v/>
      </c>
      <c r="F713" s="175" t="n"/>
      <c r="G713" s="175" t="n"/>
      <c r="H713" s="175" t="n"/>
      <c r="I713" s="81" t="inlineStr">
        <is>
          <t>查询弱口令检测任务分配列表</t>
        </is>
      </c>
      <c r="J713" s="93" t="n"/>
      <c r="K713" s="84" t="n"/>
      <c r="L713" s="84" t="inlineStr">
        <is>
          <t>和上行合并，相同输入输出字段</t>
        </is>
      </c>
      <c r="M713" s="85">
        <f>IF(OR(Y713="估算法",Y713="算法类",Y713="无法识别"),"",IF(W713="",IF(OR(J713="EI",J713="EO",J713="EQ"),0,""),LEN(W713)-LEN(SUBSTITUTE(W713,"、",""))+1))</f>
        <v/>
      </c>
      <c r="N713" s="85">
        <f>IF(OR(Y713="估算法",Y713="算法类",Y713="无法识别"),"",IF(X713="",IF(OR(J713="ILF",J713="EIF"),0,""),LEN(X713)-LEN(SUBSTITUTE(X713,"、",""))+1))</f>
        <v/>
      </c>
      <c r="O713" s="85">
        <f>IF(OR(Y713="估算法",Y713="算法类",Y713="无法识别"),"",IF(Y713="",IF(OR(J713="ILF",J713="EIF",J713="EI",J713="EO",J713="EQ"),0,""),LEN(Y713)-LEN(SUBSTITUTE(SUBSTITUTE(SUBSTITUTE(SUBSTITUTE(SUBSTITUTE(Y713,"|}","--"),"{|","--"),CHAR(10),""),"、",""),"|",""))+IF(AND(OR(J713="EI",J713="EO",J713="EQ"),$AE$1="NESMA"),2,1)))</f>
        <v/>
      </c>
      <c r="P713" s="86">
        <f>IF(J713="EI",IF(OR(Y713="估算法",Y713="算法类"),"中",IF(Y713="无法识别","低",IF(M713&lt;2,IF(O713&lt;16,"低","中"),IF(M713&lt;3,IF(O713&lt;5,"低",IF(O713&lt;16,"中","高")),IF(O713&lt;5,"中","高"))))),IF(OR(J713="EO",J713="EQ"),IF(OR(Y713="估算法",Y713="算法类"),"中",IF(Y713="无法识别","低",IF(M713&lt;2,IF(O713&lt;20,"低","中"),IF(M713&lt;4,IF(O713&lt;6,"低",IF(O713&lt;20,"中","高")),IF(O713&lt;6,"中","高"))))),IF(OR(J713="ILF",J713="EIF"),IF(OR(Y713="估算法",Y713="算法类",Y713="无法识别"),"低",IF(N713&lt;2,IF(O713&lt;51,"低","中"),IF(N713&lt;6,IF(O713&lt;20,"低",IF(O713&lt;51,"中","高")),IF(O713&lt;20,"中","高")))),"不计算")))</f>
        <v/>
      </c>
      <c r="Q713" s="172">
        <f>IFERROR(IF(J713="EI",IF(P713="低",3,IF(P713="中",4,6)),IF(J713="EO",IF(P713="低",4,IF(P713="中",5,7)),IF(J713="EQ",IF(P713="低",3,IF(P713="中",4,6)),IF(J713="ILF",IF(P713="低",7,IF(P713="中",10,15)),IF(J713="EIF",IF(P713="低",5,IF(P713="中",7,10)),"不计算")))))*R713,"不计算")</f>
        <v/>
      </c>
      <c r="R713" s="172" t="n">
        <v>1</v>
      </c>
      <c r="S713" s="173">
        <f>调整因子!$F$13</f>
        <v/>
      </c>
      <c r="T713" s="93" t="n">
        <v>1</v>
      </c>
      <c r="U713" s="174">
        <f>IFERROR(Q713*S713,0)</f>
        <v/>
      </c>
      <c r="V713" s="174">
        <f>U713*T713</f>
        <v/>
      </c>
      <c r="W713" s="90" t="inlineStr">
        <is>
          <t>弱口令扫描任务表、弱口令扫描任务实例表、扫描节点表、扫描器表、扫描器版本表、扫描器分类表、安全厂商信息、资产管理表、扫描任务日志表</t>
        </is>
      </c>
      <c r="X713" s="91" t="n"/>
      <c r="Y713"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3" s="90" t="n"/>
      <c r="AA713" s="90" t="n"/>
      <c r="AB713" s="115" t="n"/>
    </row>
    <row r="714" s="112">
      <c r="A714" s="72">
        <f>ROW()-1</f>
        <v/>
      </c>
      <c r="B714" s="175" t="n"/>
      <c r="C714" s="80" t="n">
        <v>2025</v>
      </c>
      <c r="D714" s="80" t="inlineStr">
        <is>
          <t>仲光华</t>
        </is>
      </c>
      <c r="E714" s="81">
        <f>VLOOKUP(I714,'25年交付功能（不含废弃）'!A:A,1,FALSE)</f>
        <v/>
      </c>
      <c r="F714" s="175" t="n"/>
      <c r="G714" s="175" t="n"/>
      <c r="H714" s="175" t="n"/>
      <c r="I714" s="81" t="inlineStr">
        <is>
          <t>查询弱口令检测任务</t>
        </is>
      </c>
      <c r="J714" s="93" t="n"/>
      <c r="K714" s="84" t="n"/>
      <c r="L714" s="84" t="inlineStr">
        <is>
          <t>和上行合并，相同输入输出字段</t>
        </is>
      </c>
      <c r="M714" s="85">
        <f>IF(OR(Y714="估算法",Y714="算法类",Y714="无法识别"),"",IF(W714="",IF(OR(J714="EI",J714="EO",J714="EQ"),0,""),LEN(W714)-LEN(SUBSTITUTE(W714,"、",""))+1))</f>
        <v/>
      </c>
      <c r="N714" s="85">
        <f>IF(OR(Y714="估算法",Y714="算法类",Y714="无法识别"),"",IF(X714="",IF(OR(J714="ILF",J714="EIF"),0,""),LEN(X714)-LEN(SUBSTITUTE(X714,"、",""))+1))</f>
        <v/>
      </c>
      <c r="O714" s="85">
        <f>IF(OR(Y714="估算法",Y714="算法类",Y714="无法识别"),"",IF(Y714="",IF(OR(J714="ILF",J714="EIF",J714="EI",J714="EO",J714="EQ"),0,""),LEN(Y714)-LEN(SUBSTITUTE(SUBSTITUTE(SUBSTITUTE(SUBSTITUTE(SUBSTITUTE(Y714,"|}","--"),"{|","--"),CHAR(10),""),"、",""),"|",""))+IF(AND(OR(J714="EI",J714="EO",J714="EQ"),$AE$1="NESMA"),2,1)))</f>
        <v/>
      </c>
      <c r="P714" s="86">
        <f>IF(J714="EI",IF(OR(Y714="估算法",Y714="算法类"),"中",IF(Y714="无法识别","低",IF(M714&lt;2,IF(O714&lt;16,"低","中"),IF(M714&lt;3,IF(O714&lt;5,"低",IF(O714&lt;16,"中","高")),IF(O714&lt;5,"中","高"))))),IF(OR(J714="EO",J714="EQ"),IF(OR(Y714="估算法",Y714="算法类"),"中",IF(Y714="无法识别","低",IF(M714&lt;2,IF(O714&lt;20,"低","中"),IF(M714&lt;4,IF(O714&lt;6,"低",IF(O714&lt;20,"中","高")),IF(O714&lt;6,"中","高"))))),IF(OR(J714="ILF",J714="EIF"),IF(OR(Y714="估算法",Y714="算法类",Y714="无法识别"),"低",IF(N714&lt;2,IF(O714&lt;51,"低","中"),IF(N714&lt;6,IF(O714&lt;20,"低",IF(O714&lt;51,"中","高")),IF(O714&lt;20,"中","高")))),"不计算")))</f>
        <v/>
      </c>
      <c r="Q714" s="172">
        <f>IFERROR(IF(J714="EI",IF(P714="低",3,IF(P714="中",4,6)),IF(J714="EO",IF(P714="低",4,IF(P714="中",5,7)),IF(J714="EQ",IF(P714="低",3,IF(P714="中",4,6)),IF(J714="ILF",IF(P714="低",7,IF(P714="中",10,15)),IF(J714="EIF",IF(P714="低",5,IF(P714="中",7,10)),"不计算")))))*R714,"不计算")</f>
        <v/>
      </c>
      <c r="R714" s="172" t="n">
        <v>1</v>
      </c>
      <c r="S714" s="173">
        <f>调整因子!$F$13</f>
        <v/>
      </c>
      <c r="T714" s="92" t="n">
        <v>1</v>
      </c>
      <c r="U714" s="174">
        <f>IFERROR(Q714*S714,0)</f>
        <v/>
      </c>
      <c r="V714" s="174">
        <f>U714*T714</f>
        <v/>
      </c>
      <c r="W714" s="90" t="inlineStr">
        <is>
          <t>弱口令扫描任务表、弱口令扫描任务实例表、扫描节点表、扫描器表、扫描器版本表、扫描器分类表、安全厂商信息、资产管理表、扫描任务日志表</t>
        </is>
      </c>
      <c r="X714" s="91" t="n"/>
      <c r="Y714" s="90" t="inlineStr">
        <is>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is>
      </c>
      <c r="Z714" s="90" t="n"/>
      <c r="AA714" s="90" t="n"/>
      <c r="AB714" s="92" t="n"/>
    </row>
    <row r="715" s="112">
      <c r="A715" s="72">
        <f>ROW()-1</f>
        <v/>
      </c>
      <c r="B715" s="175" t="n"/>
      <c r="C715" s="80" t="n">
        <v>2025</v>
      </c>
      <c r="D715" s="80" t="inlineStr">
        <is>
          <t>仲光华</t>
        </is>
      </c>
      <c r="E715" s="81">
        <f>VLOOKUP(I715,'25年交付功能（不含废弃）'!A:A,1,FALSE)</f>
        <v/>
      </c>
      <c r="F715" s="175" t="n"/>
      <c r="G715" s="175" t="n"/>
      <c r="H715" s="175" t="n"/>
      <c r="I715" s="98" t="inlineStr">
        <is>
          <t>弱口令扫描任务表</t>
        </is>
      </c>
      <c r="J715" s="93" t="inlineStr">
        <is>
          <t>ILF</t>
        </is>
      </c>
      <c r="K715" s="84" t="n"/>
      <c r="L715" s="84" t="n"/>
      <c r="M715" s="85">
        <f>IF(OR(Y715="估算法",Y715="算法类",Y715="无法识别"),"",IF(W715="",IF(OR(J715="EI",J715="EO",J715="EQ"),0,""),LEN(W715)-LEN(SUBSTITUTE(W715,"、",""))+1))</f>
        <v/>
      </c>
      <c r="N715" s="85">
        <f>IF(OR(Y715="估算法",Y715="算法类",Y715="无法识别"),"",IF(X715="",IF(OR(J715="ILF",J715="EIF"),0,""),LEN(X715)-LEN(SUBSTITUTE(X715,"、",""))+1))</f>
        <v/>
      </c>
      <c r="O715" s="85">
        <f>IF(OR(Y715="估算法",Y715="算法类",Y715="无法识别"),"",IF(Y715="",IF(OR(J715="ILF",J715="EIF",J715="EI",J715="EO",J715="EQ"),0,""),LEN(Y715)-LEN(SUBSTITUTE(SUBSTITUTE(SUBSTITUTE(SUBSTITUTE(SUBSTITUTE(Y715,"|}","--"),"{|","--"),CHAR(10),""),"、",""),"|",""))+IF(AND(OR(J715="EI",J715="EO",J715="EQ"),$AE$1="NESMA"),2,1)))</f>
        <v/>
      </c>
      <c r="P715" s="86">
        <f>IF(J715="EI",IF(OR(Y715="估算法",Y715="算法类"),"中",IF(Y715="无法识别","低",IF(M715&lt;2,IF(O715&lt;16,"低","中"),IF(M715&lt;3,IF(O715&lt;5,"低",IF(O715&lt;16,"中","高")),IF(O715&lt;5,"中","高"))))),IF(OR(J715="EO",J715="EQ"),IF(OR(Y715="估算法",Y715="算法类"),"中",IF(Y715="无法识别","低",IF(M715&lt;2,IF(O715&lt;20,"低","中"),IF(M715&lt;4,IF(O715&lt;6,"低",IF(O715&lt;20,"中","高")),IF(O715&lt;6,"中","高"))))),IF(OR(J715="ILF",J715="EIF"),IF(OR(Y715="估算法",Y715="算法类",Y715="无法识别"),"低",IF(N715&lt;2,IF(O715&lt;51,"低","中"),IF(N715&lt;6,IF(O715&lt;20,"低",IF(O715&lt;51,"中","高")),IF(O715&lt;20,"中","高")))),"不计算")))</f>
        <v/>
      </c>
      <c r="Q715" s="172">
        <f>IFERROR(IF(J715="EI",IF(P715="低",3,IF(P715="中",4,6)),IF(J715="EO",IF(P715="低",4,IF(P715="中",5,7)),IF(J715="EQ",IF(P715="低",3,IF(P715="中",4,6)),IF(J715="ILF",IF(P715="低",7,IF(P715="中",10,15)),IF(J715="EIF",IF(P715="低",5,IF(P715="中",7,10)),"不计算")))))*R715,"不计算")</f>
        <v/>
      </c>
      <c r="R715" s="172" t="n">
        <v>0</v>
      </c>
      <c r="S715" s="173">
        <f>调整因子!$F$13</f>
        <v/>
      </c>
      <c r="T715" s="92" t="n">
        <v>1</v>
      </c>
      <c r="U715" s="174">
        <f>IFERROR(Q715*S715,0)</f>
        <v/>
      </c>
      <c r="V715" s="174">
        <f>U715*T715</f>
        <v/>
      </c>
      <c r="W715" s="91" t="n"/>
      <c r="X715" s="90" t="inlineStr">
        <is>
          <t>弱口令扫描任务表</t>
        </is>
      </c>
      <c r="Y715" s="90" t="inlineStr">
        <is>
          <t>弱口令扫描任务表{ID、扫描器ID、分类（厂商）ID、场景ID、计划名称、计划类型、计划状态、执行类型、计划开始时间、计划结束时间、周期计划执行的cron、扫描IP、扫描端口、部门、业务系统、计划责任人、内置任务、备注}</t>
        </is>
      </c>
      <c r="Z715" s="90">
        <f>IF(COUNTIFS(W:W,"*"&amp;I715&amp;"*")&gt;0,"存在","不存在")</f>
        <v/>
      </c>
      <c r="AA715" s="90">
        <f>IF(COUNTIFS(AB:AB,"*"&amp;I715&amp;"*")&gt;0,"存在","不存在")</f>
        <v/>
      </c>
      <c r="AB715" s="115" t="n"/>
    </row>
    <row r="716" s="112">
      <c r="A716" s="72">
        <f>ROW()-1</f>
        <v/>
      </c>
      <c r="B716" s="175" t="n"/>
      <c r="C716" s="80" t="n">
        <v>2025</v>
      </c>
      <c r="D716" s="80" t="inlineStr">
        <is>
          <t>仲光华</t>
        </is>
      </c>
      <c r="E716" s="81">
        <f>VLOOKUP(I716,'25年交付功能（不含废弃）'!A:A,1,FALSE)</f>
        <v/>
      </c>
      <c r="F716" s="175" t="n"/>
      <c r="G716" s="175" t="n"/>
      <c r="H716" s="175" t="n"/>
      <c r="I716" s="98" t="inlineStr">
        <is>
          <t>弱口令扫描任务实例表</t>
        </is>
      </c>
      <c r="J716" s="93" t="inlineStr">
        <is>
          <t>ILF</t>
        </is>
      </c>
      <c r="K716" s="84" t="n"/>
      <c r="L716" s="84" t="n"/>
      <c r="M716" s="85">
        <f>IF(OR(Y716="估算法",Y716="算法类",Y716="无法识别"),"",IF(W716="",IF(OR(J716="EI",J716="EO",J716="EQ"),0,""),LEN(W716)-LEN(SUBSTITUTE(W716,"、",""))+1))</f>
        <v/>
      </c>
      <c r="N716" s="85">
        <f>IF(OR(Y716="估算法",Y716="算法类",Y716="无法识别"),"",IF(X716="",IF(OR(J716="ILF",J716="EIF"),0,""),LEN(X716)-LEN(SUBSTITUTE(X716,"、",""))+1))</f>
        <v/>
      </c>
      <c r="O716" s="85">
        <f>IF(OR(Y716="估算法",Y716="算法类",Y716="无法识别"),"",IF(Y716="",IF(OR(J716="ILF",J716="EIF",J716="EI",J716="EO",J716="EQ"),0,""),LEN(Y716)-LEN(SUBSTITUTE(SUBSTITUTE(SUBSTITUTE(SUBSTITUTE(SUBSTITUTE(Y716,"|}","--"),"{|","--"),CHAR(10),""),"、",""),"|",""))+IF(AND(OR(J716="EI",J716="EO",J716="EQ"),$AE$1="NESMA"),2,1)))</f>
        <v/>
      </c>
      <c r="P716" s="86">
        <f>IF(J716="EI",IF(OR(Y716="估算法",Y716="算法类"),"中",IF(Y716="无法识别","低",IF(M716&lt;2,IF(O716&lt;16,"低","中"),IF(M716&lt;3,IF(O716&lt;5,"低",IF(O716&lt;16,"中","高")),IF(O716&lt;5,"中","高"))))),IF(OR(J716="EO",J716="EQ"),IF(OR(Y716="估算法",Y716="算法类"),"中",IF(Y716="无法识别","低",IF(M716&lt;2,IF(O716&lt;20,"低","中"),IF(M716&lt;4,IF(O716&lt;6,"低",IF(O716&lt;20,"中","高")),IF(O716&lt;6,"中","高"))))),IF(OR(J716="ILF",J716="EIF"),IF(OR(Y716="估算法",Y716="算法类",Y716="无法识别"),"低",IF(N716&lt;2,IF(O716&lt;51,"低","中"),IF(N716&lt;6,IF(O716&lt;20,"低",IF(O716&lt;51,"中","高")),IF(O716&lt;20,"中","高")))),"不计算")))</f>
        <v/>
      </c>
      <c r="Q716" s="172">
        <f>IFERROR(IF(J716="EI",IF(P716="低",3,IF(P716="中",4,6)),IF(J716="EO",IF(P716="低",4,IF(P716="中",5,7)),IF(J716="EQ",IF(P716="低",3,IF(P716="中",4,6)),IF(J716="ILF",IF(P716="低",7,IF(P716="中",10,15)),IF(J716="EIF",IF(P716="低",5,IF(P716="中",7,10)),"不计算")))))*R716,"不计算")</f>
        <v/>
      </c>
      <c r="R716" s="172" t="n">
        <v>0</v>
      </c>
      <c r="S716" s="173">
        <f>调整因子!$F$13</f>
        <v/>
      </c>
      <c r="T716" s="93" t="n">
        <v>1</v>
      </c>
      <c r="U716" s="174">
        <f>IFERROR(Q716*S716,0)</f>
        <v/>
      </c>
      <c r="V716" s="174">
        <f>U716*T716</f>
        <v/>
      </c>
      <c r="W716" s="91" t="n"/>
      <c r="X716" s="90" t="inlineStr">
        <is>
          <t>弱口令扫描任务实例表</t>
        </is>
      </c>
      <c r="Y716" s="90" t="inlineStr">
        <is>
          <t>弱口令扫描任务实例表{ID、扫描计划ID、任务状态、上次执行时间、下次执行时间、本次执行时间、本次结束时间、ElasticSearchID、本次计划扫描ip总数、本次计划已扫描ip数量、计划执行进度、备注}</t>
        </is>
      </c>
      <c r="Z716" s="90">
        <f>IF(COUNTIFS(W:W,"*"&amp;I716&amp;"*")&gt;0,"存在","不存在")</f>
        <v/>
      </c>
      <c r="AA716" s="90">
        <f>IF(COUNTIFS(AB:AB,"*"&amp;I716&amp;"*")&gt;0,"存在","不存在")</f>
        <v/>
      </c>
      <c r="AB716" s="92" t="n"/>
    </row>
    <row r="717" s="112">
      <c r="A717" s="72">
        <f>ROW()-1</f>
        <v/>
      </c>
      <c r="B717" s="175" t="n"/>
      <c r="C717" s="80" t="n">
        <v>2025</v>
      </c>
      <c r="D717" s="80" t="inlineStr">
        <is>
          <t>仲光华</t>
        </is>
      </c>
      <c r="E717" s="81">
        <f>VLOOKUP(I717,'25年交付功能（不含废弃）'!A:A,1,FALSE)</f>
        <v/>
      </c>
      <c r="F717" s="175" t="n"/>
      <c r="G717" s="175" t="n"/>
      <c r="H717" s="175" t="n"/>
      <c r="I717" s="98" t="inlineStr">
        <is>
          <t>扫描节点表</t>
        </is>
      </c>
      <c r="J717" s="93" t="inlineStr">
        <is>
          <t>ILF</t>
        </is>
      </c>
      <c r="K717" s="84" t="n"/>
      <c r="L717" s="84" t="n"/>
      <c r="M717" s="85">
        <f>IF(OR(Y717="估算法",Y717="算法类",Y717="无法识别"),"",IF(W717="",IF(OR(J717="EI",J717="EO",J717="EQ"),0,""),LEN(W717)-LEN(SUBSTITUTE(W717,"、",""))+1))</f>
        <v/>
      </c>
      <c r="N717" s="85">
        <f>IF(OR(Y717="估算法",Y717="算法类",Y717="无法识别"),"",IF(X717="",IF(OR(J717="ILF",J717="EIF"),0,""),LEN(X717)-LEN(SUBSTITUTE(X717,"、",""))+1))</f>
        <v/>
      </c>
      <c r="O717" s="85">
        <f>IF(OR(Y717="估算法",Y717="算法类",Y717="无法识别"),"",IF(Y717="",IF(OR(J717="ILF",J717="EIF",J717="EI",J717="EO",J717="EQ"),0,""),LEN(Y717)-LEN(SUBSTITUTE(SUBSTITUTE(SUBSTITUTE(SUBSTITUTE(SUBSTITUTE(Y717,"|}","--"),"{|","--"),CHAR(10),""),"、",""),"|",""))+IF(AND(OR(J717="EI",J717="EO",J717="EQ"),$AE$1="NESMA"),2,1)))</f>
        <v/>
      </c>
      <c r="P717" s="86">
        <f>IF(J717="EI",IF(OR(Y717="估算法",Y717="算法类"),"中",IF(Y717="无法识别","低",IF(M717&lt;2,IF(O717&lt;16,"低","中"),IF(M717&lt;3,IF(O717&lt;5,"低",IF(O717&lt;16,"中","高")),IF(O717&lt;5,"中","高"))))),IF(OR(J717="EO",J717="EQ"),IF(OR(Y717="估算法",Y717="算法类"),"中",IF(Y717="无法识别","低",IF(M717&lt;2,IF(O717&lt;20,"低","中"),IF(M717&lt;4,IF(O717&lt;6,"低",IF(O717&lt;20,"中","高")),IF(O717&lt;6,"中","高"))))),IF(OR(J717="ILF",J717="EIF"),IF(OR(Y717="估算法",Y717="算法类",Y717="无法识别"),"低",IF(N717&lt;2,IF(O717&lt;51,"低","中"),IF(N717&lt;6,IF(O717&lt;20,"低",IF(O717&lt;51,"中","高")),IF(O717&lt;20,"中","高")))),"不计算")))</f>
        <v/>
      </c>
      <c r="Q717" s="172">
        <f>IFERROR(IF(J717="EI",IF(P717="低",3,IF(P717="中",4,6)),IF(J717="EO",IF(P717="低",4,IF(P717="中",5,7)),IF(J717="EQ",IF(P717="低",3,IF(P717="中",4,6)),IF(J717="ILF",IF(P717="低",7,IF(P717="中",10,15)),IF(J717="EIF",IF(P717="低",5,IF(P717="中",7,10)),"不计算")))))*R717,"不计算")</f>
        <v/>
      </c>
      <c r="R717" s="172" t="n">
        <v>0</v>
      </c>
      <c r="S717" s="173">
        <f>调整因子!$F$13</f>
        <v/>
      </c>
      <c r="T717" s="92" t="n">
        <v>1</v>
      </c>
      <c r="U717" s="174">
        <f>IFERROR(Q717*S717,0)</f>
        <v/>
      </c>
      <c r="V717" s="174">
        <f>U717*T717</f>
        <v/>
      </c>
      <c r="W717" s="91" t="n"/>
      <c r="X717" s="90" t="inlineStr">
        <is>
          <t>扫描节点表</t>
        </is>
      </c>
      <c r="Y717" s="90" t="inlineStr">
        <is>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is>
      </c>
      <c r="Z717" s="90">
        <f>IF(COUNTIFS(W:W,"*"&amp;I717&amp;"*")&gt;0,"存在","不存在")</f>
        <v/>
      </c>
      <c r="AA717" s="90">
        <f>IF(COUNTIFS(AB:AB,"*"&amp;I717&amp;"*")&gt;0,"存在","不存在")</f>
        <v/>
      </c>
      <c r="AB717" s="115" t="n"/>
    </row>
    <row r="718" s="112">
      <c r="A718" s="72">
        <f>ROW()-1</f>
        <v/>
      </c>
      <c r="B718" s="175" t="n"/>
      <c r="C718" s="80" t="n">
        <v>2025</v>
      </c>
      <c r="D718" s="80" t="inlineStr">
        <is>
          <t>仲光华</t>
        </is>
      </c>
      <c r="E718" s="81">
        <f>VLOOKUP(I718,'25年交付功能（不含废弃）'!A:A,1,FALSE)</f>
        <v/>
      </c>
      <c r="F718" s="175" t="n"/>
      <c r="G718" s="175" t="n"/>
      <c r="H718" s="175" t="n"/>
      <c r="I718" s="98" t="inlineStr">
        <is>
          <t>扫描器表</t>
        </is>
      </c>
      <c r="J718" s="93" t="inlineStr">
        <is>
          <t>ILF</t>
        </is>
      </c>
      <c r="K718" s="84" t="n"/>
      <c r="L718" s="84" t="n"/>
      <c r="M718" s="85">
        <f>IF(OR(Y718="估算法",Y718="算法类",Y718="无法识别"),"",IF(W718="",IF(OR(J718="EI",J718="EO",J718="EQ"),0,""),LEN(W718)-LEN(SUBSTITUTE(W718,"、",""))+1))</f>
        <v/>
      </c>
      <c r="N718" s="85">
        <f>IF(OR(Y718="估算法",Y718="算法类",Y718="无法识别"),"",IF(X718="",IF(OR(J718="ILF",J718="EIF"),0,""),LEN(X718)-LEN(SUBSTITUTE(X718,"、",""))+1))</f>
        <v/>
      </c>
      <c r="O718" s="85">
        <f>IF(OR(Y718="估算法",Y718="算法类",Y718="无法识别"),"",IF(Y718="",IF(OR(J718="ILF",J718="EIF",J718="EI",J718="EO",J718="EQ"),0,""),LEN(Y718)-LEN(SUBSTITUTE(SUBSTITUTE(SUBSTITUTE(SUBSTITUTE(SUBSTITUTE(Y718,"|}","--"),"{|","--"),CHAR(10),""),"、",""),"|",""))+IF(AND(OR(J718="EI",J718="EO",J718="EQ"),$AE$1="NESMA"),2,1)))</f>
        <v/>
      </c>
      <c r="P718" s="86">
        <f>IF(J718="EI",IF(OR(Y718="估算法",Y718="算法类"),"中",IF(Y718="无法识别","低",IF(M718&lt;2,IF(O718&lt;16,"低","中"),IF(M718&lt;3,IF(O718&lt;5,"低",IF(O718&lt;16,"中","高")),IF(O718&lt;5,"中","高"))))),IF(OR(J718="EO",J718="EQ"),IF(OR(Y718="估算法",Y718="算法类"),"中",IF(Y718="无法识别","低",IF(M718&lt;2,IF(O718&lt;20,"低","中"),IF(M718&lt;4,IF(O718&lt;6,"低",IF(O718&lt;20,"中","高")),IF(O718&lt;6,"中","高"))))),IF(OR(J718="ILF",J718="EIF"),IF(OR(Y718="估算法",Y718="算法类",Y718="无法识别"),"低",IF(N718&lt;2,IF(O718&lt;51,"低","中"),IF(N718&lt;6,IF(O718&lt;20,"低",IF(O718&lt;51,"中","高")),IF(O718&lt;20,"中","高")))),"不计算")))</f>
        <v/>
      </c>
      <c r="Q718" s="172">
        <f>IFERROR(IF(J718="EI",IF(P718="低",3,IF(P718="中",4,6)),IF(J718="EO",IF(P718="低",4,IF(P718="中",5,7)),IF(J718="EQ",IF(P718="低",3,IF(P718="中",4,6)),IF(J718="ILF",IF(P718="低",7,IF(P718="中",10,15)),IF(J718="EIF",IF(P718="低",5,IF(P718="中",7,10)),"不计算")))))*R718,"不计算")</f>
        <v/>
      </c>
      <c r="R718" s="172" t="n">
        <v>0</v>
      </c>
      <c r="S718" s="173">
        <f>调整因子!$F$13</f>
        <v/>
      </c>
      <c r="T718" s="92" t="n">
        <v>1</v>
      </c>
      <c r="U718" s="174">
        <f>IFERROR(Q718*S718,0)</f>
        <v/>
      </c>
      <c r="V718" s="174">
        <f>U718*T718</f>
        <v/>
      </c>
      <c r="W718" s="91" t="n"/>
      <c r="X718" s="90" t="inlineStr">
        <is>
          <t>扫描器表</t>
        </is>
      </c>
      <c r="Y718" s="90" t="inlineStr">
        <is>
          <t>扫描器表{ID、节点ID、扫描器名称、责任人、部门、备注}</t>
        </is>
      </c>
      <c r="Z718" s="90">
        <f>IF(COUNTIFS(W:W,"*"&amp;I718&amp;"*")&gt;0,"存在","不存在")</f>
        <v/>
      </c>
      <c r="AA718" s="90">
        <f>IF(COUNTIFS(AB:AB,"*"&amp;I718&amp;"*")&gt;0,"存在","不存在")</f>
        <v/>
      </c>
      <c r="AB718" s="92" t="n"/>
    </row>
    <row r="719" s="112">
      <c r="A719" s="72">
        <f>ROW()-1</f>
        <v/>
      </c>
      <c r="B719" s="175" t="n"/>
      <c r="C719" s="80" t="n">
        <v>2025</v>
      </c>
      <c r="D719" s="80" t="inlineStr">
        <is>
          <t>仲光华</t>
        </is>
      </c>
      <c r="E719" s="81">
        <f>VLOOKUP(I719,'25年交付功能（不含废弃）'!A:A,1,FALSE)</f>
        <v/>
      </c>
      <c r="F719" s="175" t="n"/>
      <c r="G719" s="175" t="n"/>
      <c r="H719" s="175" t="n"/>
      <c r="I719" s="98" t="inlineStr">
        <is>
          <t>扫描器版本表</t>
        </is>
      </c>
      <c r="J719" s="93" t="inlineStr">
        <is>
          <t>ILF</t>
        </is>
      </c>
      <c r="K719" s="84" t="n"/>
      <c r="L719" s="84" t="n"/>
      <c r="M719" s="85">
        <f>IF(OR(Y719="估算法",Y719="算法类",Y719="无法识别"),"",IF(W719="",IF(OR(J719="EI",J719="EO",J719="EQ"),0,""),LEN(W719)-LEN(SUBSTITUTE(W719,"、",""))+1))</f>
        <v/>
      </c>
      <c r="N719" s="85">
        <f>IF(OR(Y719="估算法",Y719="算法类",Y719="无法识别"),"",IF(X719="",IF(OR(J719="ILF",J719="EIF"),0,""),LEN(X719)-LEN(SUBSTITUTE(X719,"、",""))+1))</f>
        <v/>
      </c>
      <c r="O719" s="85">
        <f>IF(OR(Y719="估算法",Y719="算法类",Y719="无法识别"),"",IF(Y719="",IF(OR(J719="ILF",J719="EIF",J719="EI",J719="EO",J719="EQ"),0,""),LEN(Y719)-LEN(SUBSTITUTE(SUBSTITUTE(SUBSTITUTE(SUBSTITUTE(SUBSTITUTE(Y719,"|}","--"),"{|","--"),CHAR(10),""),"、",""),"|",""))+IF(AND(OR(J719="EI",J719="EO",J719="EQ"),$AE$1="NESMA"),2,1)))</f>
        <v/>
      </c>
      <c r="P719" s="86">
        <f>IF(J719="EI",IF(OR(Y719="估算法",Y719="算法类"),"中",IF(Y719="无法识别","低",IF(M719&lt;2,IF(O719&lt;16,"低","中"),IF(M719&lt;3,IF(O719&lt;5,"低",IF(O719&lt;16,"中","高")),IF(O719&lt;5,"中","高"))))),IF(OR(J719="EO",J719="EQ"),IF(OR(Y719="估算法",Y719="算法类"),"中",IF(Y719="无法识别","低",IF(M719&lt;2,IF(O719&lt;20,"低","中"),IF(M719&lt;4,IF(O719&lt;6,"低",IF(O719&lt;20,"中","高")),IF(O719&lt;6,"中","高"))))),IF(OR(J719="ILF",J719="EIF"),IF(OR(Y719="估算法",Y719="算法类",Y719="无法识别"),"低",IF(N719&lt;2,IF(O719&lt;51,"低","中"),IF(N719&lt;6,IF(O719&lt;20,"低",IF(O719&lt;51,"中","高")),IF(O719&lt;20,"中","高")))),"不计算")))</f>
        <v/>
      </c>
      <c r="Q719" s="172">
        <f>IFERROR(IF(J719="EI",IF(P719="低",3,IF(P719="中",4,6)),IF(J719="EO",IF(P719="低",4,IF(P719="中",5,7)),IF(J719="EQ",IF(P719="低",3,IF(P719="中",4,6)),IF(J719="ILF",IF(P719="低",7,IF(P719="中",10,15)),IF(J719="EIF",IF(P719="低",5,IF(P719="中",7,10)),"不计算")))))*R719,"不计算")</f>
        <v/>
      </c>
      <c r="R719" s="172" t="n">
        <v>0</v>
      </c>
      <c r="S719" s="173">
        <f>调整因子!$F$13</f>
        <v/>
      </c>
      <c r="T719" s="93" t="n">
        <v>1</v>
      </c>
      <c r="U719" s="174">
        <f>IFERROR(Q719*S719,0)</f>
        <v/>
      </c>
      <c r="V719" s="174">
        <f>U719*T719</f>
        <v/>
      </c>
      <c r="W719" s="91" t="n"/>
      <c r="X719" s="90" t="inlineStr">
        <is>
          <t>扫描器版本表</t>
        </is>
      </c>
      <c r="Y719" s="90" t="inlineStr">
        <is>
          <t>扫描器版本表{ID、分类ID、分类名称、版本名称、图标显示、备注}</t>
        </is>
      </c>
      <c r="Z719" s="90">
        <f>IF(COUNTIFS(W:W,"*"&amp;I719&amp;"*")&gt;0,"存在","不存在")</f>
        <v/>
      </c>
      <c r="AA719" s="90">
        <f>IF(COUNTIFS(AB:AB,"*"&amp;I719&amp;"*")&gt;0,"存在","不存在")</f>
        <v/>
      </c>
      <c r="AB719" s="115" t="n"/>
    </row>
    <row r="720" s="112">
      <c r="A720" s="72">
        <f>ROW()-1</f>
        <v/>
      </c>
      <c r="B720" s="175" t="n"/>
      <c r="C720" s="80" t="n">
        <v>2025</v>
      </c>
      <c r="D720" s="80" t="inlineStr">
        <is>
          <t>仲光华</t>
        </is>
      </c>
      <c r="E720" s="81">
        <f>VLOOKUP(I720,'25年交付功能（不含废弃）'!A:A,1,FALSE)</f>
        <v/>
      </c>
      <c r="F720" s="175" t="n"/>
      <c r="G720" s="175" t="n"/>
      <c r="H720" s="175" t="n"/>
      <c r="I720" s="98" t="inlineStr">
        <is>
          <t>扫描器分类表</t>
        </is>
      </c>
      <c r="J720" s="93" t="inlineStr">
        <is>
          <t>ILF</t>
        </is>
      </c>
      <c r="K720" s="84" t="n"/>
      <c r="L720" s="84" t="n"/>
      <c r="M720" s="85">
        <f>IF(OR(Y720="估算法",Y720="算法类",Y720="无法识别"),"",IF(W720="",IF(OR(J720="EI",J720="EO",J720="EQ"),0,""),LEN(W720)-LEN(SUBSTITUTE(W720,"、",""))+1))</f>
        <v/>
      </c>
      <c r="N720" s="85">
        <f>IF(OR(Y720="估算法",Y720="算法类",Y720="无法识别"),"",IF(X720="",IF(OR(J720="ILF",J720="EIF"),0,""),LEN(X720)-LEN(SUBSTITUTE(X720,"、",""))+1))</f>
        <v/>
      </c>
      <c r="O720" s="85">
        <f>IF(OR(Y720="估算法",Y720="算法类",Y720="无法识别"),"",IF(Y720="",IF(OR(J720="ILF",J720="EIF",J720="EI",J720="EO",J720="EQ"),0,""),LEN(Y720)-LEN(SUBSTITUTE(SUBSTITUTE(SUBSTITUTE(SUBSTITUTE(SUBSTITUTE(Y720,"|}","--"),"{|","--"),CHAR(10),""),"、",""),"|",""))+IF(AND(OR(J720="EI",J720="EO",J720="EQ"),$AE$1="NESMA"),2,1)))</f>
        <v/>
      </c>
      <c r="P720" s="86">
        <f>IF(J720="EI",IF(OR(Y720="估算法",Y720="算法类"),"中",IF(Y720="无法识别","低",IF(M720&lt;2,IF(O720&lt;16,"低","中"),IF(M720&lt;3,IF(O720&lt;5,"低",IF(O720&lt;16,"中","高")),IF(O720&lt;5,"中","高"))))),IF(OR(J720="EO",J720="EQ"),IF(OR(Y720="估算法",Y720="算法类"),"中",IF(Y720="无法识别","低",IF(M720&lt;2,IF(O720&lt;20,"低","中"),IF(M720&lt;4,IF(O720&lt;6,"低",IF(O720&lt;20,"中","高")),IF(O720&lt;6,"中","高"))))),IF(OR(J720="ILF",J720="EIF"),IF(OR(Y720="估算法",Y720="算法类",Y720="无法识别"),"低",IF(N720&lt;2,IF(O720&lt;51,"低","中"),IF(N720&lt;6,IF(O720&lt;20,"低",IF(O720&lt;51,"中","高")),IF(O720&lt;20,"中","高")))),"不计算")))</f>
        <v/>
      </c>
      <c r="Q720" s="172">
        <f>IFERROR(IF(J720="EI",IF(P720="低",3,IF(P720="中",4,6)),IF(J720="EO",IF(P720="低",4,IF(P720="中",5,7)),IF(J720="EQ",IF(P720="低",3,IF(P720="中",4,6)),IF(J720="ILF",IF(P720="低",7,IF(P720="中",10,15)),IF(J720="EIF",IF(P720="低",5,IF(P720="中",7,10)),"不计算")))))*R720,"不计算")</f>
        <v/>
      </c>
      <c r="R720" s="172" t="n">
        <v>0</v>
      </c>
      <c r="S720" s="173">
        <f>调整因子!$F$13</f>
        <v/>
      </c>
      <c r="T720" s="92" t="n">
        <v>1</v>
      </c>
      <c r="U720" s="174">
        <f>IFERROR(Q720*S720,0)</f>
        <v/>
      </c>
      <c r="V720" s="174">
        <f>U720*T720</f>
        <v/>
      </c>
      <c r="W720" s="91" t="n"/>
      <c r="X720" s="90" t="inlineStr">
        <is>
          <t>扫描器分类表</t>
        </is>
      </c>
      <c r="Y720" s="90" t="inlineStr">
        <is>
          <t>扫描器分类表{ID、分类名称、页面展示排序、备注}</t>
        </is>
      </c>
      <c r="Z720" s="90">
        <f>IF(COUNTIFS(W:W,"*"&amp;I720&amp;"*")&gt;0,"存在","不存在")</f>
        <v/>
      </c>
      <c r="AA720" s="90">
        <f>IF(COUNTIFS(AB:AB,"*"&amp;I720&amp;"*")&gt;0,"存在","不存在")</f>
        <v/>
      </c>
      <c r="AB720" s="92" t="n"/>
    </row>
    <row r="721" s="112">
      <c r="A721" s="72">
        <f>ROW()-1</f>
        <v/>
      </c>
      <c r="B721" s="175" t="n"/>
      <c r="C721" s="80" t="n">
        <v>2025</v>
      </c>
      <c r="D721" s="80" t="inlineStr">
        <is>
          <t>仲光华</t>
        </is>
      </c>
      <c r="E721" s="81">
        <f>VLOOKUP(I721,'25年交付功能（不含废弃）'!A:A,1,FALSE)</f>
        <v/>
      </c>
      <c r="F721" s="175" t="n"/>
      <c r="G721" s="175" t="n"/>
      <c r="H721" s="175" t="n"/>
      <c r="I721" s="98" t="inlineStr">
        <is>
          <t>安全厂商信息</t>
        </is>
      </c>
      <c r="J721" s="93" t="inlineStr">
        <is>
          <t>ILF</t>
        </is>
      </c>
      <c r="K721" s="84" t="n"/>
      <c r="L721" s="84" t="n"/>
      <c r="M721" s="85">
        <f>IF(OR(Y721="估算法",Y721="算法类",Y721="无法识别"),"",IF(W721="",IF(OR(J721="EI",J721="EO",J721="EQ"),0,""),LEN(W721)-LEN(SUBSTITUTE(W721,"、",""))+1))</f>
        <v/>
      </c>
      <c r="N721" s="85">
        <f>IF(OR(Y721="估算法",Y721="算法类",Y721="无法识别"),"",IF(X721="",IF(OR(J721="ILF",J721="EIF"),0,""),LEN(X721)-LEN(SUBSTITUTE(X721,"、",""))+1))</f>
        <v/>
      </c>
      <c r="O721" s="85">
        <f>IF(OR(Y721="估算法",Y721="算法类",Y721="无法识别"),"",IF(Y721="",IF(OR(J721="ILF",J721="EIF",J721="EI",J721="EO",J721="EQ"),0,""),LEN(Y721)-LEN(SUBSTITUTE(SUBSTITUTE(SUBSTITUTE(SUBSTITUTE(SUBSTITUTE(Y721,"|}","--"),"{|","--"),CHAR(10),""),"、",""),"|",""))+IF(AND(OR(J721="EI",J721="EO",J721="EQ"),$AE$1="NESMA"),2,1)))</f>
        <v/>
      </c>
      <c r="P721" s="86">
        <f>IF(J721="EI",IF(OR(Y721="估算法",Y721="算法类"),"中",IF(Y721="无法识别","低",IF(M721&lt;2,IF(O721&lt;16,"低","中"),IF(M721&lt;3,IF(O721&lt;5,"低",IF(O721&lt;16,"中","高")),IF(O721&lt;5,"中","高"))))),IF(OR(J721="EO",J721="EQ"),IF(OR(Y721="估算法",Y721="算法类"),"中",IF(Y721="无法识别","低",IF(M721&lt;2,IF(O721&lt;20,"低","中"),IF(M721&lt;4,IF(O721&lt;6,"低",IF(O721&lt;20,"中","高")),IF(O721&lt;6,"中","高"))))),IF(OR(J721="ILF",J721="EIF"),IF(OR(Y721="估算法",Y721="算法类",Y721="无法识别"),"低",IF(N721&lt;2,IF(O721&lt;51,"低","中"),IF(N721&lt;6,IF(O721&lt;20,"低",IF(O721&lt;51,"中","高")),IF(O721&lt;20,"中","高")))),"不计算")))</f>
        <v/>
      </c>
      <c r="Q721" s="172">
        <f>IFERROR(IF(J721="EI",IF(P721="低",3,IF(P721="中",4,6)),IF(J721="EO",IF(P721="低",4,IF(P721="中",5,7)),IF(J721="EQ",IF(P721="低",3,IF(P721="中",4,6)),IF(J721="ILF",IF(P721="低",7,IF(P721="中",10,15)),IF(J721="EIF",IF(P721="低",5,IF(P721="中",7,10)),"不计算")))))*R721,"不计算")</f>
        <v/>
      </c>
      <c r="R721" s="172" t="n">
        <v>0</v>
      </c>
      <c r="S721" s="173">
        <f>调整因子!$F$13</f>
        <v/>
      </c>
      <c r="T721" s="92" t="n">
        <v>1</v>
      </c>
      <c r="U721" s="174">
        <f>IFERROR(Q721*S721,0)</f>
        <v/>
      </c>
      <c r="V721" s="174">
        <f>U721*T721</f>
        <v/>
      </c>
      <c r="W721" s="91" t="n"/>
      <c r="X721" s="90" t="inlineStr">
        <is>
          <t>安全厂商信息</t>
        </is>
      </c>
      <c r="Y721" s="90" t="inlineStr">
        <is>
          <t>安全厂商信息{安全厂商ID、安全厂商名称、安全厂商编码}</t>
        </is>
      </c>
      <c r="Z721" s="90">
        <f>IF(COUNTIFS(W:W,"*"&amp;I721&amp;"*")&gt;0,"存在","不存在")</f>
        <v/>
      </c>
      <c r="AA721" s="90">
        <f>IF(COUNTIFS(AB:AB,"*"&amp;I721&amp;"*")&gt;0,"存在","不存在")</f>
        <v/>
      </c>
      <c r="AB721" s="115" t="n"/>
    </row>
    <row r="722" s="112">
      <c r="A722" s="72">
        <f>ROW()-1</f>
        <v/>
      </c>
      <c r="B722" s="175" t="n"/>
      <c r="C722" s="80" t="n">
        <v>2025</v>
      </c>
      <c r="D722" s="80" t="inlineStr">
        <is>
          <t>仲光华</t>
        </is>
      </c>
      <c r="E722" s="81">
        <f>VLOOKUP(I722,'25年交付功能（不含废弃）'!A:A,1,FALSE)</f>
        <v/>
      </c>
      <c r="F722" s="175" t="n"/>
      <c r="G722" s="175" t="n"/>
      <c r="H722" s="175" t="n"/>
      <c r="I722" s="98" t="inlineStr">
        <is>
          <t>资产管理表</t>
        </is>
      </c>
      <c r="J722" s="93" t="inlineStr">
        <is>
          <t>ILF</t>
        </is>
      </c>
      <c r="K722" s="84" t="n"/>
      <c r="L722" s="84" t="n"/>
      <c r="M722" s="85">
        <f>IF(OR(Y722="估算法",Y722="算法类",Y722="无法识别"),"",IF(W722="",IF(OR(J722="EI",J722="EO",J722="EQ"),0,""),LEN(W722)-LEN(SUBSTITUTE(W722,"、",""))+1))</f>
        <v/>
      </c>
      <c r="N722" s="85">
        <f>IF(OR(Y722="估算法",Y722="算法类",Y722="无法识别"),"",IF(X722="",IF(OR(J722="ILF",J722="EIF"),0,""),LEN(X722)-LEN(SUBSTITUTE(X722,"、",""))+1))</f>
        <v/>
      </c>
      <c r="O722" s="85">
        <f>IF(OR(Y722="估算法",Y722="算法类",Y722="无法识别"),"",IF(Y722="",IF(OR(J722="ILF",J722="EIF",J722="EI",J722="EO",J722="EQ"),0,""),LEN(Y722)-LEN(SUBSTITUTE(SUBSTITUTE(SUBSTITUTE(SUBSTITUTE(SUBSTITUTE(Y722,"|}","--"),"{|","--"),CHAR(10),""),"、",""),"|",""))+IF(AND(OR(J722="EI",J722="EO",J722="EQ"),$AE$1="NESMA"),2,1)))</f>
        <v/>
      </c>
      <c r="P722" s="86">
        <f>IF(J722="EI",IF(OR(Y722="估算法",Y722="算法类"),"中",IF(Y722="无法识别","低",IF(M722&lt;2,IF(O722&lt;16,"低","中"),IF(M722&lt;3,IF(O722&lt;5,"低",IF(O722&lt;16,"中","高")),IF(O722&lt;5,"中","高"))))),IF(OR(J722="EO",J722="EQ"),IF(OR(Y722="估算法",Y722="算法类"),"中",IF(Y722="无法识别","低",IF(M722&lt;2,IF(O722&lt;20,"低","中"),IF(M722&lt;4,IF(O722&lt;6,"低",IF(O722&lt;20,"中","高")),IF(O722&lt;6,"中","高"))))),IF(OR(J722="ILF",J722="EIF"),IF(OR(Y722="估算法",Y722="算法类",Y722="无法识别"),"低",IF(N722&lt;2,IF(O722&lt;51,"低","中"),IF(N722&lt;6,IF(O722&lt;20,"低",IF(O722&lt;51,"中","高")),IF(O722&lt;20,"中","高")))),"不计算")))</f>
        <v/>
      </c>
      <c r="Q722" s="172">
        <f>IFERROR(IF(J722="EI",IF(P722="低",3,IF(P722="中",4,6)),IF(J722="EO",IF(P722="低",4,IF(P722="中",5,7)),IF(J722="EQ",IF(P722="低",3,IF(P722="中",4,6)),IF(J722="ILF",IF(P722="低",7,IF(P722="中",10,15)),IF(J722="EIF",IF(P722="低",5,IF(P722="中",7,10)),"不计算")))))*R722,"不计算")</f>
        <v/>
      </c>
      <c r="R722" s="172" t="n">
        <v>0</v>
      </c>
      <c r="S722" s="173">
        <f>调整因子!$F$13</f>
        <v/>
      </c>
      <c r="T722" s="93" t="n">
        <v>1</v>
      </c>
      <c r="U722" s="174">
        <f>IFERROR(Q722*S722,0)</f>
        <v/>
      </c>
      <c r="V722" s="174">
        <f>U722*T722</f>
        <v/>
      </c>
      <c r="W722" s="91" t="n"/>
      <c r="X722" s="90" t="inlineStr">
        <is>
          <t>资产管理表</t>
        </is>
      </c>
      <c r="Y722" s="90" t="inlineStr">
        <is>
          <t>资产管理表{ID、资产名称、IPv4、IPv6、网络位置、资产类别、规格型号、负责人、资产状态、供应商、备注、创建人、创建时间、更新人、更新时间}</t>
        </is>
      </c>
      <c r="Z722" s="90">
        <f>IF(COUNTIFS(W:W,"*"&amp;I722&amp;"*")&gt;0,"存在","不存在")</f>
        <v/>
      </c>
      <c r="AA722" s="90">
        <f>IF(COUNTIFS(AB:AB,"*"&amp;I722&amp;"*")&gt;0,"存在","不存在")</f>
        <v/>
      </c>
      <c r="AB722" s="92" t="n"/>
    </row>
    <row r="723" s="112">
      <c r="A723" s="72">
        <f>ROW()-1</f>
        <v/>
      </c>
      <c r="B723" s="175" t="n"/>
      <c r="C723" s="80" t="n">
        <v>2025</v>
      </c>
      <c r="D723" s="80" t="inlineStr">
        <is>
          <t>仲光华</t>
        </is>
      </c>
      <c r="E723" s="81">
        <f>VLOOKUP(I723,'25年交付功能（不含废弃）'!A:A,1,FALSE)</f>
        <v/>
      </c>
      <c r="F723" s="175" t="n"/>
      <c r="G723" s="175" t="n"/>
      <c r="H723" s="175" t="n"/>
      <c r="I723" s="98" t="inlineStr">
        <is>
          <t>扫描任务日志表</t>
        </is>
      </c>
      <c r="J723" s="102" t="n"/>
      <c r="K723" s="102" t="n"/>
      <c r="L723" s="102" t="inlineStr">
        <is>
          <t>非ILF,日志表</t>
        </is>
      </c>
      <c r="M723" s="85">
        <f>IF(OR(Y723="估算法",Y723="算法类",Y723="无法识别"),"",IF(W723="",IF(OR(J723="EI",J723="EO",J723="EQ"),0,""),LEN(W723)-LEN(SUBSTITUTE(W723,"、",""))+1))</f>
        <v/>
      </c>
      <c r="N723" s="85">
        <f>IF(OR(Y723="估算法",Y723="算法类",Y723="无法识别"),"",IF(X723="",IF(OR(J723="ILF",J723="EIF"),0,""),LEN(X723)-LEN(SUBSTITUTE(X723,"、",""))+1))</f>
        <v/>
      </c>
      <c r="O723" s="85">
        <f>IF(OR(Y723="估算法",Y723="算法类",Y723="无法识别"),"",IF(Y723="",IF(OR(J723="ILF",J723="EIF",J723="EI",J723="EO",J723="EQ"),0,""),LEN(Y723)-LEN(SUBSTITUTE(SUBSTITUTE(SUBSTITUTE(SUBSTITUTE(SUBSTITUTE(Y723,"|}","--"),"{|","--"),CHAR(10),""),"、",""),"|",""))+IF(AND(OR(J723="EI",J723="EO",J723="EQ"),$AE$1="NESMA"),2,1)))</f>
        <v/>
      </c>
      <c r="P723" s="86">
        <f>IF(J723="EI",IF(OR(Y723="估算法",Y723="算法类"),"中",IF(Y723="无法识别","低",IF(M723&lt;2,IF(O723&lt;16,"低","中"),IF(M723&lt;3,IF(O723&lt;5,"低",IF(O723&lt;16,"中","高")),IF(O723&lt;5,"中","高"))))),IF(OR(J723="EO",J723="EQ"),IF(OR(Y723="估算法",Y723="算法类"),"中",IF(Y723="无法识别","低",IF(M723&lt;2,IF(O723&lt;20,"低","中"),IF(M723&lt;4,IF(O723&lt;6,"低",IF(O723&lt;20,"中","高")),IF(O723&lt;6,"中","高"))))),IF(OR(J723="ILF",J723="EIF"),IF(OR(Y723="估算法",Y723="算法类",Y723="无法识别"),"低",IF(N723&lt;2,IF(O723&lt;51,"低","中"),IF(N723&lt;6,IF(O723&lt;20,"低",IF(O723&lt;51,"中","高")),IF(O723&lt;20,"中","高")))),"不计算")))</f>
        <v/>
      </c>
      <c r="Q723" s="172">
        <f>IFERROR(IF(J723="EI",IF(P723="低",3,IF(P723="中",4,6)),IF(J723="EO",IF(P723="低",4,IF(P723="中",5,7)),IF(J723="EQ",IF(P723="低",3,IF(P723="中",4,6)),IF(J723="ILF",IF(P723="低",7,IF(P723="中",10,15)),IF(J723="EIF",IF(P723="低",5,IF(P723="中",7,10)),"不计算")))))*R723,"不计算")</f>
        <v/>
      </c>
      <c r="R723" s="172" t="n">
        <v>0</v>
      </c>
      <c r="S723" s="173">
        <f>调整因子!$F$13</f>
        <v/>
      </c>
      <c r="T723" s="92" t="n">
        <v>1</v>
      </c>
      <c r="U723" s="174">
        <f>IFERROR(Q723*S723,0)</f>
        <v/>
      </c>
      <c r="V723" s="174">
        <f>U723*T723</f>
        <v/>
      </c>
      <c r="W723" s="91" t="n"/>
      <c r="X723" s="90" t="inlineStr">
        <is>
          <t>扫描任务日志表</t>
        </is>
      </c>
      <c r="Y723" s="90" t="inlineStr">
        <is>
          <t>扫描任务日志表{ID、时间戳、日志级别、日志内容、用户ID、IP地址、操作类型、状态码、请求URL、请求方法、响应代码、用户代理、会话ID、请求耗时}</t>
        </is>
      </c>
      <c r="Z723" s="90">
        <f>IF(COUNTIFS(W:W,"*"&amp;I723&amp;"*")&gt;0,"存在","不存在")</f>
        <v/>
      </c>
      <c r="AA723" s="90">
        <f>IF(COUNTIFS(AB:AB,"*"&amp;I723&amp;"*")&gt;0,"存在","不存在")</f>
        <v/>
      </c>
      <c r="AB723" s="115" t="n"/>
    </row>
    <row r="724" s="112">
      <c r="A724" s="72">
        <f>ROW()-1</f>
        <v/>
      </c>
      <c r="B724" s="175" t="n"/>
      <c r="C724" s="80" t="n">
        <v>2025</v>
      </c>
      <c r="D724" s="80" t="inlineStr">
        <is>
          <t>仲光华</t>
        </is>
      </c>
      <c r="E724" s="81">
        <f>VLOOKUP(I724,'25年交付功能（不含废弃）'!A:A,1,FALSE)</f>
        <v/>
      </c>
      <c r="F724" s="175" t="n"/>
      <c r="G724" s="175" t="n"/>
      <c r="H724" s="175" t="n"/>
      <c r="I724" s="98" t="inlineStr">
        <is>
          <t>产品漏洞表</t>
        </is>
      </c>
      <c r="J724" s="93" t="n"/>
      <c r="K724" s="84" t="n"/>
      <c r="L724" s="84" t="inlineStr">
        <is>
          <t>重复数据库表</t>
        </is>
      </c>
      <c r="M724" s="85">
        <f>IF(OR(Y724="估算法",Y724="算法类",Y724="无法识别"),"",IF(W724="",IF(OR(J724="EI",J724="EO",J724="EQ"),0,""),LEN(W724)-LEN(SUBSTITUTE(W724,"、",""))+1))</f>
        <v/>
      </c>
      <c r="N724" s="85">
        <f>IF(OR(Y724="估算法",Y724="算法类",Y724="无法识别"),"",IF(X724="",IF(OR(J724="ILF",J724="EIF"),0,""),LEN(X724)-LEN(SUBSTITUTE(X724,"、",""))+1))</f>
        <v/>
      </c>
      <c r="O724" s="85">
        <f>IF(OR(Y724="估算法",Y724="算法类",Y724="无法识别"),"",IF(Y724="",IF(OR(J724="ILF",J724="EIF",J724="EI",J724="EO",J724="EQ"),0,""),LEN(Y724)-LEN(SUBSTITUTE(SUBSTITUTE(SUBSTITUTE(SUBSTITUTE(SUBSTITUTE(Y724,"|}","--"),"{|","--"),CHAR(10),""),"、",""),"|",""))+IF(AND(OR(J724="EI",J724="EO",J724="EQ"),$AE$1="NESMA"),2,1)))</f>
        <v/>
      </c>
      <c r="P724" s="86">
        <f>IF(J724="EI",IF(OR(Y724="估算法",Y724="算法类"),"中",IF(Y724="无法识别","低",IF(M724&lt;2,IF(O724&lt;16,"低","中"),IF(M724&lt;3,IF(O724&lt;5,"低",IF(O724&lt;16,"中","高")),IF(O724&lt;5,"中","高"))))),IF(OR(J724="EO",J724="EQ"),IF(OR(Y724="估算法",Y724="算法类"),"中",IF(Y724="无法识别","低",IF(M724&lt;2,IF(O724&lt;20,"低","中"),IF(M724&lt;4,IF(O724&lt;6,"低",IF(O724&lt;20,"中","高")),IF(O724&lt;6,"中","高"))))),IF(OR(J724="ILF",J724="EIF"),IF(OR(Y724="估算法",Y724="算法类",Y724="无法识别"),"低",IF(N724&lt;2,IF(O724&lt;51,"低","中"),IF(N724&lt;6,IF(O724&lt;20,"低",IF(O724&lt;51,"中","高")),IF(O724&lt;20,"中","高")))),"不计算")))</f>
        <v/>
      </c>
      <c r="Q724" s="172">
        <f>IFERROR(IF(J724="EI",IF(P724="低",3,IF(P724="中",4,6)),IF(J724="EO",IF(P724="低",4,IF(P724="中",5,7)),IF(J724="EQ",IF(P724="低",3,IF(P724="中",4,6)),IF(J724="ILF",IF(P724="低",7,IF(P724="中",10,15)),IF(J724="EIF",IF(P724="低",5,IF(P724="中",7,10)),"不计算")))))*R724,"不计算")</f>
        <v/>
      </c>
      <c r="R724" s="172" t="n">
        <v>0</v>
      </c>
      <c r="S724" s="173">
        <f>调整因子!$F$13</f>
        <v/>
      </c>
      <c r="T724" s="92" t="n">
        <v>1</v>
      </c>
      <c r="U724" s="174">
        <f>IFERROR(Q724*S724,0)</f>
        <v/>
      </c>
      <c r="V724" s="174">
        <f>U724*T724</f>
        <v/>
      </c>
      <c r="W724" s="91" t="n"/>
      <c r="X724" s="90" t="inlineStr">
        <is>
          <t>产品漏洞表</t>
        </is>
      </c>
      <c r="Y724" s="90" t="inlineStr">
        <is>
          <t>产品漏洞表{ID、cveID、cncveID、cnvdID、cnnvdID、漏洞级别、厂商ID、漏洞名称、漏洞描述、解决方案、分数、发现时间、参考链接、备注}</t>
        </is>
      </c>
      <c r="Z724" s="90">
        <f>IF(COUNTIFS(W:W,"*"&amp;I724&amp;"*")&gt;0,"存在","不存在")</f>
        <v/>
      </c>
      <c r="AA724" s="90">
        <f>IF(COUNTIFS(AB:AB,"*"&amp;I724&amp;"*")&gt;0,"存在","不存在")</f>
        <v/>
      </c>
      <c r="AB724" s="92" t="n"/>
    </row>
    <row r="725" s="112">
      <c r="A725" s="72">
        <f>ROW()-1</f>
        <v/>
      </c>
      <c r="B725" s="175" t="n"/>
      <c r="C725" s="80" t="n">
        <v>2025</v>
      </c>
      <c r="D725" s="80" t="inlineStr">
        <is>
          <t>仲光华</t>
        </is>
      </c>
      <c r="E725" s="81">
        <f>VLOOKUP(I725,'25年交付功能（不含废弃）'!A:A,1,FALSE)</f>
        <v/>
      </c>
      <c r="F725" s="175" t="n"/>
      <c r="G725" s="175" t="n"/>
      <c r="H725" s="175" t="n"/>
      <c r="I725" s="98" t="inlineStr">
        <is>
          <t>系统漏洞表</t>
        </is>
      </c>
      <c r="J725" s="93" t="inlineStr">
        <is>
          <t>ILF</t>
        </is>
      </c>
      <c r="K725" s="84" t="n"/>
      <c r="L725" s="84" t="n"/>
      <c r="M725" s="85">
        <f>IF(OR(Y725="估算法",Y725="算法类",Y725="无法识别"),"",IF(W725="",IF(OR(J725="EI",J725="EO",J725="EQ"),0,""),LEN(W725)-LEN(SUBSTITUTE(W725,"、",""))+1))</f>
        <v/>
      </c>
      <c r="N725" s="85">
        <f>IF(OR(Y725="估算法",Y725="算法类",Y725="无法识别"),"",IF(X725="",IF(OR(J725="ILF",J725="EIF"),0,""),LEN(X725)-LEN(SUBSTITUTE(X725,"、",""))+1))</f>
        <v/>
      </c>
      <c r="O725" s="85">
        <f>IF(OR(Y725="估算法",Y725="算法类",Y725="无法识别"),"",IF(Y725="",IF(OR(J725="ILF",J725="EIF",J725="EI",J725="EO",J725="EQ"),0,""),LEN(Y725)-LEN(SUBSTITUTE(SUBSTITUTE(SUBSTITUTE(SUBSTITUTE(SUBSTITUTE(Y725,"|}","--"),"{|","--"),CHAR(10),""),"、",""),"|",""))+IF(AND(OR(J725="EI",J725="EO",J725="EQ"),$AE$1="NESMA"),2,1)))</f>
        <v/>
      </c>
      <c r="P725" s="86">
        <f>IF(J725="EI",IF(OR(Y725="估算法",Y725="算法类"),"中",IF(Y725="无法识别","低",IF(M725&lt;2,IF(O725&lt;16,"低","中"),IF(M725&lt;3,IF(O725&lt;5,"低",IF(O725&lt;16,"中","高")),IF(O725&lt;5,"中","高"))))),IF(OR(J725="EO",J725="EQ"),IF(OR(Y725="估算法",Y725="算法类"),"中",IF(Y725="无法识别","低",IF(M725&lt;2,IF(O725&lt;20,"低","中"),IF(M725&lt;4,IF(O725&lt;6,"低",IF(O725&lt;20,"中","高")),IF(O725&lt;6,"中","高"))))),IF(OR(J725="ILF",J725="EIF"),IF(OR(Y725="估算法",Y725="算法类",Y725="无法识别"),"低",IF(N725&lt;2,IF(O725&lt;51,"低","中"),IF(N725&lt;6,IF(O725&lt;20,"低",IF(O725&lt;51,"中","高")),IF(O725&lt;20,"中","高")))),"不计算")))</f>
        <v/>
      </c>
      <c r="Q725" s="172">
        <f>IFERROR(IF(J725="EI",IF(P725="低",3,IF(P725="中",4,6)),IF(J725="EO",IF(P725="低",4,IF(P725="中",5,7)),IF(J725="EQ",IF(P725="低",3,IF(P725="中",4,6)),IF(J725="ILF",IF(P725="低",7,IF(P725="中",10,15)),IF(J725="EIF",IF(P725="低",5,IF(P725="中",7,10)),"不计算")))))*R725,"不计算")</f>
        <v/>
      </c>
      <c r="R725" s="172" t="n">
        <v>0</v>
      </c>
      <c r="S725" s="173">
        <f>调整因子!$F$13</f>
        <v/>
      </c>
      <c r="T725" s="93" t="n">
        <v>1</v>
      </c>
      <c r="U725" s="174">
        <f>IFERROR(Q725*S725,0)</f>
        <v/>
      </c>
      <c r="V725" s="174">
        <f>U725*T725</f>
        <v/>
      </c>
      <c r="W725" s="91" t="n"/>
      <c r="X725" s="90" t="inlineStr">
        <is>
          <t>系统漏洞表</t>
        </is>
      </c>
      <c r="Y725" s="90" t="inlineStr">
        <is>
          <t>系统漏洞表{ID、计划ID、实例ID、节点ID、扫描器ID、资产IP、资产端口、协议、服务名称、服务版本、漏洞描述、cveID、漏洞ID、漏洞名称、漏洞级别、备注}</t>
        </is>
      </c>
      <c r="Z725" s="90">
        <f>IF(COUNTIFS(W:W,"*"&amp;I725&amp;"*")&gt;0,"存在","不存在")</f>
        <v/>
      </c>
      <c r="AA725" s="90">
        <f>IF(COUNTIFS(AB:AB,"*"&amp;I725&amp;"*")&gt;0,"存在","不存在")</f>
        <v/>
      </c>
      <c r="AB725" s="115" t="n"/>
    </row>
    <row r="726" s="112">
      <c r="A726" s="72">
        <f>ROW()-1</f>
        <v/>
      </c>
      <c r="B726" s="175" t="n"/>
      <c r="C726" s="80" t="n">
        <v>2025</v>
      </c>
      <c r="D726" s="80" t="inlineStr">
        <is>
          <t>仲光华</t>
        </is>
      </c>
      <c r="E726" s="81">
        <f>VLOOKUP(I726,'25年交付功能（不含废弃）'!A:A,1,FALSE)</f>
        <v/>
      </c>
      <c r="F726" s="176" t="n"/>
      <c r="G726" s="176" t="n"/>
      <c r="H726" s="176" t="n"/>
      <c r="I726" s="98" t="inlineStr">
        <is>
          <t>弱口令扫描结果表</t>
        </is>
      </c>
      <c r="J726" s="93" t="inlineStr">
        <is>
          <t>ILF</t>
        </is>
      </c>
      <c r="K726" s="84" t="n"/>
      <c r="L726" s="84" t="inlineStr">
        <is>
          <t>数据库表未被本系统所维护</t>
        </is>
      </c>
      <c r="M726" s="85">
        <f>IF(OR(Y726="估算法",Y726="算法类",Y726="无法识别"),"",IF(W726="",IF(OR(J726="EI",J726="EO",J726="EQ"),0,""),LEN(W726)-LEN(SUBSTITUTE(W726,"、",""))+1))</f>
        <v/>
      </c>
      <c r="N726" s="85">
        <f>IF(OR(Y726="估算法",Y726="算法类",Y726="无法识别"),"",IF(X726="",IF(OR(J726="ILF",J726="EIF"),0,""),LEN(X726)-LEN(SUBSTITUTE(X726,"、",""))+1))</f>
        <v/>
      </c>
      <c r="O726" s="85">
        <f>IF(OR(Y726="估算法",Y726="算法类",Y726="无法识别"),"",IF(Y726="",IF(OR(J726="ILF",J726="EIF",J726="EI",J726="EO",J726="EQ"),0,""),LEN(Y726)-LEN(SUBSTITUTE(SUBSTITUTE(SUBSTITUTE(SUBSTITUTE(SUBSTITUTE(Y726,"|}","--"),"{|","--"),CHAR(10),""),"、",""),"|",""))+IF(AND(OR(J726="EI",J726="EO",J726="EQ"),$AE$1="NESMA"),2,1)))</f>
        <v/>
      </c>
      <c r="P726" s="86">
        <f>IF(J726="EI",IF(OR(Y726="估算法",Y726="算法类"),"中",IF(Y726="无法识别","低",IF(M726&lt;2,IF(O726&lt;16,"低","中"),IF(M726&lt;3,IF(O726&lt;5,"低",IF(O726&lt;16,"中","高")),IF(O726&lt;5,"中","高"))))),IF(OR(J726="EO",J726="EQ"),IF(OR(Y726="估算法",Y726="算法类"),"中",IF(Y726="无法识别","低",IF(M726&lt;2,IF(O726&lt;20,"低","中"),IF(M726&lt;4,IF(O726&lt;6,"低",IF(O726&lt;20,"中","高")),IF(O726&lt;6,"中","高"))))),IF(OR(J726="ILF",J726="EIF"),IF(OR(Y726="估算法",Y726="算法类",Y726="无法识别"),"低",IF(N726&lt;2,IF(O726&lt;51,"低","中"),IF(N726&lt;6,IF(O726&lt;20,"低",IF(O726&lt;51,"中","高")),IF(O726&lt;20,"中","高")))),"不计算")))</f>
        <v/>
      </c>
      <c r="Q726" s="172">
        <f>IFERROR(IF(J726="EI",IF(P726="低",3,IF(P726="中",4,6)),IF(J726="EO",IF(P726="低",4,IF(P726="中",5,7)),IF(J726="EQ",IF(P726="低",3,IF(P726="中",4,6)),IF(J726="ILF",IF(P726="低",7,IF(P726="中",10,15)),IF(J726="EIF",IF(P726="低",5,IF(P726="中",7,10)),"不计算")))))*R726,"不计算")</f>
        <v/>
      </c>
      <c r="R726" s="172" t="n">
        <v>0</v>
      </c>
      <c r="S726" s="173">
        <f>调整因子!$F$13</f>
        <v/>
      </c>
      <c r="T726" s="93" t="n">
        <v>1</v>
      </c>
      <c r="U726" s="174">
        <f>IFERROR(Q726*S726,0)</f>
        <v/>
      </c>
      <c r="V726" s="174">
        <f>U726*T726</f>
        <v/>
      </c>
      <c r="W726" s="91" t="n"/>
      <c r="X726" s="90" t="inlineStr">
        <is>
          <t>弱口令扫描结果表</t>
        </is>
      </c>
      <c r="Y726" s="90" t="inlineStr">
        <is>
          <t>弱口令扫描结果表{ID、计划ID、实例ID、扫描IP数量、扫描成功数量、扫描失败数量、漏洞总数、弱口令名称、弱口令密码、执行时间、备注}</t>
        </is>
      </c>
      <c r="Z726" s="90">
        <f>IF(COUNTIFS(W:W,"*"&amp;I726&amp;"*")&gt;0,"存在","不存在")</f>
        <v/>
      </c>
      <c r="AA726" s="90">
        <f>IF(COUNTIFS(AB:AB,"*"&amp;I726&amp;"*")&gt;0,"存在","不存在")</f>
        <v/>
      </c>
    </row>
    <row r="727" s="112">
      <c r="A727" s="72">
        <f>ROW()-1</f>
        <v/>
      </c>
      <c r="B727" s="175" t="n"/>
      <c r="C727" s="80" t="n">
        <v>2025</v>
      </c>
      <c r="D727" s="80" t="inlineStr">
        <is>
          <t>张明峰</t>
        </is>
      </c>
      <c r="E727" s="81">
        <f>VLOOKUP(I727,'25年交付功能（不含废弃）'!A:A,1,FALSE)</f>
        <v/>
      </c>
      <c r="F727" s="93" t="inlineStr">
        <is>
          <t>漏管台账管理</t>
        </is>
      </c>
      <c r="G727" s="93" t="inlineStr">
        <is>
          <t>台账记录基础能力</t>
        </is>
      </c>
      <c r="H727" s="93" t="inlineStr">
        <is>
          <t>台账数据存储</t>
        </is>
      </c>
      <c r="I727" s="98" t="inlineStr">
        <is>
          <t>漏管台账记录主表</t>
        </is>
      </c>
      <c r="J727" s="93" t="inlineStr">
        <is>
          <t>ILF</t>
        </is>
      </c>
      <c r="K727" s="84" t="n"/>
      <c r="L727" s="84" t="n"/>
      <c r="M727" s="85">
        <f>IF(OR(Y727="估算法",Y727="算法类",Y727="无法识别"),"",IF(W727="",IF(OR(J727="EI",J727="EO",J727="EQ"),0,""),LEN(W727)-LEN(SUBSTITUTE(W727,"、",""))+1))</f>
        <v/>
      </c>
      <c r="N727" s="85">
        <f>IF(OR(Y727="估算法",Y727="算法类",Y727="无法识别"),"",IF(X727="",IF(OR(J727="ILF",J727="EIF"),0,""),LEN(X727)-LEN(SUBSTITUTE(X727,"、",""))+1))</f>
        <v/>
      </c>
      <c r="O727" s="85">
        <f>IF(OR(Y727="估算法",Y727="算法类",Y727="无法识别"),"",IF(Y727="",IF(OR(J727="ILF",J727="EIF",J727="EI",J727="EO",J727="EQ"),0,""),LEN(Y727)-LEN(SUBSTITUTE(SUBSTITUTE(SUBSTITUTE(SUBSTITUTE(SUBSTITUTE(Y727,"|}","--"),"{|","--"),CHAR(10),""),"、",""),"|",""))+IF(AND(OR(J727="EI",J727="EO",J727="EQ"),$AE$1="NESMA"),2,1)))</f>
        <v/>
      </c>
      <c r="P727" s="86">
        <f>IF(J727="EI",IF(OR(Y727="估算法",Y727="算法类"),"中",IF(Y727="无法识别","低",IF(M727&lt;2,IF(O727&lt;16,"低","中"),IF(M727&lt;3,IF(O727&lt;5,"低",IF(O727&lt;16,"中","高")),IF(O727&lt;5,"中","高"))))),IF(OR(J727="EO",J727="EQ"),IF(OR(Y727="估算法",Y727="算法类"),"中",IF(Y727="无法识别","低",IF(M727&lt;2,IF(O727&lt;20,"低","中"),IF(M727&lt;4,IF(O727&lt;6,"低",IF(O727&lt;20,"中","高")),IF(O727&lt;6,"中","高"))))),IF(OR(J727="ILF",J727="EIF"),IF(OR(Y727="估算法",Y727="算法类",Y727="无法识别"),"低",IF(N727&lt;2,IF(O727&lt;51,"低","中"),IF(N727&lt;6,IF(O727&lt;20,"低",IF(O727&lt;51,"中","高")),IF(O727&lt;20,"中","高")))),"不计算")))</f>
        <v/>
      </c>
      <c r="Q727" s="172">
        <f>IFERROR(IF(J727="EI",IF(P727="低",3,IF(P727="中",4,6)),IF(J727="EO",IF(P727="低",4,IF(P727="中",5,7)),IF(J727="EQ",IF(P727="低",3,IF(P727="中",4,6)),IF(J727="ILF",IF(P727="低",7,IF(P727="中",10,15)),IF(J727="EIF",IF(P727="低",5,IF(P727="中",7,10)),"不计算")))))*R727,"不计算")</f>
        <v/>
      </c>
      <c r="R727" s="172" t="n">
        <v>1</v>
      </c>
      <c r="S727" s="173">
        <f>调整因子!$F$13</f>
        <v/>
      </c>
      <c r="T727" s="92" t="n">
        <v>1</v>
      </c>
      <c r="U727" s="174">
        <f>IFERROR(Q727*S727,0)</f>
        <v/>
      </c>
      <c r="V727" s="174">
        <f>U727*T727</f>
        <v/>
      </c>
      <c r="W727" s="90" t="n"/>
      <c r="X727" s="113" t="inlineStr">
        <is>
          <t>漏管台账记录主表</t>
        </is>
      </c>
      <c r="Y727" s="90" t="inlineStr">
        <is>
          <t>漏管台账记录主表{台账记录编号、台账类型编码、台账级别、记录时间、设备哈希、登录账号、登录地址、部侧指令编号、上级平台编码、办件编号、配套文件编号、链式哈希值、链式哈希校验值、扩展内容}</t>
        </is>
      </c>
      <c r="Z727" s="90" t="inlineStr">
        <is>
          <t>表53</t>
        </is>
      </c>
      <c r="AA727" s="90" t="n"/>
    </row>
    <row r="728" s="112">
      <c r="A728" s="72">
        <f>ROW()-1</f>
        <v/>
      </c>
      <c r="B728" s="175" t="n"/>
      <c r="C728" s="80" t="n">
        <v>2025</v>
      </c>
      <c r="D728" s="80" t="inlineStr">
        <is>
          <t>张明峰</t>
        </is>
      </c>
      <c r="E728" s="81">
        <f>VLOOKUP(I728,'25年交付功能（不含废弃）'!A:A,1,FALSE)</f>
        <v/>
      </c>
      <c r="F728" s="175" t="n"/>
      <c r="G728" s="175" t="n"/>
      <c r="H728" s="175" t="n"/>
      <c r="I728" s="98" t="inlineStr">
        <is>
          <t>台账记录扩展内容表</t>
        </is>
      </c>
      <c r="J728" s="93" t="inlineStr">
        <is>
          <t>ILF</t>
        </is>
      </c>
      <c r="K728" s="84" t="n"/>
      <c r="L728" s="84" t="n"/>
      <c r="M728" s="85">
        <f>IF(OR(Y728="估算法",Y728="算法类",Y728="无法识别"),"",IF(W728="",IF(OR(J728="EI",J728="EO",J728="EQ"),0,""),LEN(W728)-LEN(SUBSTITUTE(W728,"、",""))+1))</f>
        <v/>
      </c>
      <c r="N728" s="85">
        <f>IF(OR(Y728="估算法",Y728="算法类",Y728="无法识别"),"",IF(X728="",IF(OR(J728="ILF",J728="EIF"),0,""),LEN(X728)-LEN(SUBSTITUTE(X728,"、",""))+1))</f>
        <v/>
      </c>
      <c r="O728" s="85">
        <f>IF(OR(Y728="估算法",Y728="算法类",Y728="无法识别"),"",IF(Y728="",IF(OR(J728="ILF",J728="EIF",J728="EI",J728="EO",J728="EQ"),0,""),LEN(Y728)-LEN(SUBSTITUTE(SUBSTITUTE(SUBSTITUTE(SUBSTITUTE(SUBSTITUTE(Y728,"|}","--"),"{|","--"),CHAR(10),""),"、",""),"|",""))+IF(AND(OR(J728="EI",J728="EO",J728="EQ"),$AE$1="NESMA"),2,1)))</f>
        <v/>
      </c>
      <c r="P728" s="86">
        <f>IF(J728="EI",IF(OR(Y728="估算法",Y728="算法类"),"中",IF(Y728="无法识别","低",IF(M728&lt;2,IF(O728&lt;16,"低","中"),IF(M728&lt;3,IF(O728&lt;5,"低",IF(O728&lt;16,"中","高")),IF(O728&lt;5,"中","高"))))),IF(OR(J728="EO",J728="EQ"),IF(OR(Y728="估算法",Y728="算法类"),"中",IF(Y728="无法识别","低",IF(M728&lt;2,IF(O728&lt;20,"低","中"),IF(M728&lt;4,IF(O728&lt;6,"低",IF(O728&lt;20,"中","高")),IF(O728&lt;6,"中","高"))))),IF(OR(J728="ILF",J728="EIF"),IF(OR(Y728="估算法",Y728="算法类",Y728="无法识别"),"低",IF(N728&lt;2,IF(O728&lt;51,"低","中"),IF(N728&lt;6,IF(O728&lt;20,"低",IF(O728&lt;51,"中","高")),IF(O728&lt;20,"中","高")))),"不计算")))</f>
        <v/>
      </c>
      <c r="Q728" s="172">
        <f>IFERROR(IF(J728="EI",IF(P728="低",3,IF(P728="中",4,6)),IF(J728="EO",IF(P728="低",4,IF(P728="中",5,7)),IF(J728="EQ",IF(P728="低",3,IF(P728="中",4,6)),IF(J728="ILF",IF(P728="低",7,IF(P728="中",10,15)),IF(J728="EIF",IF(P728="低",5,IF(P728="中",7,10)),"不计算")))))*R728,"不计算")</f>
        <v/>
      </c>
      <c r="R728" s="172" t="n">
        <v>1</v>
      </c>
      <c r="S728" s="173">
        <f>调整因子!$F$13</f>
        <v/>
      </c>
      <c r="T728" s="92" t="n">
        <v>1</v>
      </c>
      <c r="U728" s="174">
        <f>IFERROR(Q728*S728,0)</f>
        <v/>
      </c>
      <c r="V728" s="174">
        <f>U728*T728</f>
        <v/>
      </c>
      <c r="W728" s="90" t="n"/>
      <c r="X728" s="113" t="inlineStr">
        <is>
          <t>台账记录扩展内容表</t>
        </is>
      </c>
      <c r="Y728" s="90" t="inlineStr">
        <is>
          <t>台账记录扩展内容表{台账记录编号、台账类型编码、扫描引擎哈希、任务名称、任务编号、扫描目标、扫描端口、目标文件键名、端口文件键名、任务进度、漏洞数量、漏洞信息编号、漏洞信息状态、利用请求报文、交互序号、操作结果、源工单角色、源工单人员、目标工单角色、目标工单人员、工单编号、工单名称、修复方式、修复描述、修复时间、修复明细、资产数量、碰撞漏洞资产数、碰撞漏洞信息数}</t>
        </is>
      </c>
      <c r="Z728" s="90" t="inlineStr">
        <is>
          <t>表54-57</t>
        </is>
      </c>
      <c r="AA728" s="90" t="n"/>
    </row>
    <row r="729" s="112">
      <c r="A729" s="72">
        <f>ROW()-1</f>
        <v/>
      </c>
      <c r="B729" s="175" t="n"/>
      <c r="C729" s="80" t="n">
        <v>2025</v>
      </c>
      <c r="D729" s="80" t="inlineStr">
        <is>
          <t>张明峰</t>
        </is>
      </c>
      <c r="E729" s="81">
        <f>VLOOKUP(I729,'25年交付功能（不含废弃）'!A:A,1,FALSE)</f>
        <v/>
      </c>
      <c r="F729" s="175" t="n"/>
      <c r="G729" s="175" t="n"/>
      <c r="H729" s="175" t="n"/>
      <c r="I729" s="98" t="inlineStr">
        <is>
          <t>台账链式哈希索引表</t>
        </is>
      </c>
      <c r="J729" s="93" t="inlineStr">
        <is>
          <t>ILF</t>
        </is>
      </c>
      <c r="K729" s="84" t="n"/>
      <c r="L729" s="84" t="n"/>
      <c r="M729" s="85">
        <f>IF(OR(Y729="估算法",Y729="算法类",Y729="无法识别"),"",IF(W729="",IF(OR(J729="EI",J729="EO",J729="EQ"),0,""),LEN(W729)-LEN(SUBSTITUTE(W729,"、",""))+1))</f>
        <v/>
      </c>
      <c r="N729" s="85">
        <f>IF(OR(Y729="估算法",Y729="算法类",Y729="无法识别"),"",IF(X729="",IF(OR(J729="ILF",J729="EIF"),0,""),LEN(X729)-LEN(SUBSTITUTE(X729,"、",""))+1))</f>
        <v/>
      </c>
      <c r="O729" s="85">
        <f>IF(OR(Y729="估算法",Y729="算法类",Y729="无法识别"),"",IF(Y729="",IF(OR(J729="ILF",J729="EIF",J729="EI",J729="EO",J729="EQ"),0,""),LEN(Y729)-LEN(SUBSTITUTE(SUBSTITUTE(SUBSTITUTE(SUBSTITUTE(SUBSTITUTE(Y729,"|}","--"),"{|","--"),CHAR(10),""),"、",""),"|",""))+IF(AND(OR(J729="EI",J729="EO",J729="EQ"),$AE$1="NESMA"),2,1)))</f>
        <v/>
      </c>
      <c r="P729" s="86">
        <f>IF(J729="EI",IF(OR(Y729="估算法",Y729="算法类"),"中",IF(Y729="无法识别","低",IF(M729&lt;2,IF(O729&lt;16,"低","中"),IF(M729&lt;3,IF(O729&lt;5,"低",IF(O729&lt;16,"中","高")),IF(O729&lt;5,"中","高"))))),IF(OR(J729="EO",J729="EQ"),IF(OR(Y729="估算法",Y729="算法类"),"中",IF(Y729="无法识别","低",IF(M729&lt;2,IF(O729&lt;20,"低","中"),IF(M729&lt;4,IF(O729&lt;6,"低",IF(O729&lt;20,"中","高")),IF(O729&lt;6,"中","高"))))),IF(OR(J729="ILF",J729="EIF"),IF(OR(Y729="估算法",Y729="算法类",Y729="无法识别"),"低",IF(N729&lt;2,IF(O729&lt;51,"低","中"),IF(N729&lt;6,IF(O729&lt;20,"低",IF(O729&lt;51,"中","高")),IF(O729&lt;20,"中","高")))),"不计算")))</f>
        <v/>
      </c>
      <c r="Q729" s="172">
        <f>IFERROR(IF(J729="EI",IF(P729="低",3,IF(P729="中",4,6)),IF(J729="EO",IF(P729="低",4,IF(P729="中",5,7)),IF(J729="EQ",IF(P729="低",3,IF(P729="中",4,6)),IF(J729="ILF",IF(P729="低",7,IF(P729="中",10,15)),IF(J729="EIF",IF(P729="低",5,IF(P729="中",7,10)),"不计算")))))*R729,"不计算")</f>
        <v/>
      </c>
      <c r="R729" s="172" t="n">
        <v>1</v>
      </c>
      <c r="S729" s="173">
        <f>调整因子!$F$13</f>
        <v/>
      </c>
      <c r="T729" s="93" t="n">
        <v>1</v>
      </c>
      <c r="U729" s="174">
        <f>IFERROR(Q729*S729,0)</f>
        <v/>
      </c>
      <c r="V729" s="174">
        <f>U729*T729</f>
        <v/>
      </c>
      <c r="W729" s="90" t="n"/>
      <c r="X729" s="113" t="inlineStr">
        <is>
          <t>台账链式哈希索引表</t>
        </is>
      </c>
      <c r="Y729" s="90" t="inlineStr">
        <is>
          <t>台账链式哈希索引表{台账记录编号、链式哈希值、链式哈希校验值、前序记录编号、哈希计算时间}</t>
        </is>
      </c>
      <c r="Z729" s="90" t="inlineStr">
        <is>
          <t>表53</t>
        </is>
      </c>
      <c r="AA729" s="90" t="n"/>
    </row>
    <row r="730" s="112">
      <c r="A730" s="72">
        <f>ROW()-1</f>
        <v/>
      </c>
      <c r="B730" s="175" t="n"/>
      <c r="C730" s="80" t="n">
        <v>2025</v>
      </c>
      <c r="D730" s="80" t="inlineStr">
        <is>
          <t>张明峰</t>
        </is>
      </c>
      <c r="E730" s="81">
        <f>VLOOKUP(I730,'25年交付功能（不含废弃）'!A:A,1,FALSE)</f>
        <v/>
      </c>
      <c r="F730" s="175" t="n"/>
      <c r="G730" s="175" t="n"/>
      <c r="H730" s="176" t="n"/>
      <c r="I730" s="98" t="inlineStr">
        <is>
          <t>台账配套文件元数据表</t>
        </is>
      </c>
      <c r="J730" s="93" t="inlineStr">
        <is>
          <t>ILF</t>
        </is>
      </c>
      <c r="K730" s="110" t="n"/>
      <c r="L730" s="84" t="n"/>
      <c r="M730" s="85">
        <f>IF(OR(Y730="估算法",Y730="算法类",Y730="无法识别"),"",IF(W730="",IF(OR(J730="EI",J730="EO",J730="EQ"),0,""),LEN(W730)-LEN(SUBSTITUTE(W730,"、",""))+1))</f>
        <v/>
      </c>
      <c r="N730" s="85">
        <f>IF(OR(Y730="估算法",Y730="算法类",Y730="无法识别"),"",IF(X730="",IF(OR(J730="ILF",J730="EIF"),0,""),LEN(X730)-LEN(SUBSTITUTE(X730,"、",""))+1))</f>
        <v/>
      </c>
      <c r="O730" s="85">
        <f>IF(OR(Y730="估算法",Y730="算法类",Y730="无法识别"),"",IF(Y730="",IF(OR(J730="ILF",J730="EIF",J730="EI",J730="EO",J730="EQ"),0,""),LEN(Y730)-LEN(SUBSTITUTE(SUBSTITUTE(SUBSTITUTE(SUBSTITUTE(SUBSTITUTE(Y730,"|}","--"),"{|","--"),CHAR(10),""),"、",""),"|",""))+IF(AND(OR(J730="EI",J730="EO",J730="EQ"),$AE$1="NESMA"),2,1)))</f>
        <v/>
      </c>
      <c r="P730" s="86">
        <f>IF(J730="EI",IF(OR(Y730="估算法",Y730="算法类"),"中",IF(Y730="无法识别","低",IF(M730&lt;2,IF(O730&lt;16,"低","中"),IF(M730&lt;3,IF(O730&lt;5,"低",IF(O730&lt;16,"中","高")),IF(O730&lt;5,"中","高"))))),IF(OR(J730="EO",J730="EQ"),IF(OR(Y730="估算法",Y730="算法类"),"中",IF(Y730="无法识别","低",IF(M730&lt;2,IF(O730&lt;20,"低","中"),IF(M730&lt;4,IF(O730&lt;6,"低",IF(O730&lt;20,"中","高")),IF(O730&lt;6,"中","高"))))),IF(OR(J730="ILF",J730="EIF"),IF(OR(Y730="估算法",Y730="算法类",Y730="无法识别"),"低",IF(N730&lt;2,IF(O730&lt;51,"低","中"),IF(N730&lt;6,IF(O730&lt;20,"低",IF(O730&lt;51,"中","高")),IF(O730&lt;20,"中","高")))),"不计算")))</f>
        <v/>
      </c>
      <c r="Q730" s="172">
        <f>IFERROR(IF(J730="EI",IF(P730="低",3,IF(P730="中",4,6)),IF(J730="EO",IF(P730="低",4,IF(P730="中",5,7)),IF(J730="EQ",IF(P730="低",3,IF(P730="中",4,6)),IF(J730="ILF",IF(P730="低",7,IF(P730="中",10,15)),IF(J730="EIF",IF(P730="低",5,IF(P730="中",7,10)),"不计算")))))*R730,"不计算")</f>
        <v/>
      </c>
      <c r="R730" s="172" t="n">
        <v>1</v>
      </c>
      <c r="S730" s="173">
        <f>调整因子!$F$13</f>
        <v/>
      </c>
      <c r="T730" s="92" t="n">
        <v>1</v>
      </c>
      <c r="U730" s="174">
        <f>IFERROR(Q730*S730,0)</f>
        <v/>
      </c>
      <c r="V730" s="174">
        <f>U730*T730</f>
        <v/>
      </c>
      <c r="W730" s="90" t="n"/>
      <c r="X730" s="113" t="inlineStr">
        <is>
          <t>台账配套文件元数据表</t>
        </is>
      </c>
      <c r="Y730" s="90" t="inlineStr">
        <is>
          <t>台账配套文件元数据表{配套文件编号、部侧指令编号、文件键名、文件路径、文件大小、创建时间}</t>
        </is>
      </c>
      <c r="Z730" s="90" t="inlineStr">
        <is>
          <t>业务场景11</t>
        </is>
      </c>
      <c r="AA730" s="90" t="n"/>
    </row>
    <row r="731" s="112">
      <c r="A731" s="72">
        <f>ROW()-1</f>
        <v/>
      </c>
      <c r="B731" s="175" t="n"/>
      <c r="C731" s="80" t="n">
        <v>2025</v>
      </c>
      <c r="D731" s="80" t="inlineStr">
        <is>
          <t>张明峰</t>
        </is>
      </c>
      <c r="E731" s="81">
        <f>VLOOKUP(I731,'25年交付功能（不含废弃）'!A:A,1,FALSE)</f>
        <v/>
      </c>
      <c r="F731" s="175" t="n"/>
      <c r="G731" s="175" t="n"/>
      <c r="H731" t="inlineStr">
        <is>
          <t>台账类型配置</t>
        </is>
      </c>
      <c r="I731" s="98" t="inlineStr">
        <is>
          <t>台账类型码表</t>
        </is>
      </c>
      <c r="J731" s="93" t="inlineStr">
        <is>
          <t>ILF</t>
        </is>
      </c>
      <c r="K731" s="84" t="n"/>
      <c r="L731" s="84" t="n"/>
      <c r="M731" s="85">
        <f>IF(OR(Y731="估算法",Y731="算法类",Y731="无法识别"),"",IF(W731="",IF(OR(J731="EI",J731="EO",J731="EQ"),0,""),LEN(W731)-LEN(SUBSTITUTE(W731,"、",""))+1))</f>
        <v/>
      </c>
      <c r="N731" s="85">
        <f>IF(OR(Y731="估算法",Y731="算法类",Y731="无法识别"),"",IF(X731="",IF(OR(J731="ILF",J731="EIF"),0,""),LEN(X731)-LEN(SUBSTITUTE(X731,"、",""))+1))</f>
        <v/>
      </c>
      <c r="O731" s="85">
        <f>IF(OR(Y731="估算法",Y731="算法类",Y731="无法识别"),"",IF(Y731="",IF(OR(J731="ILF",J731="EIF",J731="EI",J731="EO",J731="EQ"),0,""),LEN(Y731)-LEN(SUBSTITUTE(SUBSTITUTE(SUBSTITUTE(SUBSTITUTE(SUBSTITUTE(Y731,"|}","--"),"{|","--"),CHAR(10),""),"、",""),"|",""))+IF(AND(OR(J731="EI",J731="EO",J731="EQ"),$AE$1="NESMA"),2,1)))</f>
        <v/>
      </c>
      <c r="P731" s="86">
        <f>IF(J731="EI",IF(OR(Y731="估算法",Y731="算法类"),"中",IF(Y731="无法识别","低",IF(M731&lt;2,IF(O731&lt;16,"低","中"),IF(M731&lt;3,IF(O731&lt;5,"低",IF(O731&lt;16,"中","高")),IF(O731&lt;5,"中","高"))))),IF(OR(J731="EO",J731="EQ"),IF(OR(Y731="估算法",Y731="算法类"),"中",IF(Y731="无法识别","低",IF(M731&lt;2,IF(O731&lt;20,"低","中"),IF(M731&lt;4,IF(O731&lt;6,"低",IF(O731&lt;20,"中","高")),IF(O731&lt;6,"中","高"))))),IF(OR(J731="ILF",J731="EIF"),IF(OR(Y731="估算法",Y731="算法类",Y731="无法识别"),"低",IF(N731&lt;2,IF(O731&lt;51,"低","中"),IF(N731&lt;6,IF(O731&lt;20,"低",IF(O731&lt;51,"中","高")),IF(O731&lt;20,"中","高")))),"不计算")))</f>
        <v/>
      </c>
      <c r="Q731" s="172">
        <f>IFERROR(IF(J731="EI",IF(P731="低",3,IF(P731="中",4,6)),IF(J731="EO",IF(P731="低",4,IF(P731="中",5,7)),IF(J731="EQ",IF(P731="低",3,IF(P731="中",4,6)),IF(J731="ILF",IF(P731="低",7,IF(P731="中",10,15)),IF(J731="EIF",IF(P731="低",5,IF(P731="中",7,10)),"不计算")))))*R731,"不计算")</f>
        <v/>
      </c>
      <c r="R731" s="172" t="n">
        <v>1</v>
      </c>
      <c r="S731" s="173">
        <f>调整因子!$F$13</f>
        <v/>
      </c>
      <c r="T731" s="92" t="n">
        <v>1</v>
      </c>
      <c r="U731" s="174">
        <f>IFERROR(Q731*S731,0)</f>
        <v/>
      </c>
      <c r="V731" s="174">
        <f>U731*T731</f>
        <v/>
      </c>
      <c r="W731" s="90" t="n"/>
      <c r="X731" s="113" t="inlineStr">
        <is>
          <t>台账类型码表</t>
        </is>
      </c>
      <c r="Y731" s="90" t="inlineStr">
        <is>
          <t>台账类型码表{台账类型编码、台账类型名称、级别规则、扩展内容结构、启用状态}</t>
        </is>
      </c>
      <c r="Z731" s="90" t="inlineStr">
        <is>
          <t>附录A.10</t>
        </is>
      </c>
      <c r="AA731" s="90" t="n"/>
    </row>
    <row r="732" s="112">
      <c r="A732" s="72">
        <f>ROW()-1</f>
        <v/>
      </c>
      <c r="B732" s="175" t="n"/>
      <c r="C732" s="80" t="n">
        <v>2025</v>
      </c>
      <c r="D732" s="80" t="inlineStr">
        <is>
          <t>张明峰</t>
        </is>
      </c>
      <c r="E732" s="81">
        <f>VLOOKUP(I732,'25年交付功能（不含废弃）'!A:A,1,FALSE)</f>
        <v/>
      </c>
      <c r="F732" s="175" t="n"/>
      <c r="G732" s="175" t="n"/>
      <c r="H732" t="inlineStr">
        <is>
          <t>部侧接口对接</t>
        </is>
      </c>
      <c r="I732" s="98" t="inlineStr">
        <is>
          <t>部侧台账批量上报请求接口文件</t>
        </is>
      </c>
      <c r="J732" s="93" t="inlineStr">
        <is>
          <t>EIF</t>
        </is>
      </c>
      <c r="K732" s="84" t="n"/>
      <c r="L732" s="84" t="n"/>
      <c r="M732" s="85">
        <f>IF(OR(Y732="估算法",Y732="算法类",Y732="无法识别"),"",IF(W732="",IF(OR(J732="EI",J732="EO",J732="EQ"),0,""),LEN(W732)-LEN(SUBSTITUTE(W732,"、",""))+1))</f>
        <v/>
      </c>
      <c r="N732" s="85">
        <f>IF(OR(Y732="估算法",Y732="算法类",Y732="无法识别"),"",IF(X732="",IF(OR(J732="ILF",J732="EIF"),0,""),LEN(X732)-LEN(SUBSTITUTE(X732,"、",""))+1))</f>
        <v/>
      </c>
      <c r="O732" s="85">
        <f>IF(OR(Y732="估算法",Y732="算法类",Y732="无法识别"),"",IF(Y732="",IF(OR(J732="ILF",J732="EIF",J732="EI",J732="EO",J732="EQ"),0,""),LEN(Y732)-LEN(SUBSTITUTE(SUBSTITUTE(SUBSTITUTE(SUBSTITUTE(SUBSTITUTE(Y732,"|}","--"),"{|","--"),CHAR(10),""),"、",""),"|",""))+IF(AND(OR(J732="EI",J732="EO",J732="EQ"),$AE$1="NESMA"),2,1)))</f>
        <v/>
      </c>
      <c r="P732" s="86">
        <f>IF(J732="EI",IF(OR(Y732="估算法",Y732="算法类"),"中",IF(Y732="无法识别","低",IF(M732&lt;2,IF(O732&lt;16,"低","中"),IF(M732&lt;3,IF(O732&lt;5,"低",IF(O732&lt;16,"中","高")),IF(O732&lt;5,"中","高"))))),IF(OR(J732="EO",J732="EQ"),IF(OR(Y732="估算法",Y732="算法类"),"中",IF(Y732="无法识别","低",IF(M732&lt;2,IF(O732&lt;20,"低","中"),IF(M732&lt;4,IF(O732&lt;6,"低",IF(O732&lt;20,"中","高")),IF(O732&lt;6,"中","高"))))),IF(OR(J732="ILF",J732="EIF"),IF(OR(Y732="估算法",Y732="算法类",Y732="无法识别"),"低",IF(N732&lt;2,IF(O732&lt;51,"低","中"),IF(N732&lt;6,IF(O732&lt;20,"低",IF(O732&lt;51,"中","高")),IF(O732&lt;20,"中","高")))),"不计算")))</f>
        <v/>
      </c>
      <c r="Q732" s="172">
        <f>IFERROR(IF(J732="EI",IF(P732="低",3,IF(P732="中",4,6)),IF(J732="EO",IF(P732="低",4,IF(P732="中",5,7)),IF(J732="EQ",IF(P732="低",3,IF(P732="中",4,6)),IF(J732="ILF",IF(P732="低",7,IF(P732="中",10,15)),IF(J732="EIF",IF(P732="低",5,IF(P732="中",7,10)),"不计算")))))*R732,"不计算")</f>
        <v/>
      </c>
      <c r="R732" s="172" t="n">
        <v>1</v>
      </c>
      <c r="S732" s="173">
        <f>调整因子!$F$13</f>
        <v/>
      </c>
      <c r="T732" s="93" t="n">
        <v>1</v>
      </c>
      <c r="U732" s="174">
        <f>IFERROR(Q732*S732,0)</f>
        <v/>
      </c>
      <c r="V732" s="174">
        <f>U732*T732</f>
        <v/>
      </c>
      <c r="W732" s="90" t="n"/>
      <c r="X732" s="113" t="inlineStr">
        <is>
          <t>部侧台账批量上报请求接口文件</t>
        </is>
      </c>
      <c r="Y732" s="90" t="inlineStr">
        <is>
          <t>部侧台账批量上报请求接口文件{文件编号、部侧指令编号、请求序号、记录条数、文件路径、上传时间}</t>
        </is>
      </c>
      <c r="Z732" s="90" t="n"/>
      <c r="AA732" s="90" t="n"/>
      <c r="AB732" t="inlineStr">
        <is>
          <t>EIF</t>
        </is>
      </c>
    </row>
    <row r="733" s="112">
      <c r="A733" s="72">
        <f>ROW()-1</f>
        <v/>
      </c>
      <c r="B733" s="175" t="n"/>
      <c r="C733" s="80" t="n">
        <v>2025</v>
      </c>
      <c r="D733" s="80" t="inlineStr">
        <is>
          <t>张明峰</t>
        </is>
      </c>
      <c r="E733" s="81">
        <f>VLOOKUP(I733,'25年交付功能（不含废弃）'!A:A,1,FALSE)</f>
        <v/>
      </c>
      <c r="F733" s="175" t="n"/>
      <c r="G733" s="175" t="n"/>
      <c r="I733" s="98" t="inlineStr">
        <is>
          <t>部侧台账批量上报响应接口文件</t>
        </is>
      </c>
      <c r="J733" s="93" t="inlineStr">
        <is>
          <t>EIF</t>
        </is>
      </c>
      <c r="K733" s="84" t="n"/>
      <c r="L733" s="84" t="n"/>
      <c r="M733" s="85">
        <f>IF(OR(Y733="估算法",Y733="算法类",Y733="无法识别"),"",IF(W733="",IF(OR(J733="EI",J733="EO",J733="EQ"),0,""),LEN(W733)-LEN(SUBSTITUTE(W733,"、",""))+1))</f>
        <v/>
      </c>
      <c r="N733" s="85">
        <f>IF(OR(Y733="估算法",Y733="算法类",Y733="无法识别"),"",IF(X733="",IF(OR(J733="ILF",J733="EIF"),0,""),LEN(X733)-LEN(SUBSTITUTE(X733,"、",""))+1))</f>
        <v/>
      </c>
      <c r="O733" s="85">
        <f>IF(OR(Y733="估算法",Y733="算法类",Y733="无法识别"),"",IF(Y733="",IF(OR(J733="ILF",J733="EIF",J733="EI",J733="EO",J733="EQ"),0,""),LEN(Y733)-LEN(SUBSTITUTE(SUBSTITUTE(SUBSTITUTE(SUBSTITUTE(SUBSTITUTE(Y733,"|}","--"),"{|","--"),CHAR(10),""),"、",""),"|",""))+IF(AND(OR(J733="EI",J733="EO",J733="EQ"),$AE$1="NESMA"),2,1)))</f>
        <v/>
      </c>
      <c r="P733" s="86">
        <f>IF(J733="EI",IF(OR(Y733="估算法",Y733="算法类"),"中",IF(Y733="无法识别","低",IF(M733&lt;2,IF(O733&lt;16,"低","中"),IF(M733&lt;3,IF(O733&lt;5,"低",IF(O733&lt;16,"中","高")),IF(O733&lt;5,"中","高"))))),IF(OR(J733="EO",J733="EQ"),IF(OR(Y733="估算法",Y733="算法类"),"中",IF(Y733="无法识别","低",IF(M733&lt;2,IF(O733&lt;20,"低","中"),IF(M733&lt;4,IF(O733&lt;6,"低",IF(O733&lt;20,"中","高")),IF(O733&lt;6,"中","高"))))),IF(OR(J733="ILF",J733="EIF"),IF(OR(Y733="估算法",Y733="算法类",Y733="无法识别"),"低",IF(N733&lt;2,IF(O733&lt;51,"低","中"),IF(N733&lt;6,IF(O733&lt;20,"低",IF(O733&lt;51,"中","高")),IF(O733&lt;20,"中","高")))),"不计算")))</f>
        <v/>
      </c>
      <c r="Q733" s="172">
        <f>IFERROR(IF(J733="EI",IF(P733="低",3,IF(P733="中",4,6)),IF(J733="EO",IF(P733="低",4,IF(P733="中",5,7)),IF(J733="EQ",IF(P733="低",3,IF(P733="中",4,6)),IF(J733="ILF",IF(P733="低",7,IF(P733="中",10,15)),IF(J733="EIF",IF(P733="低",5,IF(P733="中",7,10)),"不计算")))))*R733,"不计算")</f>
        <v/>
      </c>
      <c r="R733" s="172" t="n">
        <v>1</v>
      </c>
      <c r="S733" s="173">
        <f>调整因子!$F$13</f>
        <v/>
      </c>
      <c r="T733" s="93" t="n">
        <v>1</v>
      </c>
      <c r="U733" s="174">
        <f>IFERROR(Q733*S733,0)</f>
        <v/>
      </c>
      <c r="V733" s="174">
        <f>U733*T733</f>
        <v/>
      </c>
      <c r="W733" s="90" t="n"/>
      <c r="X733" s="113" t="inlineStr">
        <is>
          <t>部侧台账批量上报响应接口文件</t>
        </is>
      </c>
      <c r="Y733" s="90" t="inlineStr">
        <is>
          <t>部侧台账批量上报响应接口文件{文件编号、部侧指令编号、响应码、响应说明、响应时间}</t>
        </is>
      </c>
      <c r="Z733" s="90" t="n"/>
      <c r="AA733" s="90" t="n"/>
      <c r="AB733" t="inlineStr">
        <is>
          <t>EIF</t>
        </is>
      </c>
    </row>
    <row r="734" s="112">
      <c r="A734" s="72">
        <f>ROW()-1</f>
        <v/>
      </c>
      <c r="B734" s="175" t="n"/>
      <c r="C734" s="80" t="n">
        <v>2025</v>
      </c>
      <c r="D734" s="80" t="inlineStr">
        <is>
          <t>张明峰</t>
        </is>
      </c>
      <c r="E734" s="81">
        <f>VLOOKUP(I734,'25年交付功能（不含废弃）'!A:A,1,FALSE)</f>
        <v/>
      </c>
      <c r="F734" s="175" t="n"/>
      <c r="G734" s="175" t="n"/>
      <c r="H734" t="inlineStr">
        <is>
          <t>台账采集写入</t>
        </is>
      </c>
      <c r="I734" s="98" t="inlineStr">
        <is>
          <t>接收业务事件写入台账记录</t>
        </is>
      </c>
      <c r="J734" s="93" t="inlineStr">
        <is>
          <t>EI</t>
        </is>
      </c>
      <c r="K734" s="84" t="n"/>
      <c r="L734" s="84" t="n"/>
      <c r="M734" s="85">
        <f>IF(OR(Y734="估算法",Y734="算法类",Y734="无法识别"),"",IF(W734="",IF(OR(J734="EI",J734="EO",J734="EQ"),0,""),LEN(W734)-LEN(SUBSTITUTE(W734,"、",""))+1))</f>
        <v/>
      </c>
      <c r="N734" s="85">
        <f>IF(OR(Y734="估算法",Y734="算法类",Y734="无法识别"),"",IF(X734="",IF(OR(J734="ILF",J734="EIF"),0,""),LEN(X734)-LEN(SUBSTITUTE(X734,"、",""))+1))</f>
        <v/>
      </c>
      <c r="O734" s="85">
        <f>IF(OR(Y734="估算法",Y734="算法类",Y734="无法识别"),"",IF(Y734="",IF(OR(J734="ILF",J734="EIF",J734="EI",J734="EO",J734="EQ"),0,""),LEN(Y734)-LEN(SUBSTITUTE(SUBSTITUTE(SUBSTITUTE(SUBSTITUTE(SUBSTITUTE(Y734,"|}","--"),"{|","--"),CHAR(10),""),"、",""),"|",""))+IF(AND(OR(J734="EI",J734="EO",J734="EQ"),$AE$1="NESMA"),2,1)))</f>
        <v/>
      </c>
      <c r="P734" s="86">
        <f>IF(J734="EI",IF(OR(Y734="估算法",Y734="算法类"),"中",IF(Y734="无法识别","低",IF(M734&lt;2,IF(O734&lt;16,"低","中"),IF(M734&lt;3,IF(O734&lt;5,"低",IF(O734&lt;16,"中","高")),IF(O734&lt;5,"中","高"))))),IF(OR(J734="EO",J734="EQ"),IF(OR(Y734="估算法",Y734="算法类"),"中",IF(Y734="无法识别","低",IF(M734&lt;2,IF(O734&lt;20,"低","中"),IF(M734&lt;4,IF(O734&lt;6,"低",IF(O734&lt;20,"中","高")),IF(O734&lt;6,"中","高"))))),IF(OR(J734="ILF",J734="EIF"),IF(OR(Y734="估算法",Y734="算法类",Y734="无法识别"),"低",IF(N734&lt;2,IF(O734&lt;51,"低","中"),IF(N734&lt;6,IF(O734&lt;20,"低",IF(O734&lt;51,"中","高")),IF(O734&lt;20,"中","高")))),"不计算")))</f>
        <v/>
      </c>
      <c r="Q734" s="172">
        <f>IFERROR(IF(J734="EI",IF(P734="低",3,IF(P734="中",4,6)),IF(J734="EO",IF(P734="低",4,IF(P734="中",5,7)),IF(J734="EQ",IF(P734="低",3,IF(P734="中",4,6)),IF(J734="ILF",IF(P734="低",7,IF(P734="中",10,15)),IF(J734="EIF",IF(P734="低",5,IF(P734="中",7,10)),"不计算")))))*R734,"不计算")</f>
        <v/>
      </c>
      <c r="R734" s="172" t="n">
        <v>1</v>
      </c>
      <c r="S734" s="173">
        <f>调整因子!$F$13</f>
        <v/>
      </c>
      <c r="T734" s="92" t="n">
        <v>1</v>
      </c>
      <c r="U734" s="174">
        <f>IFERROR(Q734*S734,0)</f>
        <v/>
      </c>
      <c r="V734" s="174">
        <f>U734*T734</f>
        <v/>
      </c>
      <c r="W734" s="90" t="inlineStr">
        <is>
          <t>漏管台账记录主表、台账记录扩展内容表</t>
        </is>
      </c>
      <c r="X734" s="113" t="n"/>
      <c r="Y734" s="90" t="inlineStr">
        <is>
          <t>漏管台账记录主表{台账类型编码、台账级别、记录时间、设备哈希、登录账号、登录地址|台账记录编号}
台账记录扩展内容表{台账记录编号、扩展内容|台账记录编号、扩展内容}</t>
        </is>
      </c>
      <c r="Z734" s="90" t="n"/>
      <c r="AA734" s="90" t="n"/>
    </row>
    <row r="735" s="112">
      <c r="A735" s="72">
        <f>ROW()-1</f>
        <v/>
      </c>
      <c r="B735" s="175" t="n"/>
      <c r="C735" s="80" t="n">
        <v>2025</v>
      </c>
      <c r="D735" s="80" t="inlineStr">
        <is>
          <t>张明峰</t>
        </is>
      </c>
      <c r="E735" s="81">
        <f>VLOOKUP(I735,'25年交付功能（不含废弃）'!A:A,1,FALSE)</f>
        <v/>
      </c>
      <c r="F735" s="175" t="n"/>
      <c r="G735" s="175" t="n"/>
      <c r="I735" s="98" t="inlineStr">
        <is>
          <t>组装台账批量上报头信息</t>
        </is>
      </c>
      <c r="J735" s="93" t="inlineStr">
        <is>
          <t>EI</t>
        </is>
      </c>
      <c r="K735" s="84" t="n"/>
      <c r="L735" s="84" t="n"/>
      <c r="M735" s="85">
        <f>IF(OR(Y735="估算法",Y735="算法类",Y735="无法识别"),"",IF(W735="",IF(OR(J735="EI",J735="EO",J735="EQ"),0,""),LEN(W735)-LEN(SUBSTITUTE(W735,"、",""))+1))</f>
        <v/>
      </c>
      <c r="N735" s="85">
        <f>IF(OR(Y735="估算法",Y735="算法类",Y735="无法识别"),"",IF(X735="",IF(OR(J735="ILF",J735="EIF"),0,""),LEN(X735)-LEN(SUBSTITUTE(X735,"、",""))+1))</f>
        <v/>
      </c>
      <c r="O735" s="85">
        <f>IF(OR(Y735="估算法",Y735="算法类",Y735="无法识别"),"",IF(Y735="",IF(OR(J735="ILF",J735="EIF",J735="EI",J735="EO",J735="EQ"),0,""),LEN(Y735)-LEN(SUBSTITUTE(SUBSTITUTE(SUBSTITUTE(SUBSTITUTE(SUBSTITUTE(Y735,"|}","--"),"{|","--"),CHAR(10),""),"、",""),"|",""))+IF(AND(OR(J735="EI",J735="EO",J735="EQ"),$AE$1="NESMA"),2,1)))</f>
        <v/>
      </c>
      <c r="P735" s="86">
        <f>IF(J735="EI",IF(OR(Y735="估算法",Y735="算法类"),"中",IF(Y735="无法识别","低",IF(M735&lt;2,IF(O735&lt;16,"低","中"),IF(M735&lt;3,IF(O735&lt;5,"低",IF(O735&lt;16,"中","高")),IF(O735&lt;5,"中","高"))))),IF(OR(J735="EO",J735="EQ"),IF(OR(Y735="估算法",Y735="算法类"),"中",IF(Y735="无法识别","低",IF(M735&lt;2,IF(O735&lt;20,"低","中"),IF(M735&lt;4,IF(O735&lt;6,"低",IF(O735&lt;20,"中","高")),IF(O735&lt;6,"中","高"))))),IF(OR(J735="ILF",J735="EIF"),IF(OR(Y735="估算法",Y735="算法类",Y735="无法识别"),"低",IF(N735&lt;2,IF(O735&lt;51,"低","中"),IF(N735&lt;6,IF(O735&lt;20,"低",IF(O735&lt;51,"中","高")),IF(O735&lt;20,"中","高")))),"不计算")))</f>
        <v/>
      </c>
      <c r="Q735" s="172">
        <f>IFERROR(IF(J735="EI",IF(P735="低",3,IF(P735="中",4,6)),IF(J735="EO",IF(P735="低",4,IF(P735="中",5,7)),IF(J735="EQ",IF(P735="低",3,IF(P735="中",4,6)),IF(J735="ILF",IF(P735="低",7,IF(P735="中",10,15)),IF(J735="EIF",IF(P735="低",5,IF(P735="中",7,10)),"不计算")))))*R735,"不计算")</f>
        <v/>
      </c>
      <c r="R735" s="172" t="n">
        <v>1</v>
      </c>
      <c r="S735" s="173">
        <f>调整因子!$F$13</f>
        <v/>
      </c>
      <c r="T735" s="92" t="n">
        <v>1</v>
      </c>
      <c r="U735" s="174">
        <f>IFERROR(Q735*S735,0)</f>
        <v/>
      </c>
      <c r="V735" s="174">
        <f>U735*T735</f>
        <v/>
      </c>
      <c r="W735" s="91" t="inlineStr">
        <is>
          <t>漏管台账记录主表</t>
        </is>
      </c>
      <c r="X735" s="90" t="n"/>
      <c r="Y735" s="90" t="inlineStr">
        <is>
          <t>漏管台账记录主表{请求序号、记录条数、记录时间|批次编号、台账记录编号}</t>
        </is>
      </c>
      <c r="Z735" s="90" t="n"/>
      <c r="AA735" s="90" t="n"/>
    </row>
    <row r="736" s="112">
      <c r="A736" s="72">
        <f>ROW()-1</f>
        <v/>
      </c>
      <c r="B736" s="175" t="n"/>
      <c r="C736" s="80" t="n">
        <v>2025</v>
      </c>
      <c r="D736" s="80" t="inlineStr">
        <is>
          <t>张明峰</t>
        </is>
      </c>
      <c r="E736" s="81">
        <f>VLOOKUP(I736,'25年交付功能（不含废弃）'!A:A,1,FALSE)</f>
        <v/>
      </c>
      <c r="F736" s="175" t="n"/>
      <c r="G736" s="175" t="n"/>
      <c r="I736" s="98" t="inlineStr">
        <is>
          <t>关联部侧指令编号与办件编号</t>
        </is>
      </c>
      <c r="J736" s="93" t="inlineStr">
        <is>
          <t>EI</t>
        </is>
      </c>
      <c r="K736" s="84" t="n"/>
      <c r="L736" s="84" t="n"/>
      <c r="M736" s="85">
        <f>IF(OR(Y736="估算法",Y736="算法类",Y736="无法识别"),"",IF(W736="",IF(OR(J736="EI",J736="EO",J736="EQ"),0,""),LEN(W736)-LEN(SUBSTITUTE(W736,"、",""))+1))</f>
        <v/>
      </c>
      <c r="N736" s="85">
        <f>IF(OR(Y736="估算法",Y736="算法类",Y736="无法识别"),"",IF(X736="",IF(OR(J736="ILF",J736="EIF"),0,""),LEN(X736)-LEN(SUBSTITUTE(X736,"、",""))+1))</f>
        <v/>
      </c>
      <c r="O736" s="85">
        <f>IF(OR(Y736="估算法",Y736="算法类",Y736="无法识别"),"",IF(Y736="",IF(OR(J736="ILF",J736="EIF",J736="EI",J736="EO",J736="EQ"),0,""),LEN(Y736)-LEN(SUBSTITUTE(SUBSTITUTE(SUBSTITUTE(SUBSTITUTE(SUBSTITUTE(Y736,"|}","--"),"{|","--"),CHAR(10),""),"、",""),"|",""))+IF(AND(OR(J736="EI",J736="EO",J736="EQ"),$AE$1="NESMA"),2,1)))</f>
        <v/>
      </c>
      <c r="P736" s="86">
        <f>IF(J736="EI",IF(OR(Y736="估算法",Y736="算法类"),"中",IF(Y736="无法识别","低",IF(M736&lt;2,IF(O736&lt;16,"低","中"),IF(M736&lt;3,IF(O736&lt;5,"低",IF(O736&lt;16,"中","高")),IF(O736&lt;5,"中","高"))))),IF(OR(J736="EO",J736="EQ"),IF(OR(Y736="估算法",Y736="算法类"),"中",IF(Y736="无法识别","低",IF(M736&lt;2,IF(O736&lt;20,"低","中"),IF(M736&lt;4,IF(O736&lt;6,"低",IF(O736&lt;20,"中","高")),IF(O736&lt;6,"中","高"))))),IF(OR(J736="ILF",J736="EIF"),IF(OR(Y736="估算法",Y736="算法类",Y736="无法识别"),"低",IF(N736&lt;2,IF(O736&lt;51,"低","中"),IF(N736&lt;6,IF(O736&lt;20,"低",IF(O736&lt;51,"中","高")),IF(O736&lt;20,"中","高")))),"不计算")))</f>
        <v/>
      </c>
      <c r="Q736" s="172">
        <f>IFERROR(IF(J736="EI",IF(P736="低",3,IF(P736="中",4,6)),IF(J736="EO",IF(P736="低",4,IF(P736="中",5,7)),IF(J736="EQ",IF(P736="低",3,IF(P736="中",4,6)),IF(J736="ILF",IF(P736="低",7,IF(P736="中",10,15)),IF(J736="EIF",IF(P736="低",5,IF(P736="中",7,10)),"不计算")))))*R736,"不计算")</f>
        <v/>
      </c>
      <c r="R736" s="172" t="n">
        <v>1</v>
      </c>
      <c r="S736" s="173">
        <f>调整因子!$F$13</f>
        <v/>
      </c>
      <c r="T736" s="93" t="n">
        <v>1</v>
      </c>
      <c r="U736" s="174">
        <f>IFERROR(Q736*S736,0)</f>
        <v/>
      </c>
      <c r="V736" s="174">
        <f>U736*T736</f>
        <v/>
      </c>
      <c r="W736" s="91" t="inlineStr">
        <is>
          <t>漏管台账记录主表</t>
        </is>
      </c>
      <c r="X736" s="90" t="n"/>
      <c r="Y736" s="90" t="inlineStr">
        <is>
          <t>漏管台账记录主表{部侧指令编号、上级平台编码、办件编号|台账记录编号、部侧指令编号、办件编号}</t>
        </is>
      </c>
      <c r="Z736" s="90" t="n"/>
      <c r="AA736" s="90" t="n"/>
    </row>
    <row r="737" s="112">
      <c r="A737" s="72">
        <f>ROW()-1</f>
        <v/>
      </c>
      <c r="B737" s="175" t="n"/>
      <c r="C737" s="80" t="n">
        <v>2025</v>
      </c>
      <c r="D737" s="80" t="inlineStr">
        <is>
          <t>张明峰</t>
        </is>
      </c>
      <c r="E737" s="81">
        <f>VLOOKUP(I737,'25年交付功能（不含废弃）'!A:A,1,FALSE)</f>
        <v/>
      </c>
      <c r="F737" s="175" t="n"/>
      <c r="G737" s="175" t="n"/>
      <c r="I737" s="98" t="inlineStr">
        <is>
          <t>计算并写入链式防篡改哈希</t>
        </is>
      </c>
      <c r="J737" s="93" t="inlineStr">
        <is>
          <t>EI</t>
        </is>
      </c>
      <c r="K737" s="84" t="n"/>
      <c r="L737" s="84" t="n"/>
      <c r="M737" s="85">
        <f>IF(OR(Y737="估算法",Y737="算法类",Y737="无法识别"),"",IF(W737="",IF(OR(J737="EI",J737="EO",J737="EQ"),0,""),LEN(W737)-LEN(SUBSTITUTE(W737,"、",""))+1))</f>
        <v/>
      </c>
      <c r="N737" s="85">
        <f>IF(OR(Y737="估算法",Y737="算法类",Y737="无法识别"),"",IF(X737="",IF(OR(J737="ILF",J737="EIF"),0,""),LEN(X737)-LEN(SUBSTITUTE(X737,"、",""))+1))</f>
        <v/>
      </c>
      <c r="O737" s="85">
        <f>IF(OR(Y737="估算法",Y737="算法类",Y737="无法识别"),"",IF(Y737="",IF(OR(J737="ILF",J737="EIF",J737="EI",J737="EO",J737="EQ"),0,""),LEN(Y737)-LEN(SUBSTITUTE(SUBSTITUTE(SUBSTITUTE(SUBSTITUTE(SUBSTITUTE(Y737,"|}","--"),"{|","--"),CHAR(10),""),"、",""),"|",""))+IF(AND(OR(J737="EI",J737="EO",J737="EQ"),$AE$1="NESMA"),2,1)))</f>
        <v/>
      </c>
      <c r="P737" s="86">
        <f>IF(J737="EI",IF(OR(Y737="估算法",Y737="算法类"),"中",IF(Y737="无法识别","低",IF(M737&lt;2,IF(O737&lt;16,"低","中"),IF(M737&lt;3,IF(O737&lt;5,"低",IF(O737&lt;16,"中","高")),IF(O737&lt;5,"中","高"))))),IF(OR(J737="EO",J737="EQ"),IF(OR(Y737="估算法",Y737="算法类"),"中",IF(Y737="无法识别","低",IF(M737&lt;2,IF(O737&lt;20,"低","中"),IF(M737&lt;4,IF(O737&lt;6,"低",IF(O737&lt;20,"中","高")),IF(O737&lt;6,"中","高"))))),IF(OR(J737="ILF",J737="EIF"),IF(OR(Y737="估算法",Y737="算法类",Y737="无法识别"),"低",IF(N737&lt;2,IF(O737&lt;51,"低","中"),IF(N737&lt;6,IF(O737&lt;20,"低",IF(O737&lt;51,"中","高")),IF(O737&lt;20,"中","高")))),"不计算")))</f>
        <v/>
      </c>
      <c r="Q737" s="172">
        <f>IFERROR(IF(J737="EI",IF(P737="低",3,IF(P737="中",4,6)),IF(J737="EO",IF(P737="低",4,IF(P737="中",5,7)),IF(J737="EQ",IF(P737="低",3,IF(P737="中",4,6)),IF(J737="ILF",IF(P737="低",7,IF(P737="中",10,15)),IF(J737="EIF",IF(P737="低",5,IF(P737="中",7,10)),"不计算")))))*R737,"不计算")</f>
        <v/>
      </c>
      <c r="R737" s="172" t="n">
        <v>1</v>
      </c>
      <c r="S737" s="173">
        <f>调整因子!$F$13</f>
        <v/>
      </c>
      <c r="T737" s="92" t="n">
        <v>1</v>
      </c>
      <c r="U737" s="174">
        <f>IFERROR(Q737*S737,0)</f>
        <v/>
      </c>
      <c r="V737" s="174">
        <f>U737*T737</f>
        <v/>
      </c>
      <c r="W737" s="91" t="inlineStr">
        <is>
          <t>漏管台账记录主表、台账链式哈希索引表</t>
        </is>
      </c>
      <c r="X737" s="90" t="n"/>
      <c r="Y737" s="90" t="inlineStr">
        <is>
          <t>漏管台账记录主表{台账记录编号、链式哈希值|链式哈希值、链式哈希校验值}
台账链式哈希索引表{台账记录编号、前序记录编号|链式哈希值、哈希计算时间}</t>
        </is>
      </c>
      <c r="Z737" s="90" t="n"/>
      <c r="AA737" s="90" t="n"/>
    </row>
    <row r="738" s="112">
      <c r="A738" s="72">
        <f>ROW()-1</f>
        <v/>
      </c>
      <c r="B738" s="175" t="n"/>
      <c r="C738" s="80" t="n">
        <v>2025</v>
      </c>
      <c r="D738" s="80" t="inlineStr">
        <is>
          <t>张明峰</t>
        </is>
      </c>
      <c r="E738" s="81">
        <f>VLOOKUP(I738,'25年交付功能（不含废弃）'!A:A,1,FALSE)</f>
        <v/>
      </c>
      <c r="F738" s="175" t="n"/>
      <c r="G738" s="175" t="n"/>
      <c r="I738" s="98" t="inlineStr">
        <is>
          <t>工单回传时携带台账批量数据</t>
        </is>
      </c>
      <c r="J738" s="93" t="inlineStr">
        <is>
          <t>EO</t>
        </is>
      </c>
      <c r="K738" s="109" t="n"/>
      <c r="L738" s="84" t="n"/>
      <c r="M738" s="85">
        <f>IF(OR(Y738="估算法",Y738="算法类",Y738="无法识别"),"",IF(W738="",IF(OR(J738="EI",J738="EO",J738="EQ"),0,""),LEN(W738)-LEN(SUBSTITUTE(W738,"、",""))+1))</f>
        <v/>
      </c>
      <c r="N738" s="85">
        <f>IF(OR(Y738="估算法",Y738="算法类",Y738="无法识别"),"",IF(X738="",IF(OR(J738="ILF",J738="EIF"),0,""),LEN(X738)-LEN(SUBSTITUTE(X738,"、",""))+1))</f>
        <v/>
      </c>
      <c r="O738" s="85">
        <f>IF(OR(Y738="估算法",Y738="算法类",Y738="无法识别"),"",IF(Y738="",IF(OR(J738="ILF",J738="EIF",J738="EI",J738="EO",J738="EQ"),0,""),LEN(Y738)-LEN(SUBSTITUTE(SUBSTITUTE(SUBSTITUTE(SUBSTITUTE(SUBSTITUTE(Y738,"|}","--"),"{|","--"),CHAR(10),""),"、",""),"|",""))+IF(AND(OR(J738="EI",J738="EO",J738="EQ"),$AE$1="NESMA"),2,1)))</f>
        <v/>
      </c>
      <c r="P738" s="86">
        <f>IF(J738="EI",IF(OR(Y738="估算法",Y738="算法类"),"中",IF(Y738="无法识别","低",IF(M738&lt;2,IF(O738&lt;16,"低","中"),IF(M738&lt;3,IF(O738&lt;5,"低",IF(O738&lt;16,"中","高")),IF(O738&lt;5,"中","高"))))),IF(OR(J738="EO",J738="EQ"),IF(OR(Y738="估算法",Y738="算法类"),"中",IF(Y738="无法识别","低",IF(M738&lt;2,IF(O738&lt;20,"低","中"),IF(M738&lt;4,IF(O738&lt;6,"低",IF(O738&lt;20,"中","高")),IF(O738&lt;6,"中","高"))))),IF(OR(J738="ILF",J738="EIF"),IF(OR(Y738="估算法",Y738="算法类",Y738="无法识别"),"低",IF(N738&lt;2,IF(O738&lt;51,"低","中"),IF(N738&lt;6,IF(O738&lt;20,"低",IF(O738&lt;51,"中","高")),IF(O738&lt;20,"中","高")))),"不计算")))</f>
        <v/>
      </c>
      <c r="Q738" s="172">
        <f>IFERROR(IF(J738="EI",IF(P738="低",3,IF(P738="中",4,6)),IF(J738="EO",IF(P738="低",4,IF(P738="中",5,7)),IF(J738="EQ",IF(P738="低",3,IF(P738="中",4,6)),IF(J738="ILF",IF(P738="低",7,IF(P738="中",10,15)),IF(J738="EIF",IF(P738="低",5,IF(P738="中",7,10)),"不计算")))))*R738,"不计算")</f>
        <v/>
      </c>
      <c r="R738" s="172" t="n">
        <v>1</v>
      </c>
      <c r="S738" s="173">
        <f>调整因子!$F$13</f>
        <v/>
      </c>
      <c r="T738" s="92" t="n">
        <v>1</v>
      </c>
      <c r="U738" s="174">
        <f>IFERROR(Q738*S738,0)</f>
        <v/>
      </c>
      <c r="V738" s="174">
        <f>U738*T738</f>
        <v/>
      </c>
      <c r="W738" s="91" t="inlineStr">
        <is>
          <t>漏管台账记录主表、台账上报批次表</t>
        </is>
      </c>
      <c r="X738" s="90" t="n"/>
      <c r="Y738" s="90" t="inlineStr">
        <is>
          <t>漏管台账记录主表{部侧指令编号、办件编号|台账记录编号、台账类型编码}
台账上报批次表{|批次编号、记录条数}</t>
        </is>
      </c>
      <c r="Z738" s="90" t="n"/>
      <c r="AA738" s="90" t="n"/>
    </row>
    <row r="739" s="112">
      <c r="A739" s="72">
        <f>ROW()-1</f>
        <v/>
      </c>
      <c r="B739" s="175" t="n"/>
      <c r="C739" s="80" t="n">
        <v>2025</v>
      </c>
      <c r="D739" s="80" t="inlineStr">
        <is>
          <t>张明峰</t>
        </is>
      </c>
      <c r="E739" s="81">
        <f>VLOOKUP(I739,'25年交付功能（不含废弃）'!A:A,1,FALSE)</f>
        <v/>
      </c>
      <c r="F739" s="175" t="n"/>
      <c r="G739" s="175" t="n"/>
      <c r="I739" s="98" t="inlineStr">
        <is>
          <t>常态化上报平台运行类台账</t>
        </is>
      </c>
      <c r="J739" s="93" t="inlineStr">
        <is>
          <t>EO</t>
        </is>
      </c>
      <c r="K739" s="84" t="n"/>
      <c r="L739" s="84" t="n"/>
      <c r="M739" s="85">
        <f>IF(OR(Y739="估算法",Y739="算法类",Y739="无法识别"),"",IF(W739="",IF(OR(J739="EI",J739="EO",J739="EQ"),0,""),LEN(W739)-LEN(SUBSTITUTE(W739,"、",""))+1))</f>
        <v/>
      </c>
      <c r="N739" s="85">
        <f>IF(OR(Y739="估算法",Y739="算法类",Y739="无法识别"),"",IF(X739="",IF(OR(J739="ILF",J739="EIF"),0,""),LEN(X739)-LEN(SUBSTITUTE(X739,"、",""))+1))</f>
        <v/>
      </c>
      <c r="O739" s="85">
        <f>IF(OR(Y739="估算法",Y739="算法类",Y739="无法识别"),"",IF(Y739="",IF(OR(J739="ILF",J739="EIF",J739="EI",J739="EO",J739="EQ"),0,""),LEN(Y739)-LEN(SUBSTITUTE(SUBSTITUTE(SUBSTITUTE(SUBSTITUTE(SUBSTITUTE(Y739,"|}","--"),"{|","--"),CHAR(10),""),"、",""),"|",""))+IF(AND(OR(J739="EI",J739="EO",J739="EQ"),$AE$1="NESMA"),2,1)))</f>
        <v/>
      </c>
      <c r="P739" s="86">
        <f>IF(J739="EI",IF(OR(Y739="估算法",Y739="算法类"),"中",IF(Y739="无法识别","低",IF(M739&lt;2,IF(O739&lt;16,"低","中"),IF(M739&lt;3,IF(O739&lt;5,"低",IF(O739&lt;16,"中","高")),IF(O739&lt;5,"中","高"))))),IF(OR(J739="EO",J739="EQ"),IF(OR(Y739="估算法",Y739="算法类"),"中",IF(Y739="无法识别","低",IF(M739&lt;2,IF(O739&lt;20,"低","中"),IF(M739&lt;4,IF(O739&lt;6,"低",IF(O739&lt;20,"中","高")),IF(O739&lt;6,"中","高"))))),IF(OR(J739="ILF",J739="EIF"),IF(OR(Y739="估算法",Y739="算法类",Y739="无法识别"),"低",IF(N739&lt;2,IF(O739&lt;51,"低","中"),IF(N739&lt;6,IF(O739&lt;20,"低",IF(O739&lt;51,"中","高")),IF(O739&lt;20,"中","高")))),"不计算")))</f>
        <v/>
      </c>
      <c r="Q739" s="172">
        <f>IFERROR(IF(J739="EI",IF(P739="低",3,IF(P739="中",4,6)),IF(J739="EO",IF(P739="低",4,IF(P739="中",5,7)),IF(J739="EQ",IF(P739="低",3,IF(P739="中",4,6)),IF(J739="ILF",IF(P739="低",7,IF(P739="中",10,15)),IF(J739="EIF",IF(P739="低",5,IF(P739="中",7,10)),"不计算")))))*R739,"不计算")</f>
        <v/>
      </c>
      <c r="R739" s="172" t="n">
        <v>1</v>
      </c>
      <c r="S739" s="173">
        <f>调整因子!$F$13</f>
        <v/>
      </c>
      <c r="T739" s="93" t="n">
        <v>1</v>
      </c>
      <c r="U739" s="174">
        <f>IFERROR(Q739*S739,0)</f>
        <v/>
      </c>
      <c r="V739" s="174">
        <f>U739*T739</f>
        <v/>
      </c>
      <c r="W739" s="91" t="inlineStr">
        <is>
          <t>漏管台账记录主表</t>
        </is>
      </c>
      <c r="X739" s="90" t="n"/>
      <c r="Y739" s="90" t="inlineStr">
        <is>
          <t>漏管台账记录主表{台账类型编码、记录时间|台账记录编号、台账类型编码、台账级别}</t>
        </is>
      </c>
      <c r="Z739" s="90" t="n"/>
      <c r="AA739" s="90" t="n"/>
    </row>
    <row r="740" s="112">
      <c r="A740" s="72">
        <f>ROW()-1</f>
        <v/>
      </c>
      <c r="B740" s="175" t="n"/>
      <c r="C740" s="80" t="n">
        <v>2025</v>
      </c>
      <c r="D740" s="80" t="inlineStr">
        <is>
          <t>张明峰</t>
        </is>
      </c>
      <c r="E740" s="81">
        <f>VLOOKUP(I740,'25年交付功能（不含废弃）'!A:A,1,FALSE)</f>
        <v/>
      </c>
      <c r="F740" s="175" t="n"/>
      <c r="G740" s="175" t="n"/>
      <c r="H740" s="93" t="inlineStr">
        <is>
          <t>台账上报输出</t>
        </is>
      </c>
      <c r="I740" s="98" t="inlineStr">
        <is>
          <t>向部侧上报台账批量数据</t>
        </is>
      </c>
      <c r="J740" s="93" t="inlineStr">
        <is>
          <t>EO</t>
        </is>
      </c>
      <c r="K740" s="84" t="n"/>
      <c r="L740" s="84" t="n"/>
      <c r="M740" s="85">
        <f>IF(OR(Y740="估算法",Y740="算法类",Y740="无法识别"),"",IF(W740="",IF(OR(J740="EI",J740="EO",J740="EQ"),0,""),LEN(W740)-LEN(SUBSTITUTE(W740,"、",""))+1))</f>
        <v/>
      </c>
      <c r="N740" s="85">
        <f>IF(OR(Y740="估算法",Y740="算法类",Y740="无法识别"),"",IF(X740="",IF(OR(J740="ILF",J740="EIF"),0,""),LEN(X740)-LEN(SUBSTITUTE(X740,"、",""))+1))</f>
        <v/>
      </c>
      <c r="O740" s="85">
        <f>IF(OR(Y740="估算法",Y740="算法类",Y740="无法识别"),"",IF(Y740="",IF(OR(J740="ILF",J740="EIF",J740="EI",J740="EO",J740="EQ"),0,""),LEN(Y740)-LEN(SUBSTITUTE(SUBSTITUTE(SUBSTITUTE(SUBSTITUTE(SUBSTITUTE(Y740,"|}","--"),"{|","--"),CHAR(10),""),"、",""),"|",""))+IF(AND(OR(J740="EI",J740="EO",J740="EQ"),$AE$1="NESMA"),2,1)))</f>
        <v/>
      </c>
      <c r="P740" s="86">
        <f>IF(J740="EI",IF(OR(Y740="估算法",Y740="算法类"),"中",IF(Y740="无法识别","低",IF(M740&lt;2,IF(O740&lt;16,"低","中"),IF(M740&lt;3,IF(O740&lt;5,"低",IF(O740&lt;16,"中","高")),IF(O740&lt;5,"中","高"))))),IF(OR(J740="EO",J740="EQ"),IF(OR(Y740="估算法",Y740="算法类"),"中",IF(Y740="无法识别","低",IF(M740&lt;2,IF(O740&lt;20,"低","中"),IF(M740&lt;4,IF(O740&lt;6,"低",IF(O740&lt;20,"中","高")),IF(O740&lt;6,"中","高"))))),IF(OR(J740="ILF",J740="EIF"),IF(OR(Y740="估算法",Y740="算法类",Y740="无法识别"),"低",IF(N740&lt;2,IF(O740&lt;51,"低","中"),IF(N740&lt;6,IF(O740&lt;20,"低",IF(O740&lt;51,"中","高")),IF(O740&lt;20,"中","高")))),"不计算")))</f>
        <v/>
      </c>
      <c r="Q740" s="172">
        <f>IFERROR(IF(J740="EI",IF(P740="低",3,IF(P740="中",4,6)),IF(J740="EO",IF(P740="低",4,IF(P740="中",5,7)),IF(J740="EQ",IF(P740="低",3,IF(P740="中",4,6)),IF(J740="ILF",IF(P740="低",7,IF(P740="中",10,15)),IF(J740="EIF",IF(P740="低",5,IF(P740="中",7,10)),"不计算")))))*R740,"不计算")</f>
        <v/>
      </c>
      <c r="R740" s="172" t="n">
        <v>1</v>
      </c>
      <c r="S740" s="173">
        <f>调整因子!$F$13</f>
        <v/>
      </c>
      <c r="T740" s="93" t="n">
        <v>1</v>
      </c>
      <c r="U740" s="174">
        <f>IFERROR(Q740*S740,0)</f>
        <v/>
      </c>
      <c r="V740" s="174">
        <f>U740*T740</f>
        <v/>
      </c>
      <c r="W740" s="90" t="inlineStr">
        <is>
          <t>漏管台账记录主表、部侧台账批量上报请求接口文件</t>
        </is>
      </c>
      <c r="X740" s="113" t="n"/>
      <c r="Y740" s="90" t="inlineStr">
        <is>
          <t>漏管台账记录主表{台账记录编号、台账类型编码|上报状态}
部侧台账批量上报请求接口文件{|文件编号、文件路径、上传时间}</t>
        </is>
      </c>
      <c r="Z740" s="90" t="n"/>
      <c r="AA740" s="90" t="n"/>
    </row>
    <row r="741" s="112">
      <c r="A741" s="72">
        <f>ROW()-1</f>
        <v/>
      </c>
      <c r="B741" s="175" t="n"/>
      <c r="C741" s="80" t="n">
        <v>2025</v>
      </c>
      <c r="D741" s="80" t="inlineStr">
        <is>
          <t>张明峰</t>
        </is>
      </c>
      <c r="E741" s="81">
        <f>VLOOKUP(I741,'25年交付功能（不含废弃）'!A:A,1,FALSE)</f>
        <v/>
      </c>
      <c r="F741" s="175" t="n"/>
      <c r="G741" s="175" t="n"/>
      <c r="H741" t="inlineStr">
        <is>
          <t>部侧接口对接</t>
        </is>
      </c>
      <c r="I741" s="98" t="inlineStr">
        <is>
          <t>响应部侧测试类台账查询</t>
        </is>
      </c>
      <c r="J741" s="93" t="inlineStr">
        <is>
          <t>EO</t>
        </is>
      </c>
      <c r="K741" s="84" t="n"/>
      <c r="L741" s="84" t="n"/>
      <c r="M741" s="85">
        <f>IF(OR(Y741="估算法",Y741="算法类",Y741="无法识别"),"",IF(W741="",IF(OR(J741="EI",J741="EO",J741="EQ"),0,""),LEN(W741)-LEN(SUBSTITUTE(W741,"、",""))+1))</f>
        <v/>
      </c>
      <c r="N741" s="85">
        <f>IF(OR(Y741="估算法",Y741="算法类",Y741="无法识别"),"",IF(X741="",IF(OR(J741="ILF",J741="EIF"),0,""),LEN(X741)-LEN(SUBSTITUTE(X741,"、",""))+1))</f>
        <v/>
      </c>
      <c r="O741" s="85">
        <f>IF(OR(Y741="估算法",Y741="算法类",Y741="无法识别"),"",IF(Y741="",IF(OR(J741="ILF",J741="EIF",J741="EI",J741="EO",J741="EQ"),0,""),LEN(Y741)-LEN(SUBSTITUTE(SUBSTITUTE(SUBSTITUTE(SUBSTITUTE(SUBSTITUTE(Y741,"|}","--"),"{|","--"),CHAR(10),""),"、",""),"|",""))+IF(AND(OR(J741="EI",J741="EO",J741="EQ"),$AE$1="NESMA"),2,1)))</f>
        <v/>
      </c>
      <c r="P741" s="86">
        <f>IF(J741="EI",IF(OR(Y741="估算法",Y741="算法类"),"中",IF(Y741="无法识别","低",IF(M741&lt;2,IF(O741&lt;16,"低","中"),IF(M741&lt;3,IF(O741&lt;5,"低",IF(O741&lt;16,"中","高")),IF(O741&lt;5,"中","高"))))),IF(OR(J741="EO",J741="EQ"),IF(OR(Y741="估算法",Y741="算法类"),"中",IF(Y741="无法识别","低",IF(M741&lt;2,IF(O741&lt;20,"低","中"),IF(M741&lt;4,IF(O741&lt;6,"低",IF(O741&lt;20,"中","高")),IF(O741&lt;6,"中","高"))))),IF(OR(J741="ILF",J741="EIF"),IF(OR(Y741="估算法",Y741="算法类",Y741="无法识别"),"低",IF(N741&lt;2,IF(O741&lt;51,"低","中"),IF(N741&lt;6,IF(O741&lt;20,"低",IF(O741&lt;51,"中","高")),IF(O741&lt;20,"中","高")))),"不计算")))</f>
        <v/>
      </c>
      <c r="Q741" s="172">
        <f>IFERROR(IF(J741="EI",IF(P741="低",3,IF(P741="中",4,6)),IF(J741="EO",IF(P741="低",4,IF(P741="中",5,7)),IF(J741="EQ",IF(P741="低",3,IF(P741="中",4,6)),IF(J741="ILF",IF(P741="低",7,IF(P741="中",10,15)),IF(J741="EIF",IF(P741="低",5,IF(P741="中",7,10)),"不计算")))))*R741,"不计算")</f>
        <v/>
      </c>
      <c r="R741" s="172" t="n">
        <v>1</v>
      </c>
      <c r="S741" s="173">
        <f>调整因子!$F$13</f>
        <v/>
      </c>
      <c r="T741" s="92" t="n">
        <v>1</v>
      </c>
      <c r="U741" s="174">
        <f>IFERROR(Q741*S741,0)</f>
        <v/>
      </c>
      <c r="V741" s="174">
        <f>U741*T741</f>
        <v/>
      </c>
      <c r="W741" s="90" t="inlineStr">
        <is>
          <t>漏管台账记录主表、部侧测试台账查询记录表</t>
        </is>
      </c>
      <c r="X741" s="113" t="n"/>
      <c r="Y741" s="90" t="inlineStr">
        <is>
          <t>漏管台账记录主表{台账类型编码、记录时间|台账记录编号、台账类型编码、扩展内容}
部侧测试台账查询记录表{测试类型|查询编号、响应状态、返回条数}</t>
        </is>
      </c>
      <c r="Z741" s="90" t="inlineStr">
        <is>
          <t>测试类型3/6</t>
        </is>
      </c>
      <c r="AA741" s="90" t="n"/>
    </row>
    <row r="742" s="112">
      <c r="A742" s="72">
        <f>ROW()-1</f>
        <v/>
      </c>
      <c r="B742" s="175" t="n"/>
      <c r="C742" s="80" t="n">
        <v>2025</v>
      </c>
      <c r="D742" s="80" t="inlineStr">
        <is>
          <t>张明峰</t>
        </is>
      </c>
      <c r="E742" s="81">
        <f>VLOOKUP(I742,'25年交付功能（不含废弃）'!A:A,1,FALSE)</f>
        <v/>
      </c>
      <c r="F742" s="175" t="n"/>
      <c r="G742" s="175" t="n"/>
      <c r="H742" t="inlineStr">
        <is>
          <t>台账配套文件</t>
        </is>
      </c>
      <c r="I742" s="98" t="inlineStr">
        <is>
          <t>打包业务场景十一台账配套文件</t>
        </is>
      </c>
      <c r="J742" s="93" t="inlineStr">
        <is>
          <t>EO</t>
        </is>
      </c>
      <c r="K742" s="84" t="n"/>
      <c r="L742" s="84" t="n"/>
      <c r="M742" s="85">
        <f>IF(OR(Y742="估算法",Y742="算法类",Y742="无法识别"),"",IF(W742="",IF(OR(J742="EI",J742="EO",J742="EQ"),0,""),LEN(W742)-LEN(SUBSTITUTE(W742,"、",""))+1))</f>
        <v/>
      </c>
      <c r="N742" s="85">
        <f>IF(OR(Y742="估算法",Y742="算法类",Y742="无法识别"),"",IF(X742="",IF(OR(J742="ILF",J742="EIF"),0,""),LEN(X742)-LEN(SUBSTITUTE(X742,"、",""))+1))</f>
        <v/>
      </c>
      <c r="O742" s="85">
        <f>IF(OR(Y742="估算法",Y742="算法类",Y742="无法识别"),"",IF(Y742="",IF(OR(J742="ILF",J742="EIF",J742="EI",J742="EO",J742="EQ"),0,""),LEN(Y742)-LEN(SUBSTITUTE(SUBSTITUTE(SUBSTITUTE(SUBSTITUTE(SUBSTITUTE(Y742,"|}","--"),"{|","--"),CHAR(10),""),"、",""),"|",""))+IF(AND(OR(J742="EI",J742="EO",J742="EQ"),$AE$1="NESMA"),2,1)))</f>
        <v/>
      </c>
      <c r="P742" s="86">
        <f>IF(J742="EI",IF(OR(Y742="估算法",Y742="算法类"),"中",IF(Y742="无法识别","低",IF(M742&lt;2,IF(O742&lt;16,"低","中"),IF(M742&lt;3,IF(O742&lt;5,"低",IF(O742&lt;16,"中","高")),IF(O742&lt;5,"中","高"))))),IF(OR(J742="EO",J742="EQ"),IF(OR(Y742="估算法",Y742="算法类"),"中",IF(Y742="无法识别","低",IF(M742&lt;2,IF(O742&lt;20,"低","中"),IF(M742&lt;4,IF(O742&lt;6,"低",IF(O742&lt;20,"中","高")),IF(O742&lt;6,"中","高"))))),IF(OR(J742="ILF",J742="EIF"),IF(OR(Y742="估算法",Y742="算法类",Y742="无法识别"),"低",IF(N742&lt;2,IF(O742&lt;51,"低","中"),IF(N742&lt;6,IF(O742&lt;20,"低",IF(O742&lt;51,"中","高")),IF(O742&lt;20,"中","高")))),"不计算")))</f>
        <v/>
      </c>
      <c r="Q742" s="172">
        <f>IFERROR(IF(J742="EI",IF(P742="低",3,IF(P742="中",4,6)),IF(J742="EO",IF(P742="低",4,IF(P742="中",5,7)),IF(J742="EQ",IF(P742="低",3,IF(P742="中",4,6)),IF(J742="ILF",IF(P742="低",7,IF(P742="中",10,15)),IF(J742="EIF",IF(P742="低",5,IF(P742="中",7,10)),"不计算")))))*R742,"不计算")</f>
        <v/>
      </c>
      <c r="R742" s="172" t="n">
        <v>1</v>
      </c>
      <c r="S742" s="173">
        <f>调整因子!$F$13</f>
        <v/>
      </c>
      <c r="T742" s="92" t="n">
        <v>1</v>
      </c>
      <c r="U742" s="174">
        <f>IFERROR(Q742*S742,0)</f>
        <v/>
      </c>
      <c r="V742" s="174">
        <f>U742*T742</f>
        <v/>
      </c>
      <c r="W742" s="90" t="inlineStr">
        <is>
          <t>业务场景十一台账文件表、漏管台账记录主表</t>
        </is>
      </c>
      <c r="X742" s="113" t="n"/>
      <c r="Y742" s="90" t="inlineStr">
        <is>
          <t>漏管台账记录主表{台账记录编号、配套文件编号|配套文件编号}
业务场景十一台账文件表{|配套文件编号、文件键名、记录条数、文件路径}</t>
        </is>
      </c>
      <c r="Z742" s="90" t="n"/>
      <c r="AA742" s="90" t="n"/>
    </row>
    <row r="743" s="112">
      <c r="A743" s="72">
        <f>ROW()-1</f>
        <v/>
      </c>
      <c r="B743" s="175" t="n"/>
      <c r="C743" s="80" t="n">
        <v>2025</v>
      </c>
      <c r="D743" s="80" t="inlineStr">
        <is>
          <t>张明峰</t>
        </is>
      </c>
      <c r="E743" s="81">
        <f>VLOOKUP(I743,'25年交付功能（不含废弃）'!A:A,1,FALSE)</f>
        <v/>
      </c>
      <c r="F743" s="175" t="n"/>
      <c r="G743" s="175" t="n"/>
      <c r="I743" s="98" t="inlineStr">
        <is>
          <t>维护配套文件与部侧指令传输关联</t>
        </is>
      </c>
      <c r="J743" s="93" t="inlineStr">
        <is>
          <t>EI</t>
        </is>
      </c>
      <c r="K743" s="84" t="n"/>
      <c r="L743" s="84" t="n"/>
      <c r="M743" s="85">
        <f>IF(OR(Y743="估算法",Y743="算法类",Y743="无法识别"),"",IF(W743="",IF(OR(J743="EI",J743="EO",J743="EQ"),0,""),LEN(W743)-LEN(SUBSTITUTE(W743,"、",""))+1))</f>
        <v/>
      </c>
      <c r="N743" s="85">
        <f>IF(OR(Y743="估算法",Y743="算法类",Y743="无法识别"),"",IF(X743="",IF(OR(J743="ILF",J743="EIF"),0,""),LEN(X743)-LEN(SUBSTITUTE(X743,"、",""))+1))</f>
        <v/>
      </c>
      <c r="O743" s="85">
        <f>IF(OR(Y743="估算法",Y743="算法类",Y743="无法识别"),"",IF(Y743="",IF(OR(J743="ILF",J743="EIF",J743="EI",J743="EO",J743="EQ"),0,""),LEN(Y743)-LEN(SUBSTITUTE(SUBSTITUTE(SUBSTITUTE(SUBSTITUTE(SUBSTITUTE(Y743,"|}","--"),"{|","--"),CHAR(10),""),"、",""),"|",""))+IF(AND(OR(J743="EI",J743="EO",J743="EQ"),$AE$1="NESMA"),2,1)))</f>
        <v/>
      </c>
      <c r="P743" s="86">
        <f>IF(J743="EI",IF(OR(Y743="估算法",Y743="算法类"),"中",IF(Y743="无法识别","低",IF(M743&lt;2,IF(O743&lt;16,"低","中"),IF(M743&lt;3,IF(O743&lt;5,"低",IF(O743&lt;16,"中","高")),IF(O743&lt;5,"中","高"))))),IF(OR(J743="EO",J743="EQ"),IF(OR(Y743="估算法",Y743="算法类"),"中",IF(Y743="无法识别","低",IF(M743&lt;2,IF(O743&lt;20,"低","中"),IF(M743&lt;4,IF(O743&lt;6,"低",IF(O743&lt;20,"中","高")),IF(O743&lt;6,"中","高"))))),IF(OR(J743="ILF",J743="EIF"),IF(OR(Y743="估算法",Y743="算法类",Y743="无法识别"),"低",IF(N743&lt;2,IF(O743&lt;51,"低","中"),IF(N743&lt;6,IF(O743&lt;20,"低",IF(O743&lt;51,"中","高")),IF(O743&lt;20,"中","高")))),"不计算")))</f>
        <v/>
      </c>
      <c r="Q743" s="172">
        <f>IFERROR(IF(J743="EI",IF(P743="低",3,IF(P743="中",4,6)),IF(J743="EO",IF(P743="低",4,IF(P743="中",5,7)),IF(J743="EQ",IF(P743="低",3,IF(P743="中",4,6)),IF(J743="ILF",IF(P743="低",7,IF(P743="中",10,15)),IF(J743="EIF",IF(P743="低",5,IF(P743="中",7,10)),"不计算")))))*R743,"不计算")</f>
        <v/>
      </c>
      <c r="R743" s="172" t="n">
        <v>1</v>
      </c>
      <c r="S743" s="173">
        <f>调整因子!$F$13</f>
        <v/>
      </c>
      <c r="T743" s="93" t="n">
        <v>1</v>
      </c>
      <c r="U743" s="174">
        <f>IFERROR(Q743*S743,0)</f>
        <v/>
      </c>
      <c r="V743" s="174">
        <f>U743*T743</f>
        <v/>
      </c>
      <c r="W743" s="90" t="inlineStr">
        <is>
          <t>台账配套文件元数据表</t>
        </is>
      </c>
      <c r="X743" s="113" t="n"/>
      <c r="Y743" s="90" t="inlineStr">
        <is>
          <t>台账配套文件元数据表{配套文件编号、部侧指令编号、文件键名|配套文件编号、文件路径}</t>
        </is>
      </c>
      <c r="Z743" s="90" t="n"/>
      <c r="AA743" s="90" t="n"/>
    </row>
    <row r="744" s="112">
      <c r="A744" s="72">
        <f>ROW()-1</f>
        <v/>
      </c>
      <c r="B744" s="175" t="n"/>
      <c r="C744" s="80" t="n">
        <v>2025</v>
      </c>
      <c r="D744" s="80" t="inlineStr">
        <is>
          <t>张明峰</t>
        </is>
      </c>
      <c r="E744" s="81">
        <f>VLOOKUP(I744,'25年交付功能（不含废弃）'!A:A,1,FALSE)</f>
        <v/>
      </c>
      <c r="F744" s="175" t="n"/>
      <c r="G744" s="175" t="n"/>
      <c r="I744" s="98" t="inlineStr">
        <is>
          <t>关联配套文件编号与台账记录</t>
        </is>
      </c>
      <c r="J744" s="93" t="inlineStr">
        <is>
          <t>EI</t>
        </is>
      </c>
      <c r="K744" s="84" t="n"/>
      <c r="L744" s="84" t="n"/>
      <c r="M744" s="85">
        <f>IF(OR(Y744="估算法",Y744="算法类",Y744="无法识别"),"",IF(W744="",IF(OR(J744="EI",J744="EO",J744="EQ"),0,""),LEN(W744)-LEN(SUBSTITUTE(W744,"、",""))+1))</f>
        <v/>
      </c>
      <c r="N744" s="85">
        <f>IF(OR(Y744="估算法",Y744="算法类",Y744="无法识别"),"",IF(X744="",IF(OR(J744="ILF",J744="EIF"),0,""),LEN(X744)-LEN(SUBSTITUTE(X744,"、",""))+1))</f>
        <v/>
      </c>
      <c r="O744" s="85">
        <f>IF(OR(Y744="估算法",Y744="算法类",Y744="无法识别"),"",IF(Y744="",IF(OR(J744="ILF",J744="EIF",J744="EI",J744="EO",J744="EQ"),0,""),LEN(Y744)-LEN(SUBSTITUTE(SUBSTITUTE(SUBSTITUTE(SUBSTITUTE(SUBSTITUTE(Y744,"|}","--"),"{|","--"),CHAR(10),""),"、",""),"|",""))+IF(AND(OR(J744="EI",J744="EO",J744="EQ"),$AE$1="NESMA"),2,1)))</f>
        <v/>
      </c>
      <c r="P744" s="86">
        <f>IF(J744="EI",IF(OR(Y744="估算法",Y744="算法类"),"中",IF(Y744="无法识别","低",IF(M744&lt;2,IF(O744&lt;16,"低","中"),IF(M744&lt;3,IF(O744&lt;5,"低",IF(O744&lt;16,"中","高")),IF(O744&lt;5,"中","高"))))),IF(OR(J744="EO",J744="EQ"),IF(OR(Y744="估算法",Y744="算法类"),"中",IF(Y744="无法识别","低",IF(M744&lt;2,IF(O744&lt;20,"低","中"),IF(M744&lt;4,IF(O744&lt;6,"低",IF(O744&lt;20,"中","高")),IF(O744&lt;6,"中","高"))))),IF(OR(J744="ILF",J744="EIF"),IF(OR(Y744="估算法",Y744="算法类",Y744="无法识别"),"低",IF(N744&lt;2,IF(O744&lt;51,"低","中"),IF(N744&lt;6,IF(O744&lt;20,"低",IF(O744&lt;51,"中","高")),IF(O744&lt;20,"中","高")))),"不计算")))</f>
        <v/>
      </c>
      <c r="Q744" s="172">
        <f>IFERROR(IF(J744="EI",IF(P744="低",3,IF(P744="中",4,6)),IF(J744="EO",IF(P744="低",4,IF(P744="中",5,7)),IF(J744="EQ",IF(P744="低",3,IF(P744="中",4,6)),IF(J744="ILF",IF(P744="低",7,IF(P744="中",10,15)),IF(J744="EIF",IF(P744="低",5,IF(P744="中",7,10)),"不计算")))))*R744,"不计算")</f>
        <v/>
      </c>
      <c r="R744" s="172" t="n">
        <v>1</v>
      </c>
      <c r="S744" s="173">
        <f>调整因子!$F$13</f>
        <v/>
      </c>
      <c r="T744" s="92" t="n">
        <v>1</v>
      </c>
      <c r="U744" s="174">
        <f>IFERROR(Q744*S744,0)</f>
        <v/>
      </c>
      <c r="V744" s="174">
        <f>U744*T744</f>
        <v/>
      </c>
      <c r="W744" s="90" t="inlineStr">
        <is>
          <t>漏管台账记录主表、台账配套文件元数据表</t>
        </is>
      </c>
      <c r="X744" s="113" t="n"/>
      <c r="Y744" s="90" t="inlineStr">
        <is>
          <t>漏管台账记录主表{台账记录编号、配套文件编号|配套文件编号}
台账配套文件元数据表{配套文件编号|部侧指令编号、文件键名}</t>
        </is>
      </c>
      <c r="Z744" s="90" t="n"/>
      <c r="AA744" s="90" t="n"/>
    </row>
    <row r="745" s="112">
      <c r="A745" s="72">
        <f>ROW()-1</f>
        <v/>
      </c>
      <c r="B745" s="175" t="n"/>
      <c r="C745" s="80" t="n">
        <v>2025</v>
      </c>
      <c r="D745" s="80" t="inlineStr">
        <is>
          <t>张明峰</t>
        </is>
      </c>
      <c r="E745" s="81">
        <f>VLOOKUP(I745,'25年交付功能（不含废弃）'!A:A,1,FALSE)</f>
        <v/>
      </c>
      <c r="F745" s="175" t="n"/>
      <c r="G745" s="175" t="n"/>
      <c r="I745" s="98" t="inlineStr">
        <is>
          <t>业务场景十一台账文件表</t>
        </is>
      </c>
      <c r="J745" s="93" t="inlineStr">
        <is>
          <t>ILF</t>
        </is>
      </c>
      <c r="K745" s="84" t="n"/>
      <c r="L745" s="84" t="n"/>
      <c r="M745" s="85">
        <f>IF(OR(Y745="估算法",Y745="算法类",Y745="无法识别"),"",IF(W745="",IF(OR(J745="EI",J745="EO",J745="EQ"),0,""),LEN(W745)-LEN(SUBSTITUTE(W745,"、",""))+1))</f>
        <v/>
      </c>
      <c r="N745" s="85">
        <f>IF(OR(Y745="估算法",Y745="算法类",Y745="无法识别"),"",IF(X745="",IF(OR(J745="ILF",J745="EIF"),0,""),LEN(X745)-LEN(SUBSTITUTE(X745,"、",""))+1))</f>
        <v/>
      </c>
      <c r="O745" s="85">
        <f>IF(OR(Y745="估算法",Y745="算法类",Y745="无法识别"),"",IF(Y745="",IF(OR(J745="ILF",J745="EIF",J745="EI",J745="EO",J745="EQ"),0,""),LEN(Y745)-LEN(SUBSTITUTE(SUBSTITUTE(SUBSTITUTE(SUBSTITUTE(SUBSTITUTE(Y745,"|}","--"),"{|","--"),CHAR(10),""),"、",""),"|",""))+IF(AND(OR(J745="EI",J745="EO",J745="EQ"),$AE$1="NESMA"),2,1)))</f>
        <v/>
      </c>
      <c r="P745" s="86">
        <f>IF(J745="EI",IF(OR(Y745="估算法",Y745="算法类"),"中",IF(Y745="无法识别","低",IF(M745&lt;2,IF(O745&lt;16,"低","中"),IF(M745&lt;3,IF(O745&lt;5,"低",IF(O745&lt;16,"中","高")),IF(O745&lt;5,"中","高"))))),IF(OR(J745="EO",J745="EQ"),IF(OR(Y745="估算法",Y745="算法类"),"中",IF(Y745="无法识别","低",IF(M745&lt;2,IF(O745&lt;20,"低","中"),IF(M745&lt;4,IF(O745&lt;6,"低",IF(O745&lt;20,"中","高")),IF(O745&lt;6,"中","高"))))),IF(OR(J745="ILF",J745="EIF"),IF(OR(Y745="估算法",Y745="算法类",Y745="无法识别"),"低",IF(N745&lt;2,IF(O745&lt;51,"低","中"),IF(N745&lt;6,IF(O745&lt;20,"低",IF(O745&lt;51,"中","高")),IF(O745&lt;20,"中","高")))),"不计算")))</f>
        <v/>
      </c>
      <c r="Q745" s="172">
        <f>IFERROR(IF(J745="EI",IF(P745="低",3,IF(P745="中",4,6)),IF(J745="EO",IF(P745="低",4,IF(P745="中",5,7)),IF(J745="EQ",IF(P745="低",3,IF(P745="中",4,6)),IF(J745="ILF",IF(P745="低",7,IF(P745="中",10,15)),IF(J745="EIF",IF(P745="低",5,IF(P745="中",7,10)),"不计算")))))*R745,"不计算")</f>
        <v/>
      </c>
      <c r="R745" s="172" t="n">
        <v>1</v>
      </c>
      <c r="S745" s="173">
        <f>调整因子!$F$13</f>
        <v/>
      </c>
      <c r="T745" s="92" t="n">
        <v>1</v>
      </c>
      <c r="U745" s="174">
        <f>IFERROR(Q745*S745,0)</f>
        <v/>
      </c>
      <c r="V745" s="174">
        <f>U745*T745</f>
        <v/>
      </c>
      <c r="W745" s="90" t="n"/>
      <c r="X745" s="113" t="inlineStr">
        <is>
          <t>业务场景十一台账文件表</t>
        </is>
      </c>
      <c r="Y745" s="90" t="inlineStr">
        <is>
          <t>业务场景十一台账文件表{配套文件编号、部侧指令编号、文件键名、记录条数、文件路径、创建时间}</t>
        </is>
      </c>
      <c r="Z745" s="90" t="n"/>
      <c r="AA745" s="90" t="n"/>
    </row>
    <row r="746" s="112">
      <c r="A746" s="72">
        <f>ROW()-1</f>
        <v/>
      </c>
      <c r="B746" s="175" t="n"/>
      <c r="C746" s="80" t="n">
        <v>2025</v>
      </c>
      <c r="D746" s="80" t="inlineStr">
        <is>
          <t>张明峰</t>
        </is>
      </c>
      <c r="E746" s="81">
        <f>VLOOKUP(I746,'25年交付功能（不含废弃）'!A:A,1,FALSE)</f>
        <v/>
      </c>
      <c r="F746" s="175" t="n"/>
      <c r="G746" s="175" t="n"/>
      <c r="H746" t="inlineStr">
        <is>
          <t>台账统计</t>
        </is>
      </c>
      <c r="I746" s="98" t="inlineStr">
        <is>
          <t>按台账类型统计周期内记录数量</t>
        </is>
      </c>
      <c r="J746" s="93" t="inlineStr">
        <is>
          <t>EO</t>
        </is>
      </c>
      <c r="K746" s="84" t="n"/>
      <c r="L746" s="84" t="n"/>
      <c r="M746" s="85">
        <f>IF(OR(Y746="估算法",Y746="算法类",Y746="无法识别"),"",IF(W746="",IF(OR(J746="EI",J746="EO",J746="EQ"),0,""),LEN(W746)-LEN(SUBSTITUTE(W746,"、",""))+1))</f>
        <v/>
      </c>
      <c r="N746" s="85">
        <f>IF(OR(Y746="估算法",Y746="算法类",Y746="无法识别"),"",IF(X746="",IF(OR(J746="ILF",J746="EIF"),0,""),LEN(X746)-LEN(SUBSTITUTE(X746,"、",""))+1))</f>
        <v/>
      </c>
      <c r="O746" s="85">
        <f>IF(OR(Y746="估算法",Y746="算法类",Y746="无法识别"),"",IF(Y746="",IF(OR(J746="ILF",J746="EIF",J746="EI",J746="EO",J746="EQ"),0,""),LEN(Y746)-LEN(SUBSTITUTE(SUBSTITUTE(SUBSTITUTE(SUBSTITUTE(SUBSTITUTE(Y746,"|}","--"),"{|","--"),CHAR(10),""),"、",""),"|",""))+IF(AND(OR(J746="EI",J746="EO",J746="EQ"),$AE$1="NESMA"),2,1)))</f>
        <v/>
      </c>
      <c r="P746" s="86">
        <f>IF(J746="EI",IF(OR(Y746="估算法",Y746="算法类"),"中",IF(Y746="无法识别","低",IF(M746&lt;2,IF(O746&lt;16,"低","中"),IF(M746&lt;3,IF(O746&lt;5,"低",IF(O746&lt;16,"中","高")),IF(O746&lt;5,"中","高"))))),IF(OR(J746="EO",J746="EQ"),IF(OR(Y746="估算法",Y746="算法类"),"中",IF(Y746="无法识别","低",IF(M746&lt;2,IF(O746&lt;20,"低","中"),IF(M746&lt;4,IF(O746&lt;6,"低",IF(O746&lt;20,"中","高")),IF(O746&lt;6,"中","高"))))),IF(OR(J746="ILF",J746="EIF"),IF(OR(Y746="估算法",Y746="算法类",Y746="无法识别"),"低",IF(N746&lt;2,IF(O746&lt;51,"低","中"),IF(N746&lt;6,IF(O746&lt;20,"低",IF(O746&lt;51,"中","高")),IF(O746&lt;20,"中","高")))),"不计算")))</f>
        <v/>
      </c>
      <c r="Q746" s="172">
        <f>IFERROR(IF(J746="EI",IF(P746="低",3,IF(P746="中",4,6)),IF(J746="EO",IF(P746="低",4,IF(P746="中",5,7)),IF(J746="EQ",IF(P746="低",3,IF(P746="中",4,6)),IF(J746="ILF",IF(P746="低",7,IF(P746="中",10,15)),IF(J746="EIF",IF(P746="低",5,IF(P746="中",7,10)),"不计算")))))*R746,"不计算")</f>
        <v/>
      </c>
      <c r="R746" s="172" t="n">
        <v>1</v>
      </c>
      <c r="S746" s="173">
        <f>调整因子!$F$13</f>
        <v/>
      </c>
      <c r="T746" s="93" t="n">
        <v>1</v>
      </c>
      <c r="U746" s="174">
        <f>IFERROR(Q746*S746,0)</f>
        <v/>
      </c>
      <c r="V746" s="174">
        <f>U746*T746</f>
        <v/>
      </c>
      <c r="W746" s="90" t="inlineStr">
        <is>
          <t>任务统计对象表、漏管台账记录主表</t>
        </is>
      </c>
      <c r="X746" s="113" t="n"/>
      <c r="Y746" s="90" t="inlineStr">
        <is>
          <t>漏管台账记录主表{台账类型编码、记录时间|台账类型编码}
任务统计对象表{|统计周期、台账类型编码、发送数量}</t>
        </is>
      </c>
      <c r="Z746" s="90" t="inlineStr">
        <is>
          <t>表51</t>
        </is>
      </c>
      <c r="AA746" s="90" t="n"/>
    </row>
    <row r="747" s="112">
      <c r="A747" s="72">
        <f>ROW()-1</f>
        <v/>
      </c>
      <c r="B747" s="175" t="n"/>
      <c r="C747" s="80" t="n">
        <v>2025</v>
      </c>
      <c r="D747" s="80" t="inlineStr">
        <is>
          <t>张明峰</t>
        </is>
      </c>
      <c r="E747" s="81">
        <f>VLOOKUP(I747,'25年交付功能（不含废弃）'!A:A,1,FALSE)</f>
        <v/>
      </c>
      <c r="F747" s="175" t="n"/>
      <c r="G747" s="175" t="n"/>
      <c r="I747" s="98" t="inlineStr">
        <is>
          <t>按指令类型统计本地收发数量</t>
        </is>
      </c>
      <c r="J747" s="93" t="inlineStr">
        <is>
          <t>EO</t>
        </is>
      </c>
      <c r="K747" s="109" t="n"/>
      <c r="L747" s="84" t="n"/>
      <c r="M747" s="85">
        <f>IF(OR(Y747="估算法",Y747="算法类",Y747="无法识别"),"",IF(W747="",IF(OR(J747="EI",J747="EO",J747="EQ"),0,""),LEN(W747)-LEN(SUBSTITUTE(W747,"、",""))+1))</f>
        <v/>
      </c>
      <c r="N747" s="85">
        <f>IF(OR(Y747="估算法",Y747="算法类",Y747="无法识别"),"",IF(X747="",IF(OR(J747="ILF",J747="EIF"),0,""),LEN(X747)-LEN(SUBSTITUTE(X747,"、",""))+1))</f>
        <v/>
      </c>
      <c r="O747" s="85">
        <f>IF(OR(Y747="估算法",Y747="算法类",Y747="无法识别"),"",IF(Y747="",IF(OR(J747="ILF",J747="EIF",J747="EI",J747="EO",J747="EQ"),0,""),LEN(Y747)-LEN(SUBSTITUTE(SUBSTITUTE(SUBSTITUTE(SUBSTITUTE(SUBSTITUTE(Y747,"|}","--"),"{|","--"),CHAR(10),""),"、",""),"|",""))+IF(AND(OR(J747="EI",J747="EO",J747="EQ"),$AE$1="NESMA"),2,1)))</f>
        <v/>
      </c>
      <c r="P747" s="86">
        <f>IF(J747="EI",IF(OR(Y747="估算法",Y747="算法类"),"中",IF(Y747="无法识别","低",IF(M747&lt;2,IF(O747&lt;16,"低","中"),IF(M747&lt;3,IF(O747&lt;5,"低",IF(O747&lt;16,"中","高")),IF(O747&lt;5,"中","高"))))),IF(OR(J747="EO",J747="EQ"),IF(OR(Y747="估算法",Y747="算法类"),"中",IF(Y747="无法识别","低",IF(M747&lt;2,IF(O747&lt;20,"低","中"),IF(M747&lt;4,IF(O747&lt;6,"低",IF(O747&lt;20,"中","高")),IF(O747&lt;6,"中","高"))))),IF(OR(J747="ILF",J747="EIF"),IF(OR(Y747="估算法",Y747="算法类",Y747="无法识别"),"低",IF(N747&lt;2,IF(O747&lt;51,"低","中"),IF(N747&lt;6,IF(O747&lt;20,"低",IF(O747&lt;51,"中","高")),IF(O747&lt;20,"中","高")))),"不计算")))</f>
        <v/>
      </c>
      <c r="Q747" s="172">
        <f>IFERROR(IF(J747="EI",IF(P747="低",3,IF(P747="中",4,6)),IF(J747="EO",IF(P747="低",4,IF(P747="中",5,7)),IF(J747="EQ",IF(P747="低",3,IF(P747="中",4,6)),IF(J747="ILF",IF(P747="低",7,IF(P747="中",10,15)),IF(J747="EIF",IF(P747="低",5,IF(P747="中",7,10)),"不计算")))))*R747,"不计算")</f>
        <v/>
      </c>
      <c r="R747" s="172" t="n">
        <v>1</v>
      </c>
      <c r="S747" s="173">
        <f>调整因子!$F$13</f>
        <v/>
      </c>
      <c r="T747" s="93" t="n">
        <v>1</v>
      </c>
      <c r="U747" s="174">
        <f>IFERROR(Q747*S747,0)</f>
        <v/>
      </c>
      <c r="V747" s="174">
        <f>U747*T747</f>
        <v/>
      </c>
      <c r="W747" s="90" t="inlineStr">
        <is>
          <t>任务统计对象表</t>
        </is>
      </c>
      <c r="X747" s="113" t="n"/>
      <c r="Y747" s="90" t="inlineStr">
        <is>
          <t>任务统计对象表{统计周期、指令类型|发送数量、接收数量}</t>
        </is>
      </c>
      <c r="Z747" s="90" t="inlineStr">
        <is>
          <t>表51</t>
        </is>
      </c>
      <c r="AA747" s="90" t="n"/>
    </row>
    <row r="748" s="112">
      <c r="A748" s="72">
        <f>ROW()-1</f>
        <v/>
      </c>
      <c r="B748" s="175" t="n"/>
      <c r="C748" s="80" t="n">
        <v>2025</v>
      </c>
      <c r="D748" s="80" t="inlineStr">
        <is>
          <t>张明峰</t>
        </is>
      </c>
      <c r="E748" s="81">
        <f>VLOOKUP(I748,'25年交付功能（不含废弃）'!A:A,1,FALSE)</f>
        <v/>
      </c>
      <c r="F748" s="175" t="n"/>
      <c r="G748" s="175" t="n"/>
      <c r="I748" s="98" t="inlineStr">
        <is>
          <t>任务统计对象表</t>
        </is>
      </c>
      <c r="J748" s="93" t="inlineStr">
        <is>
          <t>ILF</t>
        </is>
      </c>
      <c r="K748" s="84" t="n"/>
      <c r="L748" s="84" t="n"/>
      <c r="M748" s="85">
        <f>IF(OR(Y748="估算法",Y748="算法类",Y748="无法识别"),"",IF(W748="",IF(OR(J748="EI",J748="EO",J748="EQ"),0,""),LEN(W748)-LEN(SUBSTITUTE(W748,"、",""))+1))</f>
        <v/>
      </c>
      <c r="N748" s="85">
        <f>IF(OR(Y748="估算法",Y748="算法类",Y748="无法识别"),"",IF(X748="",IF(OR(J748="ILF",J748="EIF"),0,""),LEN(X748)-LEN(SUBSTITUTE(X748,"、",""))+1))</f>
        <v/>
      </c>
      <c r="O748" s="85">
        <f>IF(OR(Y748="估算法",Y748="算法类",Y748="无法识别"),"",IF(Y748="",IF(OR(J748="ILF",J748="EIF",J748="EI",J748="EO",J748="EQ"),0,""),LEN(Y748)-LEN(SUBSTITUTE(SUBSTITUTE(SUBSTITUTE(SUBSTITUTE(SUBSTITUTE(Y748,"|}","--"),"{|","--"),CHAR(10),""),"、",""),"|",""))+IF(AND(OR(J748="EI",J748="EO",J748="EQ"),$AE$1="NESMA"),2,1)))</f>
        <v/>
      </c>
      <c r="P748" s="86">
        <f>IF(J748="EI",IF(OR(Y748="估算法",Y748="算法类"),"中",IF(Y748="无法识别","低",IF(M748&lt;2,IF(O748&lt;16,"低","中"),IF(M748&lt;3,IF(O748&lt;5,"低",IF(O748&lt;16,"中","高")),IF(O748&lt;5,"中","高"))))),IF(OR(J748="EO",J748="EQ"),IF(OR(Y748="估算法",Y748="算法类"),"中",IF(Y748="无法识别","低",IF(M748&lt;2,IF(O748&lt;20,"低","中"),IF(M748&lt;4,IF(O748&lt;6,"低",IF(O748&lt;20,"中","高")),IF(O748&lt;6,"中","高"))))),IF(OR(J748="ILF",J748="EIF"),IF(OR(Y748="估算法",Y748="算法类",Y748="无法识别"),"低",IF(N748&lt;2,IF(O748&lt;51,"低","中"),IF(N748&lt;6,IF(O748&lt;20,"低",IF(O748&lt;51,"中","高")),IF(O748&lt;20,"中","高")))),"不计算")))</f>
        <v/>
      </c>
      <c r="Q748" s="172">
        <f>IFERROR(IF(J748="EI",IF(P748="低",3,IF(P748="中",4,6)),IF(J748="EO",IF(P748="低",4,IF(P748="中",5,7)),IF(J748="EQ",IF(P748="低",3,IF(P748="中",4,6)),IF(J748="ILF",IF(P748="低",7,IF(P748="中",10,15)),IF(J748="EIF",IF(P748="低",5,IF(P748="中",7,10)),"不计算")))))*R748,"不计算")</f>
        <v/>
      </c>
      <c r="R748" s="172" t="n">
        <v>1</v>
      </c>
      <c r="S748" s="173">
        <f>调整因子!$F$13</f>
        <v/>
      </c>
      <c r="T748" s="92" t="n">
        <v>1</v>
      </c>
      <c r="U748" s="174">
        <f>IFERROR(Q748*S748,0)</f>
        <v/>
      </c>
      <c r="V748" s="174">
        <f>U748*T748</f>
        <v/>
      </c>
      <c r="W748" s="91" t="n"/>
      <c r="X748" s="90" t="inlineStr">
        <is>
          <t>任务统计对象表</t>
        </is>
      </c>
      <c r="Y748" s="90" t="inlineStr">
        <is>
          <t>任务统计对象表{统计编号、统计周期、台账类型编码、指令类型、发送数量、接收数量}</t>
        </is>
      </c>
      <c r="Z748" s="90" t="inlineStr">
        <is>
          <t>表51</t>
        </is>
      </c>
      <c r="AA748" s="90" t="n"/>
    </row>
    <row r="749" s="112">
      <c r="A749" s="72">
        <f>ROW()-1</f>
        <v/>
      </c>
      <c r="B749" s="175" t="n"/>
      <c r="C749" s="80" t="n">
        <v>2025</v>
      </c>
      <c r="D749" s="80" t="inlineStr">
        <is>
          <t>张明峰</t>
        </is>
      </c>
      <c r="E749" s="81">
        <f>VLOOKUP(I749,'25年交付功能（不含废弃）'!A:A,1,FALSE)</f>
        <v/>
      </c>
      <c r="F749" s="175" t="n"/>
      <c r="G749" s="175" t="n"/>
      <c r="H749" t="inlineStr">
        <is>
          <t>部侧接口对接</t>
        </is>
      </c>
      <c r="I749" s="98" t="inlineStr">
        <is>
          <t>部侧测试台账查询记录表</t>
        </is>
      </c>
      <c r="J749" s="93" t="inlineStr">
        <is>
          <t>ILF</t>
        </is>
      </c>
      <c r="K749" s="84" t="n"/>
      <c r="L749" s="84" t="n"/>
      <c r="M749" s="85">
        <f>IF(OR(Y749="估算法",Y749="算法类",Y749="无法识别"),"",IF(W749="",IF(OR(J749="EI",J749="EO",J749="EQ"),0,""),LEN(W749)-LEN(SUBSTITUTE(W749,"、",""))+1))</f>
        <v/>
      </c>
      <c r="N749" s="85">
        <f>IF(OR(Y749="估算法",Y749="算法类",Y749="无法识别"),"",IF(X749="",IF(OR(J749="ILF",J749="EIF"),0,""),LEN(X749)-LEN(SUBSTITUTE(X749,"、",""))+1))</f>
        <v/>
      </c>
      <c r="O749" s="85">
        <f>IF(OR(Y749="估算法",Y749="算法类",Y749="无法识别"),"",IF(Y749="",IF(OR(J749="ILF",J749="EIF",J749="EI",J749="EO",J749="EQ"),0,""),LEN(Y749)-LEN(SUBSTITUTE(SUBSTITUTE(SUBSTITUTE(SUBSTITUTE(SUBSTITUTE(Y749,"|}","--"),"{|","--"),CHAR(10),""),"、",""),"|",""))+IF(AND(OR(J749="EI",J749="EO",J749="EQ"),$AE$1="NESMA"),2,1)))</f>
        <v/>
      </c>
      <c r="P749" s="86">
        <f>IF(J749="EI",IF(OR(Y749="估算法",Y749="算法类"),"中",IF(Y749="无法识别","低",IF(M749&lt;2,IF(O749&lt;16,"低","中"),IF(M749&lt;3,IF(O749&lt;5,"低",IF(O749&lt;16,"中","高")),IF(O749&lt;5,"中","高"))))),IF(OR(J749="EO",J749="EQ"),IF(OR(Y749="估算法",Y749="算法类"),"中",IF(Y749="无法识别","低",IF(M749&lt;2,IF(O749&lt;20,"低","中"),IF(M749&lt;4,IF(O749&lt;6,"低",IF(O749&lt;20,"中","高")),IF(O749&lt;6,"中","高"))))),IF(OR(J749="ILF",J749="EIF"),IF(OR(Y749="估算法",Y749="算法类",Y749="无法识别"),"低",IF(N749&lt;2,IF(O749&lt;51,"低","中"),IF(N749&lt;6,IF(O749&lt;20,"低",IF(O749&lt;51,"中","高")),IF(O749&lt;20,"中","高")))),"不计算")))</f>
        <v/>
      </c>
      <c r="Q749" s="172">
        <f>IFERROR(IF(J749="EI",IF(P749="低",3,IF(P749="中",4,6)),IF(J749="EO",IF(P749="低",4,IF(P749="中",5,7)),IF(J749="EQ",IF(P749="低",3,IF(P749="中",4,6)),IF(J749="ILF",IF(P749="低",7,IF(P749="中",10,15)),IF(J749="EIF",IF(P749="低",5,IF(P749="中",7,10)),"不计算")))))*R749,"不计算")</f>
        <v/>
      </c>
      <c r="R749" s="172" t="n">
        <v>1</v>
      </c>
      <c r="S749" s="173">
        <f>调整因子!$F$13</f>
        <v/>
      </c>
      <c r="T749" s="92" t="n">
        <v>1</v>
      </c>
      <c r="U749" s="174">
        <f>IFERROR(Q749*S749,0)</f>
        <v/>
      </c>
      <c r="V749" s="174">
        <f>U749*T749</f>
        <v/>
      </c>
      <c r="W749" s="91" t="n"/>
      <c r="X749" s="90" t="inlineStr">
        <is>
          <t>部侧测试台账查询记录表</t>
        </is>
      </c>
      <c r="Y749" s="90" t="inlineStr">
        <is>
          <t>部侧测试台账查询记录表{查询编号、测试类型、查询时间、响应状态、返回条数}</t>
        </is>
      </c>
      <c r="Z749" s="90" t="n"/>
      <c r="AA749" s="90" t="n"/>
    </row>
    <row r="750" s="112">
      <c r="A750" s="72">
        <f>ROW()-1</f>
        <v/>
      </c>
      <c r="B750" s="175" t="n"/>
      <c r="C750" s="80" t="n">
        <v>2025</v>
      </c>
      <c r="D750" s="80" t="inlineStr">
        <is>
          <t>张明峰</t>
        </is>
      </c>
      <c r="E750" s="81">
        <f>VLOOKUP(I750,'25年交付功能（不含废弃）'!A:A,1,FALSE)</f>
        <v/>
      </c>
      <c r="F750" s="175" t="n"/>
      <c r="G750" s="175" t="n"/>
      <c r="I750" s="98" t="inlineStr">
        <is>
          <t>重试失败的上报批次</t>
        </is>
      </c>
      <c r="J750" s="93" t="inlineStr">
        <is>
          <t>EI</t>
        </is>
      </c>
      <c r="K750" s="84" t="n"/>
      <c r="L750" s="84" t="n"/>
      <c r="M750" s="85">
        <f>IF(OR(Y750="估算法",Y750="算法类",Y750="无法识别"),"",IF(W750="",IF(OR(J750="EI",J750="EO",J750="EQ"),0,""),LEN(W750)-LEN(SUBSTITUTE(W750,"、",""))+1))</f>
        <v/>
      </c>
      <c r="N750" s="85">
        <f>IF(OR(Y750="估算法",Y750="算法类",Y750="无法识别"),"",IF(X750="",IF(OR(J750="ILF",J750="EIF"),0,""),LEN(X750)-LEN(SUBSTITUTE(X750,"、",""))+1))</f>
        <v/>
      </c>
      <c r="O750" s="85">
        <f>IF(OR(Y750="估算法",Y750="算法类",Y750="无法识别"),"",IF(Y750="",IF(OR(J750="ILF",J750="EIF",J750="EI",J750="EO",J750="EQ"),0,""),LEN(Y750)-LEN(SUBSTITUTE(SUBSTITUTE(SUBSTITUTE(SUBSTITUTE(SUBSTITUTE(Y750,"|}","--"),"{|","--"),CHAR(10),""),"、",""),"|",""))+IF(AND(OR(J750="EI",J750="EO",J750="EQ"),$AE$1="NESMA"),2,1)))</f>
        <v/>
      </c>
      <c r="P750" s="86">
        <f>IF(J750="EI",IF(OR(Y750="估算法",Y750="算法类"),"中",IF(Y750="无法识别","低",IF(M750&lt;2,IF(O750&lt;16,"低","中"),IF(M750&lt;3,IF(O750&lt;5,"低",IF(O750&lt;16,"中","高")),IF(O750&lt;5,"中","高"))))),IF(OR(J750="EO",J750="EQ"),IF(OR(Y750="估算法",Y750="算法类"),"中",IF(Y750="无法识别","低",IF(M750&lt;2,IF(O750&lt;20,"低","中"),IF(M750&lt;4,IF(O750&lt;6,"低",IF(O750&lt;20,"中","高")),IF(O750&lt;6,"中","高"))))),IF(OR(J750="ILF",J750="EIF"),IF(OR(Y750="估算法",Y750="算法类",Y750="无法识别"),"低",IF(N750&lt;2,IF(O750&lt;51,"低","中"),IF(N750&lt;6,IF(O750&lt;20,"低",IF(O750&lt;51,"中","高")),IF(O750&lt;20,"中","高")))),"不计算")))</f>
        <v/>
      </c>
      <c r="Q750" s="172">
        <f>IFERROR(IF(J750="EI",IF(P750="低",3,IF(P750="中",4,6)),IF(J750="EO",IF(P750="低",4,IF(P750="中",5,7)),IF(J750="EQ",IF(P750="低",3,IF(P750="中",4,6)),IF(J750="ILF",IF(P750="低",7,IF(P750="中",10,15)),IF(J750="EIF",IF(P750="低",5,IF(P750="中",7,10)),"不计算")))))*R750,"不计算")</f>
        <v/>
      </c>
      <c r="R750" s="172" t="n">
        <v>1</v>
      </c>
      <c r="S750" s="173">
        <f>调整因子!$F$13</f>
        <v/>
      </c>
      <c r="T750" s="93" t="n">
        <v>1</v>
      </c>
      <c r="U750" s="174">
        <f>IFERROR(Q750*S750,0)</f>
        <v/>
      </c>
      <c r="V750" s="174">
        <f>U750*T750</f>
        <v/>
      </c>
      <c r="W750" s="91" t="inlineStr">
        <is>
          <t>台账上报批次表、部侧台账批量上报请求接口文件</t>
        </is>
      </c>
      <c r="X750" s="90" t="n"/>
      <c r="Y750" s="90" t="inlineStr">
        <is>
          <t>台账上报批次表{批次编号|上报状态、失败原因}</t>
        </is>
      </c>
      <c r="Z750" s="90" t="n"/>
      <c r="AA750" s="90" t="n"/>
    </row>
    <row r="751" s="112">
      <c r="A751" s="72">
        <f>ROW()-1</f>
        <v/>
      </c>
      <c r="B751" s="175" t="n"/>
      <c r="C751" s="80" t="n">
        <v>2025</v>
      </c>
      <c r="D751" s="80" t="inlineStr">
        <is>
          <t>张明峰</t>
        </is>
      </c>
      <c r="E751" s="81">
        <f>VLOOKUP(I751,'25年交付功能（不含废弃）'!A:A,1,FALSE)</f>
        <v/>
      </c>
      <c r="F751" s="175" t="n"/>
      <c r="G751" s="176" t="n"/>
      <c r="I751" s="98" t="inlineStr">
        <is>
          <t>解析部侧台账批量上报响应</t>
        </is>
      </c>
      <c r="J751" s="93" t="inlineStr">
        <is>
          <t>EI</t>
        </is>
      </c>
      <c r="K751" s="84" t="n"/>
      <c r="L751" s="84" t="n"/>
      <c r="M751" s="85">
        <f>IF(OR(Y751="估算法",Y751="算法类",Y751="无法识别"),"",IF(W751="",IF(OR(J751="EI",J751="EO",J751="EQ"),0,""),LEN(W751)-LEN(SUBSTITUTE(W751,"、",""))+1))</f>
        <v/>
      </c>
      <c r="N751" s="85">
        <f>IF(OR(Y751="估算法",Y751="算法类",Y751="无法识别"),"",IF(X751="",IF(OR(J751="ILF",J751="EIF"),0,""),LEN(X751)-LEN(SUBSTITUTE(X751,"、",""))+1))</f>
        <v/>
      </c>
      <c r="O751" s="85">
        <f>IF(OR(Y751="估算法",Y751="算法类",Y751="无法识别"),"",IF(Y751="",IF(OR(J751="ILF",J751="EIF",J751="EI",J751="EO",J751="EQ"),0,""),LEN(Y751)-LEN(SUBSTITUTE(SUBSTITUTE(SUBSTITUTE(SUBSTITUTE(SUBSTITUTE(Y751,"|}","--"),"{|","--"),CHAR(10),""),"、",""),"|",""))+IF(AND(OR(J751="EI",J751="EO",J751="EQ"),$AE$1="NESMA"),2,1)))</f>
        <v/>
      </c>
      <c r="P751" s="86">
        <f>IF(J751="EI",IF(OR(Y751="估算法",Y751="算法类"),"中",IF(Y751="无法识别","低",IF(M751&lt;2,IF(O751&lt;16,"低","中"),IF(M751&lt;3,IF(O751&lt;5,"低",IF(O751&lt;16,"中","高")),IF(O751&lt;5,"中","高"))))),IF(OR(J751="EO",J751="EQ"),IF(OR(Y751="估算法",Y751="算法类"),"中",IF(Y751="无法识别","低",IF(M751&lt;2,IF(O751&lt;20,"低","中"),IF(M751&lt;4,IF(O751&lt;6,"低",IF(O751&lt;20,"中","高")),IF(O751&lt;6,"中","高"))))),IF(OR(J751="ILF",J751="EIF"),IF(OR(Y751="估算法",Y751="算法类",Y751="无法识别"),"低",IF(N751&lt;2,IF(O751&lt;51,"低","中"),IF(N751&lt;6,IF(O751&lt;20,"低",IF(O751&lt;51,"中","高")),IF(O751&lt;20,"中","高")))),"不计算")))</f>
        <v/>
      </c>
      <c r="Q751" s="172">
        <f>IFERROR(IF(J751="EI",IF(P751="低",3,IF(P751="中",4,6)),IF(J751="EO",IF(P751="低",4,IF(P751="中",5,7)),IF(J751="EQ",IF(P751="低",3,IF(P751="中",4,6)),IF(J751="ILF",IF(P751="低",7,IF(P751="中",10,15)),IF(J751="EIF",IF(P751="低",5,IF(P751="中",7,10)),"不计算")))))*R751,"不计算")</f>
        <v/>
      </c>
      <c r="R751" s="172" t="n">
        <v>1</v>
      </c>
      <c r="S751" s="173">
        <f>调整因子!$F$13</f>
        <v/>
      </c>
      <c r="T751" s="92" t="n">
        <v>1</v>
      </c>
      <c r="U751" s="174">
        <f>IFERROR(Q751*S751,0)</f>
        <v/>
      </c>
      <c r="V751" s="174">
        <f>U751*T751</f>
        <v/>
      </c>
      <c r="W751" s="91" t="inlineStr">
        <is>
          <t>部侧台账批量上报响应接口文件、台账上报历史表</t>
        </is>
      </c>
      <c r="X751" s="90" t="n"/>
      <c r="Y751" s="90" t="inlineStr">
        <is>
          <t>部侧台账批量上报响应接口文件{文件编号|响应码、响应说明}
台账上报历史表{批次编号|响应码}</t>
        </is>
      </c>
      <c r="Z751" s="90" t="n"/>
      <c r="AA751" s="90" t="n"/>
    </row>
    <row r="752" s="112">
      <c r="A752" s="72">
        <f>ROW()-1</f>
        <v/>
      </c>
      <c r="B752" s="175" t="n"/>
      <c r="C752" s="80" t="n">
        <v>2025</v>
      </c>
      <c r="D752" s="80" t="inlineStr">
        <is>
          <t>张明峰</t>
        </is>
      </c>
      <c r="E752" s="81">
        <f>VLOOKUP(I752,'25年交付功能（不含废弃）'!A:A,1,FALSE)</f>
        <v/>
      </c>
      <c r="F752" s="175" t="n"/>
      <c r="G752" t="inlineStr">
        <is>
          <t>漏管平台系统台账</t>
        </is>
      </c>
      <c r="H752" t="inlineStr">
        <is>
          <t>平台维护类台账</t>
        </is>
      </c>
      <c r="I752" s="98" t="inlineStr">
        <is>
          <t>采集登录与管理操作生成维护类台账</t>
        </is>
      </c>
      <c r="J752" s="93" t="inlineStr">
        <is>
          <t>EI</t>
        </is>
      </c>
      <c r="K752" s="84" t="n"/>
      <c r="L752" s="84" t="n"/>
      <c r="M752" s="85">
        <f>IF(OR(Y752="估算法",Y752="算法类",Y752="无法识别"),"",IF(W752="",IF(OR(J752="EI",J752="EO",J752="EQ"),0,""),LEN(W752)-LEN(SUBSTITUTE(W752,"、",""))+1))</f>
        <v/>
      </c>
      <c r="N752" s="85">
        <f>IF(OR(Y752="估算法",Y752="算法类",Y752="无法识别"),"",IF(X752="",IF(OR(J752="ILF",J752="EIF"),0,""),LEN(X752)-LEN(SUBSTITUTE(X752,"、",""))+1))</f>
        <v/>
      </c>
      <c r="O752" s="85">
        <f>IF(OR(Y752="估算法",Y752="算法类",Y752="无法识别"),"",IF(Y752="",IF(OR(J752="ILF",J752="EIF",J752="EI",J752="EO",J752="EQ"),0,""),LEN(Y752)-LEN(SUBSTITUTE(SUBSTITUTE(SUBSTITUTE(SUBSTITUTE(SUBSTITUTE(Y752,"|}","--"),"{|","--"),CHAR(10),""),"、",""),"|",""))+IF(AND(OR(J752="EI",J752="EO",J752="EQ"),$AE$1="NESMA"),2,1)))</f>
        <v/>
      </c>
      <c r="P752" s="86">
        <f>IF(J752="EI",IF(OR(Y752="估算法",Y752="算法类"),"中",IF(Y752="无法识别","低",IF(M752&lt;2,IF(O752&lt;16,"低","中"),IF(M752&lt;3,IF(O752&lt;5,"低",IF(O752&lt;16,"中","高")),IF(O752&lt;5,"中","高"))))),IF(OR(J752="EO",J752="EQ"),IF(OR(Y752="估算法",Y752="算法类"),"中",IF(Y752="无法识别","低",IF(M752&lt;2,IF(O752&lt;20,"低","中"),IF(M752&lt;4,IF(O752&lt;6,"低",IF(O752&lt;20,"中","高")),IF(O752&lt;6,"中","高"))))),IF(OR(J752="ILF",J752="EIF"),IF(OR(Y752="估算法",Y752="算法类",Y752="无法识别"),"低",IF(N752&lt;2,IF(O752&lt;51,"低","中"),IF(N752&lt;6,IF(O752&lt;20,"低",IF(O752&lt;51,"中","高")),IF(O752&lt;20,"中","高")))),"不计算")))</f>
        <v/>
      </c>
      <c r="Q752" s="172">
        <f>IFERROR(IF(J752="EI",IF(P752="低",3,IF(P752="中",4,6)),IF(J752="EO",IF(P752="低",4,IF(P752="中",5,7)),IF(J752="EQ",IF(P752="低",3,IF(P752="中",4,6)),IF(J752="ILF",IF(P752="低",7,IF(P752="中",10,15)),IF(J752="EIF",IF(P752="低",5,IF(P752="中",7,10)),"不计算")))))*R752,"不计算")</f>
        <v/>
      </c>
      <c r="R752" s="172" t="n">
        <v>1</v>
      </c>
      <c r="S752" s="173">
        <f>调整因子!$F$13</f>
        <v/>
      </c>
      <c r="T752" s="92" t="n">
        <v>1</v>
      </c>
      <c r="U752" s="174">
        <f>IFERROR(Q752*S752,0)</f>
        <v/>
      </c>
      <c r="V752" s="174">
        <f>U752*T752</f>
        <v/>
      </c>
      <c r="W752" s="91" t="inlineStr">
        <is>
          <t>漏管平台维护台账表</t>
        </is>
      </c>
      <c r="X752" s="90" t="n"/>
      <c r="Y752" s="90" t="inlineStr">
        <is>
          <t>漏管平台维护台账表{登录账号、登录地址、设备哈希、操作动作|台账记录编号、台账类型编码、记录时间}</t>
        </is>
      </c>
      <c r="Z752" s="90" t="inlineStr">
        <is>
          <t>类型1010</t>
        </is>
      </c>
      <c r="AA752" s="90" t="n"/>
    </row>
    <row r="753" s="112">
      <c r="A753" s="72">
        <f>ROW()-1</f>
        <v/>
      </c>
      <c r="B753" s="175" t="n"/>
      <c r="C753" s="80" t="n">
        <v>2025</v>
      </c>
      <c r="D753" s="80" t="inlineStr">
        <is>
          <t>张明峰</t>
        </is>
      </c>
      <c r="E753" s="81">
        <f>VLOOKUP(I753,'25年交付功能（不含废弃）'!A:A,1,FALSE)</f>
        <v/>
      </c>
      <c r="F753" s="175" t="n"/>
      <c r="H753" s="93" t="inlineStr">
        <is>
          <t>平台运行类台账</t>
        </is>
      </c>
      <c r="I753" s="98" t="inlineStr">
        <is>
          <t>定时采集时钟同步生成运行类台账</t>
        </is>
      </c>
      <c r="J753" s="93" t="inlineStr">
        <is>
          <t>EI</t>
        </is>
      </c>
      <c r="K753" s="84" t="n"/>
      <c r="L753" s="84" t="n"/>
      <c r="M753" s="85">
        <f>IF(OR(Y753="估算法",Y753="算法类",Y753="无法识别"),"",IF(W753="",IF(OR(J753="EI",J753="EO",J753="EQ"),0,""),LEN(W753)-LEN(SUBSTITUTE(W753,"、",""))+1))</f>
        <v/>
      </c>
      <c r="N753" s="85">
        <f>IF(OR(Y753="估算法",Y753="算法类",Y753="无法识别"),"",IF(X753="",IF(OR(J753="ILF",J753="EIF"),0,""),LEN(X753)-LEN(SUBSTITUTE(X753,"、",""))+1))</f>
        <v/>
      </c>
      <c r="O753" s="85">
        <f>IF(OR(Y753="估算法",Y753="算法类",Y753="无法识别"),"",IF(Y753="",IF(OR(J753="ILF",J753="EIF",J753="EI",J753="EO",J753="EQ"),0,""),LEN(Y753)-LEN(SUBSTITUTE(SUBSTITUTE(SUBSTITUTE(SUBSTITUTE(SUBSTITUTE(Y753,"|}","--"),"{|","--"),CHAR(10),""),"、",""),"|",""))+IF(AND(OR(J753="EI",J753="EO",J753="EQ"),$AE$1="NESMA"),2,1)))</f>
        <v/>
      </c>
      <c r="P753" s="86">
        <f>IF(J753="EI",IF(OR(Y753="估算法",Y753="算法类"),"中",IF(Y753="无法识别","低",IF(M753&lt;2,IF(O753&lt;16,"低","中"),IF(M753&lt;3,IF(O753&lt;5,"低",IF(O753&lt;16,"中","高")),IF(O753&lt;5,"中","高"))))),IF(OR(J753="EO",J753="EQ"),IF(OR(Y753="估算法",Y753="算法类"),"中",IF(Y753="无法识别","低",IF(M753&lt;2,IF(O753&lt;20,"低","中"),IF(M753&lt;4,IF(O753&lt;6,"低",IF(O753&lt;20,"中","高")),IF(O753&lt;6,"中","高"))))),IF(OR(J753="ILF",J753="EIF"),IF(OR(Y753="估算法",Y753="算法类",Y753="无法识别"),"低",IF(N753&lt;2,IF(O753&lt;51,"低","中"),IF(N753&lt;6,IF(O753&lt;20,"低",IF(O753&lt;51,"中","高")),IF(O753&lt;20,"中","高")))),"不计算")))</f>
        <v/>
      </c>
      <c r="Q753" s="172">
        <f>IFERROR(IF(J753="EI",IF(P753="低",3,IF(P753="中",4,6)),IF(J753="EO",IF(P753="低",4,IF(P753="中",5,7)),IF(J753="EQ",IF(P753="低",3,IF(P753="中",4,6)),IF(J753="ILF",IF(P753="低",7,IF(P753="中",10,15)),IF(J753="EIF",IF(P753="低",5,IF(P753="中",7,10)),"不计算")))))*R753,"不计算")</f>
        <v/>
      </c>
      <c r="R753" s="172" t="n">
        <v>1</v>
      </c>
      <c r="S753" s="173">
        <f>调整因子!$F$13</f>
        <v/>
      </c>
      <c r="T753" s="93" t="n">
        <v>1</v>
      </c>
      <c r="U753" s="174">
        <f>IFERROR(Q753*S753,0)</f>
        <v/>
      </c>
      <c r="V753" s="174">
        <f>U753*T753</f>
        <v/>
      </c>
      <c r="W753" s="90" t="inlineStr">
        <is>
          <t>漏管平台运行台账表</t>
        </is>
      </c>
      <c r="X753" s="113" t="n"/>
      <c r="Y753" s="90" t="inlineStr">
        <is>
          <t>漏管平台运行台账表{时钟同步状态、时钟同步来源、设备哈希|台账记录编号、台账类型编码、记录时间}</t>
        </is>
      </c>
      <c r="Z753" s="90" t="inlineStr">
        <is>
          <t>类型1000，每10分钟</t>
        </is>
      </c>
      <c r="AA753" s="90" t="n"/>
    </row>
    <row r="754" s="112">
      <c r="A754" s="72">
        <f>ROW()-1</f>
        <v/>
      </c>
      <c r="B754" s="175" t="n"/>
      <c r="C754" s="80" t="n">
        <v>2025</v>
      </c>
      <c r="D754" s="80" t="inlineStr">
        <is>
          <t>张明峰</t>
        </is>
      </c>
      <c r="E754" s="81">
        <f>VLOOKUP(I754,'25年交付功能（不含废弃）'!A:A,1,FALSE)</f>
        <v/>
      </c>
      <c r="F754" s="175" t="n"/>
      <c r="H754" s="176" t="n"/>
      <c r="I754" s="98" t="inlineStr">
        <is>
          <t>将运行类台账纳入批量上报</t>
        </is>
      </c>
      <c r="J754" s="93" t="inlineStr">
        <is>
          <t>EO</t>
        </is>
      </c>
      <c r="K754" s="84" t="n"/>
      <c r="L754" s="84" t="n"/>
      <c r="M754" s="85">
        <f>IF(OR(Y754="估算法",Y754="算法类",Y754="无法识别"),"",IF(W754="",IF(OR(J754="EI",J754="EO",J754="EQ"),0,""),LEN(W754)-LEN(SUBSTITUTE(W754,"、",""))+1))</f>
        <v/>
      </c>
      <c r="N754" s="85">
        <f>IF(OR(Y754="估算法",Y754="算法类",Y754="无法识别"),"",IF(X754="",IF(OR(J754="ILF",J754="EIF"),0,""),LEN(X754)-LEN(SUBSTITUTE(X754,"、",""))+1))</f>
        <v/>
      </c>
      <c r="O754" s="85">
        <f>IF(OR(Y754="估算法",Y754="算法类",Y754="无法识别"),"",IF(Y754="",IF(OR(J754="ILF",J754="EIF",J754="EI",J754="EO",J754="EQ"),0,""),LEN(Y754)-LEN(SUBSTITUTE(SUBSTITUTE(SUBSTITUTE(SUBSTITUTE(SUBSTITUTE(Y754,"|}","--"),"{|","--"),CHAR(10),""),"、",""),"|",""))+IF(AND(OR(J754="EI",J754="EO",J754="EQ"),$AE$1="NESMA"),2,1)))</f>
        <v/>
      </c>
      <c r="P754" s="86">
        <f>IF(J754="EI",IF(OR(Y754="估算法",Y754="算法类"),"中",IF(Y754="无法识别","低",IF(M754&lt;2,IF(O754&lt;16,"低","中"),IF(M754&lt;3,IF(O754&lt;5,"低",IF(O754&lt;16,"中","高")),IF(O754&lt;5,"中","高"))))),IF(OR(J754="EO",J754="EQ"),IF(OR(Y754="估算法",Y754="算法类"),"中",IF(Y754="无法识别","低",IF(M754&lt;2,IF(O754&lt;20,"低","中"),IF(M754&lt;4,IF(O754&lt;6,"低",IF(O754&lt;20,"中","高")),IF(O754&lt;6,"中","高"))))),IF(OR(J754="ILF",J754="EIF"),IF(OR(Y754="估算法",Y754="算法类",Y754="无法识别"),"低",IF(N754&lt;2,IF(O754&lt;51,"低","中"),IF(N754&lt;6,IF(O754&lt;20,"低",IF(O754&lt;51,"中","高")),IF(O754&lt;20,"中","高")))),"不计算")))</f>
        <v/>
      </c>
      <c r="Q754" s="172">
        <f>IFERROR(IF(J754="EI",IF(P754="低",3,IF(P754="中",4,6)),IF(J754="EO",IF(P754="低",4,IF(P754="中",5,7)),IF(J754="EQ",IF(P754="低",3,IF(P754="中",4,6)),IF(J754="ILF",IF(P754="低",7,IF(P754="中",10,15)),IF(J754="EIF",IF(P754="低",5,IF(P754="中",7,10)),"不计算")))))*R754,"不计算")</f>
        <v/>
      </c>
      <c r="R754" s="172" t="n">
        <v>1</v>
      </c>
      <c r="S754" s="173">
        <f>调整因子!$F$13</f>
        <v/>
      </c>
      <c r="T754" s="93" t="n">
        <v>1</v>
      </c>
      <c r="U754" s="174">
        <f>IFERROR(Q754*S754,0)</f>
        <v/>
      </c>
      <c r="V754" s="174">
        <f>U754*T754</f>
        <v/>
      </c>
      <c r="W754" s="90" t="inlineStr">
        <is>
          <t>漏管平台运行台账表、漏管台账记录主表</t>
        </is>
      </c>
      <c r="X754" s="113" t="n"/>
      <c r="Y754" s="90" t="inlineStr">
        <is>
          <t>漏管平台运行台账表{台账记录编号|上报状态}
漏管台账记录主表{|台账记录编号、台账类型编码}</t>
        </is>
      </c>
      <c r="Z754" s="90" t="n"/>
      <c r="AA754" s="90" t="n"/>
    </row>
    <row r="755" s="112">
      <c r="A755" s="72">
        <f>ROW()-1</f>
        <v/>
      </c>
      <c r="B755" s="175" t="n"/>
      <c r="C755" s="80" t="n">
        <v>2025</v>
      </c>
      <c r="D755" s="80" t="inlineStr">
        <is>
          <t>张明峰</t>
        </is>
      </c>
      <c r="E755" s="81">
        <f>VLOOKUP(I755,'25年交付功能（不含废弃）'!A:A,1,FALSE)</f>
        <v/>
      </c>
      <c r="F755" s="175" t="n"/>
      <c r="H755" t="inlineStr">
        <is>
          <t>平台维护类台账</t>
        </is>
      </c>
      <c r="I755" s="98" t="inlineStr">
        <is>
          <t>查询漏管平台维护类台账</t>
        </is>
      </c>
      <c r="J755" s="93" t="inlineStr">
        <is>
          <t>EQ</t>
        </is>
      </c>
      <c r="K755" s="84" t="n"/>
      <c r="L755" s="84" t="n"/>
      <c r="M755" s="85">
        <f>IF(OR(Y755="估算法",Y755="算法类",Y755="无法识别"),"",IF(W755="",IF(OR(J755="EI",J755="EO",J755="EQ"),0,""),LEN(W755)-LEN(SUBSTITUTE(W755,"、",""))+1))</f>
        <v/>
      </c>
      <c r="N755" s="85">
        <f>IF(OR(Y755="估算法",Y755="算法类",Y755="无法识别"),"",IF(X755="",IF(OR(J755="ILF",J755="EIF"),0,""),LEN(X755)-LEN(SUBSTITUTE(X755,"、",""))+1))</f>
        <v/>
      </c>
      <c r="O755" s="85">
        <f>IF(OR(Y755="估算法",Y755="算法类",Y755="无法识别"),"",IF(Y755="",IF(OR(J755="ILF",J755="EIF",J755="EI",J755="EO",J755="EQ"),0,""),LEN(Y755)-LEN(SUBSTITUTE(SUBSTITUTE(SUBSTITUTE(SUBSTITUTE(SUBSTITUTE(Y755,"|}","--"),"{|","--"),CHAR(10),""),"、",""),"|",""))+IF(AND(OR(J755="EI",J755="EO",J755="EQ"),$AE$1="NESMA"),2,1)))</f>
        <v/>
      </c>
      <c r="P755" s="86">
        <f>IF(J755="EI",IF(OR(Y755="估算法",Y755="算法类"),"中",IF(Y755="无法识别","低",IF(M755&lt;2,IF(O755&lt;16,"低","中"),IF(M755&lt;3,IF(O755&lt;5,"低",IF(O755&lt;16,"中","高")),IF(O755&lt;5,"中","高"))))),IF(OR(J755="EO",J755="EQ"),IF(OR(Y755="估算法",Y755="算法类"),"中",IF(Y755="无法识别","低",IF(M755&lt;2,IF(O755&lt;20,"低","中"),IF(M755&lt;4,IF(O755&lt;6,"低",IF(O755&lt;20,"中","高")),IF(O755&lt;6,"中","高"))))),IF(OR(J755="ILF",J755="EIF"),IF(OR(Y755="估算法",Y755="算法类",Y755="无法识别"),"低",IF(N755&lt;2,IF(O755&lt;51,"低","中"),IF(N755&lt;6,IF(O755&lt;20,"低",IF(O755&lt;51,"中","高")),IF(O755&lt;20,"中","高")))),"不计算")))</f>
        <v/>
      </c>
      <c r="Q755" s="172">
        <f>IFERROR(IF(J755="EI",IF(P755="低",3,IF(P755="中",4,6)),IF(J755="EO",IF(P755="低",4,IF(P755="中",5,7)),IF(J755="EQ",IF(P755="低",3,IF(P755="中",4,6)),IF(J755="ILF",IF(P755="低",7,IF(P755="中",10,15)),IF(J755="EIF",IF(P755="低",5,IF(P755="中",7,10)),"不计算")))))*R755,"不计算")</f>
        <v/>
      </c>
      <c r="R755" s="172" t="n">
        <v>1</v>
      </c>
      <c r="S755" s="173">
        <f>调整因子!$F$13</f>
        <v/>
      </c>
      <c r="T755" s="92" t="n">
        <v>1</v>
      </c>
      <c r="U755" s="174">
        <f>IFERROR(Q755*S755,0)</f>
        <v/>
      </c>
      <c r="V755" s="174">
        <f>U755*T755</f>
        <v/>
      </c>
      <c r="W755" s="90" t="inlineStr">
        <is>
          <t>漏管平台维护台账表</t>
        </is>
      </c>
      <c r="X755" s="113" t="n"/>
      <c r="Y755" s="90" t="inlineStr">
        <is>
          <t>漏管平台维护台账表{记录时间、登录账号|台账记录编号、操作动作、操作说明}</t>
        </is>
      </c>
      <c r="Z755" s="90" t="n"/>
      <c r="AA755" s="90" t="n"/>
    </row>
    <row r="756" s="112">
      <c r="A756" s="72">
        <f>ROW()-1</f>
        <v/>
      </c>
      <c r="B756" s="175" t="n"/>
      <c r="C756" s="80" t="n">
        <v>2025</v>
      </c>
      <c r="D756" s="80" t="inlineStr">
        <is>
          <t>张明峰</t>
        </is>
      </c>
      <c r="E756" s="81">
        <f>VLOOKUP(I756,'25年交付功能（不含废弃）'!A:A,1,FALSE)</f>
        <v/>
      </c>
      <c r="F756" s="175" t="n"/>
      <c r="I756" s="98" t="inlineStr">
        <is>
          <t>查看漏管平台维护类台账摘要</t>
        </is>
      </c>
      <c r="J756" s="93" t="inlineStr">
        <is>
          <t>EQ</t>
        </is>
      </c>
      <c r="K756" s="84" t="n"/>
      <c r="L756" s="84" t="n"/>
      <c r="M756" s="85">
        <f>IF(OR(Y756="估算法",Y756="算法类",Y756="无法识别"),"",IF(W756="",IF(OR(J756="EI",J756="EO",J756="EQ"),0,""),LEN(W756)-LEN(SUBSTITUTE(W756,"、",""))+1))</f>
        <v/>
      </c>
      <c r="N756" s="85">
        <f>IF(OR(Y756="估算法",Y756="算法类",Y756="无法识别"),"",IF(X756="",IF(OR(J756="ILF",J756="EIF"),0,""),LEN(X756)-LEN(SUBSTITUTE(X756,"、",""))+1))</f>
        <v/>
      </c>
      <c r="O756" s="85">
        <f>IF(OR(Y756="估算法",Y756="算法类",Y756="无法识别"),"",IF(Y756="",IF(OR(J756="ILF",J756="EIF",J756="EI",J756="EO",J756="EQ"),0,""),LEN(Y756)-LEN(SUBSTITUTE(SUBSTITUTE(SUBSTITUTE(SUBSTITUTE(SUBSTITUTE(Y756,"|}","--"),"{|","--"),CHAR(10),""),"、",""),"|",""))+IF(AND(OR(J756="EI",J756="EO",J756="EQ"),$AE$1="NESMA"),2,1)))</f>
        <v/>
      </c>
      <c r="P756" s="86">
        <f>IF(J756="EI",IF(OR(Y756="估算法",Y756="算法类"),"中",IF(Y756="无法识别","低",IF(M756&lt;2,IF(O756&lt;16,"低","中"),IF(M756&lt;3,IF(O756&lt;5,"低",IF(O756&lt;16,"中","高")),IF(O756&lt;5,"中","高"))))),IF(OR(J756="EO",J756="EQ"),IF(OR(Y756="估算法",Y756="算法类"),"中",IF(Y756="无法识别","低",IF(M756&lt;2,IF(O756&lt;20,"低","中"),IF(M756&lt;4,IF(O756&lt;6,"低",IF(O756&lt;20,"中","高")),IF(O756&lt;6,"中","高"))))),IF(OR(J756="ILF",J756="EIF"),IF(OR(Y756="估算法",Y756="算法类",Y756="无法识别"),"低",IF(N756&lt;2,IF(O756&lt;51,"低","中"),IF(N756&lt;6,IF(O756&lt;20,"低",IF(O756&lt;51,"中","高")),IF(O756&lt;20,"中","高")))),"不计算")))</f>
        <v/>
      </c>
      <c r="Q756" s="172">
        <f>IFERROR(IF(J756="EI",IF(P756="低",3,IF(P756="中",4,6)),IF(J756="EO",IF(P756="低",4,IF(P756="中",5,7)),IF(J756="EQ",IF(P756="低",3,IF(P756="中",4,6)),IF(J756="ILF",IF(P756="低",7,IF(P756="中",10,15)),IF(J756="EIF",IF(P756="低",5,IF(P756="中",7,10)),"不计算")))))*R756,"不计算")</f>
        <v/>
      </c>
      <c r="R756" s="172" t="n">
        <v>1</v>
      </c>
      <c r="S756" s="173">
        <f>调整因子!$F$13</f>
        <v/>
      </c>
      <c r="T756" s="92" t="n">
        <v>1</v>
      </c>
      <c r="U756" s="174">
        <f>IFERROR(Q756*S756,0)</f>
        <v/>
      </c>
      <c r="V756" s="174">
        <f>U756*T756</f>
        <v/>
      </c>
      <c r="W756" s="90" t="inlineStr">
        <is>
          <t>漏管平台维护台账表</t>
        </is>
      </c>
      <c r="X756" s="113" t="n"/>
      <c r="Y756" s="90" t="inlineStr">
        <is>
          <t>漏管平台维护台账表{台账记录编号|台账类型编码、记录时间、操作动作}</t>
        </is>
      </c>
      <c r="Z756" s="90" t="n"/>
      <c r="AA756" s="90" t="n"/>
    </row>
    <row r="757" s="112">
      <c r="A757" s="72">
        <f>ROW()-1</f>
        <v/>
      </c>
      <c r="B757" s="175" t="n"/>
      <c r="C757" s="80" t="n">
        <v>2025</v>
      </c>
      <c r="D757" s="80" t="inlineStr">
        <is>
          <t>张明峰</t>
        </is>
      </c>
      <c r="E757" s="81">
        <f>VLOOKUP(I757,'25年交付功能（不含废弃）'!A:A,1,FALSE)</f>
        <v/>
      </c>
      <c r="F757" s="175" t="n"/>
      <c r="I757" s="98" t="inlineStr">
        <is>
          <t>导出漏管平台维护类台账</t>
        </is>
      </c>
      <c r="J757" s="93" t="inlineStr">
        <is>
          <t>EO</t>
        </is>
      </c>
      <c r="K757" s="84" t="n"/>
      <c r="L757" s="84" t="n"/>
      <c r="M757" s="85">
        <f>IF(OR(Y757="估算法",Y757="算法类",Y757="无法识别"),"",IF(W757="",IF(OR(J757="EI",J757="EO",J757="EQ"),0,""),LEN(W757)-LEN(SUBSTITUTE(W757,"、",""))+1))</f>
        <v/>
      </c>
      <c r="N757" s="85">
        <f>IF(OR(Y757="估算法",Y757="算法类",Y757="无法识别"),"",IF(X757="",IF(OR(J757="ILF",J757="EIF"),0,""),LEN(X757)-LEN(SUBSTITUTE(X757,"、",""))+1))</f>
        <v/>
      </c>
      <c r="O757" s="85">
        <f>IF(OR(Y757="估算法",Y757="算法类",Y757="无法识别"),"",IF(Y757="",IF(OR(J757="ILF",J757="EIF",J757="EI",J757="EO",J757="EQ"),0,""),LEN(Y757)-LEN(SUBSTITUTE(SUBSTITUTE(SUBSTITUTE(SUBSTITUTE(SUBSTITUTE(Y757,"|}","--"),"{|","--"),CHAR(10),""),"、",""),"|",""))+IF(AND(OR(J757="EI",J757="EO",J757="EQ"),$AE$1="NESMA"),2,1)))</f>
        <v/>
      </c>
      <c r="P757" s="86">
        <f>IF(J757="EI",IF(OR(Y757="估算法",Y757="算法类"),"中",IF(Y757="无法识别","低",IF(M757&lt;2,IF(O757&lt;16,"低","中"),IF(M757&lt;3,IF(O757&lt;5,"低",IF(O757&lt;16,"中","高")),IF(O757&lt;5,"中","高"))))),IF(OR(J757="EO",J757="EQ"),IF(OR(Y757="估算法",Y757="算法类"),"中",IF(Y757="无法识别","低",IF(M757&lt;2,IF(O757&lt;20,"低","中"),IF(M757&lt;4,IF(O757&lt;6,"低",IF(O757&lt;20,"中","高")),IF(O757&lt;6,"中","高"))))),IF(OR(J757="ILF",J757="EIF"),IF(OR(Y757="估算法",Y757="算法类",Y757="无法识别"),"低",IF(N757&lt;2,IF(O757&lt;51,"低","中"),IF(N757&lt;6,IF(O757&lt;20,"低",IF(O757&lt;51,"中","高")),IF(O757&lt;20,"中","高")))),"不计算")))</f>
        <v/>
      </c>
      <c r="Q757" s="172">
        <f>IFERROR(IF(J757="EI",IF(P757="低",3,IF(P757="中",4,6)),IF(J757="EO",IF(P757="低",4,IF(P757="中",5,7)),IF(J757="EQ",IF(P757="低",3,IF(P757="中",4,6)),IF(J757="ILF",IF(P757="低",7,IF(P757="中",10,15)),IF(J757="EIF",IF(P757="低",5,IF(P757="中",7,10)),"不计算")))))*R757,"不计算")</f>
        <v/>
      </c>
      <c r="R757" s="172" t="n">
        <v>1</v>
      </c>
      <c r="S757" s="173">
        <f>调整因子!$F$13</f>
        <v/>
      </c>
      <c r="T757" s="93" t="n">
        <v>1</v>
      </c>
      <c r="U757" s="174">
        <f>IFERROR(Q757*S757,0)</f>
        <v/>
      </c>
      <c r="V757" s="174">
        <f>U757*T757</f>
        <v/>
      </c>
      <c r="W757" s="90" t="inlineStr">
        <is>
          <t>漏管平台维护台账表</t>
        </is>
      </c>
      <c r="X757" s="113" t="n"/>
      <c r="Y757" s="90" t="inlineStr">
        <is>
          <t>漏管平台维护台账表{记录时间|导出文件路径}</t>
        </is>
      </c>
      <c r="Z757" s="90" t="n"/>
      <c r="AA757" s="90" t="n"/>
    </row>
    <row r="758" s="112">
      <c r="A758" s="72">
        <f>ROW()-1</f>
        <v/>
      </c>
      <c r="B758" s="175" t="n"/>
      <c r="C758" s="80" t="n">
        <v>2025</v>
      </c>
      <c r="D758" s="80" t="inlineStr">
        <is>
          <t>张明峰</t>
        </is>
      </c>
      <c r="E758" s="81">
        <f>VLOOKUP(I758,'25年交付功能（不含废弃）'!A:A,1,FALSE)</f>
        <v/>
      </c>
      <c r="F758" s="175" t="n"/>
      <c r="I758" s="98" t="inlineStr">
        <is>
          <t>漏管平台维护台账表</t>
        </is>
      </c>
      <c r="J758" s="93" t="inlineStr">
        <is>
          <t>ILF</t>
        </is>
      </c>
      <c r="K758" s="84" t="n"/>
      <c r="L758" s="84" t="n"/>
      <c r="M758" s="85">
        <f>IF(OR(Y758="估算法",Y758="算法类",Y758="无法识别"),"",IF(W758="",IF(OR(J758="EI",J758="EO",J758="EQ"),0,""),LEN(W758)-LEN(SUBSTITUTE(W758,"、",""))+1))</f>
        <v/>
      </c>
      <c r="N758" s="85">
        <f>IF(OR(Y758="估算法",Y758="算法类",Y758="无法识别"),"",IF(X758="",IF(OR(J758="ILF",J758="EIF"),0,""),LEN(X758)-LEN(SUBSTITUTE(X758,"、",""))+1))</f>
        <v/>
      </c>
      <c r="O758" s="85">
        <f>IF(OR(Y758="估算法",Y758="算法类",Y758="无法识别"),"",IF(Y758="",IF(OR(J758="ILF",J758="EIF",J758="EI",J758="EO",J758="EQ"),0,""),LEN(Y758)-LEN(SUBSTITUTE(SUBSTITUTE(SUBSTITUTE(SUBSTITUTE(SUBSTITUTE(Y758,"|}","--"),"{|","--"),CHAR(10),""),"、",""),"|",""))+IF(AND(OR(J758="EI",J758="EO",J758="EQ"),$AE$1="NESMA"),2,1)))</f>
        <v/>
      </c>
      <c r="P758" s="86">
        <f>IF(J758="EI",IF(OR(Y758="估算法",Y758="算法类"),"中",IF(Y758="无法识别","低",IF(M758&lt;2,IF(O758&lt;16,"低","中"),IF(M758&lt;3,IF(O758&lt;5,"低",IF(O758&lt;16,"中","高")),IF(O758&lt;5,"中","高"))))),IF(OR(J758="EO",J758="EQ"),IF(OR(Y758="估算法",Y758="算法类"),"中",IF(Y758="无法识别","低",IF(M758&lt;2,IF(O758&lt;20,"低","中"),IF(M758&lt;4,IF(O758&lt;6,"低",IF(O758&lt;20,"中","高")),IF(O758&lt;6,"中","高"))))),IF(OR(J758="ILF",J758="EIF"),IF(OR(Y758="估算法",Y758="算法类",Y758="无法识别"),"低",IF(N758&lt;2,IF(O758&lt;51,"低","中"),IF(N758&lt;6,IF(O758&lt;20,"低",IF(O758&lt;51,"中","高")),IF(O758&lt;20,"中","高")))),"不计算")))</f>
        <v/>
      </c>
      <c r="Q758" s="172">
        <f>IFERROR(IF(J758="EI",IF(P758="低",3,IF(P758="中",4,6)),IF(J758="EO",IF(P758="低",4,IF(P758="中",5,7)),IF(J758="EQ",IF(P758="低",3,IF(P758="中",4,6)),IF(J758="ILF",IF(P758="低",7,IF(P758="中",10,15)),IF(J758="EIF",IF(P758="低",5,IF(P758="中",7,10)),"不计算")))))*R758,"不计算")</f>
        <v/>
      </c>
      <c r="R758" s="172" t="n">
        <v>1</v>
      </c>
      <c r="S758" s="173">
        <f>调整因子!$F$13</f>
        <v/>
      </c>
      <c r="T758" s="92" t="n">
        <v>1</v>
      </c>
      <c r="U758" s="174">
        <f>IFERROR(Q758*S758,0)</f>
        <v/>
      </c>
      <c r="V758" s="174">
        <f>U758*T758</f>
        <v/>
      </c>
      <c r="W758" s="90" t="n"/>
      <c r="X758" s="113" t="inlineStr">
        <is>
          <t>漏管平台维护台账表</t>
        </is>
      </c>
      <c r="Y758" s="90" t="inlineStr">
        <is>
          <t>漏管平台维护台账表{台账记录编号、台账类型编码、台账级别、记录时间、登录账号、登录地址、设备哈希、操作动作、操作说明}</t>
        </is>
      </c>
      <c r="Z758" s="90" t="n"/>
      <c r="AA758" s="90" t="n"/>
    </row>
    <row r="759" s="112">
      <c r="A759" s="72">
        <f>ROW()-1</f>
        <v/>
      </c>
      <c r="B759" s="175" t="n"/>
      <c r="C759" s="80" t="n">
        <v>2025</v>
      </c>
      <c r="D759" s="80" t="inlineStr">
        <is>
          <t>张明峰</t>
        </is>
      </c>
      <c r="E759" s="81">
        <f>VLOOKUP(I759,'25年交付功能（不含废弃）'!A:A,1,FALSE)</f>
        <v/>
      </c>
      <c r="F759" s="175" t="n"/>
      <c r="H759" t="inlineStr">
        <is>
          <t>平台运行类台账</t>
        </is>
      </c>
      <c r="I759" s="98" t="inlineStr">
        <is>
          <t>查询漏管平台运行类台账</t>
        </is>
      </c>
      <c r="J759" s="93" t="inlineStr">
        <is>
          <t>EQ</t>
        </is>
      </c>
      <c r="K759" s="84" t="n"/>
      <c r="L759" s="84" t="n"/>
      <c r="M759" s="85">
        <f>IF(OR(Y759="估算法",Y759="算法类",Y759="无法识别"),"",IF(W759="",IF(OR(J759="EI",J759="EO",J759="EQ"),0,""),LEN(W759)-LEN(SUBSTITUTE(W759,"、",""))+1))</f>
        <v/>
      </c>
      <c r="N759" s="85">
        <f>IF(OR(Y759="估算法",Y759="算法类",Y759="无法识别"),"",IF(X759="",IF(OR(J759="ILF",J759="EIF"),0,""),LEN(X759)-LEN(SUBSTITUTE(X759,"、",""))+1))</f>
        <v/>
      </c>
      <c r="O759" s="85">
        <f>IF(OR(Y759="估算法",Y759="算法类",Y759="无法识别"),"",IF(Y759="",IF(OR(J759="ILF",J759="EIF",J759="EI",J759="EO",J759="EQ"),0,""),LEN(Y759)-LEN(SUBSTITUTE(SUBSTITUTE(SUBSTITUTE(SUBSTITUTE(SUBSTITUTE(Y759,"|}","--"),"{|","--"),CHAR(10),""),"、",""),"|",""))+IF(AND(OR(J759="EI",J759="EO",J759="EQ"),$AE$1="NESMA"),2,1)))</f>
        <v/>
      </c>
      <c r="P759" s="86">
        <f>IF(J759="EI",IF(OR(Y759="估算法",Y759="算法类"),"中",IF(Y759="无法识别","低",IF(M759&lt;2,IF(O759&lt;16,"低","中"),IF(M759&lt;3,IF(O759&lt;5,"低",IF(O759&lt;16,"中","高")),IF(O759&lt;5,"中","高"))))),IF(OR(J759="EO",J759="EQ"),IF(OR(Y759="估算法",Y759="算法类"),"中",IF(Y759="无法识别","低",IF(M759&lt;2,IF(O759&lt;20,"低","中"),IF(M759&lt;4,IF(O759&lt;6,"低",IF(O759&lt;20,"中","高")),IF(O759&lt;6,"中","高"))))),IF(OR(J759="ILF",J759="EIF"),IF(OR(Y759="估算法",Y759="算法类",Y759="无法识别"),"低",IF(N759&lt;2,IF(O759&lt;51,"低","中"),IF(N759&lt;6,IF(O759&lt;20,"低",IF(O759&lt;51,"中","高")),IF(O759&lt;20,"中","高")))),"不计算")))</f>
        <v/>
      </c>
      <c r="Q759" s="172">
        <f>IFERROR(IF(J759="EI",IF(P759="低",3,IF(P759="中",4,6)),IF(J759="EO",IF(P759="低",4,IF(P759="中",5,7)),IF(J759="EQ",IF(P759="低",3,IF(P759="中",4,6)),IF(J759="ILF",IF(P759="低",7,IF(P759="中",10,15)),IF(J759="EIF",IF(P759="低",5,IF(P759="中",7,10)),"不计算")))))*R759,"不计算")</f>
        <v/>
      </c>
      <c r="R759" s="172" t="n">
        <v>1</v>
      </c>
      <c r="S759" s="173">
        <f>调整因子!$F$13</f>
        <v/>
      </c>
      <c r="T759" s="92" t="n">
        <v>1</v>
      </c>
      <c r="U759" s="174">
        <f>IFERROR(Q759*S759,0)</f>
        <v/>
      </c>
      <c r="V759" s="174">
        <f>U759*T759</f>
        <v/>
      </c>
      <c r="W759" s="90" t="inlineStr">
        <is>
          <t>漏管平台运行台账表</t>
        </is>
      </c>
      <c r="X759" s="113" t="n"/>
      <c r="Y759" s="90" t="inlineStr">
        <is>
          <t>漏管平台运行台账表{记录时间|台账记录编号、时钟同步状态、时钟同步来源}</t>
        </is>
      </c>
      <c r="Z759" s="90" t="n"/>
      <c r="AA759" s="90" t="n"/>
    </row>
    <row r="760" s="112">
      <c r="A760" s="72">
        <f>ROW()-1</f>
        <v/>
      </c>
      <c r="B760" s="175" t="n"/>
      <c r="C760" s="80" t="n">
        <v>2025</v>
      </c>
      <c r="D760" s="80" t="inlineStr">
        <is>
          <t>张明峰</t>
        </is>
      </c>
      <c r="E760" s="81">
        <f>VLOOKUP(I760,'25年交付功能（不含废弃）'!A:A,1,FALSE)</f>
        <v/>
      </c>
      <c r="F760" s="175" t="n"/>
      <c r="I760" s="98" t="inlineStr">
        <is>
          <t>查看漏管平台运行类台账摘要</t>
        </is>
      </c>
      <c r="J760" s="93" t="inlineStr">
        <is>
          <t>EQ</t>
        </is>
      </c>
      <c r="K760" s="84" t="n"/>
      <c r="L760" s="84" t="n"/>
      <c r="M760" s="85">
        <f>IF(OR(Y760="估算法",Y760="算法类",Y760="无法识别"),"",IF(W760="",IF(OR(J760="EI",J760="EO",J760="EQ"),0,""),LEN(W760)-LEN(SUBSTITUTE(W760,"、",""))+1))</f>
        <v/>
      </c>
      <c r="N760" s="85">
        <f>IF(OR(Y760="估算法",Y760="算法类",Y760="无法识别"),"",IF(X760="",IF(OR(J760="ILF",J760="EIF"),0,""),LEN(X760)-LEN(SUBSTITUTE(X760,"、",""))+1))</f>
        <v/>
      </c>
      <c r="O760" s="85">
        <f>IF(OR(Y760="估算法",Y760="算法类",Y760="无法识别"),"",IF(Y760="",IF(OR(J760="ILF",J760="EIF",J760="EI",J760="EO",J760="EQ"),0,""),LEN(Y760)-LEN(SUBSTITUTE(SUBSTITUTE(SUBSTITUTE(SUBSTITUTE(SUBSTITUTE(Y760,"|}","--"),"{|","--"),CHAR(10),""),"、",""),"|",""))+IF(AND(OR(J760="EI",J760="EO",J760="EQ"),$AE$1="NESMA"),2,1)))</f>
        <v/>
      </c>
      <c r="P760" s="86">
        <f>IF(J760="EI",IF(OR(Y760="估算法",Y760="算法类"),"中",IF(Y760="无法识别","低",IF(M760&lt;2,IF(O760&lt;16,"低","中"),IF(M760&lt;3,IF(O760&lt;5,"低",IF(O760&lt;16,"中","高")),IF(O760&lt;5,"中","高"))))),IF(OR(J760="EO",J760="EQ"),IF(OR(Y760="估算法",Y760="算法类"),"中",IF(Y760="无法识别","低",IF(M760&lt;2,IF(O760&lt;20,"低","中"),IF(M760&lt;4,IF(O760&lt;6,"低",IF(O760&lt;20,"中","高")),IF(O760&lt;6,"中","高"))))),IF(OR(J760="ILF",J760="EIF"),IF(OR(Y760="估算法",Y760="算法类",Y760="无法识别"),"低",IF(N760&lt;2,IF(O760&lt;51,"低","中"),IF(N760&lt;6,IF(O760&lt;20,"低",IF(O760&lt;51,"中","高")),IF(O760&lt;20,"中","高")))),"不计算")))</f>
        <v/>
      </c>
      <c r="Q760" s="172">
        <f>IFERROR(IF(J760="EI",IF(P760="低",3,IF(P760="中",4,6)),IF(J760="EO",IF(P760="低",4,IF(P760="中",5,7)),IF(J760="EQ",IF(P760="低",3,IF(P760="中",4,6)),IF(J760="ILF",IF(P760="低",7,IF(P760="中",10,15)),IF(J760="EIF",IF(P760="低",5,IF(P760="中",7,10)),"不计算")))))*R760,"不计算")</f>
        <v/>
      </c>
      <c r="R760" s="172" t="n">
        <v>1</v>
      </c>
      <c r="S760" s="173">
        <f>调整因子!$F$13</f>
        <v/>
      </c>
      <c r="T760" s="93" t="n">
        <v>1</v>
      </c>
      <c r="U760" s="174">
        <f>IFERROR(Q760*S760,0)</f>
        <v/>
      </c>
      <c r="V760" s="174">
        <f>U760*T760</f>
        <v/>
      </c>
      <c r="W760" s="90" t="inlineStr">
        <is>
          <t>漏管平台运行台账表</t>
        </is>
      </c>
      <c r="X760" s="113" t="n"/>
      <c r="Y760" s="90" t="inlineStr">
        <is>
          <t>漏管平台运行台账表{台账记录编号|台账类型编码、记录时间、时钟同步状态}</t>
        </is>
      </c>
      <c r="Z760" s="90" t="n"/>
      <c r="AA760" s="90" t="n"/>
    </row>
    <row r="761" s="112">
      <c r="A761" s="72">
        <f>ROW()-1</f>
        <v/>
      </c>
      <c r="B761" s="175" t="n"/>
      <c r="C761" s="80" t="n">
        <v>2025</v>
      </c>
      <c r="D761" s="80" t="inlineStr">
        <is>
          <t>张明峰</t>
        </is>
      </c>
      <c r="E761" s="81">
        <f>VLOOKUP(I761,'25年交付功能（不含废弃）'!A:A,1,FALSE)</f>
        <v/>
      </c>
      <c r="F761" s="175" t="n"/>
      <c r="I761" s="98" t="inlineStr">
        <is>
          <t>导出漏管平台运行类台账</t>
        </is>
      </c>
      <c r="J761" s="93" t="inlineStr">
        <is>
          <t>EO</t>
        </is>
      </c>
      <c r="K761" s="84" t="n"/>
      <c r="L761" s="84" t="n"/>
      <c r="M761" s="85">
        <f>IF(OR(Y761="估算法",Y761="算法类",Y761="无法识别"),"",IF(W761="",IF(OR(J761="EI",J761="EO",J761="EQ"),0,""),LEN(W761)-LEN(SUBSTITUTE(W761,"、",""))+1))</f>
        <v/>
      </c>
      <c r="N761" s="85">
        <f>IF(OR(Y761="估算法",Y761="算法类",Y761="无法识别"),"",IF(X761="",IF(OR(J761="ILF",J761="EIF"),0,""),LEN(X761)-LEN(SUBSTITUTE(X761,"、",""))+1))</f>
        <v/>
      </c>
      <c r="O761" s="85">
        <f>IF(OR(Y761="估算法",Y761="算法类",Y761="无法识别"),"",IF(Y761="",IF(OR(J761="ILF",J761="EIF",J761="EI",J761="EO",J761="EQ"),0,""),LEN(Y761)-LEN(SUBSTITUTE(SUBSTITUTE(SUBSTITUTE(SUBSTITUTE(SUBSTITUTE(Y761,"|}","--"),"{|","--"),CHAR(10),""),"、",""),"|",""))+IF(AND(OR(J761="EI",J761="EO",J761="EQ"),$AE$1="NESMA"),2,1)))</f>
        <v/>
      </c>
      <c r="P761" s="86">
        <f>IF(J761="EI",IF(OR(Y761="估算法",Y761="算法类"),"中",IF(Y761="无法识别","低",IF(M761&lt;2,IF(O761&lt;16,"低","中"),IF(M761&lt;3,IF(O761&lt;5,"低",IF(O761&lt;16,"中","高")),IF(O761&lt;5,"中","高"))))),IF(OR(J761="EO",J761="EQ"),IF(OR(Y761="估算法",Y761="算法类"),"中",IF(Y761="无法识别","低",IF(M761&lt;2,IF(O761&lt;20,"低","中"),IF(M761&lt;4,IF(O761&lt;6,"低",IF(O761&lt;20,"中","高")),IF(O761&lt;6,"中","高"))))),IF(OR(J761="ILF",J761="EIF"),IF(OR(Y761="估算法",Y761="算法类",Y761="无法识别"),"低",IF(N761&lt;2,IF(O761&lt;51,"低","中"),IF(N761&lt;6,IF(O761&lt;20,"低",IF(O761&lt;51,"中","高")),IF(O761&lt;20,"中","高")))),"不计算")))</f>
        <v/>
      </c>
      <c r="Q761" s="172">
        <f>IFERROR(IF(J761="EI",IF(P761="低",3,IF(P761="中",4,6)),IF(J761="EO",IF(P761="低",4,IF(P761="中",5,7)),IF(J761="EQ",IF(P761="低",3,IF(P761="中",4,6)),IF(J761="ILF",IF(P761="低",7,IF(P761="中",10,15)),IF(J761="EIF",IF(P761="低",5,IF(P761="中",7,10)),"不计算")))))*R761,"不计算")</f>
        <v/>
      </c>
      <c r="R761" s="172" t="n">
        <v>1</v>
      </c>
      <c r="S761" s="173">
        <f>调整因子!$F$13</f>
        <v/>
      </c>
      <c r="T761" s="93" t="n">
        <v>1</v>
      </c>
      <c r="U761" s="174">
        <f>IFERROR(Q761*S761,0)</f>
        <v/>
      </c>
      <c r="V761" s="174">
        <f>U761*T761</f>
        <v/>
      </c>
      <c r="W761" s="91" t="inlineStr">
        <is>
          <t>漏管平台运行台账表</t>
        </is>
      </c>
      <c r="X761" s="90" t="n"/>
      <c r="Y761" s="90" t="inlineStr">
        <is>
          <t>漏管平台运行台账表{记录时间|导出文件路径}</t>
        </is>
      </c>
      <c r="Z761" s="90" t="n"/>
      <c r="AA761" s="90" t="n"/>
    </row>
    <row r="762" s="112">
      <c r="A762" s="72">
        <f>ROW()-1</f>
        <v/>
      </c>
      <c r="B762" s="175" t="n"/>
      <c r="C762" s="80" t="n">
        <v>2025</v>
      </c>
      <c r="D762" s="80" t="inlineStr">
        <is>
          <t>张明峰</t>
        </is>
      </c>
      <c r="E762" s="81">
        <f>VLOOKUP(I762,'25年交付功能（不含废弃）'!A:A,1,FALSE)</f>
        <v/>
      </c>
      <c r="F762" s="175" t="n"/>
      <c r="I762" s="98" t="inlineStr">
        <is>
          <t>漏管平台运行台账表</t>
        </is>
      </c>
      <c r="J762" s="93" t="inlineStr">
        <is>
          <t>ILF</t>
        </is>
      </c>
      <c r="K762" s="84" t="n"/>
      <c r="L762" s="84" t="n"/>
      <c r="M762" s="85">
        <f>IF(OR(Y762="估算法",Y762="算法类",Y762="无法识别"),"",IF(W762="",IF(OR(J762="EI",J762="EO",J762="EQ"),0,""),LEN(W762)-LEN(SUBSTITUTE(W762,"、",""))+1))</f>
        <v/>
      </c>
      <c r="N762" s="85">
        <f>IF(OR(Y762="估算法",Y762="算法类",Y762="无法识别"),"",IF(X762="",IF(OR(J762="ILF",J762="EIF"),0,""),LEN(X762)-LEN(SUBSTITUTE(X762,"、",""))+1))</f>
        <v/>
      </c>
      <c r="O762" s="85">
        <f>IF(OR(Y762="估算法",Y762="算法类",Y762="无法识别"),"",IF(Y762="",IF(OR(J762="ILF",J762="EIF",J762="EI",J762="EO",J762="EQ"),0,""),LEN(Y762)-LEN(SUBSTITUTE(SUBSTITUTE(SUBSTITUTE(SUBSTITUTE(SUBSTITUTE(Y762,"|}","--"),"{|","--"),CHAR(10),""),"、",""),"|",""))+IF(AND(OR(J762="EI",J762="EO",J762="EQ"),$AE$1="NESMA"),2,1)))</f>
        <v/>
      </c>
      <c r="P762" s="86">
        <f>IF(J762="EI",IF(OR(Y762="估算法",Y762="算法类"),"中",IF(Y762="无法识别","低",IF(M762&lt;2,IF(O762&lt;16,"低","中"),IF(M762&lt;3,IF(O762&lt;5,"低",IF(O762&lt;16,"中","高")),IF(O762&lt;5,"中","高"))))),IF(OR(J762="EO",J762="EQ"),IF(OR(Y762="估算法",Y762="算法类"),"中",IF(Y762="无法识别","低",IF(M762&lt;2,IF(O762&lt;20,"低","中"),IF(M762&lt;4,IF(O762&lt;6,"低",IF(O762&lt;20,"中","高")),IF(O762&lt;6,"中","高"))))),IF(OR(J762="ILF",J762="EIF"),IF(OR(Y762="估算法",Y762="算法类",Y762="无法识别"),"低",IF(N762&lt;2,IF(O762&lt;51,"低","中"),IF(N762&lt;6,IF(O762&lt;20,"低",IF(O762&lt;51,"中","高")),IF(O762&lt;20,"中","高")))),"不计算")))</f>
        <v/>
      </c>
      <c r="Q762" s="172">
        <f>IFERROR(IF(J762="EI",IF(P762="低",3,IF(P762="中",4,6)),IF(J762="EO",IF(P762="低",4,IF(P762="中",5,7)),IF(J762="EQ",IF(P762="低",3,IF(P762="中",4,6)),IF(J762="ILF",IF(P762="低",7,IF(P762="中",10,15)),IF(J762="EIF",IF(P762="低",5,IF(P762="中",7,10)),"不计算")))))*R762,"不计算")</f>
        <v/>
      </c>
      <c r="R762" s="172" t="n">
        <v>1</v>
      </c>
      <c r="S762" s="173">
        <f>调整因子!$F$13</f>
        <v/>
      </c>
      <c r="T762" s="92" t="n">
        <v>1</v>
      </c>
      <c r="U762" s="174">
        <f>IFERROR(Q762*S762,0)</f>
        <v/>
      </c>
      <c r="V762" s="174">
        <f>U762*T762</f>
        <v/>
      </c>
      <c r="W762" s="91" t="n"/>
      <c r="X762" s="90" t="inlineStr">
        <is>
          <t>漏管平台运行台账表</t>
        </is>
      </c>
      <c r="Y762" s="90" t="inlineStr">
        <is>
          <t>漏管平台运行台账表{台账记录编号、台账类型编码、台账级别、记录时间、时钟同步状态、时钟同步来源、设备哈希}</t>
        </is>
      </c>
      <c r="Z762" s="90" t="n"/>
      <c r="AA762" s="90" t="n"/>
    </row>
    <row r="763" s="112">
      <c r="A763" s="72">
        <f>ROW()-1</f>
        <v/>
      </c>
      <c r="B763" s="175" t="n"/>
      <c r="C763" s="80" t="n">
        <v>2025</v>
      </c>
      <c r="D763" s="80" t="inlineStr">
        <is>
          <t>张明峰</t>
        </is>
      </c>
      <c r="E763" s="81">
        <f>VLOOKUP(I763,'25年交付功能（不含废弃）'!A:A,1,FALSE)</f>
        <v/>
      </c>
      <c r="F763" s="175" t="n"/>
      <c r="G763" t="inlineStr">
        <is>
          <t>系统漏洞排查台账</t>
        </is>
      </c>
      <c r="H763" s="177" t="inlineStr">
        <is>
          <t>排查任务类台账</t>
        </is>
      </c>
      <c r="I763" s="98" t="inlineStr">
        <is>
          <t>后台记录排查任务下发审计</t>
        </is>
      </c>
      <c r="J763" s="93" t="inlineStr">
        <is>
          <t>EI</t>
        </is>
      </c>
      <c r="K763" s="84" t="n"/>
      <c r="L763" s="84" t="n"/>
      <c r="M763" s="85">
        <f>IF(OR(Y763="估算法",Y763="算法类",Y763="无法识别"),"",IF(W763="",IF(OR(J763="EI",J763="EO",J763="EQ"),0,""),LEN(W763)-LEN(SUBSTITUTE(W763,"、",""))+1))</f>
        <v/>
      </c>
      <c r="N763" s="85">
        <f>IF(OR(Y763="估算法",Y763="算法类",Y763="无法识别"),"",IF(X763="",IF(OR(J763="ILF",J763="EIF"),0,""),LEN(X763)-LEN(SUBSTITUTE(X763,"、",""))+1))</f>
        <v/>
      </c>
      <c r="O763" s="85">
        <f>IF(OR(Y763="估算法",Y763="算法类",Y763="无法识别"),"",IF(Y763="",IF(OR(J763="ILF",J763="EIF",J763="EI",J763="EO",J763="EQ"),0,""),LEN(Y763)-LEN(SUBSTITUTE(SUBSTITUTE(SUBSTITUTE(SUBSTITUTE(SUBSTITUTE(Y763,"|}","--"),"{|","--"),CHAR(10),""),"、",""),"|",""))+IF(AND(OR(J763="EI",J763="EO",J763="EQ"),$AE$1="NESMA"),2,1)))</f>
        <v/>
      </c>
      <c r="P763" s="86">
        <f>IF(J763="EI",IF(OR(Y763="估算法",Y763="算法类"),"中",IF(Y763="无法识别","低",IF(M763&lt;2,IF(O763&lt;16,"低","中"),IF(M763&lt;3,IF(O763&lt;5,"低",IF(O763&lt;16,"中","高")),IF(O763&lt;5,"中","高"))))),IF(OR(J763="EO",J763="EQ"),IF(OR(Y763="估算法",Y763="算法类"),"中",IF(Y763="无法识别","低",IF(M763&lt;2,IF(O763&lt;20,"低","中"),IF(M763&lt;4,IF(O763&lt;6,"低",IF(O763&lt;20,"中","高")),IF(O763&lt;6,"中","高"))))),IF(OR(J763="ILF",J763="EIF"),IF(OR(Y763="估算法",Y763="算法类",Y763="无法识别"),"低",IF(N763&lt;2,IF(O763&lt;51,"低","中"),IF(N763&lt;6,IF(O763&lt;20,"低",IF(O763&lt;51,"中","高")),IF(O763&lt;20,"中","高")))),"不计算")))</f>
        <v/>
      </c>
      <c r="Q763" s="172">
        <f>IFERROR(IF(J763="EI",IF(P763="低",3,IF(P763="中",4,6)),IF(J763="EO",IF(P763="低",4,IF(P763="中",5,7)),IF(J763="EQ",IF(P763="低",3,IF(P763="中",4,6)),IF(J763="ILF",IF(P763="低",7,IF(P763="中",10,15)),IF(J763="EIF",IF(P763="低",5,IF(P763="中",7,10)),"不计算")))))*R763,"不计算")</f>
        <v/>
      </c>
      <c r="R763" s="172" t="n">
        <v>1</v>
      </c>
      <c r="S763" s="173">
        <f>调整因子!$F$13</f>
        <v/>
      </c>
      <c r="T763" s="92" t="n">
        <v>1</v>
      </c>
      <c r="U763" s="174">
        <f>IFERROR(Q763*S763,0)</f>
        <v/>
      </c>
      <c r="V763" s="174">
        <f>U763*T763</f>
        <v/>
      </c>
      <c r="W763" s="91" t="inlineStr">
        <is>
          <t>系统漏洞排查弱口令台账表</t>
        </is>
      </c>
      <c r="X763" s="90" t="n"/>
      <c r="Y763" s="90" t="inlineStr">
        <is>
          <t>系统漏洞排查弱口令台账表{扫描引擎哈希、任务名称、任务编号、扫描目标|台账记录编号、记录时间}</t>
        </is>
      </c>
      <c r="Z763" s="90" t="inlineStr">
        <is>
          <t>表54，类型1020</t>
        </is>
      </c>
      <c r="AA763" s="90" t="n"/>
    </row>
    <row r="764" s="112">
      <c r="A764" s="72">
        <f>ROW()-1</f>
        <v/>
      </c>
      <c r="B764" s="175" t="n"/>
      <c r="C764" s="80" t="n">
        <v>2025</v>
      </c>
      <c r="D764" s="80" t="inlineStr">
        <is>
          <t>张明峰</t>
        </is>
      </c>
      <c r="E764" s="81">
        <f>VLOOKUP(I764,'25年交付功能（不含废弃）'!A:A,1,FALSE)</f>
        <v/>
      </c>
      <c r="F764" s="175" t="n"/>
      <c r="H764" s="165" t="n"/>
      <c r="I764" s="98" t="inlineStr">
        <is>
          <t>后台记录排查任务进度审计</t>
        </is>
      </c>
      <c r="J764" s="93" t="inlineStr">
        <is>
          <t>EI</t>
        </is>
      </c>
      <c r="K764" s="84" t="n"/>
      <c r="L764" s="84" t="n"/>
      <c r="M764" s="85">
        <f>IF(OR(Y764="估算法",Y764="算法类",Y764="无法识别"),"",IF(W764="",IF(OR(J764="EI",J764="EO",J764="EQ"),0,""),LEN(W764)-LEN(SUBSTITUTE(W764,"、",""))+1))</f>
        <v/>
      </c>
      <c r="N764" s="85">
        <f>IF(OR(Y764="估算法",Y764="算法类",Y764="无法识别"),"",IF(X764="",IF(OR(J764="ILF",J764="EIF"),0,""),LEN(X764)-LEN(SUBSTITUTE(X764,"、",""))+1))</f>
        <v/>
      </c>
      <c r="O764" s="85">
        <f>IF(OR(Y764="估算法",Y764="算法类",Y764="无法识别"),"",IF(Y764="",IF(OR(J764="ILF",J764="EIF",J764="EI",J764="EO",J764="EQ"),0,""),LEN(Y764)-LEN(SUBSTITUTE(SUBSTITUTE(SUBSTITUTE(SUBSTITUTE(SUBSTITUTE(Y764,"|}","--"),"{|","--"),CHAR(10),""),"、",""),"|",""))+IF(AND(OR(J764="EI",J764="EO",J764="EQ"),$AE$1="NESMA"),2,1)))</f>
        <v/>
      </c>
      <c r="P764" s="86">
        <f>IF(J764="EI",IF(OR(Y764="估算法",Y764="算法类"),"中",IF(Y764="无法识别","低",IF(M764&lt;2,IF(O764&lt;16,"低","中"),IF(M764&lt;3,IF(O764&lt;5,"低",IF(O764&lt;16,"中","高")),IF(O764&lt;5,"中","高"))))),IF(OR(J764="EO",J764="EQ"),IF(OR(Y764="估算法",Y764="算法类"),"中",IF(Y764="无法识别","低",IF(M764&lt;2,IF(O764&lt;20,"低","中"),IF(M764&lt;4,IF(O764&lt;6,"低",IF(O764&lt;20,"中","高")),IF(O764&lt;6,"中","高"))))),IF(OR(J764="ILF",J764="EIF"),IF(OR(Y764="估算法",Y764="算法类",Y764="无法识别"),"低",IF(N764&lt;2,IF(O764&lt;51,"低","中"),IF(N764&lt;6,IF(O764&lt;20,"低",IF(O764&lt;51,"中","高")),IF(O764&lt;20,"中","高")))),"不计算")))</f>
        <v/>
      </c>
      <c r="Q764" s="172">
        <f>IFERROR(IF(J764="EI",IF(P764="低",3,IF(P764="中",4,6)),IF(J764="EO",IF(P764="低",4,IF(P764="中",5,7)),IF(J764="EQ",IF(P764="低",3,IF(P764="中",4,6)),IF(J764="ILF",IF(P764="低",7,IF(P764="中",10,15)),IF(J764="EIF",IF(P764="低",5,IF(P764="中",7,10)),"不计算")))))*R764,"不计算")</f>
        <v/>
      </c>
      <c r="R764" s="172" t="n">
        <v>1</v>
      </c>
      <c r="S764" s="173">
        <f>调整因子!$F$13</f>
        <v/>
      </c>
      <c r="T764" s="93" t="n">
        <v>1</v>
      </c>
      <c r="U764" s="174">
        <f>IFERROR(Q764*S764,0)</f>
        <v/>
      </c>
      <c r="V764" s="174">
        <f>U764*T764</f>
        <v/>
      </c>
      <c r="W764" s="91" t="inlineStr">
        <is>
          <t>系统漏洞排查弱口令台账表</t>
        </is>
      </c>
      <c r="X764" s="90" t="n"/>
      <c r="Y764" s="90" t="inlineStr">
        <is>
          <t>系统漏洞排查弱口令台账表{任务进度、扫描端口|台账记录编号、任务进度}</t>
        </is>
      </c>
      <c r="Z764" s="90" t="n"/>
      <c r="AA764" s="90" t="n"/>
    </row>
    <row r="765" s="112">
      <c r="A765" s="72">
        <f>ROW()-1</f>
        <v/>
      </c>
      <c r="B765" s="175" t="n"/>
      <c r="C765" s="80" t="n">
        <v>2025</v>
      </c>
      <c r="D765" s="80" t="inlineStr">
        <is>
          <t>张明峰</t>
        </is>
      </c>
      <c r="E765" s="81">
        <f>VLOOKUP(I765,'25年交付功能（不含废弃）'!A:A,1,FALSE)</f>
        <v/>
      </c>
      <c r="F765" s="175" t="n"/>
      <c r="H765" s="165" t="n"/>
      <c r="I765" s="98" t="inlineStr">
        <is>
          <t>后台记录排查任务结果审计</t>
        </is>
      </c>
      <c r="J765" s="93" t="inlineStr">
        <is>
          <t>EI</t>
        </is>
      </c>
      <c r="K765" s="84" t="n"/>
      <c r="L765" s="84" t="n"/>
      <c r="M765" s="85">
        <f>IF(OR(Y765="估算法",Y765="算法类",Y765="无法识别"),"",IF(W765="",IF(OR(J765="EI",J765="EO",J765="EQ"),0,""),LEN(W765)-LEN(SUBSTITUTE(W765,"、",""))+1))</f>
        <v/>
      </c>
      <c r="N765" s="85">
        <f>IF(OR(Y765="估算法",Y765="算法类",Y765="无法识别"),"",IF(X765="",IF(OR(J765="ILF",J765="EIF"),0,""),LEN(X765)-LEN(SUBSTITUTE(X765,"、",""))+1))</f>
        <v/>
      </c>
      <c r="O765" s="85">
        <f>IF(OR(Y765="估算法",Y765="算法类",Y765="无法识别"),"",IF(Y765="",IF(OR(J765="ILF",J765="EIF",J765="EI",J765="EO",J765="EQ"),0,""),LEN(Y765)-LEN(SUBSTITUTE(SUBSTITUTE(SUBSTITUTE(SUBSTITUTE(SUBSTITUTE(Y765,"|}","--"),"{|","--"),CHAR(10),""),"、",""),"|",""))+IF(AND(OR(J765="EI",J765="EO",J765="EQ"),$AE$1="NESMA"),2,1)))</f>
        <v/>
      </c>
      <c r="P765" s="86">
        <f>IF(J765="EI",IF(OR(Y765="估算法",Y765="算法类"),"中",IF(Y765="无法识别","低",IF(M765&lt;2,IF(O765&lt;16,"低","中"),IF(M765&lt;3,IF(O765&lt;5,"低",IF(O765&lt;16,"中","高")),IF(O765&lt;5,"中","高"))))),IF(OR(J765="EO",J765="EQ"),IF(OR(Y765="估算法",Y765="算法类"),"中",IF(Y765="无法识别","低",IF(M765&lt;2,IF(O765&lt;20,"低","中"),IF(M765&lt;4,IF(O765&lt;6,"低",IF(O765&lt;20,"中","高")),IF(O765&lt;6,"中","高"))))),IF(OR(J765="ILF",J765="EIF"),IF(OR(Y765="估算法",Y765="算法类",Y765="无法识别"),"低",IF(N765&lt;2,IF(O765&lt;51,"低","中"),IF(N765&lt;6,IF(O765&lt;20,"低",IF(O765&lt;51,"中","高")),IF(O765&lt;20,"中","高")))),"不计算")))</f>
        <v/>
      </c>
      <c r="Q765" s="172">
        <f>IFERROR(IF(J765="EI",IF(P765="低",3,IF(P765="中",4,6)),IF(J765="EO",IF(P765="低",4,IF(P765="中",5,7)),IF(J765="EQ",IF(P765="低",3,IF(P765="中",4,6)),IF(J765="ILF",IF(P765="低",7,IF(P765="中",10,15)),IF(J765="EIF",IF(P765="低",5,IF(P765="中",7,10)),"不计算")))))*R765,"不计算")</f>
        <v/>
      </c>
      <c r="R765" s="172" t="n">
        <v>1</v>
      </c>
      <c r="S765" s="173">
        <f>调整因子!$F$13</f>
        <v/>
      </c>
      <c r="T765" s="92" t="n">
        <v>1</v>
      </c>
      <c r="U765" s="174">
        <f>IFERROR(Q765*S765,0)</f>
        <v/>
      </c>
      <c r="V765" s="174">
        <f>U765*T765</f>
        <v/>
      </c>
      <c r="W765" s="91" t="inlineStr">
        <is>
          <t>系统漏洞排查弱口令台账表</t>
        </is>
      </c>
      <c r="X765" s="90" t="n"/>
      <c r="Y765" s="90" t="inlineStr">
        <is>
          <t>系统漏洞排查弱口令台账表{漏洞数量、任务进度|台账记录编号、漏洞数量}</t>
        </is>
      </c>
      <c r="Z765" s="90" t="n"/>
      <c r="AA765" s="90" t="n"/>
    </row>
    <row r="766" s="112">
      <c r="A766" s="72">
        <f>ROW()-1</f>
        <v/>
      </c>
      <c r="B766" s="175" t="n"/>
      <c r="C766" s="80" t="n">
        <v>2025</v>
      </c>
      <c r="D766" s="80" t="inlineStr">
        <is>
          <t>张明峰</t>
        </is>
      </c>
      <c r="E766" s="81">
        <f>VLOOKUP(I766,'25年交付功能（不含废弃）'!A:A,1,FALSE)</f>
        <v/>
      </c>
      <c r="F766" s="175" t="n"/>
      <c r="H766" s="177" t="n"/>
      <c r="I766" s="103" t="inlineStr">
        <is>
          <t>后台生成扫描目标配套键对象文件</t>
        </is>
      </c>
      <c r="J766" s="93" t="inlineStr">
        <is>
          <t>EO</t>
        </is>
      </c>
      <c r="K766" s="84" t="n"/>
      <c r="L766" s="84" t="n"/>
      <c r="M766" s="85">
        <f>IF(OR(Y766="估算法",Y766="算法类",Y766="无法识别"),"",IF(W766="",IF(OR(J766="EI",J766="EO",J766="EQ"),0,""),LEN(W766)-LEN(SUBSTITUTE(W766,"、",""))+1))</f>
        <v/>
      </c>
      <c r="N766" s="85">
        <f>IF(OR(Y766="估算法",Y766="算法类",Y766="无法识别"),"",IF(X766="",IF(OR(J766="ILF",J766="EIF"),0,""),LEN(X766)-LEN(SUBSTITUTE(X766,"、",""))+1))</f>
        <v/>
      </c>
      <c r="O766" s="85">
        <f>IF(OR(Y766="估算法",Y766="算法类",Y766="无法识别"),"",IF(Y766="",IF(OR(J766="ILF",J766="EIF",J766="EI",J766="EO",J766="EQ"),0,""),LEN(Y766)-LEN(SUBSTITUTE(SUBSTITUTE(SUBSTITUTE(SUBSTITUTE(SUBSTITUTE(Y766,"|}","--"),"{|","--"),CHAR(10),""),"、",""),"|",""))+IF(AND(OR(J766="EI",J766="EO",J766="EQ"),$AE$1="NESMA"),2,1)))</f>
        <v/>
      </c>
      <c r="P766" s="86">
        <f>IF(J766="EI",IF(OR(Y766="估算法",Y766="算法类"),"中",IF(Y766="无法识别","低",IF(M766&lt;2,IF(O766&lt;16,"低","中"),IF(M766&lt;3,IF(O766&lt;5,"低",IF(O766&lt;16,"中","高")),IF(O766&lt;5,"中","高"))))),IF(OR(J766="EO",J766="EQ"),IF(OR(Y766="估算法",Y766="算法类"),"中",IF(Y766="无法识别","低",IF(M766&lt;2,IF(O766&lt;20,"低","中"),IF(M766&lt;4,IF(O766&lt;6,"低",IF(O766&lt;20,"中","高")),IF(O766&lt;6,"中","高"))))),IF(OR(J766="ILF",J766="EIF"),IF(OR(Y766="估算法",Y766="算法类",Y766="无法识别"),"低",IF(N766&lt;2,IF(O766&lt;51,"低","中"),IF(N766&lt;6,IF(O766&lt;20,"低",IF(O766&lt;51,"中","高")),IF(O766&lt;20,"中","高")))),"不计算")))</f>
        <v/>
      </c>
      <c r="Q766" s="172">
        <f>IFERROR(IF(J766="EI",IF(P766="低",3,IF(P766="中",4,6)),IF(J766="EO",IF(P766="低",4,IF(P766="中",5,7)),IF(J766="EQ",IF(P766="低",3,IF(P766="中",4,6)),IF(J766="ILF",IF(P766="低",7,IF(P766="中",10,15)),IF(J766="EIF",IF(P766="低",5,IF(P766="中",7,10)),"不计算")))))*R766,"不计算")</f>
        <v/>
      </c>
      <c r="R766" s="172" t="n">
        <v>1</v>
      </c>
      <c r="S766" s="173">
        <f>调整因子!$F$13</f>
        <v/>
      </c>
      <c r="T766" s="92" t="n">
        <v>1</v>
      </c>
      <c r="U766" s="174">
        <f>IFERROR(Q766*S766,0)</f>
        <v/>
      </c>
      <c r="V766" s="174">
        <f>U766*T766</f>
        <v/>
      </c>
      <c r="W766" s="90" t="inlineStr">
        <is>
          <t>系统漏洞排查弱口令台账表、台账配套文件元数据表</t>
        </is>
      </c>
      <c r="X766" s="113" t="n"/>
      <c r="Y766" s="90" t="inlineStr">
        <is>
          <t>系统漏洞排查弱口令台账表{扫描目标、扫描端口|目标文件键名、端口文件键名}
台账配套文件元数据表{|配套文件编号、文件键名}</t>
        </is>
      </c>
      <c r="Z766" s="90" t="n"/>
      <c r="AA766" s="90" t="n"/>
    </row>
    <row r="767" s="112">
      <c r="A767" s="72">
        <f>ROW()-1</f>
        <v/>
      </c>
      <c r="B767" s="175" t="n"/>
      <c r="C767" s="80" t="n">
        <v>2025</v>
      </c>
      <c r="D767" s="80" t="inlineStr">
        <is>
          <t>张明峰</t>
        </is>
      </c>
      <c r="E767" s="81">
        <f>VLOOKUP(I767,'25年交付功能（不含废弃）'!A:A,1,FALSE)</f>
        <v/>
      </c>
      <c r="F767" s="175" t="n"/>
      <c r="H767" t="inlineStr">
        <is>
          <t>弱口令扫描类台账</t>
        </is>
      </c>
      <c r="I767" s="103" t="inlineStr">
        <is>
          <t>后台记录弱口令扫描任务台账</t>
        </is>
      </c>
      <c r="J767" s="93" t="inlineStr">
        <is>
          <t>EI</t>
        </is>
      </c>
      <c r="K767" s="84" t="n"/>
      <c r="L767" s="84" t="n"/>
      <c r="M767" s="85">
        <f>IF(OR(Y767="估算法",Y767="算法类",Y767="无法识别"),"",IF(W767="",IF(OR(J767="EI",J767="EO",J767="EQ"),0,""),LEN(W767)-LEN(SUBSTITUTE(W767,"、",""))+1))</f>
        <v/>
      </c>
      <c r="N767" s="85">
        <f>IF(OR(Y767="估算法",Y767="算法类",Y767="无法识别"),"",IF(X767="",IF(OR(J767="ILF",J767="EIF"),0,""),LEN(X767)-LEN(SUBSTITUTE(X767,"、",""))+1))</f>
        <v/>
      </c>
      <c r="O767" s="85">
        <f>IF(OR(Y767="估算法",Y767="算法类",Y767="无法识别"),"",IF(Y767="",IF(OR(J767="ILF",J767="EIF",J767="EI",J767="EO",J767="EQ"),0,""),LEN(Y767)-LEN(SUBSTITUTE(SUBSTITUTE(SUBSTITUTE(SUBSTITUTE(SUBSTITUTE(Y767,"|}","--"),"{|","--"),CHAR(10),""),"、",""),"|",""))+IF(AND(OR(J767="EI",J767="EO",J767="EQ"),$AE$1="NESMA"),2,1)))</f>
        <v/>
      </c>
      <c r="P767" s="86">
        <f>IF(J767="EI",IF(OR(Y767="估算法",Y767="算法类"),"中",IF(Y767="无法识别","低",IF(M767&lt;2,IF(O767&lt;16,"低","中"),IF(M767&lt;3,IF(O767&lt;5,"低",IF(O767&lt;16,"中","高")),IF(O767&lt;5,"中","高"))))),IF(OR(J767="EO",J767="EQ"),IF(OR(Y767="估算法",Y767="算法类"),"中",IF(Y767="无法识别","低",IF(M767&lt;2,IF(O767&lt;20,"低","中"),IF(M767&lt;4,IF(O767&lt;6,"低",IF(O767&lt;20,"中","高")),IF(O767&lt;6,"中","高"))))),IF(OR(J767="ILF",J767="EIF"),IF(OR(Y767="估算法",Y767="算法类",Y767="无法识别"),"低",IF(N767&lt;2,IF(O767&lt;51,"低","中"),IF(N767&lt;6,IF(O767&lt;20,"低",IF(O767&lt;51,"中","高")),IF(O767&lt;20,"中","高")))),"不计算")))</f>
        <v/>
      </c>
      <c r="Q767" s="172">
        <f>IFERROR(IF(J767="EI",IF(P767="低",3,IF(P767="中",4,6)),IF(J767="EO",IF(P767="低",4,IF(P767="中",5,7)),IF(J767="EQ",IF(P767="低",3,IF(P767="中",4,6)),IF(J767="ILF",IF(P767="低",7,IF(P767="中",10,15)),IF(J767="EIF",IF(P767="低",5,IF(P767="中",7,10)),"不计算")))))*R767,"不计算")</f>
        <v/>
      </c>
      <c r="R767" s="172" t="n">
        <v>1</v>
      </c>
      <c r="S767" s="173">
        <f>调整因子!$F$13</f>
        <v/>
      </c>
      <c r="T767" s="93" t="n">
        <v>1</v>
      </c>
      <c r="U767" s="174">
        <f>IFERROR(Q767*S767,0)</f>
        <v/>
      </c>
      <c r="V767" s="174">
        <f>U767*T767</f>
        <v/>
      </c>
      <c r="W767" s="90" t="inlineStr">
        <is>
          <t>系统漏洞排查弱口令台账表</t>
        </is>
      </c>
      <c r="X767" s="113" t="n"/>
      <c r="Y767" s="90" t="inlineStr">
        <is>
          <t>系统漏洞排查弱口令台账表{扫描引擎哈希、任务名称、任务编号|台账记录编号、台账类型编码}</t>
        </is>
      </c>
      <c r="Z767" s="90" t="inlineStr">
        <is>
          <t>类型1030</t>
        </is>
      </c>
      <c r="AA767" s="90" t="n"/>
    </row>
    <row r="768" s="112">
      <c r="A768" s="72">
        <f>ROW()-1</f>
        <v/>
      </c>
      <c r="B768" s="175" t="n"/>
      <c r="C768" s="80" t="n">
        <v>2025</v>
      </c>
      <c r="D768" s="80" t="inlineStr">
        <is>
          <t>张明峰</t>
        </is>
      </c>
      <c r="E768" s="81">
        <f>VLOOKUP(I768,'25年交付功能（不含废弃）'!A:A,1,FALSE)</f>
        <v/>
      </c>
      <c r="F768" s="175" t="n"/>
      <c r="H768" t="inlineStr">
        <is>
          <t>扫描设备引用</t>
        </is>
      </c>
      <c r="I768" s="103" t="inlineStr">
        <is>
          <t>注册扫描设备信息表</t>
        </is>
      </c>
      <c r="J768" s="93" t="inlineStr">
        <is>
          <t>EIF</t>
        </is>
      </c>
      <c r="K768" s="84" t="n"/>
      <c r="L768" s="84" t="n"/>
      <c r="M768" s="85">
        <f>IF(OR(Y768="估算法",Y768="算法类",Y768="无法识别"),"",IF(W768="",IF(OR(J768="EI",J768="EO",J768="EQ"),0,""),LEN(W768)-LEN(SUBSTITUTE(W768,"、",""))+1))</f>
        <v/>
      </c>
      <c r="N768" s="85">
        <f>IF(OR(Y768="估算法",Y768="算法类",Y768="无法识别"),"",IF(X768="",IF(OR(J768="ILF",J768="EIF"),0,""),LEN(X768)-LEN(SUBSTITUTE(X768,"、",""))+1))</f>
        <v/>
      </c>
      <c r="O768" s="85">
        <f>IF(OR(Y768="估算法",Y768="算法类",Y768="无法识别"),"",IF(Y768="",IF(OR(J768="ILF",J768="EIF",J768="EI",J768="EO",J768="EQ"),0,""),LEN(Y768)-LEN(SUBSTITUTE(SUBSTITUTE(SUBSTITUTE(SUBSTITUTE(SUBSTITUTE(Y768,"|}","--"),"{|","--"),CHAR(10),""),"、",""),"|",""))+IF(AND(OR(J768="EI",J768="EO",J768="EQ"),$AE$1="NESMA"),2,1)))</f>
        <v/>
      </c>
      <c r="P768" s="86">
        <f>IF(J768="EI",IF(OR(Y768="估算法",Y768="算法类"),"中",IF(Y768="无法识别","低",IF(M768&lt;2,IF(O768&lt;16,"低","中"),IF(M768&lt;3,IF(O768&lt;5,"低",IF(O768&lt;16,"中","高")),IF(O768&lt;5,"中","高"))))),IF(OR(J768="EO",J768="EQ"),IF(OR(Y768="估算法",Y768="算法类"),"中",IF(Y768="无法识别","低",IF(M768&lt;2,IF(O768&lt;20,"低","中"),IF(M768&lt;4,IF(O768&lt;6,"低",IF(O768&lt;20,"中","高")),IF(O768&lt;6,"中","高"))))),IF(OR(J768="ILF",J768="EIF"),IF(OR(Y768="估算法",Y768="算法类",Y768="无法识别"),"低",IF(N768&lt;2,IF(O768&lt;51,"低","中"),IF(N768&lt;6,IF(O768&lt;20,"低",IF(O768&lt;51,"中","高")),IF(O768&lt;20,"中","高")))),"不计算")))</f>
        <v/>
      </c>
      <c r="Q768" s="172">
        <f>IFERROR(IF(J768="EI",IF(P768="低",3,IF(P768="中",4,6)),IF(J768="EO",IF(P768="低",4,IF(P768="中",5,7)),IF(J768="EQ",IF(P768="低",3,IF(P768="中",4,6)),IF(J768="ILF",IF(P768="低",7,IF(P768="中",10,15)),IF(J768="EIF",IF(P768="低",5,IF(P768="中",7,10)),"不计算")))))*R768,"不计算")</f>
        <v/>
      </c>
      <c r="R768" s="172" t="n">
        <v>1</v>
      </c>
      <c r="S768" s="173">
        <f>调整因子!$F$13</f>
        <v/>
      </c>
      <c r="T768" s="93" t="n">
        <v>1</v>
      </c>
      <c r="U768" s="174">
        <f>IFERROR(Q768*S768,0)</f>
        <v/>
      </c>
      <c r="V768" s="174">
        <f>U768*T768</f>
        <v/>
      </c>
      <c r="W768" s="90" t="n"/>
      <c r="X768" s="113" t="inlineStr">
        <is>
          <t>注册扫描设备信息表</t>
        </is>
      </c>
      <c r="Y768" s="90" t="inlineStr">
        <is>
          <t>注册扫描设备信息表{引擎设备哈希、设备名称、设备类型、注册时间}</t>
        </is>
      </c>
      <c r="Z768" s="90" t="n"/>
      <c r="AA768" s="90" t="n"/>
      <c r="AB768" t="inlineStr">
        <is>
          <t>EIF</t>
        </is>
      </c>
    </row>
    <row r="769" s="112">
      <c r="A769" s="72">
        <f>ROW()-1</f>
        <v/>
      </c>
      <c r="B769" s="175" t="n"/>
      <c r="C769" s="80" t="n">
        <v>2025</v>
      </c>
      <c r="D769" s="80" t="inlineStr">
        <is>
          <t>张明峰</t>
        </is>
      </c>
      <c r="E769" s="81">
        <f>VLOOKUP(I769,'25年交付功能（不含废弃）'!A:A,1,FALSE)</f>
        <v/>
      </c>
      <c r="F769" s="175" t="n"/>
      <c r="H769" t="inlineStr">
        <is>
          <t>排查任务类台账</t>
        </is>
      </c>
      <c r="I769" s="103" t="inlineStr">
        <is>
          <t>系统漏洞排查弱口令台账表</t>
        </is>
      </c>
      <c r="J769" s="93" t="inlineStr">
        <is>
          <t>ILF</t>
        </is>
      </c>
      <c r="K769" s="84" t="n"/>
      <c r="L769" s="84" t="n"/>
      <c r="M769" s="85">
        <f>IF(OR(Y769="估算法",Y769="算法类",Y769="无法识别"),"",IF(W769="",IF(OR(J769="EI",J769="EO",J769="EQ"),0,""),LEN(W769)-LEN(SUBSTITUTE(W769,"、",""))+1))</f>
        <v/>
      </c>
      <c r="N769" s="85">
        <f>IF(OR(Y769="估算法",Y769="算法类",Y769="无法识别"),"",IF(X769="",IF(OR(J769="ILF",J769="EIF"),0,""),LEN(X769)-LEN(SUBSTITUTE(X769,"、",""))+1))</f>
        <v/>
      </c>
      <c r="O769" s="85">
        <f>IF(OR(Y769="估算法",Y769="算法类",Y769="无法识别"),"",IF(Y769="",IF(OR(J769="ILF",J769="EIF",J769="EI",J769="EO",J769="EQ"),0,""),LEN(Y769)-LEN(SUBSTITUTE(SUBSTITUTE(SUBSTITUTE(SUBSTITUTE(SUBSTITUTE(Y769,"|}","--"),"{|","--"),CHAR(10),""),"、",""),"|",""))+IF(AND(OR(J769="EI",J769="EO",J769="EQ"),$AE$1="NESMA"),2,1)))</f>
        <v/>
      </c>
      <c r="P769" s="86">
        <f>IF(J769="EI",IF(OR(Y769="估算法",Y769="算法类"),"中",IF(Y769="无法识别","低",IF(M769&lt;2,IF(O769&lt;16,"低","中"),IF(M769&lt;3,IF(O769&lt;5,"低",IF(O769&lt;16,"中","高")),IF(O769&lt;5,"中","高"))))),IF(OR(J769="EO",J769="EQ"),IF(OR(Y769="估算法",Y769="算法类"),"中",IF(Y769="无法识别","低",IF(M769&lt;2,IF(O769&lt;20,"低","中"),IF(M769&lt;4,IF(O769&lt;6,"低",IF(O769&lt;20,"中","高")),IF(O769&lt;6,"中","高"))))),IF(OR(J769="ILF",J769="EIF"),IF(OR(Y769="估算法",Y769="算法类",Y769="无法识别"),"低",IF(N769&lt;2,IF(O769&lt;51,"低","中"),IF(N769&lt;6,IF(O769&lt;20,"低",IF(O769&lt;51,"中","高")),IF(O769&lt;20,"中","高")))),"不计算")))</f>
        <v/>
      </c>
      <c r="Q769" s="172">
        <f>IFERROR(IF(J769="EI",IF(P769="低",3,IF(P769="中",4,6)),IF(J769="EO",IF(P769="低",4,IF(P769="中",5,7)),IF(J769="EQ",IF(P769="低",3,IF(P769="中",4,6)),IF(J769="ILF",IF(P769="低",7,IF(P769="中",10,15)),IF(J769="EIF",IF(P769="低",5,IF(P769="中",7,10)),"不计算")))))*R769,"不计算")</f>
        <v/>
      </c>
      <c r="R769" s="172" t="n">
        <v>1</v>
      </c>
      <c r="S769" s="173">
        <f>调整因子!$F$13</f>
        <v/>
      </c>
      <c r="T769" s="92" t="n">
        <v>1</v>
      </c>
      <c r="U769" s="174">
        <f>IFERROR(Q769*S769,0)</f>
        <v/>
      </c>
      <c r="V769" s="174">
        <f>U769*T769</f>
        <v/>
      </c>
      <c r="W769" s="90" t="n"/>
      <c r="X769" s="113" t="inlineStr">
        <is>
          <t>系统漏洞排查弱口令台账表</t>
        </is>
      </c>
      <c r="Y769" s="90" t="inlineStr">
        <is>
          <t>系统漏洞排查弱口令台账表{台账记录编号、台账类型编码、扫描引擎哈希、任务名称、任务编号、扫描目标、扫描端口、目标文件键名、端口文件键名、任务进度、漏洞数量}</t>
        </is>
      </c>
      <c r="Z769" s="90" t="n"/>
      <c r="AA769" s="90" t="n"/>
    </row>
    <row r="770" s="112">
      <c r="A770" s="72">
        <f>ROW()-1</f>
        <v/>
      </c>
      <c r="B770" s="175" t="n"/>
      <c r="C770" s="80" t="n">
        <v>2025</v>
      </c>
      <c r="D770" s="80" t="inlineStr">
        <is>
          <t>张明峰</t>
        </is>
      </c>
      <c r="E770" s="81">
        <f>VLOOKUP(I770,'25年交付功能（不含废弃）'!A:A,1,FALSE)</f>
        <v/>
      </c>
      <c r="F770" s="175" t="n"/>
      <c r="G770" t="inlineStr">
        <is>
          <t>系统漏洞利用台账</t>
        </is>
      </c>
      <c r="H770" t="inlineStr">
        <is>
          <t>利用过程类台账</t>
        </is>
      </c>
      <c r="I770" s="103" t="inlineStr">
        <is>
          <t>后台记录漏洞利用过程台账</t>
        </is>
      </c>
      <c r="J770" s="93" t="inlineStr">
        <is>
          <t>EI</t>
        </is>
      </c>
      <c r="K770" s="84" t="n"/>
      <c r="L770" s="84" t="n"/>
      <c r="M770" s="85">
        <f>IF(OR(Y770="估算法",Y770="算法类",Y770="无法识别"),"",IF(W770="",IF(OR(J770="EI",J770="EO",J770="EQ"),0,""),LEN(W770)-LEN(SUBSTITUTE(W770,"、",""))+1))</f>
        <v/>
      </c>
      <c r="N770" s="85">
        <f>IF(OR(Y770="估算法",Y770="算法类",Y770="无法识别"),"",IF(X770="",IF(OR(J770="ILF",J770="EIF"),0,""),LEN(X770)-LEN(SUBSTITUTE(X770,"、",""))+1))</f>
        <v/>
      </c>
      <c r="O770" s="85">
        <f>IF(OR(Y770="估算法",Y770="算法类",Y770="无法识别"),"",IF(Y770="",IF(OR(J770="ILF",J770="EIF",J770="EI",J770="EO",J770="EQ"),0,""),LEN(Y770)-LEN(SUBSTITUTE(SUBSTITUTE(SUBSTITUTE(SUBSTITUTE(SUBSTITUTE(Y770,"|}","--"),"{|","--"),CHAR(10),""),"、",""),"|",""))+IF(AND(OR(J770="EI",J770="EO",J770="EQ"),$AE$1="NESMA"),2,1)))</f>
        <v/>
      </c>
      <c r="P770" s="86">
        <f>IF(J770="EI",IF(OR(Y770="估算法",Y770="算法类"),"中",IF(Y770="无法识别","低",IF(M770&lt;2,IF(O770&lt;16,"低","中"),IF(M770&lt;3,IF(O770&lt;5,"低",IF(O770&lt;16,"中","高")),IF(O770&lt;5,"中","高"))))),IF(OR(J770="EO",J770="EQ"),IF(OR(Y770="估算法",Y770="算法类"),"中",IF(Y770="无法识别","低",IF(M770&lt;2,IF(O770&lt;20,"低","中"),IF(M770&lt;4,IF(O770&lt;6,"低",IF(O770&lt;20,"中","高")),IF(O770&lt;6,"中","高"))))),IF(OR(J770="ILF",J770="EIF"),IF(OR(Y770="估算法",Y770="算法类",Y770="无法识别"),"低",IF(N770&lt;2,IF(O770&lt;51,"低","中"),IF(N770&lt;6,IF(O770&lt;20,"低",IF(O770&lt;51,"中","高")),IF(O770&lt;20,"中","高")))),"不计算")))</f>
        <v/>
      </c>
      <c r="Q770" s="172">
        <f>IFERROR(IF(J770="EI",IF(P770="低",3,IF(P770="中",4,6)),IF(J770="EO",IF(P770="低",4,IF(P770="中",5,7)),IF(J770="EQ",IF(P770="低",3,IF(P770="中",4,6)),IF(J770="ILF",IF(P770="低",7,IF(P770="中",10,15)),IF(J770="EIF",IF(P770="低",5,IF(P770="中",7,10)),"不计算")))))*R770,"不计算")</f>
        <v/>
      </c>
      <c r="R770" s="172" t="n">
        <v>1</v>
      </c>
      <c r="S770" s="173">
        <f>调整因子!$F$13</f>
        <v/>
      </c>
      <c r="T770" s="92" t="n">
        <v>1</v>
      </c>
      <c r="U770" s="174">
        <f>IFERROR(Q770*S770,0)</f>
        <v/>
      </c>
      <c r="V770" s="174">
        <f>U770*T770</f>
        <v/>
      </c>
      <c r="W770" s="103" t="inlineStr">
        <is>
          <t>系统漏洞利用台账表</t>
        </is>
      </c>
      <c r="X770" s="90" t="n"/>
      <c r="Y770" s="90" t="inlineStr">
        <is>
          <t>系统漏洞利用台账表{漏洞信息编号、漏洞信息状态、扫描引擎哈希|台账记录编号、记录时间}</t>
        </is>
      </c>
      <c r="Z770" s="90" t="inlineStr">
        <is>
          <t>表55，类型1040</t>
        </is>
      </c>
      <c r="AA770" s="90" t="n"/>
    </row>
    <row r="771" s="112">
      <c r="A771" s="72">
        <f>ROW()-1</f>
        <v/>
      </c>
      <c r="B771" s="175" t="n"/>
      <c r="C771" s="80" t="n">
        <v>2025</v>
      </c>
      <c r="D771" s="80" t="inlineStr">
        <is>
          <t>张明峰</t>
        </is>
      </c>
      <c r="E771" s="81">
        <f>VLOOKUP(I771,'25年交付功能（不含废弃）'!A:A,1,FALSE)</f>
        <v/>
      </c>
      <c r="F771" s="175" t="n"/>
      <c r="I771" s="103" t="inlineStr">
        <is>
          <t>漏洞利用交互报文表</t>
        </is>
      </c>
      <c r="J771" s="93" t="inlineStr">
        <is>
          <t>ILF</t>
        </is>
      </c>
      <c r="K771" s="84" t="n"/>
      <c r="L771" s="84" t="n"/>
      <c r="M771" s="85">
        <f>IF(OR(Y771="估算法",Y771="算法类",Y771="无法识别"),"",IF(W771="",IF(OR(J771="EI",J771="EO",J771="EQ"),0,""),LEN(W771)-LEN(SUBSTITUTE(W771,"、",""))+1))</f>
        <v/>
      </c>
      <c r="N771" s="85">
        <f>IF(OR(Y771="估算法",Y771="算法类",Y771="无法识别"),"",IF(X771="",IF(OR(J771="ILF",J771="EIF"),0,""),LEN(X771)-LEN(SUBSTITUTE(X771,"、",""))+1))</f>
        <v/>
      </c>
      <c r="O771" s="85">
        <f>IF(OR(Y771="估算法",Y771="算法类",Y771="无法识别"),"",IF(Y771="",IF(OR(J771="ILF",J771="EIF",J771="EI",J771="EO",J771="EQ"),0,""),LEN(Y771)-LEN(SUBSTITUTE(SUBSTITUTE(SUBSTITUTE(SUBSTITUTE(SUBSTITUTE(Y771,"|}","--"),"{|","--"),CHAR(10),""),"、",""),"|",""))+IF(AND(OR(J771="EI",J771="EO",J771="EQ"),$AE$1="NESMA"),2,1)))</f>
        <v/>
      </c>
      <c r="P771" s="86">
        <f>IF(J771="EI",IF(OR(Y771="估算法",Y771="算法类"),"中",IF(Y771="无法识别","低",IF(M771&lt;2,IF(O771&lt;16,"低","中"),IF(M771&lt;3,IF(O771&lt;5,"低",IF(O771&lt;16,"中","高")),IF(O771&lt;5,"中","高"))))),IF(OR(J771="EO",J771="EQ"),IF(OR(Y771="估算法",Y771="算法类"),"中",IF(Y771="无法识别","低",IF(M771&lt;2,IF(O771&lt;20,"低","中"),IF(M771&lt;4,IF(O771&lt;6,"低",IF(O771&lt;20,"中","高")),IF(O771&lt;6,"中","高"))))),IF(OR(J771="ILF",J771="EIF"),IF(OR(Y771="估算法",Y771="算法类",Y771="无法识别"),"低",IF(N771&lt;2,IF(O771&lt;51,"低","中"),IF(N771&lt;6,IF(O771&lt;20,"低",IF(O771&lt;51,"中","高")),IF(O771&lt;20,"中","高")))),"不计算")))</f>
        <v/>
      </c>
      <c r="Q771" s="172">
        <f>IFERROR(IF(J771="EI",IF(P771="低",3,IF(P771="中",4,6)),IF(J771="EO",IF(P771="低",4,IF(P771="中",5,7)),IF(J771="EQ",IF(P771="低",3,IF(P771="中",4,6)),IF(J771="ILF",IF(P771="低",7,IF(P771="中",10,15)),IF(J771="EIF",IF(P771="低",5,IF(P771="中",7,10)),"不计算")))))*R771,"不计算")</f>
        <v/>
      </c>
      <c r="R771" s="172" t="n">
        <v>1</v>
      </c>
      <c r="S771" s="173">
        <f>调整因子!$F$13</f>
        <v/>
      </c>
      <c r="T771" s="93" t="n">
        <v>1</v>
      </c>
      <c r="U771" s="174">
        <f>IFERROR(Q771*S771,0)</f>
        <v/>
      </c>
      <c r="V771" s="174">
        <f>U771*T771</f>
        <v/>
      </c>
      <c r="W771" s="103" t="n"/>
      <c r="X771" s="90" t="inlineStr">
        <is>
          <t>漏洞利用交互报文表</t>
        </is>
      </c>
      <c r="Y771" s="90" t="inlineStr">
        <is>
          <t>漏洞利用交互报文表{台账记录编号、交互序号、利用请求报文、创建时间}</t>
        </is>
      </c>
      <c r="Z771" s="90" t="n"/>
      <c r="AA771" s="90" t="n"/>
    </row>
    <row r="772" s="112">
      <c r="A772" s="72">
        <f>ROW()-1</f>
        <v/>
      </c>
      <c r="B772" s="175" t="n"/>
      <c r="C772" s="80" t="n">
        <v>2025</v>
      </c>
      <c r="D772" s="80" t="inlineStr">
        <is>
          <t>张明峰</t>
        </is>
      </c>
      <c r="E772" s="81">
        <f>VLOOKUP(I772,'25年交付功能（不含废弃）'!A:A,1,FALSE)</f>
        <v/>
      </c>
      <c r="F772" s="175" t="n"/>
      <c r="I772" s="103" t="inlineStr">
        <is>
          <t>后台写入漏洞利用交互报文</t>
        </is>
      </c>
      <c r="J772" s="93" t="inlineStr">
        <is>
          <t>EI</t>
        </is>
      </c>
      <c r="K772" s="84" t="n"/>
      <c r="L772" s="84" t="n"/>
      <c r="M772" s="85">
        <f>IF(OR(Y772="估算法",Y772="算法类",Y772="无法识别"),"",IF(W772="",IF(OR(J772="EI",J772="EO",J772="EQ"),0,""),LEN(W772)-LEN(SUBSTITUTE(W772,"、",""))+1))</f>
        <v/>
      </c>
      <c r="N772" s="85">
        <f>IF(OR(Y772="估算法",Y772="算法类",Y772="无法识别"),"",IF(X772="",IF(OR(J772="ILF",J772="EIF"),0,""),LEN(X772)-LEN(SUBSTITUTE(X772,"、",""))+1))</f>
        <v/>
      </c>
      <c r="O772" s="85">
        <f>IF(OR(Y772="估算法",Y772="算法类",Y772="无法识别"),"",IF(Y772="",IF(OR(J772="ILF",J772="EIF",J772="EI",J772="EO",J772="EQ"),0,""),LEN(Y772)-LEN(SUBSTITUTE(SUBSTITUTE(SUBSTITUTE(SUBSTITUTE(SUBSTITUTE(Y772,"|}","--"),"{|","--"),CHAR(10),""),"、",""),"|",""))+IF(AND(OR(J772="EI",J772="EO",J772="EQ"),$AE$1="NESMA"),2,1)))</f>
        <v/>
      </c>
      <c r="P772" s="86">
        <f>IF(J772="EI",IF(OR(Y772="估算法",Y772="算法类"),"中",IF(Y772="无法识别","低",IF(M772&lt;2,IF(O772&lt;16,"低","中"),IF(M772&lt;3,IF(O772&lt;5,"低",IF(O772&lt;16,"中","高")),IF(O772&lt;5,"中","高"))))),IF(OR(J772="EO",J772="EQ"),IF(OR(Y772="估算法",Y772="算法类"),"中",IF(Y772="无法识别","低",IF(M772&lt;2,IF(O772&lt;20,"低","中"),IF(M772&lt;4,IF(O772&lt;6,"低",IF(O772&lt;20,"中","高")),IF(O772&lt;6,"中","高"))))),IF(OR(J772="ILF",J772="EIF"),IF(OR(Y772="估算法",Y772="算法类",Y772="无法识别"),"低",IF(N772&lt;2,IF(O772&lt;51,"低","中"),IF(N772&lt;6,IF(O772&lt;20,"低",IF(O772&lt;51,"中","高")),IF(O772&lt;20,"中","高")))),"不计算")))</f>
        <v/>
      </c>
      <c r="Q772" s="172">
        <f>IFERROR(IF(J772="EI",IF(P772="低",3,IF(P772="中",4,6)),IF(J772="EO",IF(P772="低",4,IF(P772="中",5,7)),IF(J772="EQ",IF(P772="低",3,IF(P772="中",4,6)),IF(J772="ILF",IF(P772="低",7,IF(P772="中",10,15)),IF(J772="EIF",IF(P772="低",5,IF(P772="中",7,10)),"不计算")))))*R772,"不计算")</f>
        <v/>
      </c>
      <c r="R772" s="172" t="n">
        <v>1</v>
      </c>
      <c r="S772" s="173">
        <f>调整因子!$F$13</f>
        <v/>
      </c>
      <c r="T772" s="92" t="n">
        <v>1</v>
      </c>
      <c r="U772" s="174">
        <f>IFERROR(Q772*S772,0)</f>
        <v/>
      </c>
      <c r="V772" s="174">
        <f>U772*T772</f>
        <v/>
      </c>
      <c r="W772" s="103" t="inlineStr">
        <is>
          <t>漏洞利用交互报文表</t>
        </is>
      </c>
      <c r="X772" s="90" t="n"/>
      <c r="Y772" s="90" t="inlineStr">
        <is>
          <t>漏洞利用交互报文表{台账记录编号、交互序号、利用请求报文|交互序号}</t>
        </is>
      </c>
      <c r="Z772" s="90" t="n"/>
      <c r="AA772" s="90" t="n"/>
    </row>
    <row r="773" s="112">
      <c r="A773" s="72">
        <f>ROW()-1</f>
        <v/>
      </c>
      <c r="B773" s="175" t="n"/>
      <c r="C773" s="80" t="n">
        <v>2025</v>
      </c>
      <c r="D773" s="80" t="inlineStr">
        <is>
          <t>张明峰</t>
        </is>
      </c>
      <c r="E773" s="81">
        <f>VLOOKUP(I773,'25年交付功能（不含废弃）'!A:A,1,FALSE)</f>
        <v/>
      </c>
      <c r="F773" s="175" t="n"/>
      <c r="I773" s="103" t="inlineStr">
        <is>
          <t>后台校验利用结果并标记</t>
        </is>
      </c>
      <c r="J773" s="93" t="inlineStr">
        <is>
          <t>EI</t>
        </is>
      </c>
      <c r="K773" s="84" t="n"/>
      <c r="L773" s="84" t="n"/>
      <c r="M773" s="85">
        <f>IF(OR(Y773="估算法",Y773="算法类",Y773="无法识别"),"",IF(W773="",IF(OR(J773="EI",J773="EO",J773="EQ"),0,""),LEN(W773)-LEN(SUBSTITUTE(W773,"、",""))+1))</f>
        <v/>
      </c>
      <c r="N773" s="85">
        <f>IF(OR(Y773="估算法",Y773="算法类",Y773="无法识别"),"",IF(X773="",IF(OR(J773="ILF",J773="EIF"),0,""),LEN(X773)-LEN(SUBSTITUTE(X773,"、",""))+1))</f>
        <v/>
      </c>
      <c r="O773" s="85">
        <f>IF(OR(Y773="估算法",Y773="算法类",Y773="无法识别"),"",IF(Y773="",IF(OR(J773="ILF",J773="EIF",J773="EI",J773="EO",J773="EQ"),0,""),LEN(Y773)-LEN(SUBSTITUTE(SUBSTITUTE(SUBSTITUTE(SUBSTITUTE(SUBSTITUTE(Y773,"|}","--"),"{|","--"),CHAR(10),""),"、",""),"|",""))+IF(AND(OR(J773="EI",J773="EO",J773="EQ"),$AE$1="NESMA"),2,1)))</f>
        <v/>
      </c>
      <c r="P773" s="86">
        <f>IF(J773="EI",IF(OR(Y773="估算法",Y773="算法类"),"中",IF(Y773="无法识别","低",IF(M773&lt;2,IF(O773&lt;16,"低","中"),IF(M773&lt;3,IF(O773&lt;5,"低",IF(O773&lt;16,"中","高")),IF(O773&lt;5,"中","高"))))),IF(OR(J773="EO",J773="EQ"),IF(OR(Y773="估算法",Y773="算法类"),"中",IF(Y773="无法识别","低",IF(M773&lt;2,IF(O773&lt;20,"低","中"),IF(M773&lt;4,IF(O773&lt;6,"低",IF(O773&lt;20,"中","高")),IF(O773&lt;6,"中","高"))))),IF(OR(J773="ILF",J773="EIF"),IF(OR(Y773="估算法",Y773="算法类",Y773="无法识别"),"低",IF(N773&lt;2,IF(O773&lt;51,"低","中"),IF(N773&lt;6,IF(O773&lt;20,"低",IF(O773&lt;51,"中","高")),IF(O773&lt;20,"中","高")))),"不计算")))</f>
        <v/>
      </c>
      <c r="Q773" s="172">
        <f>IFERROR(IF(J773="EI",IF(P773="低",3,IF(P773="中",4,6)),IF(J773="EO",IF(P773="低",4,IF(P773="中",5,7)),IF(J773="EQ",IF(P773="低",3,IF(P773="中",4,6)),IF(J773="ILF",IF(P773="低",7,IF(P773="中",10,15)),IF(J773="EIF",IF(P773="低",5,IF(P773="中",7,10)),"不计算")))))*R773,"不计算")</f>
        <v/>
      </c>
      <c r="R773" s="172" t="n">
        <v>1</v>
      </c>
      <c r="S773" s="173">
        <f>调整因子!$F$13</f>
        <v/>
      </c>
      <c r="T773" s="92" t="n">
        <v>1</v>
      </c>
      <c r="U773" s="174">
        <f>IFERROR(Q773*S773,0)</f>
        <v/>
      </c>
      <c r="V773" s="174">
        <f>U773*T773</f>
        <v/>
      </c>
      <c r="W773" s="103" t="inlineStr">
        <is>
          <t>系统漏洞利用台账表</t>
        </is>
      </c>
      <c r="X773" s="90" t="n"/>
      <c r="Y773" s="90" t="inlineStr">
        <is>
          <t>系统漏洞利用台账表{操作结果、漏洞信息编号|台账记录编号、操作结果}</t>
        </is>
      </c>
      <c r="Z773" s="90" t="n"/>
      <c r="AA773" s="90" t="n"/>
    </row>
    <row r="774" s="112">
      <c r="A774" s="72">
        <f>ROW()-1</f>
        <v/>
      </c>
      <c r="B774" s="175" t="n"/>
      <c r="C774" s="80" t="n">
        <v>2025</v>
      </c>
      <c r="D774" s="80" t="inlineStr">
        <is>
          <t>张明峰</t>
        </is>
      </c>
      <c r="E774" s="81">
        <f>VLOOKUP(I774,'25年交付功能（不含废弃）'!A:A,1,FALSE)</f>
        <v/>
      </c>
      <c r="F774" s="175" t="n"/>
      <c r="I774" s="103" t="inlineStr">
        <is>
          <t>系统漏洞利用台账表</t>
        </is>
      </c>
      <c r="J774" s="93" t="inlineStr">
        <is>
          <t>ILF</t>
        </is>
      </c>
      <c r="K774" s="84" t="n"/>
      <c r="L774" s="84" t="n"/>
      <c r="M774" s="85">
        <f>IF(OR(Y774="估算法",Y774="算法类",Y774="无法识别"),"",IF(W774="",IF(OR(J774="EI",J774="EO",J774="EQ"),0,""),LEN(W774)-LEN(SUBSTITUTE(W774,"、",""))+1))</f>
        <v/>
      </c>
      <c r="N774" s="85">
        <f>IF(OR(Y774="估算法",Y774="算法类",Y774="无法识别"),"",IF(X774="",IF(OR(J774="ILF",J774="EIF"),0,""),LEN(X774)-LEN(SUBSTITUTE(X774,"、",""))+1))</f>
        <v/>
      </c>
      <c r="O774" s="85">
        <f>IF(OR(Y774="估算法",Y774="算法类",Y774="无法识别"),"",IF(Y774="",IF(OR(J774="ILF",J774="EIF",J774="EI",J774="EO",J774="EQ"),0,""),LEN(Y774)-LEN(SUBSTITUTE(SUBSTITUTE(SUBSTITUTE(SUBSTITUTE(SUBSTITUTE(Y774,"|}","--"),"{|","--"),CHAR(10),""),"、",""),"|",""))+IF(AND(OR(J774="EI",J774="EO",J774="EQ"),$AE$1="NESMA"),2,1)))</f>
        <v/>
      </c>
      <c r="P774" s="86">
        <f>IF(J774="EI",IF(OR(Y774="估算法",Y774="算法类"),"中",IF(Y774="无法识别","低",IF(M774&lt;2,IF(O774&lt;16,"低","中"),IF(M774&lt;3,IF(O774&lt;5,"低",IF(O774&lt;16,"中","高")),IF(O774&lt;5,"中","高"))))),IF(OR(J774="EO",J774="EQ"),IF(OR(Y774="估算法",Y774="算法类"),"中",IF(Y774="无法识别","低",IF(M774&lt;2,IF(O774&lt;20,"低","中"),IF(M774&lt;4,IF(O774&lt;6,"低",IF(O774&lt;20,"中","高")),IF(O774&lt;6,"中","高"))))),IF(OR(J774="ILF",J774="EIF"),IF(OR(Y774="估算法",Y774="算法类",Y774="无法识别"),"低",IF(N774&lt;2,IF(O774&lt;51,"低","中"),IF(N774&lt;6,IF(O774&lt;20,"低",IF(O774&lt;51,"中","高")),IF(O774&lt;20,"中","高")))),"不计算")))</f>
        <v/>
      </c>
      <c r="Q774" s="172">
        <f>IFERROR(IF(J774="EI",IF(P774="低",3,IF(P774="中",4,6)),IF(J774="EO",IF(P774="低",4,IF(P774="中",5,7)),IF(J774="EQ",IF(P774="低",3,IF(P774="中",4,6)),IF(J774="ILF",IF(P774="低",7,IF(P774="中",10,15)),IF(J774="EIF",IF(P774="低",5,IF(P774="中",7,10)),"不计算")))))*R774,"不计算")</f>
        <v/>
      </c>
      <c r="R774" s="172" t="n">
        <v>1</v>
      </c>
      <c r="S774" s="173">
        <f>调整因子!$F$13</f>
        <v/>
      </c>
      <c r="T774" s="93" t="n">
        <v>1</v>
      </c>
      <c r="U774" s="174">
        <f>IFERROR(Q774*S774,0)</f>
        <v/>
      </c>
      <c r="V774" s="174">
        <f>U774*T774</f>
        <v/>
      </c>
      <c r="W774" s="103" t="n"/>
      <c r="X774" s="90" t="inlineStr">
        <is>
          <t>系统漏洞利用台账表</t>
        </is>
      </c>
      <c r="Y774" s="90" t="inlineStr">
        <is>
          <t>系统漏洞利用台账表{台账记录编号、台账类型编码、漏洞信息编号、漏洞信息状态、扫描引擎哈希、利用请求报文、交互序号、操作结果}</t>
        </is>
      </c>
      <c r="Z774" s="90" t="n"/>
      <c r="AA774" s="90" t="n"/>
    </row>
    <row r="775" s="112">
      <c r="A775" s="72">
        <f>ROW()-1</f>
        <v/>
      </c>
      <c r="B775" s="175" t="n"/>
      <c r="C775" s="80" t="n">
        <v>2025</v>
      </c>
      <c r="D775" s="80" t="inlineStr">
        <is>
          <t>张明峰</t>
        </is>
      </c>
      <c r="E775" s="81">
        <f>VLOOKUP(I775,'25年交付功能（不含废弃）'!A:A,1,FALSE)</f>
        <v/>
      </c>
      <c r="F775" s="175" t="n"/>
      <c r="G775" t="inlineStr">
        <is>
          <t>系统漏洞修复台账</t>
        </is>
      </c>
      <c r="H775" t="inlineStr">
        <is>
          <t>修复工单类台账</t>
        </is>
      </c>
      <c r="I775" s="103" t="inlineStr">
        <is>
          <t>后台记录修复工单指派审计</t>
        </is>
      </c>
      <c r="J775" s="93" t="inlineStr">
        <is>
          <t>EI</t>
        </is>
      </c>
      <c r="K775" s="84" t="n"/>
      <c r="L775" s="84" t="n"/>
      <c r="M775" s="85">
        <f>IF(OR(Y775="估算法",Y775="算法类",Y775="无法识别"),"",IF(W775="",IF(OR(J775="EI",J775="EO",J775="EQ"),0,""),LEN(W775)-LEN(SUBSTITUTE(W775,"、",""))+1))</f>
        <v/>
      </c>
      <c r="N775" s="85">
        <f>IF(OR(Y775="估算法",Y775="算法类",Y775="无法识别"),"",IF(X775="",IF(OR(J775="ILF",J775="EIF"),0,""),LEN(X775)-LEN(SUBSTITUTE(X775,"、",""))+1))</f>
        <v/>
      </c>
      <c r="O775" s="85">
        <f>IF(OR(Y775="估算法",Y775="算法类",Y775="无法识别"),"",IF(Y775="",IF(OR(J775="ILF",J775="EIF",J775="EI",J775="EO",J775="EQ"),0,""),LEN(Y775)-LEN(SUBSTITUTE(SUBSTITUTE(SUBSTITUTE(SUBSTITUTE(SUBSTITUTE(Y775,"|}","--"),"{|","--"),CHAR(10),""),"、",""),"|",""))+IF(AND(OR(J775="EI",J775="EO",J775="EQ"),$AE$1="NESMA"),2,1)))</f>
        <v/>
      </c>
      <c r="P775" s="86">
        <f>IF(J775="EI",IF(OR(Y775="估算法",Y775="算法类"),"中",IF(Y775="无法识别","低",IF(M775&lt;2,IF(O775&lt;16,"低","中"),IF(M775&lt;3,IF(O775&lt;5,"低",IF(O775&lt;16,"中","高")),IF(O775&lt;5,"中","高"))))),IF(OR(J775="EO",J775="EQ"),IF(OR(Y775="估算法",Y775="算法类"),"中",IF(Y775="无法识别","低",IF(M775&lt;2,IF(O775&lt;20,"低","中"),IF(M775&lt;4,IF(O775&lt;6,"低",IF(O775&lt;20,"中","高")),IF(O775&lt;6,"中","高"))))),IF(OR(J775="ILF",J775="EIF"),IF(OR(Y775="估算法",Y775="算法类",Y775="无法识别"),"低",IF(N775&lt;2,IF(O775&lt;51,"低","中"),IF(N775&lt;6,IF(O775&lt;20,"低",IF(O775&lt;51,"中","高")),IF(O775&lt;20,"中","高")))),"不计算")))</f>
        <v/>
      </c>
      <c r="Q775" s="172">
        <f>IFERROR(IF(J775="EI",IF(P775="低",3,IF(P775="中",4,6)),IF(J775="EO",IF(P775="低",4,IF(P775="中",5,7)),IF(J775="EQ",IF(P775="低",3,IF(P775="中",4,6)),IF(J775="ILF",IF(P775="低",7,IF(P775="中",10,15)),IF(J775="EIF",IF(P775="低",5,IF(P775="中",7,10)),"不计算")))))*R775,"不计算")</f>
        <v/>
      </c>
      <c r="R775" s="172" t="n">
        <v>1</v>
      </c>
      <c r="S775" s="173">
        <f>调整因子!$F$13</f>
        <v/>
      </c>
      <c r="T775" s="93" t="n">
        <v>1</v>
      </c>
      <c r="U775" s="174">
        <f>IFERROR(Q775*S775,0)</f>
        <v/>
      </c>
      <c r="V775" s="174">
        <f>U775*T775</f>
        <v/>
      </c>
      <c r="W775" s="90" t="inlineStr">
        <is>
          <t>系统漏洞修复台账表</t>
        </is>
      </c>
      <c r="X775" s="113" t="n"/>
      <c r="Y775" s="90" t="inlineStr">
        <is>
          <t>系统漏洞修复台账表{源工单角色、源工单人员、目标工单角色、目标工单人员、工单编号、工单名称|台账记录编号、台账类型编码}</t>
        </is>
      </c>
      <c r="Z775" s="90" t="inlineStr">
        <is>
          <t>表56，类型1050</t>
        </is>
      </c>
      <c r="AA775" s="90" t="n"/>
    </row>
    <row r="776" s="112">
      <c r="A776" s="72">
        <f>ROW()-1</f>
        <v/>
      </c>
      <c r="B776" s="175" t="n"/>
      <c r="C776" s="80" t="n">
        <v>2025</v>
      </c>
      <c r="D776" s="80" t="inlineStr">
        <is>
          <t>张明峰</t>
        </is>
      </c>
      <c r="E776" s="81">
        <f>VLOOKUP(I776,'25年交付功能（不含废弃）'!A:A,1,FALSE)</f>
        <v/>
      </c>
      <c r="F776" s="175" t="n"/>
      <c r="I776" s="103" t="inlineStr">
        <is>
          <t>后台记录修复完成上报审计</t>
        </is>
      </c>
      <c r="J776" s="93" t="inlineStr">
        <is>
          <t>EI</t>
        </is>
      </c>
      <c r="K776" s="84" t="n"/>
      <c r="L776" s="84" t="n"/>
      <c r="M776" s="85">
        <f>IF(OR(Y776="估算法",Y776="算法类",Y776="无法识别"),"",IF(W776="",IF(OR(J776="EI",J776="EO",J776="EQ"),0,""),LEN(W776)-LEN(SUBSTITUTE(W776,"、",""))+1))</f>
        <v/>
      </c>
      <c r="N776" s="85">
        <f>IF(OR(Y776="估算法",Y776="算法类",Y776="无法识别"),"",IF(X776="",IF(OR(J776="ILF",J776="EIF"),0,""),LEN(X776)-LEN(SUBSTITUTE(X776,"、",""))+1))</f>
        <v/>
      </c>
      <c r="O776" s="85">
        <f>IF(OR(Y776="估算法",Y776="算法类",Y776="无法识别"),"",IF(Y776="",IF(OR(J776="ILF",J776="EIF",J776="EI",J776="EO",J776="EQ"),0,""),LEN(Y776)-LEN(SUBSTITUTE(SUBSTITUTE(SUBSTITUTE(SUBSTITUTE(SUBSTITUTE(Y776,"|}","--"),"{|","--"),CHAR(10),""),"、",""),"|",""))+IF(AND(OR(J776="EI",J776="EO",J776="EQ"),$AE$1="NESMA"),2,1)))</f>
        <v/>
      </c>
      <c r="P776" s="86">
        <f>IF(J776="EI",IF(OR(Y776="估算法",Y776="算法类"),"中",IF(Y776="无法识别","低",IF(M776&lt;2,IF(O776&lt;16,"低","中"),IF(M776&lt;3,IF(O776&lt;5,"低",IF(O776&lt;16,"中","高")),IF(O776&lt;5,"中","高"))))),IF(OR(J776="EO",J776="EQ"),IF(OR(Y776="估算法",Y776="算法类"),"中",IF(Y776="无法识别","低",IF(M776&lt;2,IF(O776&lt;20,"低","中"),IF(M776&lt;4,IF(O776&lt;6,"低",IF(O776&lt;20,"中","高")),IF(O776&lt;6,"中","高"))))),IF(OR(J776="ILF",J776="EIF"),IF(OR(Y776="估算法",Y776="算法类",Y776="无法识别"),"低",IF(N776&lt;2,IF(O776&lt;51,"低","中"),IF(N776&lt;6,IF(O776&lt;20,"低",IF(O776&lt;51,"中","高")),IF(O776&lt;20,"中","高")))),"不计算")))</f>
        <v/>
      </c>
      <c r="Q776" s="172">
        <f>IFERROR(IF(J776="EI",IF(P776="低",3,IF(P776="中",4,6)),IF(J776="EO",IF(P776="低",4,IF(P776="中",5,7)),IF(J776="EQ",IF(P776="低",3,IF(P776="中",4,6)),IF(J776="ILF",IF(P776="低",7,IF(P776="中",10,15)),IF(J776="EIF",IF(P776="低",5,IF(P776="中",7,10)),"不计算")))))*R776,"不计算")</f>
        <v/>
      </c>
      <c r="R776" s="172" t="n">
        <v>1</v>
      </c>
      <c r="S776" s="173">
        <f>调整因子!$F$13</f>
        <v/>
      </c>
      <c r="T776" s="92" t="n">
        <v>1</v>
      </c>
      <c r="U776" s="174">
        <f>IFERROR(Q776*S776,0)</f>
        <v/>
      </c>
      <c r="V776" s="174">
        <f>U776*T776</f>
        <v/>
      </c>
      <c r="W776" s="90" t="inlineStr">
        <is>
          <t>系统漏洞修复台账表</t>
        </is>
      </c>
      <c r="X776" s="113" t="n"/>
      <c r="Y776" s="90" t="inlineStr">
        <is>
          <t>系统漏洞修复台账表{修复方式、修复描述、修复时间、修复明细|修复方式、修复时间}</t>
        </is>
      </c>
      <c r="Z776" s="90" t="n"/>
      <c r="AA776" s="90" t="n"/>
    </row>
    <row r="777" s="112">
      <c r="A777" s="72">
        <f>ROW()-1</f>
        <v/>
      </c>
      <c r="B777" s="175" t="n"/>
      <c r="C777" s="80" t="n">
        <v>2025</v>
      </c>
      <c r="D777" s="80" t="inlineStr">
        <is>
          <t>张明峰</t>
        </is>
      </c>
      <c r="E777" s="81">
        <f>VLOOKUP(I777,'25年交付功能（不含废弃）'!A:A,1,FALSE)</f>
        <v/>
      </c>
      <c r="F777" s="175" t="n"/>
      <c r="I777" s="103" t="inlineStr">
        <is>
          <t>后台组装修复漏洞清单</t>
        </is>
      </c>
      <c r="J777" s="93" t="inlineStr">
        <is>
          <t>EI</t>
        </is>
      </c>
      <c r="K777" s="84" t="n"/>
      <c r="L777" s="84" t="n"/>
      <c r="M777" s="85">
        <f>IF(OR(Y777="估算法",Y777="算法类",Y777="无法识别"),"",IF(W777="",IF(OR(J777="EI",J777="EO",J777="EQ"),0,""),LEN(W777)-LEN(SUBSTITUTE(W777,"、",""))+1))</f>
        <v/>
      </c>
      <c r="N777" s="85">
        <f>IF(OR(Y777="估算法",Y777="算法类",Y777="无法识别"),"",IF(X777="",IF(OR(J777="ILF",J777="EIF"),0,""),LEN(X777)-LEN(SUBSTITUTE(X777,"、",""))+1))</f>
        <v/>
      </c>
      <c r="O777" s="85">
        <f>IF(OR(Y777="估算法",Y777="算法类",Y777="无法识别"),"",IF(Y777="",IF(OR(J777="ILF",J777="EIF",J777="EI",J777="EO",J777="EQ"),0,""),LEN(Y777)-LEN(SUBSTITUTE(SUBSTITUTE(SUBSTITUTE(SUBSTITUTE(SUBSTITUTE(Y777,"|}","--"),"{|","--"),CHAR(10),""),"、",""),"|",""))+IF(AND(OR(J777="EI",J777="EO",J777="EQ"),$AE$1="NESMA"),2,1)))</f>
        <v/>
      </c>
      <c r="P777" s="86">
        <f>IF(J777="EI",IF(OR(Y777="估算法",Y777="算法类"),"中",IF(Y777="无法识别","低",IF(M777&lt;2,IF(O777&lt;16,"低","中"),IF(M777&lt;3,IF(O777&lt;5,"低",IF(O777&lt;16,"中","高")),IF(O777&lt;5,"中","高"))))),IF(OR(J777="EO",J777="EQ"),IF(OR(Y777="估算法",Y777="算法类"),"中",IF(Y777="无法识别","低",IF(M777&lt;2,IF(O777&lt;20,"低","中"),IF(M777&lt;4,IF(O777&lt;6,"低",IF(O777&lt;20,"中","高")),IF(O777&lt;6,"中","高"))))),IF(OR(J777="ILF",J777="EIF"),IF(OR(Y777="估算法",Y777="算法类",Y777="无法识别"),"低",IF(N777&lt;2,IF(O777&lt;51,"低","中"),IF(N777&lt;6,IF(O777&lt;20,"低",IF(O777&lt;51,"中","高")),IF(O777&lt;20,"中","高")))),"不计算")))</f>
        <v/>
      </c>
      <c r="Q777" s="172">
        <f>IFERROR(IF(J777="EI",IF(P777="低",3,IF(P777="中",4,6)),IF(J777="EO",IF(P777="低",4,IF(P777="中",5,7)),IF(J777="EQ",IF(P777="低",3,IF(P777="中",4,6)),IF(J777="ILF",IF(P777="低",7,IF(P777="中",10,15)),IF(J777="EIF",IF(P777="低",5,IF(P777="中",7,10)),"不计算")))))*R777,"不计算")</f>
        <v/>
      </c>
      <c r="R777" s="172" t="n">
        <v>1</v>
      </c>
      <c r="S777" s="173">
        <f>调整因子!$F$13</f>
        <v/>
      </c>
      <c r="T777" s="92" t="n">
        <v>1</v>
      </c>
      <c r="U777" s="174">
        <f>IFERROR(Q777*S777,0)</f>
        <v/>
      </c>
      <c r="V777" s="174">
        <f>U777*T777</f>
        <v/>
      </c>
      <c r="W777" s="90" t="inlineStr">
        <is>
          <t>系统漏洞修复台账表</t>
        </is>
      </c>
      <c r="X777" s="113" t="n"/>
      <c r="Y777" s="90" t="inlineStr">
        <is>
          <t>系统漏洞修复台账表{修复明细、漏洞信息编号、漏洞信息状态|修复明细}</t>
        </is>
      </c>
      <c r="Z777" s="90" t="n"/>
      <c r="AA777" s="90" t="n"/>
    </row>
    <row r="778" s="112">
      <c r="A778" s="72">
        <f>ROW()-1</f>
        <v/>
      </c>
      <c r="B778" s="175" t="n"/>
      <c r="C778" s="80" t="n">
        <v>2025</v>
      </c>
      <c r="D778" s="80" t="inlineStr">
        <is>
          <t>张明峰</t>
        </is>
      </c>
      <c r="E778" s="81">
        <f>VLOOKUP(I778,'25年交付功能（不含废弃）'!A:A,1,FALSE)</f>
        <v/>
      </c>
      <c r="F778" s="175" t="n"/>
      <c r="I778" s="103" t="inlineStr">
        <is>
          <t>后台维护修复工单与台账关联</t>
        </is>
      </c>
      <c r="J778" s="93" t="inlineStr">
        <is>
          <t>EI</t>
        </is>
      </c>
      <c r="K778" s="84" t="n"/>
      <c r="L778" s="84" t="n"/>
      <c r="M778" s="85">
        <f>IF(OR(Y778="估算法",Y778="算法类",Y778="无法识别"),"",IF(W778="",IF(OR(J778="EI",J778="EO",J778="EQ"),0,""),LEN(W778)-LEN(SUBSTITUTE(W778,"、",""))+1))</f>
        <v/>
      </c>
      <c r="N778" s="85">
        <f>IF(OR(Y778="估算法",Y778="算法类",Y778="无法识别"),"",IF(X778="",IF(OR(J778="ILF",J778="EIF"),0,""),LEN(X778)-LEN(SUBSTITUTE(X778,"、",""))+1))</f>
        <v/>
      </c>
      <c r="O778" s="85">
        <f>IF(OR(Y778="估算法",Y778="算法类",Y778="无法识别"),"",IF(Y778="",IF(OR(J778="ILF",J778="EIF",J778="EI",J778="EO",J778="EQ"),0,""),LEN(Y778)-LEN(SUBSTITUTE(SUBSTITUTE(SUBSTITUTE(SUBSTITUTE(SUBSTITUTE(Y778,"|}","--"),"{|","--"),CHAR(10),""),"、",""),"|",""))+IF(AND(OR(J778="EI",J778="EO",J778="EQ"),$AE$1="NESMA"),2,1)))</f>
        <v/>
      </c>
      <c r="P778" s="86">
        <f>IF(J778="EI",IF(OR(Y778="估算法",Y778="算法类"),"中",IF(Y778="无法识别","低",IF(M778&lt;2,IF(O778&lt;16,"低","中"),IF(M778&lt;3,IF(O778&lt;5,"低",IF(O778&lt;16,"中","高")),IF(O778&lt;5,"中","高"))))),IF(OR(J778="EO",J778="EQ"),IF(OR(Y778="估算法",Y778="算法类"),"中",IF(Y778="无法识别","低",IF(M778&lt;2,IF(O778&lt;20,"低","中"),IF(M778&lt;4,IF(O778&lt;6,"低",IF(O778&lt;20,"中","高")),IF(O778&lt;6,"中","高"))))),IF(OR(J778="ILF",J778="EIF"),IF(OR(Y778="估算法",Y778="算法类",Y778="无法识别"),"低",IF(N778&lt;2,IF(O778&lt;51,"低","中"),IF(N778&lt;6,IF(O778&lt;20,"低",IF(O778&lt;51,"中","高")),IF(O778&lt;20,"中","高")))),"不计算")))</f>
        <v/>
      </c>
      <c r="Q778" s="172">
        <f>IFERROR(IF(J778="EI",IF(P778="低",3,IF(P778="中",4,6)),IF(J778="EO",IF(P778="低",4,IF(P778="中",5,7)),IF(J778="EQ",IF(P778="低",3,IF(P778="中",4,6)),IF(J778="ILF",IF(P778="低",7,IF(P778="中",10,15)),IF(J778="EIF",IF(P778="低",5,IF(P778="中",7,10)),"不计算")))))*R778,"不计算")</f>
        <v/>
      </c>
      <c r="R778" s="172" t="n">
        <v>1</v>
      </c>
      <c r="S778" s="173">
        <f>调整因子!$F$13</f>
        <v/>
      </c>
      <c r="T778" s="93" t="n">
        <v>1</v>
      </c>
      <c r="U778" s="174">
        <f>IFERROR(Q778*S778,0)</f>
        <v/>
      </c>
      <c r="V778" s="174">
        <f>U778*T778</f>
        <v/>
      </c>
      <c r="W778" s="103" t="inlineStr">
        <is>
          <t>修复工单台账关联表</t>
        </is>
      </c>
      <c r="X778" s="90" t="n"/>
      <c r="Y778" s="90" t="inlineStr">
        <is>
          <t>修复工单台账关联表{工单编号、台账记录编号、办件编号、部侧指令编号|关联时间}</t>
        </is>
      </c>
      <c r="Z778" s="90" t="n"/>
      <c r="AA778" s="90" t="n"/>
    </row>
    <row r="779" s="112">
      <c r="A779" s="72">
        <f>ROW()-1</f>
        <v/>
      </c>
      <c r="B779" s="175" t="n"/>
      <c r="C779" s="80" t="n">
        <v>2025</v>
      </c>
      <c r="D779" s="80" t="inlineStr">
        <is>
          <t>张明峰</t>
        </is>
      </c>
      <c r="E779" s="81">
        <f>VLOOKUP(I779,'25年交付功能（不含废弃）'!A:A,1,FALSE)</f>
        <v/>
      </c>
      <c r="F779" s="175" t="n"/>
      <c r="I779" s="103" t="inlineStr">
        <is>
          <t>修复工单台账关联表</t>
        </is>
      </c>
      <c r="J779" s="93" t="inlineStr">
        <is>
          <t>ILF</t>
        </is>
      </c>
      <c r="K779" s="84" t="n"/>
      <c r="L779" s="84" t="n"/>
      <c r="M779" s="85">
        <f>IF(OR(Y779="估算法",Y779="算法类",Y779="无法识别"),"",IF(W779="",IF(OR(J779="EI",J779="EO",J779="EQ"),0,""),LEN(W779)-LEN(SUBSTITUTE(W779,"、",""))+1))</f>
        <v/>
      </c>
      <c r="N779" s="85">
        <f>IF(OR(Y779="估算法",Y779="算法类",Y779="无法识别"),"",IF(X779="",IF(OR(J779="ILF",J779="EIF"),0,""),LEN(X779)-LEN(SUBSTITUTE(X779,"、",""))+1))</f>
        <v/>
      </c>
      <c r="O779" s="85">
        <f>IF(OR(Y779="估算法",Y779="算法类",Y779="无法识别"),"",IF(Y779="",IF(OR(J779="ILF",J779="EIF",J779="EI",J779="EO",J779="EQ"),0,""),LEN(Y779)-LEN(SUBSTITUTE(SUBSTITUTE(SUBSTITUTE(SUBSTITUTE(SUBSTITUTE(Y779,"|}","--"),"{|","--"),CHAR(10),""),"、",""),"|",""))+IF(AND(OR(J779="EI",J779="EO",J779="EQ"),$AE$1="NESMA"),2,1)))</f>
        <v/>
      </c>
      <c r="P779" s="86">
        <f>IF(J779="EI",IF(OR(Y779="估算法",Y779="算法类"),"中",IF(Y779="无法识别","低",IF(M779&lt;2,IF(O779&lt;16,"低","中"),IF(M779&lt;3,IF(O779&lt;5,"低",IF(O779&lt;16,"中","高")),IF(O779&lt;5,"中","高"))))),IF(OR(J779="EO",J779="EQ"),IF(OR(Y779="估算法",Y779="算法类"),"中",IF(Y779="无法识别","低",IF(M779&lt;2,IF(O779&lt;20,"低","中"),IF(M779&lt;4,IF(O779&lt;6,"低",IF(O779&lt;20,"中","高")),IF(O779&lt;6,"中","高"))))),IF(OR(J779="ILF",J779="EIF"),IF(OR(Y779="估算法",Y779="算法类",Y779="无法识别"),"低",IF(N779&lt;2,IF(O779&lt;51,"低","中"),IF(N779&lt;6,IF(O779&lt;20,"低",IF(O779&lt;51,"中","高")),IF(O779&lt;20,"中","高")))),"不计算")))</f>
        <v/>
      </c>
      <c r="Q779" s="172">
        <f>IFERROR(IF(J779="EI",IF(P779="低",3,IF(P779="中",4,6)),IF(J779="EO",IF(P779="低",4,IF(P779="中",5,7)),IF(J779="EQ",IF(P779="低",3,IF(P779="中",4,6)),IF(J779="ILF",IF(P779="低",7,IF(P779="中",10,15)),IF(J779="EIF",IF(P779="低",5,IF(P779="中",7,10)),"不计算")))))*R779,"不计算")</f>
        <v/>
      </c>
      <c r="R779" s="172" t="n">
        <v>1</v>
      </c>
      <c r="S779" s="173">
        <f>调整因子!$F$13</f>
        <v/>
      </c>
      <c r="T779" s="92" t="n">
        <v>1</v>
      </c>
      <c r="U779" s="174">
        <f>IFERROR(Q779*S779,0)</f>
        <v/>
      </c>
      <c r="V779" s="174">
        <f>U779*T779</f>
        <v/>
      </c>
      <c r="W779" s="103" t="n"/>
      <c r="X779" s="90" t="inlineStr">
        <is>
          <t>修复工单台账关联表</t>
        </is>
      </c>
      <c r="Y779" s="90" t="inlineStr">
        <is>
          <t>修复工单台账关联表{工单编号、台账记录编号、办件编号、部侧指令编号、关联时间}</t>
        </is>
      </c>
      <c r="Z779" s="90" t="n"/>
      <c r="AA779" s="90" t="n"/>
    </row>
    <row r="780" s="112">
      <c r="A780" s="72">
        <f>ROW()-1</f>
        <v/>
      </c>
      <c r="B780" s="175" t="n"/>
      <c r="C780" s="80" t="n">
        <v>2025</v>
      </c>
      <c r="D780" s="80" t="inlineStr">
        <is>
          <t>张明峰</t>
        </is>
      </c>
      <c r="E780" s="81">
        <f>VLOOKUP(I780,'25年交付功能（不含废弃）'!A:A,1,FALSE)</f>
        <v/>
      </c>
      <c r="F780" s="175" t="n"/>
      <c r="I780" s="103" t="inlineStr">
        <is>
          <t>系统漏洞修复台账表</t>
        </is>
      </c>
      <c r="J780" s="93" t="inlineStr">
        <is>
          <t>ILF</t>
        </is>
      </c>
      <c r="K780" s="84" t="n"/>
      <c r="L780" s="84" t="n"/>
      <c r="M780" s="85">
        <f>IF(OR(Y780="估算法",Y780="算法类",Y780="无法识别"),"",IF(W780="",IF(OR(J780="EI",J780="EO",J780="EQ"),0,""),LEN(W780)-LEN(SUBSTITUTE(W780,"、",""))+1))</f>
        <v/>
      </c>
      <c r="N780" s="85">
        <f>IF(OR(Y780="估算法",Y780="算法类",Y780="无法识别"),"",IF(X780="",IF(OR(J780="ILF",J780="EIF"),0,""),LEN(X780)-LEN(SUBSTITUTE(X780,"、",""))+1))</f>
        <v/>
      </c>
      <c r="O780" s="85">
        <f>IF(OR(Y780="估算法",Y780="算法类",Y780="无法识别"),"",IF(Y780="",IF(OR(J780="ILF",J780="EIF",J780="EI",J780="EO",J780="EQ"),0,""),LEN(Y780)-LEN(SUBSTITUTE(SUBSTITUTE(SUBSTITUTE(SUBSTITUTE(SUBSTITUTE(Y780,"|}","--"),"{|","--"),CHAR(10),""),"、",""),"|",""))+IF(AND(OR(J780="EI",J780="EO",J780="EQ"),$AE$1="NESMA"),2,1)))</f>
        <v/>
      </c>
      <c r="P780" s="86">
        <f>IF(J780="EI",IF(OR(Y780="估算法",Y780="算法类"),"中",IF(Y780="无法识别","低",IF(M780&lt;2,IF(O780&lt;16,"低","中"),IF(M780&lt;3,IF(O780&lt;5,"低",IF(O780&lt;16,"中","高")),IF(O780&lt;5,"中","高"))))),IF(OR(J780="EO",J780="EQ"),IF(OR(Y780="估算法",Y780="算法类"),"中",IF(Y780="无法识别","低",IF(M780&lt;2,IF(O780&lt;20,"低","中"),IF(M780&lt;4,IF(O780&lt;6,"低",IF(O780&lt;20,"中","高")),IF(O780&lt;6,"中","高"))))),IF(OR(J780="ILF",J780="EIF"),IF(OR(Y780="估算法",Y780="算法类",Y780="无法识别"),"低",IF(N780&lt;2,IF(O780&lt;51,"低","中"),IF(N780&lt;6,IF(O780&lt;20,"低",IF(O780&lt;51,"中","高")),IF(O780&lt;20,"中","高")))),"不计算")))</f>
        <v/>
      </c>
      <c r="Q780" s="172">
        <f>IFERROR(IF(J780="EI",IF(P780="低",3,IF(P780="中",4,6)),IF(J780="EO",IF(P780="低",4,IF(P780="中",5,7)),IF(J780="EQ",IF(P780="低",3,IF(P780="中",4,6)),IF(J780="ILF",IF(P780="低",7,IF(P780="中",10,15)),IF(J780="EIF",IF(P780="低",5,IF(P780="中",7,10)),"不计算")))))*R780,"不计算")</f>
        <v/>
      </c>
      <c r="R780" s="172" t="n">
        <v>1</v>
      </c>
      <c r="S780" s="173">
        <f>调整因子!$F$13</f>
        <v/>
      </c>
      <c r="T780" s="92" t="n">
        <v>1</v>
      </c>
      <c r="U780" s="174">
        <f>IFERROR(Q780*S780,0)</f>
        <v/>
      </c>
      <c r="V780" s="174">
        <f>U780*T780</f>
        <v/>
      </c>
      <c r="W780" s="103" t="n"/>
      <c r="X780" s="90" t="inlineStr">
        <is>
          <t>系统漏洞修复台账表</t>
        </is>
      </c>
      <c r="Y780" s="90" t="inlineStr">
        <is>
          <t>系统漏洞修复台账表{台账记录编号、台账类型编码、工单编号、工单名称、源工单角色、源工单人员、目标工单角色、目标工单人员、修复方式、修复描述、修复时间、修复明细}</t>
        </is>
      </c>
      <c r="Z780" s="90" t="n"/>
      <c r="AA780" s="90" t="n"/>
    </row>
    <row r="781" s="112">
      <c r="A781" s="72">
        <f>ROW()-1</f>
        <v/>
      </c>
      <c r="B781" s="175" t="n"/>
      <c r="C781" s="80" t="n">
        <v>2025</v>
      </c>
      <c r="D781" s="80" t="inlineStr">
        <is>
          <t>张明峰</t>
        </is>
      </c>
      <c r="E781" s="81">
        <f>VLOOKUP(I781,'25年交付功能（不含废弃）'!A:A,1,FALSE)</f>
        <v/>
      </c>
      <c r="F781" s="175" t="n"/>
      <c r="G781" t="inlineStr">
        <is>
          <t>产品漏洞预警台账</t>
        </is>
      </c>
      <c r="H781" t="inlineStr">
        <is>
          <t>预警碰撞类台账</t>
        </is>
      </c>
      <c r="I781" s="103" t="inlineStr">
        <is>
          <t>后台创建产品漏洞预警分析任务台账</t>
        </is>
      </c>
      <c r="J781" s="93" t="inlineStr">
        <is>
          <t>EI</t>
        </is>
      </c>
      <c r="K781" s="84" t="n"/>
      <c r="L781" s="84" t="n"/>
      <c r="M781" s="85">
        <f>IF(OR(Y781="估算法",Y781="算法类",Y781="无法识别"),"",IF(W781="",IF(OR(J781="EI",J781="EO",J781="EQ"),0,""),LEN(W781)-LEN(SUBSTITUTE(W781,"、",""))+1))</f>
        <v/>
      </c>
      <c r="N781" s="85">
        <f>IF(OR(Y781="估算法",Y781="算法类",Y781="无法识别"),"",IF(X781="",IF(OR(J781="ILF",J781="EIF"),0,""),LEN(X781)-LEN(SUBSTITUTE(X781,"、",""))+1))</f>
        <v/>
      </c>
      <c r="O781" s="85">
        <f>IF(OR(Y781="估算法",Y781="算法类",Y781="无法识别"),"",IF(Y781="",IF(OR(J781="ILF",J781="EIF",J781="EI",J781="EO",J781="EQ"),0,""),LEN(Y781)-LEN(SUBSTITUTE(SUBSTITUTE(SUBSTITUTE(SUBSTITUTE(SUBSTITUTE(Y781,"|}","--"),"{|","--"),CHAR(10),""),"、",""),"|",""))+IF(AND(OR(J781="EI",J781="EO",J781="EQ"),$AE$1="NESMA"),2,1)))</f>
        <v/>
      </c>
      <c r="P781" s="86">
        <f>IF(J781="EI",IF(OR(Y781="估算法",Y781="算法类"),"中",IF(Y781="无法识别","低",IF(M781&lt;2,IF(O781&lt;16,"低","中"),IF(M781&lt;3,IF(O781&lt;5,"低",IF(O781&lt;16,"中","高")),IF(O781&lt;5,"中","高"))))),IF(OR(J781="EO",J781="EQ"),IF(OR(Y781="估算法",Y781="算法类"),"中",IF(Y781="无法识别","低",IF(M781&lt;2,IF(O781&lt;20,"低","中"),IF(M781&lt;4,IF(O781&lt;6,"低",IF(O781&lt;20,"中","高")),IF(O781&lt;6,"中","高"))))),IF(OR(J781="ILF",J781="EIF"),IF(OR(Y781="估算法",Y781="算法类",Y781="无法识别"),"低",IF(N781&lt;2,IF(O781&lt;51,"低","中"),IF(N781&lt;6,IF(O781&lt;20,"低",IF(O781&lt;51,"中","高")),IF(O781&lt;20,"中","高")))),"不计算")))</f>
        <v/>
      </c>
      <c r="Q781" s="172">
        <f>IFERROR(IF(J781="EI",IF(P781="低",3,IF(P781="中",4,6)),IF(J781="EO",IF(P781="低",4,IF(P781="中",5,7)),IF(J781="EQ",IF(P781="低",3,IF(P781="中",4,6)),IF(J781="ILF",IF(P781="低",7,IF(P781="中",10,15)),IF(J781="EIF",IF(P781="低",5,IF(P781="中",7,10)),"不计算")))))*R781,"不计算")</f>
        <v/>
      </c>
      <c r="R781" s="172" t="n">
        <v>1</v>
      </c>
      <c r="S781" s="173">
        <f>调整因子!$F$13</f>
        <v/>
      </c>
      <c r="T781" s="93" t="n">
        <v>1</v>
      </c>
      <c r="U781" s="174">
        <f>IFERROR(Q781*S781,0)</f>
        <v/>
      </c>
      <c r="V781" s="174">
        <f>U781*T781</f>
        <v/>
      </c>
      <c r="W781" s="103" t="inlineStr">
        <is>
          <t>产品漏洞预警台账表</t>
        </is>
      </c>
      <c r="X781" s="90" t="n"/>
      <c r="Y781" s="90" t="inlineStr">
        <is>
          <t>产品漏洞预警台账表{任务名称、任务编号|台账记录编号、记录时间}</t>
        </is>
      </c>
      <c r="Z781" s="90" t="inlineStr">
        <is>
          <t>表57，类型1080</t>
        </is>
      </c>
      <c r="AA781" s="90" t="n"/>
    </row>
    <row r="782" s="112">
      <c r="A782" s="72">
        <f>ROW()-1</f>
        <v/>
      </c>
      <c r="B782" s="175" t="n"/>
      <c r="C782" s="80" t="n">
        <v>2025</v>
      </c>
      <c r="D782" s="80" t="inlineStr">
        <is>
          <t>张明峰</t>
        </is>
      </c>
      <c r="E782" s="81">
        <f>VLOOKUP(I782,'25年交付功能（不含废弃）'!A:A,1,FALSE)</f>
        <v/>
      </c>
      <c r="F782" s="175" t="n"/>
      <c r="I782" s="103" t="inlineStr">
        <is>
          <t>后台记录下发表单统计</t>
        </is>
      </c>
      <c r="J782" s="93" t="inlineStr">
        <is>
          <t>EI</t>
        </is>
      </c>
      <c r="K782" s="84" t="n"/>
      <c r="L782" s="84" t="n"/>
      <c r="M782" s="85">
        <f>IF(OR(Y782="估算法",Y782="算法类",Y782="无法识别"),"",IF(W782="",IF(OR(J782="EI",J782="EO",J782="EQ"),0,""),LEN(W782)-LEN(SUBSTITUTE(W782,"、",""))+1))</f>
        <v/>
      </c>
      <c r="N782" s="85">
        <f>IF(OR(Y782="估算法",Y782="算法类",Y782="无法识别"),"",IF(X782="",IF(OR(J782="ILF",J782="EIF"),0,""),LEN(X782)-LEN(SUBSTITUTE(X782,"、",""))+1))</f>
        <v/>
      </c>
      <c r="O782" s="85">
        <f>IF(OR(Y782="估算法",Y782="算法类",Y782="无法识别"),"",IF(Y782="",IF(OR(J782="ILF",J782="EIF",J782="EI",J782="EO",J782="EQ"),0,""),LEN(Y782)-LEN(SUBSTITUTE(SUBSTITUTE(SUBSTITUTE(SUBSTITUTE(SUBSTITUTE(Y782,"|}","--"),"{|","--"),CHAR(10),""),"、",""),"|",""))+IF(AND(OR(J782="EI",J782="EO",J782="EQ"),$AE$1="NESMA"),2,1)))</f>
        <v/>
      </c>
      <c r="P782" s="86">
        <f>IF(J782="EI",IF(OR(Y782="估算法",Y782="算法类"),"中",IF(Y782="无法识别","低",IF(M782&lt;2,IF(O782&lt;16,"低","中"),IF(M782&lt;3,IF(O782&lt;5,"低",IF(O782&lt;16,"中","高")),IF(O782&lt;5,"中","高"))))),IF(OR(J782="EO",J782="EQ"),IF(OR(Y782="估算法",Y782="算法类"),"中",IF(Y782="无法识别","低",IF(M782&lt;2,IF(O782&lt;20,"低","中"),IF(M782&lt;4,IF(O782&lt;6,"低",IF(O782&lt;20,"中","高")),IF(O782&lt;6,"中","高"))))),IF(OR(J782="ILF",J782="EIF"),IF(OR(Y782="估算法",Y782="算法类",Y782="无法识别"),"低",IF(N782&lt;2,IF(O782&lt;51,"低","中"),IF(N782&lt;6,IF(O782&lt;20,"低",IF(O782&lt;51,"中","高")),IF(O782&lt;20,"中","高")))),"不计算")))</f>
        <v/>
      </c>
      <c r="Q782" s="172">
        <f>IFERROR(IF(J782="EI",IF(P782="低",3,IF(P782="中",4,6)),IF(J782="EO",IF(P782="低",4,IF(P782="中",5,7)),IF(J782="EQ",IF(P782="低",3,IF(P782="中",4,6)),IF(J782="ILF",IF(P782="低",7,IF(P782="中",10,15)),IF(J782="EIF",IF(P782="低",5,IF(P782="中",7,10)),"不计算")))))*R782,"不计算")</f>
        <v/>
      </c>
      <c r="R782" s="172" t="n">
        <v>1</v>
      </c>
      <c r="S782" s="173">
        <f>调整因子!$F$13</f>
        <v/>
      </c>
      <c r="T782" s="93" t="n">
        <v>1</v>
      </c>
      <c r="U782" s="174">
        <f>IFERROR(Q782*S782,0)</f>
        <v/>
      </c>
      <c r="V782" s="174">
        <f>U782*T782</f>
        <v/>
      </c>
      <c r="W782" s="103" t="inlineStr">
        <is>
          <t>产品漏洞预警台账表</t>
        </is>
      </c>
      <c r="X782" s="90" t="n"/>
      <c r="Y782" s="90" t="inlineStr">
        <is>
          <t>产品漏洞预警台账表{漏洞数量、资产数量|漏洞数量、资产数量}</t>
        </is>
      </c>
      <c r="Z782" s="90" t="n"/>
      <c r="AA782" s="90" t="n"/>
    </row>
    <row r="783" s="112">
      <c r="A783" s="72">
        <f>ROW()-1</f>
        <v/>
      </c>
      <c r="B783" s="175" t="n"/>
      <c r="C783" s="80" t="n">
        <v>2025</v>
      </c>
      <c r="D783" s="80" t="inlineStr">
        <is>
          <t>张明峰</t>
        </is>
      </c>
      <c r="E783" s="81">
        <f>VLOOKUP(I783,'25年交付功能（不含废弃）'!A:A,1,FALSE)</f>
        <v/>
      </c>
      <c r="F783" s="175" t="n"/>
      <c r="I783" s="103" t="inlineStr">
        <is>
          <t>后台记录碰撞结果统计</t>
        </is>
      </c>
      <c r="J783" s="93" t="inlineStr">
        <is>
          <t>EI</t>
        </is>
      </c>
      <c r="K783" s="84" t="n"/>
      <c r="L783" s="84" t="n"/>
      <c r="M783" s="85">
        <f>IF(OR(Y783="估算法",Y783="算法类",Y783="无法识别"),"",IF(W783="",IF(OR(J783="EI",J783="EO",J783="EQ"),0,""),LEN(W783)-LEN(SUBSTITUTE(W783,"、",""))+1))</f>
        <v/>
      </c>
      <c r="N783" s="85">
        <f>IF(OR(Y783="估算法",Y783="算法类",Y783="无法识别"),"",IF(X783="",IF(OR(J783="ILF",J783="EIF"),0,""),LEN(X783)-LEN(SUBSTITUTE(X783,"、",""))+1))</f>
        <v/>
      </c>
      <c r="O783" s="85">
        <f>IF(OR(Y783="估算法",Y783="算法类",Y783="无法识别"),"",IF(Y783="",IF(OR(J783="ILF",J783="EIF",J783="EI",J783="EO",J783="EQ"),0,""),LEN(Y783)-LEN(SUBSTITUTE(SUBSTITUTE(SUBSTITUTE(SUBSTITUTE(SUBSTITUTE(Y783,"|}","--"),"{|","--"),CHAR(10),""),"、",""),"|",""))+IF(AND(OR(J783="EI",J783="EO",J783="EQ"),$AE$1="NESMA"),2,1)))</f>
        <v/>
      </c>
      <c r="P783" s="86">
        <f>IF(J783="EI",IF(OR(Y783="估算法",Y783="算法类"),"中",IF(Y783="无法识别","低",IF(M783&lt;2,IF(O783&lt;16,"低","中"),IF(M783&lt;3,IF(O783&lt;5,"低",IF(O783&lt;16,"中","高")),IF(O783&lt;5,"中","高"))))),IF(OR(J783="EO",J783="EQ"),IF(OR(Y783="估算法",Y783="算法类"),"中",IF(Y783="无法识别","低",IF(M783&lt;2,IF(O783&lt;20,"低","中"),IF(M783&lt;4,IF(O783&lt;6,"低",IF(O783&lt;20,"中","高")),IF(O783&lt;6,"中","高"))))),IF(OR(J783="ILF",J783="EIF"),IF(OR(Y783="估算法",Y783="算法类",Y783="无法识别"),"低",IF(N783&lt;2,IF(O783&lt;51,"低","中"),IF(N783&lt;6,IF(O783&lt;20,"低",IF(O783&lt;51,"中","高")),IF(O783&lt;20,"中","高")))),"不计算")))</f>
        <v/>
      </c>
      <c r="Q783" s="172">
        <f>IFERROR(IF(J783="EI",IF(P783="低",3,IF(P783="中",4,6)),IF(J783="EO",IF(P783="低",4,IF(P783="中",5,7)),IF(J783="EQ",IF(P783="低",3,IF(P783="中",4,6)),IF(J783="ILF",IF(P783="低",7,IF(P783="中",10,15)),IF(J783="EIF",IF(P783="低",5,IF(P783="中",7,10)),"不计算")))))*R783,"不计算")</f>
        <v/>
      </c>
      <c r="R783" s="172" t="n">
        <v>1</v>
      </c>
      <c r="S783" s="173">
        <f>调整因子!$F$13</f>
        <v/>
      </c>
      <c r="T783" s="92" t="n">
        <v>1</v>
      </c>
      <c r="U783" s="174">
        <f>IFERROR(Q783*S783,0)</f>
        <v/>
      </c>
      <c r="V783" s="174">
        <f>U783*T783</f>
        <v/>
      </c>
      <c r="W783" s="103" t="inlineStr">
        <is>
          <t>产品漏洞预警台账表、产品漏洞碰撞分析结果表</t>
        </is>
      </c>
      <c r="X783" s="90" t="n"/>
      <c r="Y783" s="90" t="inlineStr">
        <is>
          <t>产品漏洞预警台账表{碰撞漏洞资产数、碰撞漏洞信息数|碰撞漏洞资产数}
产品漏洞碰撞分析结果表{漏洞信息编号、资产编号|碰撞结果}</t>
        </is>
      </c>
      <c r="Z783" s="90" t="n"/>
      <c r="AA783" s="90" t="n"/>
    </row>
    <row r="784" s="112">
      <c r="A784" s="72">
        <f>ROW()-1</f>
        <v/>
      </c>
      <c r="B784" s="175" t="n"/>
      <c r="C784" s="80" t="n">
        <v>2025</v>
      </c>
      <c r="D784" s="80" t="inlineStr">
        <is>
          <t>张明峰</t>
        </is>
      </c>
      <c r="E784" s="81">
        <f>VLOOKUP(I784,'25年交付功能（不含废弃）'!A:A,1,FALSE)</f>
        <v/>
      </c>
      <c r="F784" s="175" t="n"/>
      <c r="I784" s="103" t="inlineStr">
        <is>
          <t>产品漏洞碰撞分析结果表</t>
        </is>
      </c>
      <c r="J784" s="93" t="inlineStr">
        <is>
          <t>ILF</t>
        </is>
      </c>
      <c r="K784" s="84" t="n"/>
      <c r="L784" s="84" t="n"/>
      <c r="M784" s="85">
        <f>IF(OR(Y784="估算法",Y784="算法类",Y784="无法识别"),"",IF(W784="",IF(OR(J784="EI",J784="EO",J784="EQ"),0,""),LEN(W784)-LEN(SUBSTITUTE(W784,"、",""))+1))</f>
        <v/>
      </c>
      <c r="N784" s="85">
        <f>IF(OR(Y784="估算法",Y784="算法类",Y784="无法识别"),"",IF(X784="",IF(OR(J784="ILF",J784="EIF"),0,""),LEN(X784)-LEN(SUBSTITUTE(X784,"、",""))+1))</f>
        <v/>
      </c>
      <c r="O784" s="85">
        <f>IF(OR(Y784="估算法",Y784="算法类",Y784="无法识别"),"",IF(Y784="",IF(OR(J784="ILF",J784="EIF",J784="EI",J784="EO",J784="EQ"),0,""),LEN(Y784)-LEN(SUBSTITUTE(SUBSTITUTE(SUBSTITUTE(SUBSTITUTE(SUBSTITUTE(Y784,"|}","--"),"{|","--"),CHAR(10),""),"、",""),"|",""))+IF(AND(OR(J784="EI",J784="EO",J784="EQ"),$AE$1="NESMA"),2,1)))</f>
        <v/>
      </c>
      <c r="P784" s="86">
        <f>IF(J784="EI",IF(OR(Y784="估算法",Y784="算法类"),"中",IF(Y784="无法识别","低",IF(M784&lt;2,IF(O784&lt;16,"低","中"),IF(M784&lt;3,IF(O784&lt;5,"低",IF(O784&lt;16,"中","高")),IF(O784&lt;5,"中","高"))))),IF(OR(J784="EO",J784="EQ"),IF(OR(Y784="估算法",Y784="算法类"),"中",IF(Y784="无法识别","低",IF(M784&lt;2,IF(O784&lt;20,"低","中"),IF(M784&lt;4,IF(O784&lt;6,"低",IF(O784&lt;20,"中","高")),IF(O784&lt;6,"中","高"))))),IF(OR(J784="ILF",J784="EIF"),IF(OR(Y784="估算法",Y784="算法类",Y784="无法识别"),"低",IF(N784&lt;2,IF(O784&lt;51,"低","中"),IF(N784&lt;6,IF(O784&lt;20,"低",IF(O784&lt;51,"中","高")),IF(O784&lt;20,"中","高")))),"不计算")))</f>
        <v/>
      </c>
      <c r="Q784" s="172">
        <f>IFERROR(IF(J784="EI",IF(P784="低",3,IF(P784="中",4,6)),IF(J784="EO",IF(P784="低",4,IF(P784="中",5,7)),IF(J784="EQ",IF(P784="低",3,IF(P784="中",4,6)),IF(J784="ILF",IF(P784="低",7,IF(P784="中",10,15)),IF(J784="EIF",IF(P784="低",5,IF(P784="中",7,10)),"不计算")))))*R784,"不计算")</f>
        <v/>
      </c>
      <c r="R784" s="172" t="n">
        <v>1</v>
      </c>
      <c r="S784" s="173">
        <f>调整因子!$F$13</f>
        <v/>
      </c>
      <c r="T784" s="92" t="n">
        <v>1</v>
      </c>
      <c r="U784" s="174">
        <f>IFERROR(Q784*S784,0)</f>
        <v/>
      </c>
      <c r="V784" s="174">
        <f>U784*T784</f>
        <v/>
      </c>
      <c r="W784" s="103" t="n"/>
      <c r="X784" s="90" t="inlineStr">
        <is>
          <t>产品漏洞碰撞分析结果表</t>
        </is>
      </c>
      <c r="Y784" s="90" t="inlineStr">
        <is>
          <t>产品漏洞碰撞分析结果表{台账记录编号、漏洞信息编号、资产编号、碰撞结果、分析时间}</t>
        </is>
      </c>
      <c r="Z784" s="90" t="n"/>
      <c r="AA784" s="90" t="n"/>
    </row>
    <row r="785" s="112">
      <c r="A785" s="72">
        <f>ROW()-1</f>
        <v/>
      </c>
      <c r="B785" s="175" t="n"/>
      <c r="C785" s="80" t="n">
        <v>2025</v>
      </c>
      <c r="D785" s="80" t="inlineStr">
        <is>
          <t>张明峰</t>
        </is>
      </c>
      <c r="E785" s="81">
        <f>VLOOKUP(I785,'25年交付功能（不含废弃）'!A:A,1,FALSE)</f>
        <v/>
      </c>
      <c r="F785" s="175" t="n"/>
      <c r="I785" s="103" t="inlineStr">
        <is>
          <t>产品漏洞预警台账表</t>
        </is>
      </c>
      <c r="J785" s="93" t="inlineStr">
        <is>
          <t>ILF</t>
        </is>
      </c>
      <c r="K785" s="84" t="n"/>
      <c r="L785" s="84" t="n"/>
      <c r="M785" s="85">
        <f>IF(OR(Y785="估算法",Y785="算法类",Y785="无法识别"),"",IF(W785="",IF(OR(J785="EI",J785="EO",J785="EQ"),0,""),LEN(W785)-LEN(SUBSTITUTE(W785,"、",""))+1))</f>
        <v/>
      </c>
      <c r="N785" s="85">
        <f>IF(OR(Y785="估算法",Y785="算法类",Y785="无法识别"),"",IF(X785="",IF(OR(J785="ILF",J785="EIF"),0,""),LEN(X785)-LEN(SUBSTITUTE(X785,"、",""))+1))</f>
        <v/>
      </c>
      <c r="O785" s="85">
        <f>IF(OR(Y785="估算法",Y785="算法类",Y785="无法识别"),"",IF(Y785="",IF(OR(J785="ILF",J785="EIF",J785="EI",J785="EO",J785="EQ"),0,""),LEN(Y785)-LEN(SUBSTITUTE(SUBSTITUTE(SUBSTITUTE(SUBSTITUTE(SUBSTITUTE(Y785,"|}","--"),"{|","--"),CHAR(10),""),"、",""),"|",""))+IF(AND(OR(J785="EI",J785="EO",J785="EQ"),$AE$1="NESMA"),2,1)))</f>
        <v/>
      </c>
      <c r="P785" s="86">
        <f>IF(J785="EI",IF(OR(Y785="估算法",Y785="算法类"),"中",IF(Y785="无法识别","低",IF(M785&lt;2,IF(O785&lt;16,"低","中"),IF(M785&lt;3,IF(O785&lt;5,"低",IF(O785&lt;16,"中","高")),IF(O785&lt;5,"中","高"))))),IF(OR(J785="EO",J785="EQ"),IF(OR(Y785="估算法",Y785="算法类"),"中",IF(Y785="无法识别","低",IF(M785&lt;2,IF(O785&lt;20,"低","中"),IF(M785&lt;4,IF(O785&lt;6,"低",IF(O785&lt;20,"中","高")),IF(O785&lt;6,"中","高"))))),IF(OR(J785="ILF",J785="EIF"),IF(OR(Y785="估算法",Y785="算法类",Y785="无法识别"),"低",IF(N785&lt;2,IF(O785&lt;51,"低","中"),IF(N785&lt;6,IF(O785&lt;20,"低",IF(O785&lt;51,"中","高")),IF(O785&lt;20,"中","高")))),"不计算")))</f>
        <v/>
      </c>
      <c r="Q785" s="172">
        <f>IFERROR(IF(J785="EI",IF(P785="低",3,IF(P785="中",4,6)),IF(J785="EO",IF(P785="低",4,IF(P785="中",5,7)),IF(J785="EQ",IF(P785="低",3,IF(P785="中",4,6)),IF(J785="ILF",IF(P785="低",7,IF(P785="中",10,15)),IF(J785="EIF",IF(P785="低",5,IF(P785="中",7,10)),"不计算")))))*R785,"不计算")</f>
        <v/>
      </c>
      <c r="R785" s="172" t="n">
        <v>1</v>
      </c>
      <c r="S785" s="173">
        <f>调整因子!$F$13</f>
        <v/>
      </c>
      <c r="T785" s="93" t="n">
        <v>1</v>
      </c>
      <c r="U785" s="174">
        <f>IFERROR(Q785*S785,0)</f>
        <v/>
      </c>
      <c r="V785" s="174">
        <f>U785*T785</f>
        <v/>
      </c>
      <c r="W785" s="103" t="n"/>
      <c r="X785" s="97" t="inlineStr">
        <is>
          <t>产品漏洞预警台账表</t>
        </is>
      </c>
      <c r="Y785" s="90" t="inlineStr">
        <is>
          <t>产品漏洞预警台账表{台账记录编号、台账类型编码、任务名称、任务编号、漏洞数量、资产数量、碰撞漏洞资产数、碰撞漏洞信息数}</t>
        </is>
      </c>
      <c r="Z785" s="90" t="n"/>
      <c r="AA785" s="90" t="n"/>
      <c r="AB785" s="93" t="n"/>
    </row>
    <row r="786" s="112">
      <c r="A786" s="72">
        <f>ROW()-1</f>
        <v/>
      </c>
      <c r="B786" s="175" t="n"/>
      <c r="C786" s="80" t="n">
        <v>2025</v>
      </c>
      <c r="D786" s="80" t="inlineStr">
        <is>
          <t>张明峰</t>
        </is>
      </c>
      <c r="E786" s="81">
        <f>VLOOKUP(I786,'25年交付功能（不含废弃）'!A:A,1,FALSE)</f>
        <v/>
      </c>
      <c r="F786" s="175" t="n"/>
      <c r="G786" t="inlineStr">
        <is>
          <t>台账数据上报管理</t>
        </is>
      </c>
      <c r="H786" t="inlineStr">
        <is>
          <t>定期上报</t>
        </is>
      </c>
      <c r="I786" s="103" t="inlineStr">
        <is>
          <t>配置台账上报周期</t>
        </is>
      </c>
      <c r="J786" s="93" t="inlineStr">
        <is>
          <t>EI</t>
        </is>
      </c>
      <c r="K786" s="84" t="n"/>
      <c r="L786" s="84" t="n"/>
      <c r="M786" s="85">
        <f>IF(OR(Y786="估算法",Y786="算法类",Y786="无法识别"),"",IF(W786="",IF(OR(J786="EI",J786="EO",J786="EQ"),0,""),LEN(W786)-LEN(SUBSTITUTE(W786,"、",""))+1))</f>
        <v/>
      </c>
      <c r="N786" s="85">
        <f>IF(OR(Y786="估算法",Y786="算法类",Y786="无法识别"),"",IF(X786="",IF(OR(J786="ILF",J786="EIF"),0,""),LEN(X786)-LEN(SUBSTITUTE(X786,"、",""))+1))</f>
        <v/>
      </c>
      <c r="O786" s="85">
        <f>IF(OR(Y786="估算法",Y786="算法类",Y786="无法识别"),"",IF(Y786="",IF(OR(J786="ILF",J786="EIF",J786="EI",J786="EO",J786="EQ"),0,""),LEN(Y786)-LEN(SUBSTITUTE(SUBSTITUTE(SUBSTITUTE(SUBSTITUTE(SUBSTITUTE(Y786,"|}","--"),"{|","--"),CHAR(10),""),"、",""),"|",""))+IF(AND(OR(J786="EI",J786="EO",J786="EQ"),$AE$1="NESMA"),2,1)))</f>
        <v/>
      </c>
      <c r="P786" s="86">
        <f>IF(J786="EI",IF(OR(Y786="估算法",Y786="算法类"),"中",IF(Y786="无法识别","低",IF(M786&lt;2,IF(O786&lt;16,"低","中"),IF(M786&lt;3,IF(O786&lt;5,"低",IF(O786&lt;16,"中","高")),IF(O786&lt;5,"中","高"))))),IF(OR(J786="EO",J786="EQ"),IF(OR(Y786="估算法",Y786="算法类"),"中",IF(Y786="无法识别","低",IF(M786&lt;2,IF(O786&lt;20,"低","中"),IF(M786&lt;4,IF(O786&lt;6,"低",IF(O786&lt;20,"中","高")),IF(O786&lt;6,"中","高"))))),IF(OR(J786="ILF",J786="EIF"),IF(OR(Y786="估算法",Y786="算法类",Y786="无法识别"),"低",IF(N786&lt;2,IF(O786&lt;51,"低","中"),IF(N786&lt;6,IF(O786&lt;20,"低",IF(O786&lt;51,"中","高")),IF(O786&lt;20,"中","高")))),"不计算")))</f>
        <v/>
      </c>
      <c r="Q786" s="172">
        <f>IFERROR(IF(J786="EI",IF(P786="低",3,IF(P786="中",4,6)),IF(J786="EO",IF(P786="低",4,IF(P786="中",5,7)),IF(J786="EQ",IF(P786="低",3,IF(P786="中",4,6)),IF(J786="ILF",IF(P786="低",7,IF(P786="中",10,15)),IF(J786="EIF",IF(P786="低",5,IF(P786="中",7,10)),"不计算")))))*R786,"不计算")</f>
        <v/>
      </c>
      <c r="R786" s="172" t="n">
        <v>1</v>
      </c>
      <c r="S786" s="173">
        <f>调整因子!$F$13</f>
        <v/>
      </c>
      <c r="T786" s="92" t="n">
        <v>1</v>
      </c>
      <c r="U786" s="174">
        <f>IFERROR(Q786*S786,0)</f>
        <v/>
      </c>
      <c r="V786" s="174">
        <f>U786*T786</f>
        <v/>
      </c>
      <c r="W786" s="103" t="inlineStr">
        <is>
          <t>台账上报周期配置表</t>
        </is>
      </c>
      <c r="X786" s="97" t="n"/>
      <c r="Y786" s="90" t="inlineStr">
        <is>
          <t>台账上报周期配置表{定时表达式、上报范围、启用状态|配置编号}</t>
        </is>
      </c>
      <c r="Z786" s="90" t="n"/>
      <c r="AA786" s="90" t="n"/>
      <c r="AB786" s="93" t="n"/>
    </row>
    <row r="787" s="112">
      <c r="A787" s="72">
        <f>ROW()-1</f>
        <v/>
      </c>
      <c r="B787" s="175" t="n"/>
      <c r="C787" s="80" t="n">
        <v>2025</v>
      </c>
      <c r="D787" s="80" t="inlineStr">
        <is>
          <t>张明峰</t>
        </is>
      </c>
      <c r="E787" s="81">
        <f>VLOOKUP(I787,'25年交付功能（不含废弃）'!A:A,1,FALSE)</f>
        <v/>
      </c>
      <c r="F787" s="175" t="n"/>
      <c r="I787" s="103" t="inlineStr">
        <is>
          <t>定时组装并向部侧上报台账批次</t>
        </is>
      </c>
      <c r="J787" s="93" t="inlineStr">
        <is>
          <t>EO</t>
        </is>
      </c>
      <c r="K787" s="84" t="n"/>
      <c r="L787" s="84" t="n"/>
      <c r="M787" s="85">
        <f>IF(OR(Y787="估算法",Y787="算法类",Y787="无法识别"),"",IF(W787="",IF(OR(J787="EI",J787="EO",J787="EQ"),0,""),LEN(W787)-LEN(SUBSTITUTE(W787,"、",""))+1))</f>
        <v/>
      </c>
      <c r="N787" s="85">
        <f>IF(OR(Y787="估算法",Y787="算法类",Y787="无法识别"),"",IF(X787="",IF(OR(J787="ILF",J787="EIF"),0,""),LEN(X787)-LEN(SUBSTITUTE(X787,"、",""))+1))</f>
        <v/>
      </c>
      <c r="O787" s="85">
        <f>IF(OR(Y787="估算法",Y787="算法类",Y787="无法识别"),"",IF(Y787="",IF(OR(J787="ILF",J787="EIF",J787="EI",J787="EO",J787="EQ"),0,""),LEN(Y787)-LEN(SUBSTITUTE(SUBSTITUTE(SUBSTITUTE(SUBSTITUTE(SUBSTITUTE(Y787,"|}","--"),"{|","--"),CHAR(10),""),"、",""),"|",""))+IF(AND(OR(J787="EI",J787="EO",J787="EQ"),$AE$1="NESMA"),2,1)))</f>
        <v/>
      </c>
      <c r="P787" s="86">
        <f>IF(J787="EI",IF(OR(Y787="估算法",Y787="算法类"),"中",IF(Y787="无法识别","低",IF(M787&lt;2,IF(O787&lt;16,"低","中"),IF(M787&lt;3,IF(O787&lt;5,"低",IF(O787&lt;16,"中","高")),IF(O787&lt;5,"中","高"))))),IF(OR(J787="EO",J787="EQ"),IF(OR(Y787="估算法",Y787="算法类"),"中",IF(Y787="无法识别","低",IF(M787&lt;2,IF(O787&lt;20,"低","中"),IF(M787&lt;4,IF(O787&lt;6,"低",IF(O787&lt;20,"中","高")),IF(O787&lt;6,"中","高"))))),IF(OR(J787="ILF",J787="EIF"),IF(OR(Y787="估算法",Y787="算法类",Y787="无法识别"),"低",IF(N787&lt;2,IF(O787&lt;51,"低","中"),IF(N787&lt;6,IF(O787&lt;20,"低",IF(O787&lt;51,"中","高")),IF(O787&lt;20,"中","高")))),"不计算")))</f>
        <v/>
      </c>
      <c r="Q787" s="172">
        <f>IFERROR(IF(J787="EI",IF(P787="低",3,IF(P787="中",4,6)),IF(J787="EO",IF(P787="低",4,IF(P787="中",5,7)),IF(J787="EQ",IF(P787="低",3,IF(P787="中",4,6)),IF(J787="ILF",IF(P787="低",7,IF(P787="中",10,15)),IF(J787="EIF",IF(P787="低",5,IF(P787="中",7,10)),"不计算")))))*R787,"不计算")</f>
        <v/>
      </c>
      <c r="R787" s="172" t="n">
        <v>1</v>
      </c>
      <c r="S787" s="173">
        <f>调整因子!$F$13</f>
        <v/>
      </c>
      <c r="T787" s="92" t="n">
        <v>1</v>
      </c>
      <c r="U787" s="174">
        <f>IFERROR(Q787*S787,0)</f>
        <v/>
      </c>
      <c r="V787" s="174">
        <f>U787*T787</f>
        <v/>
      </c>
      <c r="W787" s="90" t="inlineStr">
        <is>
          <t>漏管台账记录主表、台账上报批次表、部侧台账批量上报请求接口文件</t>
        </is>
      </c>
      <c r="X787" s="113" t="n"/>
      <c r="Y787" s="90" t="inlineStr">
        <is>
          <t>漏管台账记录主表{台账类型编码|台账记录编号}
台账上报批次表{|批次编号、上报状态}
部侧台账批量上报请求接口文件{|文件编号}</t>
        </is>
      </c>
      <c r="Z787" s="90" t="n"/>
      <c r="AA787" s="90" t="n"/>
    </row>
    <row r="788" s="112">
      <c r="A788" s="72">
        <f>ROW()-1</f>
        <v/>
      </c>
      <c r="B788" s="175" t="n"/>
      <c r="C788" s="80" t="n">
        <v>2025</v>
      </c>
      <c r="D788" s="80" t="inlineStr">
        <is>
          <t>张明峰</t>
        </is>
      </c>
      <c r="E788" s="81">
        <f>VLOOKUP(I788,'25年交付功能（不含废弃）'!A:A,1,FALSE)</f>
        <v/>
      </c>
      <c r="F788" s="175" t="n"/>
      <c r="I788" s="103" t="inlineStr">
        <is>
          <t>查询定时上报记录</t>
        </is>
      </c>
      <c r="J788" s="93" t="inlineStr">
        <is>
          <t>EQ</t>
        </is>
      </c>
      <c r="K788" s="84" t="n"/>
      <c r="L788" s="84" t="n"/>
      <c r="M788" s="85">
        <f>IF(OR(Y788="估算法",Y788="算法类",Y788="无法识别"),"",IF(W788="",IF(OR(J788="EI",J788="EO",J788="EQ"),0,""),LEN(W788)-LEN(SUBSTITUTE(W788,"、",""))+1))</f>
        <v/>
      </c>
      <c r="N788" s="85">
        <f>IF(OR(Y788="估算法",Y788="算法类",Y788="无法识别"),"",IF(X788="",IF(OR(J788="ILF",J788="EIF"),0,""),LEN(X788)-LEN(SUBSTITUTE(X788,"、",""))+1))</f>
        <v/>
      </c>
      <c r="O788" s="85">
        <f>IF(OR(Y788="估算法",Y788="算法类",Y788="无法识别"),"",IF(Y788="",IF(OR(J788="ILF",J788="EIF",J788="EI",J788="EO",J788="EQ"),0,""),LEN(Y788)-LEN(SUBSTITUTE(SUBSTITUTE(SUBSTITUTE(SUBSTITUTE(SUBSTITUTE(Y788,"|}","--"),"{|","--"),CHAR(10),""),"、",""),"|",""))+IF(AND(OR(J788="EI",J788="EO",J788="EQ"),$AE$1="NESMA"),2,1)))</f>
        <v/>
      </c>
      <c r="P788" s="86">
        <f>IF(J788="EI",IF(OR(Y788="估算法",Y788="算法类"),"中",IF(Y788="无法识别","低",IF(M788&lt;2,IF(O788&lt;16,"低","中"),IF(M788&lt;3,IF(O788&lt;5,"低",IF(O788&lt;16,"中","高")),IF(O788&lt;5,"中","高"))))),IF(OR(J788="EO",J788="EQ"),IF(OR(Y788="估算法",Y788="算法类"),"中",IF(Y788="无法识别","低",IF(M788&lt;2,IF(O788&lt;20,"低","中"),IF(M788&lt;4,IF(O788&lt;6,"低",IF(O788&lt;20,"中","高")),IF(O788&lt;6,"中","高"))))),IF(OR(J788="ILF",J788="EIF"),IF(OR(Y788="估算法",Y788="算法类",Y788="无法识别"),"低",IF(N788&lt;2,IF(O788&lt;51,"低","中"),IF(N788&lt;6,IF(O788&lt;20,"低",IF(O788&lt;51,"中","高")),IF(O788&lt;20,"中","高")))),"不计算")))</f>
        <v/>
      </c>
      <c r="Q788" s="172">
        <f>IFERROR(IF(J788="EI",IF(P788="低",3,IF(P788="中",4,6)),IF(J788="EO",IF(P788="低",4,IF(P788="中",5,7)),IF(J788="EQ",IF(P788="低",3,IF(P788="中",4,6)),IF(J788="ILF",IF(P788="低",7,IF(P788="中",10,15)),IF(J788="EIF",IF(P788="低",5,IF(P788="中",7,10)),"不计算")))))*R788,"不计算")</f>
        <v/>
      </c>
      <c r="R788" s="172" t="n">
        <v>1</v>
      </c>
      <c r="S788" s="173">
        <f>调整因子!$F$13</f>
        <v/>
      </c>
      <c r="T788" s="93" t="n">
        <v>1</v>
      </c>
      <c r="U788" s="174">
        <f>IFERROR(Q788*S788,0)</f>
        <v/>
      </c>
      <c r="V788" s="174">
        <f>U788*T788</f>
        <v/>
      </c>
      <c r="W788" s="90" t="inlineStr">
        <is>
          <t>台账上报历史表</t>
        </is>
      </c>
      <c r="X788" s="113" t="n"/>
      <c r="Y788" s="90" t="inlineStr">
        <is>
          <t>台账上报历史表{上报方式、上报时间|历史编号、上报状态}</t>
        </is>
      </c>
      <c r="Z788" s="90" t="n"/>
      <c r="AA788" s="90" t="n"/>
    </row>
    <row r="789" s="112">
      <c r="A789" s="72">
        <f>ROW()-1</f>
        <v/>
      </c>
      <c r="B789" s="175" t="n"/>
      <c r="C789" s="80" t="n">
        <v>2025</v>
      </c>
      <c r="D789" s="80" t="inlineStr">
        <is>
          <t>张明峰</t>
        </is>
      </c>
      <c r="E789" s="81">
        <f>VLOOKUP(I789,'25年交付功能（不含废弃）'!A:A,1,FALSE)</f>
        <v/>
      </c>
      <c r="F789" s="175" t="n"/>
      <c r="H789" t="inlineStr">
        <is>
          <t>手动补报</t>
        </is>
      </c>
      <c r="I789" s="103" t="inlineStr">
        <is>
          <t>查询未成功上报的台账批次</t>
        </is>
      </c>
      <c r="J789" s="93" t="inlineStr">
        <is>
          <t>EQ</t>
        </is>
      </c>
      <c r="K789" s="84" t="n"/>
      <c r="L789" s="84" t="n"/>
      <c r="M789" s="85">
        <f>IF(OR(Y789="估算法",Y789="算法类",Y789="无法识别"),"",IF(W789="",IF(OR(J789="EI",J789="EO",J789="EQ"),0,""),LEN(W789)-LEN(SUBSTITUTE(W789,"、",""))+1))</f>
        <v/>
      </c>
      <c r="N789" s="85">
        <f>IF(OR(Y789="估算法",Y789="算法类",Y789="无法识别"),"",IF(X789="",IF(OR(J789="ILF",J789="EIF"),0,""),LEN(X789)-LEN(SUBSTITUTE(X789,"、",""))+1))</f>
        <v/>
      </c>
      <c r="O789" s="85">
        <f>IF(OR(Y789="估算法",Y789="算法类",Y789="无法识别"),"",IF(Y789="",IF(OR(J789="ILF",J789="EIF",J789="EI",J789="EO",J789="EQ"),0,""),LEN(Y789)-LEN(SUBSTITUTE(SUBSTITUTE(SUBSTITUTE(SUBSTITUTE(SUBSTITUTE(Y789,"|}","--"),"{|","--"),CHAR(10),""),"、",""),"|",""))+IF(AND(OR(J789="EI",J789="EO",J789="EQ"),$AE$1="NESMA"),2,1)))</f>
        <v/>
      </c>
      <c r="P789" s="86">
        <f>IF(J789="EI",IF(OR(Y789="估算法",Y789="算法类"),"中",IF(Y789="无法识别","低",IF(M789&lt;2,IF(O789&lt;16,"低","中"),IF(M789&lt;3,IF(O789&lt;5,"低",IF(O789&lt;16,"中","高")),IF(O789&lt;5,"中","高"))))),IF(OR(J789="EO",J789="EQ"),IF(OR(Y789="估算法",Y789="算法类"),"中",IF(Y789="无法识别","低",IF(M789&lt;2,IF(O789&lt;20,"低","中"),IF(M789&lt;4,IF(O789&lt;6,"低",IF(O789&lt;20,"中","高")),IF(O789&lt;6,"中","高"))))),IF(OR(J789="ILF",J789="EIF"),IF(OR(Y789="估算法",Y789="算法类",Y789="无法识别"),"低",IF(N789&lt;2,IF(O789&lt;51,"低","中"),IF(N789&lt;6,IF(O789&lt;20,"低",IF(O789&lt;51,"中","高")),IF(O789&lt;20,"中","高")))),"不计算")))</f>
        <v/>
      </c>
      <c r="Q789" s="172">
        <f>IFERROR(IF(J789="EI",IF(P789="低",3,IF(P789="中",4,6)),IF(J789="EO",IF(P789="低",4,IF(P789="中",5,7)),IF(J789="EQ",IF(P789="低",3,IF(P789="中",4,6)),IF(J789="ILF",IF(P789="低",7,IF(P789="中",10,15)),IF(J789="EIF",IF(P789="低",5,IF(P789="中",7,10)),"不计算")))))*R789,"不计算")</f>
        <v/>
      </c>
      <c r="R789" s="172" t="n">
        <v>1</v>
      </c>
      <c r="S789" s="173">
        <f>调整因子!$F$13</f>
        <v/>
      </c>
      <c r="T789" s="93" t="n">
        <v>1</v>
      </c>
      <c r="U789" s="174">
        <f>IFERROR(Q789*S789,0)</f>
        <v/>
      </c>
      <c r="V789" s="174">
        <f>U789*T789</f>
        <v/>
      </c>
      <c r="W789" s="90" t="inlineStr">
        <is>
          <t>台账上报批次表</t>
        </is>
      </c>
      <c r="X789" s="113" t="n"/>
      <c r="Y789" s="90" t="inlineStr">
        <is>
          <t>台账上报批次表{上报状态|批次编号、失败原因}</t>
        </is>
      </c>
      <c r="Z789" s="90" t="n"/>
      <c r="AA789" s="90" t="n"/>
    </row>
    <row r="790" s="112">
      <c r="A790" s="72">
        <f>ROW()-1</f>
        <v/>
      </c>
      <c r="B790" s="175" t="n"/>
      <c r="C790" s="80" t="n">
        <v>2025</v>
      </c>
      <c r="D790" s="80" t="inlineStr">
        <is>
          <t>张明峰</t>
        </is>
      </c>
      <c r="E790" s="81">
        <f>VLOOKUP(I790,'25年交付功能（不含废弃）'!A:A,1,FALSE)</f>
        <v/>
      </c>
      <c r="F790" s="175" t="n"/>
      <c r="I790" s="103" t="inlineStr">
        <is>
          <t>预览待上报台账批次</t>
        </is>
      </c>
      <c r="J790" s="93" t="inlineStr">
        <is>
          <t>EQ</t>
        </is>
      </c>
      <c r="K790" s="84" t="n"/>
      <c r="L790" s="84" t="n"/>
      <c r="M790" s="85">
        <f>IF(OR(Y790="估算法",Y790="算法类",Y790="无法识别"),"",IF(W790="",IF(OR(J790="EI",J790="EO",J790="EQ"),0,""),LEN(W790)-LEN(SUBSTITUTE(W790,"、",""))+1))</f>
        <v/>
      </c>
      <c r="N790" s="85">
        <f>IF(OR(Y790="估算法",Y790="算法类",Y790="无法识别"),"",IF(X790="",IF(OR(J790="ILF",J790="EIF"),0,""),LEN(X790)-LEN(SUBSTITUTE(X790,"、",""))+1))</f>
        <v/>
      </c>
      <c r="O790" s="85">
        <f>IF(OR(Y790="估算法",Y790="算法类",Y790="无法识别"),"",IF(Y790="",IF(OR(J790="ILF",J790="EIF",J790="EI",J790="EO",J790="EQ"),0,""),LEN(Y790)-LEN(SUBSTITUTE(SUBSTITUTE(SUBSTITUTE(SUBSTITUTE(SUBSTITUTE(Y790,"|}","--"),"{|","--"),CHAR(10),""),"、",""),"|",""))+IF(AND(OR(J790="EI",J790="EO",J790="EQ"),$AE$1="NESMA"),2,1)))</f>
        <v/>
      </c>
      <c r="P790" s="86">
        <f>IF(J790="EI",IF(OR(Y790="估算法",Y790="算法类"),"中",IF(Y790="无法识别","低",IF(M790&lt;2,IF(O790&lt;16,"低","中"),IF(M790&lt;3,IF(O790&lt;5,"低",IF(O790&lt;16,"中","高")),IF(O790&lt;5,"中","高"))))),IF(OR(J790="EO",J790="EQ"),IF(OR(Y790="估算法",Y790="算法类"),"中",IF(Y790="无法识别","低",IF(M790&lt;2,IF(O790&lt;20,"低","中"),IF(M790&lt;4,IF(O790&lt;6,"低",IF(O790&lt;20,"中","高")),IF(O790&lt;6,"中","高"))))),IF(OR(J790="ILF",J790="EIF"),IF(OR(Y790="估算法",Y790="算法类",Y790="无法识别"),"低",IF(N790&lt;2,IF(O790&lt;51,"低","中"),IF(N790&lt;6,IF(O790&lt;20,"低",IF(O790&lt;51,"中","高")),IF(O790&lt;20,"中","高")))),"不计算")))</f>
        <v/>
      </c>
      <c r="Q790" s="172">
        <f>IFERROR(IF(J790="EI",IF(P790="低",3,IF(P790="中",4,6)),IF(J790="EO",IF(P790="低",4,IF(P790="中",5,7)),IF(J790="EQ",IF(P790="低",3,IF(P790="中",4,6)),IF(J790="ILF",IF(P790="低",7,IF(P790="中",10,15)),IF(J790="EIF",IF(P790="低",5,IF(P790="中",7,10)),"不计算")))))*R790,"不计算")</f>
        <v/>
      </c>
      <c r="R790" s="172" t="n">
        <v>1</v>
      </c>
      <c r="S790" s="173">
        <f>调整因子!$F$13</f>
        <v/>
      </c>
      <c r="T790" s="92" t="n">
        <v>1</v>
      </c>
      <c r="U790" s="174">
        <f>IFERROR(Q790*S790,0)</f>
        <v/>
      </c>
      <c r="V790" s="174">
        <f>U790*T790</f>
        <v/>
      </c>
      <c r="W790" s="90" t="inlineStr">
        <is>
          <t>台账上报批次表、漏管台账记录主表</t>
        </is>
      </c>
      <c r="X790" s="113" t="n"/>
      <c r="Y790" s="90" t="inlineStr">
        <is>
          <t>台账上报批次表{批次编号|请求序号、记录条数}
漏管台账记录主表{批次编号|台账记录编号、台账类型编码}</t>
        </is>
      </c>
      <c r="Z790" s="90" t="n"/>
      <c r="AA790" s="90" t="n"/>
    </row>
    <row r="791" s="112">
      <c r="A791" s="72">
        <f>ROW()-1</f>
        <v/>
      </c>
      <c r="B791" s="175" t="n"/>
      <c r="C791" s="80" t="n">
        <v>2025</v>
      </c>
      <c r="D791" s="80" t="inlineStr">
        <is>
          <t>张明峰</t>
        </is>
      </c>
      <c r="E791" s="81">
        <f>VLOOKUP(I791,'25年交付功能（不含废弃）'!A:A,1,FALSE)</f>
        <v/>
      </c>
      <c r="F791" s="175" t="n"/>
      <c r="I791" s="103" t="inlineStr">
        <is>
          <t>人工主动上报台账批次</t>
        </is>
      </c>
      <c r="J791" s="93" t="inlineStr">
        <is>
          <t>EO</t>
        </is>
      </c>
      <c r="K791" s="84" t="n"/>
      <c r="L791" s="84" t="n"/>
      <c r="M791" s="85">
        <f>IF(OR(Y791="估算法",Y791="算法类",Y791="无法识别"),"",IF(W791="",IF(OR(J791="EI",J791="EO",J791="EQ"),0,""),LEN(W791)-LEN(SUBSTITUTE(W791,"、",""))+1))</f>
        <v/>
      </c>
      <c r="N791" s="85">
        <f>IF(OR(Y791="估算法",Y791="算法类",Y791="无法识别"),"",IF(X791="",IF(OR(J791="ILF",J791="EIF"),0,""),LEN(X791)-LEN(SUBSTITUTE(X791,"、",""))+1))</f>
        <v/>
      </c>
      <c r="O791" s="85">
        <f>IF(OR(Y791="估算法",Y791="算法类",Y791="无法识别"),"",IF(Y791="",IF(OR(J791="ILF",J791="EIF",J791="EI",J791="EO",J791="EQ"),0,""),LEN(Y791)-LEN(SUBSTITUTE(SUBSTITUTE(SUBSTITUTE(SUBSTITUTE(SUBSTITUTE(Y791,"|}","--"),"{|","--"),CHAR(10),""),"、",""),"|",""))+IF(AND(OR(J791="EI",J791="EO",J791="EQ"),$AE$1="NESMA"),2,1)))</f>
        <v/>
      </c>
      <c r="P791" s="86">
        <f>IF(J791="EI",IF(OR(Y791="估算法",Y791="算法类"),"中",IF(Y791="无法识别","低",IF(M791&lt;2,IF(O791&lt;16,"低","中"),IF(M791&lt;3,IF(O791&lt;5,"低",IF(O791&lt;16,"中","高")),IF(O791&lt;5,"中","高"))))),IF(OR(J791="EO",J791="EQ"),IF(OR(Y791="估算法",Y791="算法类"),"中",IF(Y791="无法识别","低",IF(M791&lt;2,IF(O791&lt;20,"低","中"),IF(M791&lt;4,IF(O791&lt;6,"低",IF(O791&lt;20,"中","高")),IF(O791&lt;6,"中","高"))))),IF(OR(J791="ILF",J791="EIF"),IF(OR(Y791="估算法",Y791="算法类",Y791="无法识别"),"低",IF(N791&lt;2,IF(O791&lt;51,"低","中"),IF(N791&lt;6,IF(O791&lt;20,"低",IF(O791&lt;51,"中","高")),IF(O791&lt;20,"中","高")))),"不计算")))</f>
        <v/>
      </c>
      <c r="Q791" s="172">
        <f>IFERROR(IF(J791="EI",IF(P791="低",3,IF(P791="中",4,6)),IF(J791="EO",IF(P791="低",4,IF(P791="中",5,7)),IF(J791="EQ",IF(P791="低",3,IF(P791="中",4,6)),IF(J791="ILF",IF(P791="低",7,IF(P791="中",10,15)),IF(J791="EIF",IF(P791="低",5,IF(P791="中",7,10)),"不计算")))))*R791,"不计算")</f>
        <v/>
      </c>
      <c r="R791" s="172" t="n">
        <v>1</v>
      </c>
      <c r="S791" s="173">
        <f>调整因子!$F$13</f>
        <v/>
      </c>
      <c r="T791" s="92" t="n">
        <v>1</v>
      </c>
      <c r="U791" s="174">
        <f>IFERROR(Q791*S791,0)</f>
        <v/>
      </c>
      <c r="V791" s="174">
        <f>U791*T791</f>
        <v/>
      </c>
      <c r="W791" s="103" t="inlineStr">
        <is>
          <t>台账上报批次表、部侧台账批量上报请求接口文件</t>
        </is>
      </c>
      <c r="X791" s="97" t="n"/>
      <c r="Y791" s="90" t="inlineStr">
        <is>
          <t>台账上报批次表{批次编号|上报状态}
部侧台账批量上报请求接口文件{|文件编号}</t>
        </is>
      </c>
      <c r="Z791" s="90" t="n"/>
      <c r="AA791" s="90" t="n"/>
      <c r="AB791" s="93" t="n"/>
    </row>
    <row r="792" s="112">
      <c r="A792" s="72">
        <f>ROW()-1</f>
        <v/>
      </c>
      <c r="B792" s="175" t="n"/>
      <c r="C792" s="80" t="n">
        <v>2025</v>
      </c>
      <c r="D792" s="80" t="inlineStr">
        <is>
          <t>张明峰</t>
        </is>
      </c>
      <c r="E792" s="81">
        <f>VLOOKUP(I792,'25年交付功能（不含废弃）'!A:A,1,FALSE)</f>
        <v/>
      </c>
      <c r="F792" s="175" t="n"/>
      <c r="I792" s="103" t="inlineStr">
        <is>
          <t>查询手动上报记录</t>
        </is>
      </c>
      <c r="J792" s="93" t="inlineStr">
        <is>
          <t>EQ</t>
        </is>
      </c>
      <c r="K792" s="84" t="n"/>
      <c r="L792" s="84" t="n"/>
      <c r="M792" s="85">
        <f>IF(OR(Y792="估算法",Y792="算法类",Y792="无法识别"),"",IF(W792="",IF(OR(J792="EI",J792="EO",J792="EQ"),0,""),LEN(W792)-LEN(SUBSTITUTE(W792,"、",""))+1))</f>
        <v/>
      </c>
      <c r="N792" s="85">
        <f>IF(OR(Y792="估算法",Y792="算法类",Y792="无法识别"),"",IF(X792="",IF(OR(J792="ILF",J792="EIF"),0,""),LEN(X792)-LEN(SUBSTITUTE(X792,"、",""))+1))</f>
        <v/>
      </c>
      <c r="O792" s="85">
        <f>IF(OR(Y792="估算法",Y792="算法类",Y792="无法识别"),"",IF(Y792="",IF(OR(J792="ILF",J792="EIF",J792="EI",J792="EO",J792="EQ"),0,""),LEN(Y792)-LEN(SUBSTITUTE(SUBSTITUTE(SUBSTITUTE(SUBSTITUTE(SUBSTITUTE(Y792,"|}","--"),"{|","--"),CHAR(10),""),"、",""),"|",""))+IF(AND(OR(J792="EI",J792="EO",J792="EQ"),$AE$1="NESMA"),2,1)))</f>
        <v/>
      </c>
      <c r="P792" s="86">
        <f>IF(J792="EI",IF(OR(Y792="估算法",Y792="算法类"),"中",IF(Y792="无法识别","低",IF(M792&lt;2,IF(O792&lt;16,"低","中"),IF(M792&lt;3,IF(O792&lt;5,"低",IF(O792&lt;16,"中","高")),IF(O792&lt;5,"中","高"))))),IF(OR(J792="EO",J792="EQ"),IF(OR(Y792="估算法",Y792="算法类"),"中",IF(Y792="无法识别","低",IF(M792&lt;2,IF(O792&lt;20,"低","中"),IF(M792&lt;4,IF(O792&lt;6,"低",IF(O792&lt;20,"中","高")),IF(O792&lt;6,"中","高"))))),IF(OR(J792="ILF",J792="EIF"),IF(OR(Y792="估算法",Y792="算法类",Y792="无法识别"),"低",IF(N792&lt;2,IF(O792&lt;51,"低","中"),IF(N792&lt;6,IF(O792&lt;20,"低",IF(O792&lt;51,"中","高")),IF(O792&lt;20,"中","高")))),"不计算")))</f>
        <v/>
      </c>
      <c r="Q792" s="172">
        <f>IFERROR(IF(J792="EI",IF(P792="低",3,IF(P792="中",4,6)),IF(J792="EO",IF(P792="低",4,IF(P792="中",5,7)),IF(J792="EQ",IF(P792="低",3,IF(P792="中",4,6)),IF(J792="ILF",IF(P792="低",7,IF(P792="中",10,15)),IF(J792="EIF",IF(P792="低",5,IF(P792="中",7,10)),"不计算")))))*R792,"不计算")</f>
        <v/>
      </c>
      <c r="R792" s="172" t="n">
        <v>1</v>
      </c>
      <c r="S792" s="173">
        <f>调整因子!$F$13</f>
        <v/>
      </c>
      <c r="T792" s="93" t="n">
        <v>1</v>
      </c>
      <c r="U792" s="174">
        <f>IFERROR(Q792*S792,0)</f>
        <v/>
      </c>
      <c r="V792" s="174">
        <f>U792*T792</f>
        <v/>
      </c>
      <c r="W792" s="103" t="inlineStr">
        <is>
          <t>台账上报历史表</t>
        </is>
      </c>
      <c r="X792" s="97" t="n"/>
      <c r="Y792" s="90" t="inlineStr">
        <is>
          <t>台账上报历史表{上报方式|历史编号、上报状态}</t>
        </is>
      </c>
      <c r="Z792" s="90" t="n"/>
      <c r="AA792" s="90" t="n"/>
      <c r="AB792" s="93" t="n"/>
    </row>
    <row r="793" s="112">
      <c r="A793" s="72">
        <f>ROW()-1</f>
        <v/>
      </c>
      <c r="B793" s="175" t="n"/>
      <c r="C793" s="80" t="n">
        <v>2025</v>
      </c>
      <c r="D793" s="80" t="inlineStr">
        <is>
          <t>张明峰</t>
        </is>
      </c>
      <c r="E793" s="81">
        <f>VLOOKUP(I793,'25年交付功能（不含废弃）'!A:A,1,FALSE)</f>
        <v/>
      </c>
      <c r="F793" s="175" t="n"/>
      <c r="H793" t="inlineStr">
        <is>
          <t>上报监控</t>
        </is>
      </c>
      <c r="I793" s="103" t="inlineStr">
        <is>
          <t>台账上报状态监控展示</t>
        </is>
      </c>
      <c r="J793" s="93" t="inlineStr">
        <is>
          <t>EO</t>
        </is>
      </c>
      <c r="K793" s="84" t="n"/>
      <c r="L793" s="84" t="n"/>
      <c r="M793" s="85">
        <f>IF(OR(Y793="估算法",Y793="算法类",Y793="无法识别"),"",IF(W793="",IF(OR(J793="EI",J793="EO",J793="EQ"),0,""),LEN(W793)-LEN(SUBSTITUTE(W793,"、",""))+1))</f>
        <v/>
      </c>
      <c r="N793" s="85">
        <f>IF(OR(Y793="估算法",Y793="算法类",Y793="无法识别"),"",IF(X793="",IF(OR(J793="ILF",J793="EIF"),0,""),LEN(X793)-LEN(SUBSTITUTE(X793,"、",""))+1))</f>
        <v/>
      </c>
      <c r="O793" s="85">
        <f>IF(OR(Y793="估算法",Y793="算法类",Y793="无法识别"),"",IF(Y793="",IF(OR(J793="ILF",J793="EIF",J793="EI",J793="EO",J793="EQ"),0,""),LEN(Y793)-LEN(SUBSTITUTE(SUBSTITUTE(SUBSTITUTE(SUBSTITUTE(SUBSTITUTE(Y793,"|}","--"),"{|","--"),CHAR(10),""),"、",""),"|",""))+IF(AND(OR(J793="EI",J793="EO",J793="EQ"),$AE$1="NESMA"),2,1)))</f>
        <v/>
      </c>
      <c r="P793" s="86">
        <f>IF(J793="EI",IF(OR(Y793="估算法",Y793="算法类"),"中",IF(Y793="无法识别","低",IF(M793&lt;2,IF(O793&lt;16,"低","中"),IF(M793&lt;3,IF(O793&lt;5,"低",IF(O793&lt;16,"中","高")),IF(O793&lt;5,"中","高"))))),IF(OR(J793="EO",J793="EQ"),IF(OR(Y793="估算法",Y793="算法类"),"中",IF(Y793="无法识别","低",IF(M793&lt;2,IF(O793&lt;20,"低","中"),IF(M793&lt;4,IF(O793&lt;6,"低",IF(O793&lt;20,"中","高")),IF(O793&lt;6,"中","高"))))),IF(OR(J793="ILF",J793="EIF"),IF(OR(Y793="估算法",Y793="算法类",Y793="无法识别"),"低",IF(N793&lt;2,IF(O793&lt;51,"低","中"),IF(N793&lt;6,IF(O793&lt;20,"低",IF(O793&lt;51,"中","高")),IF(O793&lt;20,"中","高")))),"不计算")))</f>
        <v/>
      </c>
      <c r="Q793" s="172">
        <f>IFERROR(IF(J793="EI",IF(P793="低",3,IF(P793="中",4,6)),IF(J793="EO",IF(P793="低",4,IF(P793="中",5,7)),IF(J793="EQ",IF(P793="低",3,IF(P793="中",4,6)),IF(J793="ILF",IF(P793="低",7,IF(P793="中",10,15)),IF(J793="EIF",IF(P793="低",5,IF(P793="中",7,10)),"不计算")))))*R793,"不计算")</f>
        <v/>
      </c>
      <c r="R793" s="172" t="n">
        <v>1</v>
      </c>
      <c r="S793" s="173">
        <f>调整因子!$F$13</f>
        <v/>
      </c>
      <c r="T793" s="92" t="n">
        <v>1</v>
      </c>
      <c r="U793" s="174">
        <f>IFERROR(Q793*S793,0)</f>
        <v/>
      </c>
      <c r="V793" s="174">
        <f>U793*T793</f>
        <v/>
      </c>
      <c r="W793" s="103" t="inlineStr">
        <is>
          <t>台账上报状态监控表、台账上报历史表</t>
        </is>
      </c>
      <c r="X793" s="90" t="n"/>
      <c r="Y793" s="90" t="inlineStr">
        <is>
          <t>台账上报状态监控表{|待上报数、成功数、失败数}
台账上报历史表{上报时间|上报状态}</t>
        </is>
      </c>
      <c r="Z793" s="90" t="n"/>
      <c r="AA793" s="90" t="n"/>
    </row>
    <row r="794" s="112">
      <c r="A794" s="72">
        <f>ROW()-1</f>
        <v/>
      </c>
      <c r="B794" s="175" t="n"/>
      <c r="C794" s="80" t="n">
        <v>2025</v>
      </c>
      <c r="D794" s="80" t="inlineStr">
        <is>
          <t>张明峰</t>
        </is>
      </c>
      <c r="E794" s="81">
        <f>VLOOKUP(I794,'25年交付功能（不含废弃）'!A:A,1,FALSE)</f>
        <v/>
      </c>
      <c r="F794" s="175" t="n"/>
      <c r="I794" s="103" t="inlineStr">
        <is>
          <t>查询台账上报历史</t>
        </is>
      </c>
      <c r="J794" s="93" t="inlineStr">
        <is>
          <t>EQ</t>
        </is>
      </c>
      <c r="K794" s="84" t="n"/>
      <c r="L794" s="84" t="n"/>
      <c r="M794" s="85">
        <f>IF(OR(Y794="估算法",Y794="算法类",Y794="无法识别"),"",IF(W794="",IF(OR(J794="EI",J794="EO",J794="EQ"),0,""),LEN(W794)-LEN(SUBSTITUTE(W794,"、",""))+1))</f>
        <v/>
      </c>
      <c r="N794" s="85">
        <f>IF(OR(Y794="估算法",Y794="算法类",Y794="无法识别"),"",IF(X794="",IF(OR(J794="ILF",J794="EIF"),0,""),LEN(X794)-LEN(SUBSTITUTE(X794,"、",""))+1))</f>
        <v/>
      </c>
      <c r="O794" s="85">
        <f>IF(OR(Y794="估算法",Y794="算法类",Y794="无法识别"),"",IF(Y794="",IF(OR(J794="ILF",J794="EIF",J794="EI",J794="EO",J794="EQ"),0,""),LEN(Y794)-LEN(SUBSTITUTE(SUBSTITUTE(SUBSTITUTE(SUBSTITUTE(SUBSTITUTE(Y794,"|}","--"),"{|","--"),CHAR(10),""),"、",""),"|",""))+IF(AND(OR(J794="EI",J794="EO",J794="EQ"),$AE$1="NESMA"),2,1)))</f>
        <v/>
      </c>
      <c r="P794" s="86">
        <f>IF(J794="EI",IF(OR(Y794="估算法",Y794="算法类"),"中",IF(Y794="无法识别","低",IF(M794&lt;2,IF(O794&lt;16,"低","中"),IF(M794&lt;3,IF(O794&lt;5,"低",IF(O794&lt;16,"中","高")),IF(O794&lt;5,"中","高"))))),IF(OR(J794="EO",J794="EQ"),IF(OR(Y794="估算法",Y794="算法类"),"中",IF(Y794="无法识别","低",IF(M794&lt;2,IF(O794&lt;20,"低","中"),IF(M794&lt;4,IF(O794&lt;6,"低",IF(O794&lt;20,"中","高")),IF(O794&lt;6,"中","高"))))),IF(OR(J794="ILF",J794="EIF"),IF(OR(Y794="估算法",Y794="算法类",Y794="无法识别"),"低",IF(N794&lt;2,IF(O794&lt;51,"低","中"),IF(N794&lt;6,IF(O794&lt;20,"低",IF(O794&lt;51,"中","高")),IF(O794&lt;20,"中","高")))),"不计算")))</f>
        <v/>
      </c>
      <c r="Q794" s="172">
        <f>IFERROR(IF(J794="EI",IF(P794="低",3,IF(P794="中",4,6)),IF(J794="EO",IF(P794="低",4,IF(P794="中",5,7)),IF(J794="EQ",IF(P794="低",3,IF(P794="中",4,6)),IF(J794="ILF",IF(P794="低",7,IF(P794="中",10,15)),IF(J794="EIF",IF(P794="低",5,IF(P794="中",7,10)),"不计算")))))*R794,"不计算")</f>
        <v/>
      </c>
      <c r="R794" s="172" t="n">
        <v>1</v>
      </c>
      <c r="S794" s="173">
        <f>调整因子!$F$13</f>
        <v/>
      </c>
      <c r="T794" s="92" t="n">
        <v>1</v>
      </c>
      <c r="U794" s="174">
        <f>IFERROR(Q794*S794,0)</f>
        <v/>
      </c>
      <c r="V794" s="174">
        <f>U794*T794</f>
        <v/>
      </c>
      <c r="W794" s="90" t="inlineStr">
        <is>
          <t>台账上报历史表</t>
        </is>
      </c>
      <c r="X794" s="113" t="n"/>
      <c r="Y794" s="97" t="inlineStr">
        <is>
          <t>台账上报历史表{上报时间、上报状态|历史编号、批次编号}</t>
        </is>
      </c>
      <c r="Z794" s="90" t="n"/>
      <c r="AA794" s="90" t="n"/>
    </row>
    <row r="795" s="112">
      <c r="A795" s="72">
        <f>ROW()-1</f>
        <v/>
      </c>
      <c r="B795" s="175" t="n"/>
      <c r="C795" s="80" t="n">
        <v>2025</v>
      </c>
      <c r="D795" s="80" t="inlineStr">
        <is>
          <t>张明峰</t>
        </is>
      </c>
      <c r="E795" s="81">
        <f>VLOOKUP(I795,'25年交付功能（不含废弃）'!A:A,1,FALSE)</f>
        <v/>
      </c>
      <c r="F795" s="175" t="n"/>
      <c r="I795" s="103" t="inlineStr">
        <is>
          <t>导出台账上报历史</t>
        </is>
      </c>
      <c r="J795" s="93" t="inlineStr">
        <is>
          <t>EO</t>
        </is>
      </c>
      <c r="K795" s="84" t="n"/>
      <c r="L795" s="84" t="n"/>
      <c r="M795" s="85">
        <f>IF(OR(Y795="估算法",Y795="算法类",Y795="无法识别"),"",IF(W795="",IF(OR(J795="EI",J795="EO",J795="EQ"),0,""),LEN(W795)-LEN(SUBSTITUTE(W795,"、",""))+1))</f>
        <v/>
      </c>
      <c r="N795" s="85">
        <f>IF(OR(Y795="估算法",Y795="算法类",Y795="无法识别"),"",IF(X795="",IF(OR(J795="ILF",J795="EIF"),0,""),LEN(X795)-LEN(SUBSTITUTE(X795,"、",""))+1))</f>
        <v/>
      </c>
      <c r="O795" s="85">
        <f>IF(OR(Y795="估算法",Y795="算法类",Y795="无法识别"),"",IF(Y795="",IF(OR(J795="ILF",J795="EIF",J795="EI",J795="EO",J795="EQ"),0,""),LEN(Y795)-LEN(SUBSTITUTE(SUBSTITUTE(SUBSTITUTE(SUBSTITUTE(SUBSTITUTE(Y795,"|}","--"),"{|","--"),CHAR(10),""),"、",""),"|",""))+IF(AND(OR(J795="EI",J795="EO",J795="EQ"),$AE$1="NESMA"),2,1)))</f>
        <v/>
      </c>
      <c r="P795" s="86">
        <f>IF(J795="EI",IF(OR(Y795="估算法",Y795="算法类"),"中",IF(Y795="无法识别","低",IF(M795&lt;2,IF(O795&lt;16,"低","中"),IF(M795&lt;3,IF(O795&lt;5,"低",IF(O795&lt;16,"中","高")),IF(O795&lt;5,"中","高"))))),IF(OR(J795="EO",J795="EQ"),IF(OR(Y795="估算法",Y795="算法类"),"中",IF(Y795="无法识别","低",IF(M795&lt;2,IF(O795&lt;20,"低","中"),IF(M795&lt;4,IF(O795&lt;6,"低",IF(O795&lt;20,"中","高")),IF(O795&lt;6,"中","高"))))),IF(OR(J795="ILF",J795="EIF"),IF(OR(Y795="估算法",Y795="算法类",Y795="无法识别"),"低",IF(N795&lt;2,IF(O795&lt;51,"低","中"),IF(N795&lt;6,IF(O795&lt;20,"低",IF(O795&lt;51,"中","高")),IF(O795&lt;20,"中","高")))),"不计算")))</f>
        <v/>
      </c>
      <c r="Q795" s="172">
        <f>IFERROR(IF(J795="EI",IF(P795="低",3,IF(P795="中",4,6)),IF(J795="EO",IF(P795="低",4,IF(P795="中",5,7)),IF(J795="EQ",IF(P795="低",3,IF(P795="中",4,6)),IF(J795="ILF",IF(P795="低",7,IF(P795="中",10,15)),IF(J795="EIF",IF(P795="低",5,IF(P795="中",7,10)),"不计算")))))*R795,"不计算")</f>
        <v/>
      </c>
      <c r="R795" s="172" t="n">
        <v>1</v>
      </c>
      <c r="S795" s="173">
        <f>调整因子!$F$13</f>
        <v/>
      </c>
      <c r="T795" s="93" t="n">
        <v>1</v>
      </c>
      <c r="U795" s="174">
        <f>IFERROR(Q795*S795,0)</f>
        <v/>
      </c>
      <c r="V795" s="174">
        <f>U795*T795</f>
        <v/>
      </c>
      <c r="W795" s="90" t="inlineStr">
        <is>
          <t>台账上报历史表</t>
        </is>
      </c>
      <c r="X795" s="113" t="n"/>
      <c r="Y795" s="90" t="inlineStr">
        <is>
          <t>台账上报历史表{上报时间|导出文件路径}</t>
        </is>
      </c>
      <c r="Z795" s="90" t="n"/>
      <c r="AA795" s="90" t="n"/>
    </row>
    <row r="796" s="112">
      <c r="A796" s="72">
        <f>ROW()-1</f>
        <v/>
      </c>
      <c r="B796" s="175" t="n"/>
      <c r="C796" s="80" t="n">
        <v>2025</v>
      </c>
      <c r="D796" s="80" t="inlineStr">
        <is>
          <t>张明峰</t>
        </is>
      </c>
      <c r="E796" s="81">
        <f>VLOOKUP(I796,'25年交付功能（不含废弃）'!A:A,1,FALSE)</f>
        <v/>
      </c>
      <c r="F796" s="175" t="n"/>
      <c r="I796" s="103" t="inlineStr">
        <is>
          <t>台账上报失败告警通知</t>
        </is>
      </c>
      <c r="J796" s="93" t="inlineStr">
        <is>
          <t>EO</t>
        </is>
      </c>
      <c r="K796" s="84" t="n"/>
      <c r="L796" s="84" t="n"/>
      <c r="M796" s="85">
        <f>IF(OR(Y796="估算法",Y796="算法类",Y796="无法识别"),"",IF(W796="",IF(OR(J796="EI",J796="EO",J796="EQ"),0,""),LEN(W796)-LEN(SUBSTITUTE(W796,"、",""))+1))</f>
        <v/>
      </c>
      <c r="N796" s="85">
        <f>IF(OR(Y796="估算法",Y796="算法类",Y796="无法识别"),"",IF(X796="",IF(OR(J796="ILF",J796="EIF"),0,""),LEN(X796)-LEN(SUBSTITUTE(X796,"、",""))+1))</f>
        <v/>
      </c>
      <c r="O796" s="85">
        <f>IF(OR(Y796="估算法",Y796="算法类",Y796="无法识别"),"",IF(Y796="",IF(OR(J796="ILF",J796="EIF",J796="EI",J796="EO",J796="EQ"),0,""),LEN(Y796)-LEN(SUBSTITUTE(SUBSTITUTE(SUBSTITUTE(SUBSTITUTE(SUBSTITUTE(Y796,"|}","--"),"{|","--"),CHAR(10),""),"、",""),"|",""))+IF(AND(OR(J796="EI",J796="EO",J796="EQ"),$AE$1="NESMA"),2,1)))</f>
        <v/>
      </c>
      <c r="P796" s="86">
        <f>IF(J796="EI",IF(OR(Y796="估算法",Y796="算法类"),"中",IF(Y796="无法识别","低",IF(M796&lt;2,IF(O796&lt;16,"低","中"),IF(M796&lt;3,IF(O796&lt;5,"低",IF(O796&lt;16,"中","高")),IF(O796&lt;5,"中","高"))))),IF(OR(J796="EO",J796="EQ"),IF(OR(Y796="估算法",Y796="算法类"),"中",IF(Y796="无法识别","低",IF(M796&lt;2,IF(O796&lt;20,"低","中"),IF(M796&lt;4,IF(O796&lt;6,"低",IF(O796&lt;20,"中","高")),IF(O796&lt;6,"中","高"))))),IF(OR(J796="ILF",J796="EIF"),IF(OR(Y796="估算法",Y796="算法类",Y796="无法识别"),"低",IF(N796&lt;2,IF(O796&lt;51,"低","中"),IF(N796&lt;6,IF(O796&lt;20,"低",IF(O796&lt;51,"中","高")),IF(O796&lt;20,"中","高")))),"不计算")))</f>
        <v/>
      </c>
      <c r="Q796" s="172">
        <f>IFERROR(IF(J796="EI",IF(P796="低",3,IF(P796="中",4,6)),IF(J796="EO",IF(P796="低",4,IF(P796="中",5,7)),IF(J796="EQ",IF(P796="低",3,IF(P796="中",4,6)),IF(J796="ILF",IF(P796="低",7,IF(P796="中",10,15)),IF(J796="EIF",IF(P796="低",5,IF(P796="中",7,10)),"不计算")))))*R796,"不计算")</f>
        <v/>
      </c>
      <c r="R796" s="172" t="n">
        <v>1</v>
      </c>
      <c r="S796" s="173">
        <f>调整因子!$F$13</f>
        <v/>
      </c>
      <c r="T796" s="93" t="n">
        <v>1</v>
      </c>
      <c r="U796" s="174">
        <f>IFERROR(Q796*S796,0)</f>
        <v/>
      </c>
      <c r="V796" s="174">
        <f>U796*T796</f>
        <v/>
      </c>
      <c r="W796" s="90" t="inlineStr">
        <is>
          <t>台账上报状态监控表</t>
        </is>
      </c>
      <c r="X796" s="113" t="n"/>
      <c r="Y796" s="97" t="inlineStr">
        <is>
          <t>台账上报状态监控表{失败数|监控编号、最近上报时间}</t>
        </is>
      </c>
      <c r="Z796" s="90" t="n"/>
      <c r="AA796" s="90" t="n"/>
    </row>
    <row r="797" s="112">
      <c r="A797" s="72">
        <f>ROW()-1</f>
        <v/>
      </c>
      <c r="B797" s="175" t="n"/>
      <c r="C797" s="80" t="n">
        <v>2025</v>
      </c>
      <c r="D797" s="80" t="inlineStr">
        <is>
          <t>张明峰</t>
        </is>
      </c>
      <c r="E797" s="81">
        <f>VLOOKUP(I797,'25年交付功能（不含废弃）'!A:A,1,FALSE)</f>
        <v/>
      </c>
      <c r="F797" s="175" t="n"/>
      <c r="H797" s="177" t="inlineStr">
        <is>
          <t>台账采集写入</t>
        </is>
      </c>
      <c r="I797" s="103" t="inlineStr">
        <is>
          <t>标记台账上报批次成功状态</t>
        </is>
      </c>
      <c r="J797" s="93" t="inlineStr">
        <is>
          <t>EI</t>
        </is>
      </c>
      <c r="K797" s="84" t="n"/>
      <c r="L797" s="84" t="n"/>
      <c r="M797" s="85">
        <f>IF(OR(Y797="估算法",Y797="算法类",Y797="无法识别"),"",IF(W797="",IF(OR(J797="EI",J797="EO",J797="EQ"),0,""),LEN(W797)-LEN(SUBSTITUTE(W797,"、",""))+1))</f>
        <v/>
      </c>
      <c r="N797" s="85">
        <f>IF(OR(Y797="估算法",Y797="算法类",Y797="无法识别"),"",IF(X797="",IF(OR(J797="ILF",J797="EIF"),0,""),LEN(X797)-LEN(SUBSTITUTE(X797,"、",""))+1))</f>
        <v/>
      </c>
      <c r="O797" s="85">
        <f>IF(OR(Y797="估算法",Y797="算法类",Y797="无法识别"),"",IF(Y797="",IF(OR(J797="ILF",J797="EIF",J797="EI",J797="EO",J797="EQ"),0,""),LEN(Y797)-LEN(SUBSTITUTE(SUBSTITUTE(SUBSTITUTE(SUBSTITUTE(SUBSTITUTE(Y797,"|}","--"),"{|","--"),CHAR(10),""),"、",""),"|",""))+IF(AND(OR(J797="EI",J797="EO",J797="EQ"),$AE$1="NESMA"),2,1)))</f>
        <v/>
      </c>
      <c r="P797" s="86">
        <f>IF(J797="EI",IF(OR(Y797="估算法",Y797="算法类"),"中",IF(Y797="无法识别","低",IF(M797&lt;2,IF(O797&lt;16,"低","中"),IF(M797&lt;3,IF(O797&lt;5,"低",IF(O797&lt;16,"中","高")),IF(O797&lt;5,"中","高"))))),IF(OR(J797="EO",J797="EQ"),IF(OR(Y797="估算法",Y797="算法类"),"中",IF(Y797="无法识别","低",IF(M797&lt;2,IF(O797&lt;20,"低","中"),IF(M797&lt;4,IF(O797&lt;6,"低",IF(O797&lt;20,"中","高")),IF(O797&lt;6,"中","高"))))),IF(OR(J797="ILF",J797="EIF"),IF(OR(Y797="估算法",Y797="算法类",Y797="无法识别"),"低",IF(N797&lt;2,IF(O797&lt;51,"低","中"),IF(N797&lt;6,IF(O797&lt;20,"低",IF(O797&lt;51,"中","高")),IF(O797&lt;20,"中","高")))),"不计算")))</f>
        <v/>
      </c>
      <c r="Q797" s="172">
        <f>IFERROR(IF(J797="EI",IF(P797="低",3,IF(P797="中",4,6)),IF(J797="EO",IF(P797="低",4,IF(P797="中",5,7)),IF(J797="EQ",IF(P797="低",3,IF(P797="中",4,6)),IF(J797="ILF",IF(P797="低",7,IF(P797="中",10,15)),IF(J797="EIF",IF(P797="低",5,IF(P797="中",7,10)),"不计算")))))*R797,"不计算")</f>
        <v/>
      </c>
      <c r="R797" s="172" t="n">
        <v>1</v>
      </c>
      <c r="S797" s="173">
        <f>调整因子!$F$13</f>
        <v/>
      </c>
      <c r="T797" s="92" t="n">
        <v>1</v>
      </c>
      <c r="U797" s="174">
        <f>IFERROR(Q797*S797,0)</f>
        <v/>
      </c>
      <c r="V797" s="174">
        <f>U797*T797</f>
        <v/>
      </c>
      <c r="W797" s="103" t="inlineStr">
        <is>
          <t>台账上报批次表</t>
        </is>
      </c>
      <c r="X797" s="90" t="n"/>
      <c r="Y797" s="90" t="inlineStr">
        <is>
          <t>台账上报批次表{批次编号、上报状态|上报状态、上报时间}</t>
        </is>
      </c>
      <c r="Z797" s="90" t="n"/>
      <c r="AA797" s="90" t="n"/>
    </row>
    <row r="798" s="112">
      <c r="A798" s="72">
        <f>ROW()-1</f>
        <v/>
      </c>
      <c r="B798" s="175" t="n"/>
      <c r="C798" s="80" t="n">
        <v>2025</v>
      </c>
      <c r="D798" s="80" t="inlineStr">
        <is>
          <t>张明峰</t>
        </is>
      </c>
      <c r="E798" s="81">
        <f>VLOOKUP(I798,'25年交付功能（不含废弃）'!A:A,1,FALSE)</f>
        <v/>
      </c>
      <c r="F798" s="175" t="n"/>
      <c r="H798" s="177" t="n"/>
      <c r="I798" s="103" t="inlineStr">
        <is>
          <t>标记台账上报批次失败状态</t>
        </is>
      </c>
      <c r="J798" s="93" t="inlineStr">
        <is>
          <t>EI</t>
        </is>
      </c>
      <c r="K798" s="84" t="n"/>
      <c r="L798" s="84" t="n"/>
      <c r="M798" s="85">
        <f>IF(OR(Y798="估算法",Y798="算法类",Y798="无法识别"),"",IF(W798="",IF(OR(J798="EI",J798="EO",J798="EQ"),0,""),LEN(W798)-LEN(SUBSTITUTE(W798,"、",""))+1))</f>
        <v/>
      </c>
      <c r="N798" s="85">
        <f>IF(OR(Y798="估算法",Y798="算法类",Y798="无法识别"),"",IF(X798="",IF(OR(J798="ILF",J798="EIF"),0,""),LEN(X798)-LEN(SUBSTITUTE(X798,"、",""))+1))</f>
        <v/>
      </c>
      <c r="O798" s="85">
        <f>IF(OR(Y798="估算法",Y798="算法类",Y798="无法识别"),"",IF(Y798="",IF(OR(J798="ILF",J798="EIF",J798="EI",J798="EO",J798="EQ"),0,""),LEN(Y798)-LEN(SUBSTITUTE(SUBSTITUTE(SUBSTITUTE(SUBSTITUTE(SUBSTITUTE(Y798,"|}","--"),"{|","--"),CHAR(10),""),"、",""),"|",""))+IF(AND(OR(J798="EI",J798="EO",J798="EQ"),$AE$1="NESMA"),2,1)))</f>
        <v/>
      </c>
      <c r="P798" s="86">
        <f>IF(J798="EI",IF(OR(Y798="估算法",Y798="算法类"),"中",IF(Y798="无法识别","低",IF(M798&lt;2,IF(O798&lt;16,"低","中"),IF(M798&lt;3,IF(O798&lt;5,"低",IF(O798&lt;16,"中","高")),IF(O798&lt;5,"中","高"))))),IF(OR(J798="EO",J798="EQ"),IF(OR(Y798="估算法",Y798="算法类"),"中",IF(Y798="无法识别","低",IF(M798&lt;2,IF(O798&lt;20,"低","中"),IF(M798&lt;4,IF(O798&lt;6,"低",IF(O798&lt;20,"中","高")),IF(O798&lt;6,"中","高"))))),IF(OR(J798="ILF",J798="EIF"),IF(OR(Y798="估算法",Y798="算法类",Y798="无法识别"),"低",IF(N798&lt;2,IF(O798&lt;51,"低","中"),IF(N798&lt;6,IF(O798&lt;20,"低",IF(O798&lt;51,"中","高")),IF(O798&lt;20,"中","高")))),"不计算")))</f>
        <v/>
      </c>
      <c r="Q798" s="172">
        <f>IFERROR(IF(J798="EI",IF(P798="低",3,IF(P798="中",4,6)),IF(J798="EO",IF(P798="低",4,IF(P798="中",5,7)),IF(J798="EQ",IF(P798="低",3,IF(P798="中",4,6)),IF(J798="ILF",IF(P798="低",7,IF(P798="中",10,15)),IF(J798="EIF",IF(P798="低",5,IF(P798="中",7,10)),"不计算")))))*R798,"不计算")</f>
        <v/>
      </c>
      <c r="R798" s="172" t="n">
        <v>1</v>
      </c>
      <c r="S798" s="173">
        <f>调整因子!$F$13</f>
        <v/>
      </c>
      <c r="T798" s="92" t="n">
        <v>1</v>
      </c>
      <c r="U798" s="174">
        <f>IFERROR(Q798*S798,0)</f>
        <v/>
      </c>
      <c r="V798" s="174">
        <f>U798*T798</f>
        <v/>
      </c>
      <c r="W798" s="103" t="inlineStr">
        <is>
          <t>台账上报批次表</t>
        </is>
      </c>
      <c r="X798" s="90" t="n"/>
      <c r="Y798" s="90" t="inlineStr">
        <is>
          <t>台账上报批次表{批次编号、失败原因|上报状态、失败原因}</t>
        </is>
      </c>
      <c r="Z798" s="90" t="n"/>
      <c r="AA798" s="90" t="n"/>
    </row>
    <row r="799" s="112">
      <c r="A799" s="72">
        <f>ROW()-1</f>
        <v/>
      </c>
      <c r="B799" s="175" t="n"/>
      <c r="C799" s="80" t="n">
        <v>2025</v>
      </c>
      <c r="D799" s="80" t="inlineStr">
        <is>
          <t>张明峰</t>
        </is>
      </c>
      <c r="E799" s="81">
        <f>VLOOKUP(I799,'25年交付功能（不含废弃）'!A:A,1,FALSE)</f>
        <v/>
      </c>
      <c r="F799" s="175" t="n"/>
      <c r="H799" t="inlineStr">
        <is>
          <t>定期上报</t>
        </is>
      </c>
      <c r="I799" s="103" t="inlineStr">
        <is>
          <t>台账上报周期配置表</t>
        </is>
      </c>
      <c r="J799" s="93" t="inlineStr">
        <is>
          <t>ILF</t>
        </is>
      </c>
      <c r="K799" s="84" t="n"/>
      <c r="L799" s="84" t="n"/>
      <c r="M799" s="85">
        <f>IF(OR(Y799="估算法",Y799="算法类",Y799="无法识别"),"",IF(W799="",IF(OR(J799="EI",J799="EO",J799="EQ"),0,""),LEN(W799)-LEN(SUBSTITUTE(W799,"、",""))+1))</f>
        <v/>
      </c>
      <c r="N799" s="85">
        <f>IF(OR(Y799="估算法",Y799="算法类",Y799="无法识别"),"",IF(X799="",IF(OR(J799="ILF",J799="EIF"),0,""),LEN(X799)-LEN(SUBSTITUTE(X799,"、",""))+1))</f>
        <v/>
      </c>
      <c r="O799" s="85">
        <f>IF(OR(Y799="估算法",Y799="算法类",Y799="无法识别"),"",IF(Y799="",IF(OR(J799="ILF",J799="EIF",J799="EI",J799="EO",J799="EQ"),0,""),LEN(Y799)-LEN(SUBSTITUTE(SUBSTITUTE(SUBSTITUTE(SUBSTITUTE(SUBSTITUTE(Y799,"|}","--"),"{|","--"),CHAR(10),""),"、",""),"|",""))+IF(AND(OR(J799="EI",J799="EO",J799="EQ"),$AE$1="NESMA"),2,1)))</f>
        <v/>
      </c>
      <c r="P799" s="86">
        <f>IF(J799="EI",IF(OR(Y799="估算法",Y799="算法类"),"中",IF(Y799="无法识别","低",IF(M799&lt;2,IF(O799&lt;16,"低","中"),IF(M799&lt;3,IF(O799&lt;5,"低",IF(O799&lt;16,"中","高")),IF(O799&lt;5,"中","高"))))),IF(OR(J799="EO",J799="EQ"),IF(OR(Y799="估算法",Y799="算法类"),"中",IF(Y799="无法识别","低",IF(M799&lt;2,IF(O799&lt;20,"低","中"),IF(M799&lt;4,IF(O799&lt;6,"低",IF(O799&lt;20,"中","高")),IF(O799&lt;6,"中","高"))))),IF(OR(J799="ILF",J799="EIF"),IF(OR(Y799="估算法",Y799="算法类",Y799="无法识别"),"低",IF(N799&lt;2,IF(O799&lt;51,"低","中"),IF(N799&lt;6,IF(O799&lt;20,"低",IF(O799&lt;51,"中","高")),IF(O799&lt;20,"中","高")))),"不计算")))</f>
        <v/>
      </c>
      <c r="Q799" s="172">
        <f>IFERROR(IF(J799="EI",IF(P799="低",3,IF(P799="中",4,6)),IF(J799="EO",IF(P799="低",4,IF(P799="中",5,7)),IF(J799="EQ",IF(P799="低",3,IF(P799="中",4,6)),IF(J799="ILF",IF(P799="低",7,IF(P799="中",10,15)),IF(J799="EIF",IF(P799="低",5,IF(P799="中",7,10)),"不计算")))))*R799,"不计算")</f>
        <v/>
      </c>
      <c r="R799" s="172" t="n">
        <v>1</v>
      </c>
      <c r="S799" s="173">
        <f>调整因子!$F$13</f>
        <v/>
      </c>
      <c r="T799" s="93" t="n">
        <v>1</v>
      </c>
      <c r="U799" s="174">
        <f>IFERROR(Q799*S799,0)</f>
        <v/>
      </c>
      <c r="V799" s="174">
        <f>U799*T799</f>
        <v/>
      </c>
      <c r="W799" s="90" t="n"/>
      <c r="X799" s="113" t="inlineStr">
        <is>
          <t>台账上报周期配置表</t>
        </is>
      </c>
      <c r="Y799" s="90" t="inlineStr">
        <is>
          <t>台账上报周期配置表{配置编号、定时表达式、上报范围、启用状态、更新时间}</t>
        </is>
      </c>
      <c r="Z799" s="90" t="n"/>
      <c r="AA799" s="90" t="n"/>
    </row>
    <row r="800" s="112">
      <c r="A800" s="72">
        <f>ROW()-1</f>
        <v/>
      </c>
      <c r="B800" s="175" t="n"/>
      <c r="C800" s="80" t="n">
        <v>2025</v>
      </c>
      <c r="D800" s="80" t="inlineStr">
        <is>
          <t>张明峰</t>
        </is>
      </c>
      <c r="E800" s="81">
        <f>VLOOKUP(I800,'25年交付功能（不含废弃）'!A:A,1,FALSE)</f>
        <v/>
      </c>
      <c r="F800" s="175" t="n"/>
      <c r="I800" s="103" t="inlineStr">
        <is>
          <t>台账上报批次表</t>
        </is>
      </c>
      <c r="J800" s="93" t="inlineStr">
        <is>
          <t>ILF</t>
        </is>
      </c>
      <c r="K800" s="84" t="n"/>
      <c r="L800" s="84" t="n"/>
      <c r="M800" s="85">
        <f>IF(OR(Y800="估算法",Y800="算法类",Y800="无法识别"),"",IF(W800="",IF(OR(J800="EI",J800="EO",J800="EQ"),0,""),LEN(W800)-LEN(SUBSTITUTE(W800,"、",""))+1))</f>
        <v/>
      </c>
      <c r="N800" s="85">
        <f>IF(OR(Y800="估算法",Y800="算法类",Y800="无法识别"),"",IF(X800="",IF(OR(J800="ILF",J800="EIF"),0,""),LEN(X800)-LEN(SUBSTITUTE(X800,"、",""))+1))</f>
        <v/>
      </c>
      <c r="O800" s="85">
        <f>IF(OR(Y800="估算法",Y800="算法类",Y800="无法识别"),"",IF(Y800="",IF(OR(J800="ILF",J800="EIF",J800="EI",J800="EO",J800="EQ"),0,""),LEN(Y800)-LEN(SUBSTITUTE(SUBSTITUTE(SUBSTITUTE(SUBSTITUTE(SUBSTITUTE(Y800,"|}","--"),"{|","--"),CHAR(10),""),"、",""),"|",""))+IF(AND(OR(J800="EI",J800="EO",J800="EQ"),$AE$1="NESMA"),2,1)))</f>
        <v/>
      </c>
      <c r="P800" s="86">
        <f>IF(J800="EI",IF(OR(Y800="估算法",Y800="算法类"),"中",IF(Y800="无法识别","低",IF(M800&lt;2,IF(O800&lt;16,"低","中"),IF(M800&lt;3,IF(O800&lt;5,"低",IF(O800&lt;16,"中","高")),IF(O800&lt;5,"中","高"))))),IF(OR(J800="EO",J800="EQ"),IF(OR(Y800="估算法",Y800="算法类"),"中",IF(Y800="无法识别","低",IF(M800&lt;2,IF(O800&lt;20,"低","中"),IF(M800&lt;4,IF(O800&lt;6,"低",IF(O800&lt;20,"中","高")),IF(O800&lt;6,"中","高"))))),IF(OR(J800="ILF",J800="EIF"),IF(OR(Y800="估算法",Y800="算法类",Y800="无法识别"),"低",IF(N800&lt;2,IF(O800&lt;51,"低","中"),IF(N800&lt;6,IF(O800&lt;20,"低",IF(O800&lt;51,"中","高")),IF(O800&lt;20,"中","高")))),"不计算")))</f>
        <v/>
      </c>
      <c r="Q800" s="172">
        <f>IFERROR(IF(J800="EI",IF(P800="低",3,IF(P800="中",4,6)),IF(J800="EO",IF(P800="低",4,IF(P800="中",5,7)),IF(J800="EQ",IF(P800="低",3,IF(P800="中",4,6)),IF(J800="ILF",IF(P800="低",7,IF(P800="中",10,15)),IF(J800="EIF",IF(P800="低",5,IF(P800="中",7,10)),"不计算")))))*R800,"不计算")</f>
        <v/>
      </c>
      <c r="R800" s="172" t="n">
        <v>1</v>
      </c>
      <c r="S800" s="173">
        <f>调整因子!$F$13</f>
        <v/>
      </c>
      <c r="T800" s="92" t="n">
        <v>1</v>
      </c>
      <c r="U800" s="174">
        <f>IFERROR(Q800*S800,0)</f>
        <v/>
      </c>
      <c r="V800" s="174">
        <f>U800*T800</f>
        <v/>
      </c>
      <c r="W800" s="90" t="n"/>
      <c r="X800" s="113" t="inlineStr">
        <is>
          <t>台账上报批次表</t>
        </is>
      </c>
      <c r="Y800" s="90" t="inlineStr">
        <is>
          <t>台账上报批次表{批次编号、请求序号、记录条数、上报状态、上报时间、失败原因}</t>
        </is>
      </c>
      <c r="Z800" s="90" t="n"/>
      <c r="AA800" s="90" t="n"/>
    </row>
    <row r="801" s="112">
      <c r="A801" s="72">
        <f>ROW()-1</f>
        <v/>
      </c>
      <c r="B801" s="175" t="n"/>
      <c r="C801" s="80" t="n">
        <v>2025</v>
      </c>
      <c r="D801" s="80" t="inlineStr">
        <is>
          <t>张明峰</t>
        </is>
      </c>
      <c r="E801" s="81">
        <f>VLOOKUP(I801,'25年交付功能（不含废弃）'!A:A,1,FALSE)</f>
        <v/>
      </c>
      <c r="F801" s="175" t="n"/>
      <c r="H801" t="inlineStr">
        <is>
          <t>上报监控</t>
        </is>
      </c>
      <c r="I801" s="103" t="inlineStr">
        <is>
          <t>台账上报历史表</t>
        </is>
      </c>
      <c r="J801" s="93" t="inlineStr">
        <is>
          <t>ILF</t>
        </is>
      </c>
      <c r="K801" s="84" t="n"/>
      <c r="L801" s="84" t="n"/>
      <c r="M801" s="85">
        <f>IF(OR(Y801="估算法",Y801="算法类",Y801="无法识别"),"",IF(W801="",IF(OR(J801="EI",J801="EO",J801="EQ"),0,""),LEN(W801)-LEN(SUBSTITUTE(W801,"、",""))+1))</f>
        <v/>
      </c>
      <c r="N801" s="85">
        <f>IF(OR(Y801="估算法",Y801="算法类",Y801="无法识别"),"",IF(X801="",IF(OR(J801="ILF",J801="EIF"),0,""),LEN(X801)-LEN(SUBSTITUTE(X801,"、",""))+1))</f>
        <v/>
      </c>
      <c r="O801" s="85">
        <f>IF(OR(Y801="估算法",Y801="算法类",Y801="无法识别"),"",IF(Y801="",IF(OR(J801="ILF",J801="EIF",J801="EI",J801="EO",J801="EQ"),0,""),LEN(Y801)-LEN(SUBSTITUTE(SUBSTITUTE(SUBSTITUTE(SUBSTITUTE(SUBSTITUTE(Y801,"|}","--"),"{|","--"),CHAR(10),""),"、",""),"|",""))+IF(AND(OR(J801="EI",J801="EO",J801="EQ"),$AE$1="NESMA"),2,1)))</f>
        <v/>
      </c>
      <c r="P801" s="86">
        <f>IF(J801="EI",IF(OR(Y801="估算法",Y801="算法类"),"中",IF(Y801="无法识别","低",IF(M801&lt;2,IF(O801&lt;16,"低","中"),IF(M801&lt;3,IF(O801&lt;5,"低",IF(O801&lt;16,"中","高")),IF(O801&lt;5,"中","高"))))),IF(OR(J801="EO",J801="EQ"),IF(OR(Y801="估算法",Y801="算法类"),"中",IF(Y801="无法识别","低",IF(M801&lt;2,IF(O801&lt;20,"低","中"),IF(M801&lt;4,IF(O801&lt;6,"低",IF(O801&lt;20,"中","高")),IF(O801&lt;6,"中","高"))))),IF(OR(J801="ILF",J801="EIF"),IF(OR(Y801="估算法",Y801="算法类",Y801="无法识别"),"低",IF(N801&lt;2,IF(O801&lt;51,"低","中"),IF(N801&lt;6,IF(O801&lt;20,"低",IF(O801&lt;51,"中","高")),IF(O801&lt;20,"中","高")))),"不计算")))</f>
        <v/>
      </c>
      <c r="Q801" s="172">
        <f>IFERROR(IF(J801="EI",IF(P801="低",3,IF(P801="中",4,6)),IF(J801="EO",IF(P801="低",4,IF(P801="中",5,7)),IF(J801="EQ",IF(P801="低",3,IF(P801="中",4,6)),IF(J801="ILF",IF(P801="低",7,IF(P801="中",10,15)),IF(J801="EIF",IF(P801="低",5,IF(P801="中",7,10)),"不计算")))))*R801,"不计算")</f>
        <v/>
      </c>
      <c r="R801" s="172" t="n">
        <v>1</v>
      </c>
      <c r="S801" s="173">
        <f>调整因子!$F$13</f>
        <v/>
      </c>
      <c r="T801" s="92" t="n">
        <v>1</v>
      </c>
      <c r="U801" s="174">
        <f>IFERROR(Q801*S801,0)</f>
        <v/>
      </c>
      <c r="V801" s="174">
        <f>U801*T801</f>
        <v/>
      </c>
      <c r="W801" s="90" t="n"/>
      <c r="X801" s="113" t="inlineStr">
        <is>
          <t>台账上报历史表</t>
        </is>
      </c>
      <c r="Y801" s="90" t="inlineStr">
        <is>
          <t>台账上报历史表{历史编号、批次编号、上报方式、上报状态、上报时间、响应码}</t>
        </is>
      </c>
      <c r="Z801" s="90" t="n"/>
      <c r="AA801" s="90" t="n"/>
    </row>
    <row r="802" s="112">
      <c r="A802" s="72">
        <f>ROW()-1</f>
        <v/>
      </c>
      <c r="B802" s="175" t="n"/>
      <c r="C802" s="80" t="n">
        <v>2025</v>
      </c>
      <c r="D802" s="80" t="inlineStr">
        <is>
          <t>张明峰</t>
        </is>
      </c>
      <c r="E802" s="81">
        <f>VLOOKUP(I802,'25年交付功能（不含废弃）'!A:A,1,FALSE)</f>
        <v/>
      </c>
      <c r="F802" s="175" t="n"/>
      <c r="I802" s="103" t="inlineStr">
        <is>
          <t>台账上报状态监控表</t>
        </is>
      </c>
      <c r="J802" s="93" t="inlineStr">
        <is>
          <t>ILF</t>
        </is>
      </c>
      <c r="K802" s="84" t="n"/>
      <c r="L802" s="84" t="n"/>
      <c r="M802" s="85">
        <f>IF(OR(Y802="估算法",Y802="算法类",Y802="无法识别"),"",IF(W802="",IF(OR(J802="EI",J802="EO",J802="EQ"),0,""),LEN(W802)-LEN(SUBSTITUTE(W802,"、",""))+1))</f>
        <v/>
      </c>
      <c r="N802" s="85">
        <f>IF(OR(Y802="估算法",Y802="算法类",Y802="无法识别"),"",IF(X802="",IF(OR(J802="ILF",J802="EIF"),0,""),LEN(X802)-LEN(SUBSTITUTE(X802,"、",""))+1))</f>
        <v/>
      </c>
      <c r="O802" s="85">
        <f>IF(OR(Y802="估算法",Y802="算法类",Y802="无法识别"),"",IF(Y802="",IF(OR(J802="ILF",J802="EIF",J802="EI",J802="EO",J802="EQ"),0,""),LEN(Y802)-LEN(SUBSTITUTE(SUBSTITUTE(SUBSTITUTE(SUBSTITUTE(SUBSTITUTE(Y802,"|}","--"),"{|","--"),CHAR(10),""),"、",""),"|",""))+IF(AND(OR(J802="EI",J802="EO",J802="EQ"),$AE$1="NESMA"),2,1)))</f>
        <v/>
      </c>
      <c r="P802" s="86">
        <f>IF(J802="EI",IF(OR(Y802="估算法",Y802="算法类"),"中",IF(Y802="无法识别","低",IF(M802&lt;2,IF(O802&lt;16,"低","中"),IF(M802&lt;3,IF(O802&lt;5,"低",IF(O802&lt;16,"中","高")),IF(O802&lt;5,"中","高"))))),IF(OR(J802="EO",J802="EQ"),IF(OR(Y802="估算法",Y802="算法类"),"中",IF(Y802="无法识别","低",IF(M802&lt;2,IF(O802&lt;20,"低","中"),IF(M802&lt;4,IF(O802&lt;6,"低",IF(O802&lt;20,"中","高")),IF(O802&lt;6,"中","高"))))),IF(OR(J802="ILF",J802="EIF"),IF(OR(Y802="估算法",Y802="算法类",Y802="无法识别"),"低",IF(N802&lt;2,IF(O802&lt;51,"低","中"),IF(N802&lt;6,IF(O802&lt;20,"低",IF(O802&lt;51,"中","高")),IF(O802&lt;20,"中","高")))),"不计算")))</f>
        <v/>
      </c>
      <c r="Q802" s="172">
        <f>IFERROR(IF(J802="EI",IF(P802="低",3,IF(P802="中",4,6)),IF(J802="EO",IF(P802="低",4,IF(P802="中",5,7)),IF(J802="EQ",IF(P802="低",3,IF(P802="中",4,6)),IF(J802="ILF",IF(P802="低",7,IF(P802="中",10,15)),IF(J802="EIF",IF(P802="低",5,IF(P802="中",7,10)),"不计算")))))*R802,"不计算")</f>
        <v/>
      </c>
      <c r="R802" s="172" t="n">
        <v>1</v>
      </c>
      <c r="S802" s="173">
        <f>调整因子!$F$13</f>
        <v/>
      </c>
      <c r="T802" s="93" t="n">
        <v>1</v>
      </c>
      <c r="U802" s="174">
        <f>IFERROR(Q802*S802,0)</f>
        <v/>
      </c>
      <c r="V802" s="174">
        <f>U802*T802</f>
        <v/>
      </c>
      <c r="W802" s="90" t="n"/>
      <c r="X802" s="113" t="inlineStr">
        <is>
          <t>台账上报状态监控表</t>
        </is>
      </c>
      <c r="Y802" s="90" t="inlineStr">
        <is>
          <t>台账上报状态监控表{监控编号、待上报数、成功数、失败数、最近上报时间}</t>
        </is>
      </c>
      <c r="Z802" s="90" t="n"/>
      <c r="AA802" s="90" t="n"/>
    </row>
    <row r="803" s="112">
      <c r="A803" s="72">
        <f>ROW()-1</f>
        <v/>
      </c>
      <c r="B803" s="175" t="n"/>
      <c r="C803" s="80" t="n"/>
      <c r="D803" s="80" t="n"/>
      <c r="E803" s="81">
        <f>VLOOKUP(I803,'25年交付功能（不含废弃）'!A:A,1,FALSE)</f>
        <v/>
      </c>
      <c r="F803" s="175" t="n"/>
      <c r="I803" s="103" t="n"/>
      <c r="J803" s="93" t="n"/>
      <c r="K803" s="84" t="n"/>
      <c r="L803" s="84" t="n"/>
      <c r="M803" s="85">
        <f>IF(OR(Y803="估算法",Y803="算法类",Y803="无法识别"),"",IF(W803="",IF(OR(J803="EI",J803="EO",J803="EQ"),0,""),LEN(W803)-LEN(SUBSTITUTE(W803,"、",""))+1))</f>
        <v/>
      </c>
      <c r="N803" s="85">
        <f>IF(OR(Y803="估算法",Y803="算法类",Y803="无法识别"),"",IF(X803="",IF(OR(J803="ILF",J803="EIF"),0,""),LEN(X803)-LEN(SUBSTITUTE(X803,"、",""))+1))</f>
        <v/>
      </c>
      <c r="O803" s="85">
        <f>IF(OR(Y803="估算法",Y803="算法类",Y803="无法识别"),"",IF(Y803="",IF(OR(J803="ILF",J803="EIF",J803="EI",J803="EO",J803="EQ"),0,""),LEN(Y803)-LEN(SUBSTITUTE(SUBSTITUTE(SUBSTITUTE(SUBSTITUTE(SUBSTITUTE(Y803,"|}","--"),"{|","--"),CHAR(10),""),"、",""),"|",""))+IF(AND(OR(J803="EI",J803="EO",J803="EQ"),$AE$1="NESMA"),2,1)))</f>
        <v/>
      </c>
      <c r="P803" s="86">
        <f>IF(J803="EI",IF(OR(Y803="估算法",Y803="算法类"),"中",IF(Y803="无法识别","低",IF(M803&lt;2,IF(O803&lt;16,"低","中"),IF(M803&lt;3,IF(O803&lt;5,"低",IF(O803&lt;16,"中","高")),IF(O803&lt;5,"中","高"))))),IF(OR(J803="EO",J803="EQ"),IF(OR(Y803="估算法",Y803="算法类"),"中",IF(Y803="无法识别","低",IF(M803&lt;2,IF(O803&lt;20,"低","中"),IF(M803&lt;4,IF(O803&lt;6,"低",IF(O803&lt;20,"中","高")),IF(O803&lt;6,"中","高"))))),IF(OR(J803="ILF",J803="EIF"),IF(OR(Y803="估算法",Y803="算法类",Y803="无法识别"),"低",IF(N803&lt;2,IF(O803&lt;51,"低","中"),IF(N803&lt;6,IF(O803&lt;20,"低",IF(O803&lt;51,"中","高")),IF(O803&lt;20,"中","高")))),"不计算")))</f>
        <v/>
      </c>
      <c r="Q803" s="172">
        <f>IFERROR(IF(J803="EI",IF(P803="低",3,IF(P803="中",4,6)),IF(J803="EO",IF(P803="低",4,IF(P803="中",5,7)),IF(J803="EQ",IF(P803="低",3,IF(P803="中",4,6)),IF(J803="ILF",IF(P803="低",7,IF(P803="中",10,15)),IF(J803="EIF",IF(P803="低",5,IF(P803="中",7,10)),"不计算")))))*R803,"不计算")</f>
        <v/>
      </c>
      <c r="R803" s="172" t="n"/>
      <c r="S803" s="173">
        <f>调整因子!$F$13</f>
        <v/>
      </c>
      <c r="T803" s="93" t="n"/>
      <c r="U803" s="174">
        <f>IFERROR(Q803*S803,0)</f>
        <v/>
      </c>
      <c r="V803" s="174">
        <f>U803*T803</f>
        <v/>
      </c>
      <c r="W803" s="90" t="n"/>
      <c r="X803" s="113" t="n"/>
      <c r="Y803" s="90" t="n"/>
      <c r="Z803" s="90" t="n"/>
      <c r="AA803" s="90" t="n"/>
    </row>
    <row r="804" s="112">
      <c r="A804" s="72">
        <f>ROW()-1</f>
        <v/>
      </c>
      <c r="B804" s="175" t="n"/>
      <c r="C804" s="80" t="n"/>
      <c r="D804" s="80" t="n"/>
      <c r="E804" s="81">
        <f>VLOOKUP(I804,'25年交付功能（不含废弃）'!A:A,1,FALSE)</f>
        <v/>
      </c>
      <c r="F804" s="175" t="n"/>
      <c r="I804" s="103" t="n"/>
      <c r="J804" s="93" t="n"/>
      <c r="K804" s="84" t="n"/>
      <c r="L804" s="84" t="n"/>
      <c r="M804" s="85">
        <f>IF(OR(Y804="估算法",Y804="算法类",Y804="无法识别"),"",IF(W804="",IF(OR(J804="EI",J804="EO",J804="EQ"),0,""),LEN(W804)-LEN(SUBSTITUTE(W804,"、",""))+1))</f>
        <v/>
      </c>
      <c r="N804" s="85">
        <f>IF(OR(Y804="估算法",Y804="算法类",Y804="无法识别"),"",IF(X804="",IF(OR(J804="ILF",J804="EIF"),0,""),LEN(X804)-LEN(SUBSTITUTE(X804,"、",""))+1))</f>
        <v/>
      </c>
      <c r="O804" s="85">
        <f>IF(OR(Y804="估算法",Y804="算法类",Y804="无法识别"),"",IF(Y804="",IF(OR(J804="ILF",J804="EIF",J804="EI",J804="EO",J804="EQ"),0,""),LEN(Y804)-LEN(SUBSTITUTE(SUBSTITUTE(SUBSTITUTE(SUBSTITUTE(SUBSTITUTE(Y804,"|}","--"),"{|","--"),CHAR(10),""),"、",""),"|",""))+IF(AND(OR(J804="EI",J804="EO",J804="EQ"),$AE$1="NESMA"),2,1)))</f>
        <v/>
      </c>
      <c r="P804" s="86">
        <f>IF(J804="EI",IF(OR(Y804="估算法",Y804="算法类"),"中",IF(Y804="无法识别","低",IF(M804&lt;2,IF(O804&lt;16,"低","中"),IF(M804&lt;3,IF(O804&lt;5,"低",IF(O804&lt;16,"中","高")),IF(O804&lt;5,"中","高"))))),IF(OR(J804="EO",J804="EQ"),IF(OR(Y804="估算法",Y804="算法类"),"中",IF(Y804="无法识别","低",IF(M804&lt;2,IF(O804&lt;20,"低","中"),IF(M804&lt;4,IF(O804&lt;6,"低",IF(O804&lt;20,"中","高")),IF(O804&lt;6,"中","高"))))),IF(OR(J804="ILF",J804="EIF"),IF(OR(Y804="估算法",Y804="算法类",Y804="无法识别"),"低",IF(N804&lt;2,IF(O804&lt;51,"低","中"),IF(N804&lt;6,IF(O804&lt;20,"低",IF(O804&lt;51,"中","高")),IF(O804&lt;20,"中","高")))),"不计算")))</f>
        <v/>
      </c>
      <c r="Q804" s="172">
        <f>IFERROR(IF(J804="EI",IF(P804="低",3,IF(P804="中",4,6)),IF(J804="EO",IF(P804="低",4,IF(P804="中",5,7)),IF(J804="EQ",IF(P804="低",3,IF(P804="中",4,6)),IF(J804="ILF",IF(P804="低",7,IF(P804="中",10,15)),IF(J804="EIF",IF(P804="低",5,IF(P804="中",7,10)),"不计算")))))*R804,"不计算")</f>
        <v/>
      </c>
      <c r="R804" s="172" t="n"/>
      <c r="S804" s="173">
        <f>调整因子!$F$13</f>
        <v/>
      </c>
      <c r="T804" s="92" t="n"/>
      <c r="U804" s="174">
        <f>IFERROR(Q804*S804,0)</f>
        <v/>
      </c>
      <c r="V804" s="174">
        <f>U804*T804</f>
        <v/>
      </c>
      <c r="W804" s="90" t="n"/>
      <c r="X804" s="113" t="n"/>
      <c r="Y804" s="90" t="n"/>
      <c r="Z804" s="90" t="n"/>
      <c r="AA804" s="90" t="n"/>
    </row>
    <row r="805" s="112">
      <c r="A805" s="72">
        <f>ROW()-1</f>
        <v/>
      </c>
      <c r="B805" s="175" t="n"/>
      <c r="C805" s="80" t="n"/>
      <c r="D805" s="80" t="n"/>
      <c r="E805" s="81">
        <f>VLOOKUP(I805,'25年交付功能（不含废弃）'!A:A,1,FALSE)</f>
        <v/>
      </c>
      <c r="F805" s="175" t="n"/>
      <c r="I805" s="103" t="n"/>
      <c r="J805" s="93" t="n"/>
      <c r="K805" s="84" t="n"/>
      <c r="L805" s="84" t="n"/>
      <c r="M805" s="85">
        <f>IF(OR(Y805="估算法",Y805="算法类",Y805="无法识别"),"",IF(W805="",IF(OR(J805="EI",J805="EO",J805="EQ"),0,""),LEN(W805)-LEN(SUBSTITUTE(W805,"、",""))+1))</f>
        <v/>
      </c>
      <c r="N805" s="85">
        <f>IF(OR(Y805="估算法",Y805="算法类",Y805="无法识别"),"",IF(X805="",IF(OR(J805="ILF",J805="EIF"),0,""),LEN(X805)-LEN(SUBSTITUTE(X805,"、",""))+1))</f>
        <v/>
      </c>
      <c r="O805" s="85">
        <f>IF(OR(Y805="估算法",Y805="算法类",Y805="无法识别"),"",IF(Y805="",IF(OR(J805="ILF",J805="EIF",J805="EI",J805="EO",J805="EQ"),0,""),LEN(Y805)-LEN(SUBSTITUTE(SUBSTITUTE(SUBSTITUTE(SUBSTITUTE(SUBSTITUTE(Y805,"|}","--"),"{|","--"),CHAR(10),""),"、",""),"|",""))+IF(AND(OR(J805="EI",J805="EO",J805="EQ"),$AE$1="NESMA"),2,1)))</f>
        <v/>
      </c>
      <c r="P805" s="86">
        <f>IF(J805="EI",IF(OR(Y805="估算法",Y805="算法类"),"中",IF(Y805="无法识别","低",IF(M805&lt;2,IF(O805&lt;16,"低","中"),IF(M805&lt;3,IF(O805&lt;5,"低",IF(O805&lt;16,"中","高")),IF(O805&lt;5,"中","高"))))),IF(OR(J805="EO",J805="EQ"),IF(OR(Y805="估算法",Y805="算法类"),"中",IF(Y805="无法识别","低",IF(M805&lt;2,IF(O805&lt;20,"低","中"),IF(M805&lt;4,IF(O805&lt;6,"低",IF(O805&lt;20,"中","高")),IF(O805&lt;6,"中","高"))))),IF(OR(J805="ILF",J805="EIF"),IF(OR(Y805="估算法",Y805="算法类",Y805="无法识别"),"低",IF(N805&lt;2,IF(O805&lt;51,"低","中"),IF(N805&lt;6,IF(O805&lt;20,"低",IF(O805&lt;51,"中","高")),IF(O805&lt;20,"中","高")))),"不计算")))</f>
        <v/>
      </c>
      <c r="Q805" s="172">
        <f>IFERROR(IF(J805="EI",IF(P805="低",3,IF(P805="中",4,6)),IF(J805="EO",IF(P805="低",4,IF(P805="中",5,7)),IF(J805="EQ",IF(P805="低",3,IF(P805="中",4,6)),IF(J805="ILF",IF(P805="低",7,IF(P805="中",10,15)),IF(J805="EIF",IF(P805="低",5,IF(P805="中",7,10)),"不计算")))))*R805,"不计算")</f>
        <v/>
      </c>
      <c r="R805" s="172" t="n"/>
      <c r="S805" s="173">
        <f>调整因子!$F$13</f>
        <v/>
      </c>
      <c r="T805" s="92" t="n"/>
      <c r="U805" s="174">
        <f>IFERROR(Q805*S805,0)</f>
        <v/>
      </c>
      <c r="V805" s="174">
        <f>U805*T805</f>
        <v/>
      </c>
      <c r="W805" s="90" t="n"/>
      <c r="X805" s="113" t="n"/>
      <c r="Y805" s="90" t="n"/>
      <c r="Z805" s="90" t="n"/>
      <c r="AA805" s="90" t="n"/>
    </row>
    <row r="806" s="112">
      <c r="A806" s="72">
        <f>ROW()-1</f>
        <v/>
      </c>
      <c r="B806" s="175" t="n"/>
      <c r="C806" s="80" t="n"/>
      <c r="D806" s="80" t="n"/>
      <c r="E806" s="81">
        <f>VLOOKUP(I806,'25年交付功能（不含废弃）'!A:A,1,FALSE)</f>
        <v/>
      </c>
      <c r="F806" s="175" t="n"/>
      <c r="I806" s="103" t="n"/>
      <c r="J806" s="93" t="n"/>
      <c r="K806" s="84" t="n"/>
      <c r="L806" s="84" t="n"/>
      <c r="M806" s="85">
        <f>IF(OR(Y806="估算法",Y806="算法类",Y806="无法识别"),"",IF(W806="",IF(OR(J806="EI",J806="EO",J806="EQ"),0,""),LEN(W806)-LEN(SUBSTITUTE(W806,"、",""))+1))</f>
        <v/>
      </c>
      <c r="N806" s="85">
        <f>IF(OR(Y806="估算法",Y806="算法类",Y806="无法识别"),"",IF(X806="",IF(OR(J806="ILF",J806="EIF"),0,""),LEN(X806)-LEN(SUBSTITUTE(X806,"、",""))+1))</f>
        <v/>
      </c>
      <c r="O806" s="85">
        <f>IF(OR(Y806="估算法",Y806="算法类",Y806="无法识别"),"",IF(Y806="",IF(OR(J806="ILF",J806="EIF",J806="EI",J806="EO",J806="EQ"),0,""),LEN(Y806)-LEN(SUBSTITUTE(SUBSTITUTE(SUBSTITUTE(SUBSTITUTE(SUBSTITUTE(Y806,"|}","--"),"{|","--"),CHAR(10),""),"、",""),"|",""))+IF(AND(OR(J806="EI",J806="EO",J806="EQ"),$AE$1="NESMA"),2,1)))</f>
        <v/>
      </c>
      <c r="P806" s="86">
        <f>IF(J806="EI",IF(OR(Y806="估算法",Y806="算法类"),"中",IF(Y806="无法识别","低",IF(M806&lt;2,IF(O806&lt;16,"低","中"),IF(M806&lt;3,IF(O806&lt;5,"低",IF(O806&lt;16,"中","高")),IF(O806&lt;5,"中","高"))))),IF(OR(J806="EO",J806="EQ"),IF(OR(Y806="估算法",Y806="算法类"),"中",IF(Y806="无法识别","低",IF(M806&lt;2,IF(O806&lt;20,"低","中"),IF(M806&lt;4,IF(O806&lt;6,"低",IF(O806&lt;20,"中","高")),IF(O806&lt;6,"中","高"))))),IF(OR(J806="ILF",J806="EIF"),IF(OR(Y806="估算法",Y806="算法类",Y806="无法识别"),"低",IF(N806&lt;2,IF(O806&lt;51,"低","中"),IF(N806&lt;6,IF(O806&lt;20,"低",IF(O806&lt;51,"中","高")),IF(O806&lt;20,"中","高")))),"不计算")))</f>
        <v/>
      </c>
      <c r="Q806" s="172">
        <f>IFERROR(IF(J806="EI",IF(P806="低",3,IF(P806="中",4,6)),IF(J806="EO",IF(P806="低",4,IF(P806="中",5,7)),IF(J806="EQ",IF(P806="低",3,IF(P806="中",4,6)),IF(J806="ILF",IF(P806="低",7,IF(P806="中",10,15)),IF(J806="EIF",IF(P806="低",5,IF(P806="中",7,10)),"不计算")))))*R806,"不计算")</f>
        <v/>
      </c>
      <c r="R806" s="172" t="n"/>
      <c r="S806" s="173">
        <f>调整因子!$F$13</f>
        <v/>
      </c>
      <c r="T806" s="93" t="n"/>
      <c r="U806" s="174">
        <f>IFERROR(Q806*S806,0)</f>
        <v/>
      </c>
      <c r="V806" s="174">
        <f>U806*T806</f>
        <v/>
      </c>
      <c r="W806" s="113" t="n"/>
      <c r="X806" s="90" t="n"/>
      <c r="Y806" s="90" t="n"/>
      <c r="Z806" s="90" t="n"/>
      <c r="AA806" s="90" t="n"/>
    </row>
    <row r="807" s="112">
      <c r="A807" s="72">
        <f>ROW()-1</f>
        <v/>
      </c>
      <c r="B807" s="175" t="n"/>
      <c r="C807" s="80" t="n"/>
      <c r="D807" s="80" t="n"/>
      <c r="E807" s="81">
        <f>VLOOKUP(I807,'25年交付功能（不含废弃）'!A:A,1,FALSE)</f>
        <v/>
      </c>
      <c r="F807" s="175" t="n"/>
      <c r="I807" s="103" t="n"/>
      <c r="J807" s="93" t="n"/>
      <c r="K807" s="84" t="n"/>
      <c r="L807" s="84" t="n"/>
      <c r="M807" s="85">
        <f>IF(OR(Y807="估算法",Y807="算法类",Y807="无法识别"),"",IF(W807="",IF(OR(J807="EI",J807="EO",J807="EQ"),0,""),LEN(W807)-LEN(SUBSTITUTE(W807,"、",""))+1))</f>
        <v/>
      </c>
      <c r="N807" s="85">
        <f>IF(OR(Y807="估算法",Y807="算法类",Y807="无法识别"),"",IF(X807="",IF(OR(J807="ILF",J807="EIF"),0,""),LEN(X807)-LEN(SUBSTITUTE(X807,"、",""))+1))</f>
        <v/>
      </c>
      <c r="O807" s="85">
        <f>IF(OR(Y807="估算法",Y807="算法类",Y807="无法识别"),"",IF(Y807="",IF(OR(J807="ILF",J807="EIF",J807="EI",J807="EO",J807="EQ"),0,""),LEN(Y807)-LEN(SUBSTITUTE(SUBSTITUTE(SUBSTITUTE(SUBSTITUTE(SUBSTITUTE(Y807,"|}","--"),"{|","--"),CHAR(10),""),"、",""),"|",""))+IF(AND(OR(J807="EI",J807="EO",J807="EQ"),$AE$1="NESMA"),2,1)))</f>
        <v/>
      </c>
      <c r="P807" s="86">
        <f>IF(J807="EI",IF(OR(Y807="估算法",Y807="算法类"),"中",IF(Y807="无法识别","低",IF(M807&lt;2,IF(O807&lt;16,"低","中"),IF(M807&lt;3,IF(O807&lt;5,"低",IF(O807&lt;16,"中","高")),IF(O807&lt;5,"中","高"))))),IF(OR(J807="EO",J807="EQ"),IF(OR(Y807="估算法",Y807="算法类"),"中",IF(Y807="无法识别","低",IF(M807&lt;2,IF(O807&lt;20,"低","中"),IF(M807&lt;4,IF(O807&lt;6,"低",IF(O807&lt;20,"中","高")),IF(O807&lt;6,"中","高"))))),IF(OR(J807="ILF",J807="EIF"),IF(OR(Y807="估算法",Y807="算法类",Y807="无法识别"),"低",IF(N807&lt;2,IF(O807&lt;51,"低","中"),IF(N807&lt;6,IF(O807&lt;20,"低",IF(O807&lt;51,"中","高")),IF(O807&lt;20,"中","高")))),"不计算")))</f>
        <v/>
      </c>
      <c r="Q807" s="172">
        <f>IFERROR(IF(J807="EI",IF(P807="低",3,IF(P807="中",4,6)),IF(J807="EO",IF(P807="低",4,IF(P807="中",5,7)),IF(J807="EQ",IF(P807="低",3,IF(P807="中",4,6)),IF(J807="ILF",IF(P807="低",7,IF(P807="中",10,15)),IF(J807="EIF",IF(P807="低",5,IF(P807="中",7,10)),"不计算")))))*R807,"不计算")</f>
        <v/>
      </c>
      <c r="R807" s="172" t="n"/>
      <c r="S807" s="173">
        <f>调整因子!$F$13</f>
        <v/>
      </c>
      <c r="T807" s="92" t="n"/>
      <c r="U807" s="174">
        <f>IFERROR(Q807*S807,0)</f>
        <v/>
      </c>
      <c r="V807" s="174">
        <f>U807*T807</f>
        <v/>
      </c>
      <c r="W807" s="113" t="n"/>
      <c r="X807" s="90" t="n"/>
      <c r="Y807" s="90" t="n"/>
      <c r="Z807" s="90" t="n"/>
      <c r="AA807" s="90" t="n"/>
    </row>
    <row r="808" s="112">
      <c r="A808" s="72">
        <f>ROW()-1</f>
        <v/>
      </c>
      <c r="B808" s="175" t="n"/>
      <c r="C808" s="80" t="n"/>
      <c r="D808" s="80" t="n"/>
      <c r="E808" s="81">
        <f>VLOOKUP(I808,'25年交付功能（不含废弃）'!A:A,1,FALSE)</f>
        <v/>
      </c>
      <c r="F808" s="175" t="n"/>
      <c r="I808" s="103" t="n"/>
      <c r="J808" s="93" t="n"/>
      <c r="K808" s="84" t="n"/>
      <c r="L808" s="84" t="n"/>
      <c r="M808" s="85">
        <f>IF(OR(Y808="估算法",Y808="算法类",Y808="无法识别"),"",IF(W808="",IF(OR(J808="EI",J808="EO",J808="EQ"),0,""),LEN(W808)-LEN(SUBSTITUTE(W808,"、",""))+1))</f>
        <v/>
      </c>
      <c r="N808" s="85">
        <f>IF(OR(Y808="估算法",Y808="算法类",Y808="无法识别"),"",IF(X808="",IF(OR(J808="ILF",J808="EIF"),0,""),LEN(X808)-LEN(SUBSTITUTE(X808,"、",""))+1))</f>
        <v/>
      </c>
      <c r="O808" s="85">
        <f>IF(OR(Y808="估算法",Y808="算法类",Y808="无法识别"),"",IF(Y808="",IF(OR(J808="ILF",J808="EIF",J808="EI",J808="EO",J808="EQ"),0,""),LEN(Y808)-LEN(SUBSTITUTE(SUBSTITUTE(SUBSTITUTE(SUBSTITUTE(SUBSTITUTE(Y808,"|}","--"),"{|","--"),CHAR(10),""),"、",""),"|",""))+IF(AND(OR(J808="EI",J808="EO",J808="EQ"),$AE$1="NESMA"),2,1)))</f>
        <v/>
      </c>
      <c r="P808" s="86">
        <f>IF(J808="EI",IF(OR(Y808="估算法",Y808="算法类"),"中",IF(Y808="无法识别","低",IF(M808&lt;2,IF(O808&lt;16,"低","中"),IF(M808&lt;3,IF(O808&lt;5,"低",IF(O808&lt;16,"中","高")),IF(O808&lt;5,"中","高"))))),IF(OR(J808="EO",J808="EQ"),IF(OR(Y808="估算法",Y808="算法类"),"中",IF(Y808="无法识别","低",IF(M808&lt;2,IF(O808&lt;20,"低","中"),IF(M808&lt;4,IF(O808&lt;6,"低",IF(O808&lt;20,"中","高")),IF(O808&lt;6,"中","高"))))),IF(OR(J808="ILF",J808="EIF"),IF(OR(Y808="估算法",Y808="算法类",Y808="无法识别"),"低",IF(N808&lt;2,IF(O808&lt;51,"低","中"),IF(N808&lt;6,IF(O808&lt;20,"低",IF(O808&lt;51,"中","高")),IF(O808&lt;20,"中","高")))),"不计算")))</f>
        <v/>
      </c>
      <c r="Q808" s="172">
        <f>IFERROR(IF(J808="EI",IF(P808="低",3,IF(P808="中",4,6)),IF(J808="EO",IF(P808="低",4,IF(P808="中",5,7)),IF(J808="EQ",IF(P808="低",3,IF(P808="中",4,6)),IF(J808="ILF",IF(P808="低",7,IF(P808="中",10,15)),IF(J808="EIF",IF(P808="低",5,IF(P808="中",7,10)),"不计算")))))*R808,"不计算")</f>
        <v/>
      </c>
      <c r="R808" s="172" t="n"/>
      <c r="S808" s="173">
        <f>调整因子!$F$13</f>
        <v/>
      </c>
      <c r="T808" s="92" t="n"/>
      <c r="U808" s="174">
        <f>IFERROR(Q808*S808,0)</f>
        <v/>
      </c>
      <c r="V808" s="174">
        <f>U808*T808</f>
        <v/>
      </c>
      <c r="W808" s="113" t="n"/>
      <c r="X808" s="90" t="n"/>
      <c r="Y808" s="90" t="n"/>
      <c r="Z808" s="90" t="n"/>
      <c r="AA808" s="90" t="n"/>
    </row>
    <row r="809" s="112">
      <c r="A809" s="72">
        <f>ROW()-1</f>
        <v/>
      </c>
      <c r="B809" s="175" t="n"/>
      <c r="C809" s="80" t="n"/>
      <c r="D809" s="80" t="n"/>
      <c r="E809" s="81">
        <f>VLOOKUP(I809,'25年交付功能（不含废弃）'!A:A,1,FALSE)</f>
        <v/>
      </c>
      <c r="F809" s="175" t="n"/>
      <c r="I809" s="103" t="n"/>
      <c r="J809" s="93" t="n"/>
      <c r="K809" s="84" t="n"/>
      <c r="L809" s="84" t="n"/>
      <c r="M809" s="85">
        <f>IF(OR(Y809="估算法",Y809="算法类",Y809="无法识别"),"",IF(W809="",IF(OR(J809="EI",J809="EO",J809="EQ"),0,""),LEN(W809)-LEN(SUBSTITUTE(W809,"、",""))+1))</f>
        <v/>
      </c>
      <c r="N809" s="85">
        <f>IF(OR(Y809="估算法",Y809="算法类",Y809="无法识别"),"",IF(X809="",IF(OR(J809="ILF",J809="EIF"),0,""),LEN(X809)-LEN(SUBSTITUTE(X809,"、",""))+1))</f>
        <v/>
      </c>
      <c r="O809" s="85">
        <f>IF(OR(Y809="估算法",Y809="算法类",Y809="无法识别"),"",IF(Y809="",IF(OR(J809="ILF",J809="EIF",J809="EI",J809="EO",J809="EQ"),0,""),LEN(Y809)-LEN(SUBSTITUTE(SUBSTITUTE(SUBSTITUTE(SUBSTITUTE(SUBSTITUTE(Y809,"|}","--"),"{|","--"),CHAR(10),""),"、",""),"|",""))+IF(AND(OR(J809="EI",J809="EO",J809="EQ"),$AE$1="NESMA"),2,1)))</f>
        <v/>
      </c>
      <c r="P809" s="86">
        <f>IF(J809="EI",IF(OR(Y809="估算法",Y809="算法类"),"中",IF(Y809="无法识别","低",IF(M809&lt;2,IF(O809&lt;16,"低","中"),IF(M809&lt;3,IF(O809&lt;5,"低",IF(O809&lt;16,"中","高")),IF(O809&lt;5,"中","高"))))),IF(OR(J809="EO",J809="EQ"),IF(OR(Y809="估算法",Y809="算法类"),"中",IF(Y809="无法识别","低",IF(M809&lt;2,IF(O809&lt;20,"低","中"),IF(M809&lt;4,IF(O809&lt;6,"低",IF(O809&lt;20,"中","高")),IF(O809&lt;6,"中","高"))))),IF(OR(J809="ILF",J809="EIF"),IF(OR(Y809="估算法",Y809="算法类",Y809="无法识别"),"低",IF(N809&lt;2,IF(O809&lt;51,"低","中"),IF(N809&lt;6,IF(O809&lt;20,"低",IF(O809&lt;51,"中","高")),IF(O809&lt;20,"中","高")))),"不计算")))</f>
        <v/>
      </c>
      <c r="Q809" s="172">
        <f>IFERROR(IF(J809="EI",IF(P809="低",3,IF(P809="中",4,6)),IF(J809="EO",IF(P809="低",4,IF(P809="中",5,7)),IF(J809="EQ",IF(P809="低",3,IF(P809="中",4,6)),IF(J809="ILF",IF(P809="低",7,IF(P809="中",10,15)),IF(J809="EIF",IF(P809="低",5,IF(P809="中",7,10)),"不计算")))))*R809,"不计算")</f>
        <v/>
      </c>
      <c r="R809" s="172" t="n"/>
      <c r="S809" s="173">
        <f>调整因子!$F$13</f>
        <v/>
      </c>
      <c r="T809" s="93" t="n"/>
      <c r="U809" s="174">
        <f>IFERROR(Q809*S809,0)</f>
        <v/>
      </c>
      <c r="V809" s="174">
        <f>U809*T809</f>
        <v/>
      </c>
      <c r="W809" s="113" t="n"/>
      <c r="X809" s="90" t="n"/>
      <c r="Y809" s="90" t="n"/>
      <c r="Z809" s="90" t="n"/>
      <c r="AA809" s="90" t="n"/>
    </row>
    <row r="810" s="112">
      <c r="A810" s="72">
        <f>ROW()-1</f>
        <v/>
      </c>
      <c r="B810" s="175" t="n"/>
      <c r="C810" s="80" t="n"/>
      <c r="D810" s="80" t="n"/>
      <c r="E810" s="81">
        <f>VLOOKUP(I810,'25年交付功能（不含废弃）'!A:A,1,FALSE)</f>
        <v/>
      </c>
      <c r="F810" s="175" t="n"/>
      <c r="I810" s="103" t="n"/>
      <c r="J810" s="93" t="n"/>
      <c r="K810" s="84" t="n"/>
      <c r="L810" s="84" t="n"/>
      <c r="M810" s="85">
        <f>IF(OR(Y810="估算法",Y810="算法类",Y810="无法识别"),"",IF(W810="",IF(OR(J810="EI",J810="EO",J810="EQ"),0,""),LEN(W810)-LEN(SUBSTITUTE(W810,"、",""))+1))</f>
        <v/>
      </c>
      <c r="N810" s="85">
        <f>IF(OR(Y810="估算法",Y810="算法类",Y810="无法识别"),"",IF(X810="",IF(OR(J810="ILF",J810="EIF"),0,""),LEN(X810)-LEN(SUBSTITUTE(X810,"、",""))+1))</f>
        <v/>
      </c>
      <c r="O810" s="85">
        <f>IF(OR(Y810="估算法",Y810="算法类",Y810="无法识别"),"",IF(Y810="",IF(OR(J810="ILF",J810="EIF",J810="EI",J810="EO",J810="EQ"),0,""),LEN(Y810)-LEN(SUBSTITUTE(SUBSTITUTE(SUBSTITUTE(SUBSTITUTE(SUBSTITUTE(Y810,"|}","--"),"{|","--"),CHAR(10),""),"、",""),"|",""))+IF(AND(OR(J810="EI",J810="EO",J810="EQ"),$AE$1="NESMA"),2,1)))</f>
        <v/>
      </c>
      <c r="P810" s="86">
        <f>IF(J810="EI",IF(OR(Y810="估算法",Y810="算法类"),"中",IF(Y810="无法识别","低",IF(M810&lt;2,IF(O810&lt;16,"低","中"),IF(M810&lt;3,IF(O810&lt;5,"低",IF(O810&lt;16,"中","高")),IF(O810&lt;5,"中","高"))))),IF(OR(J810="EO",J810="EQ"),IF(OR(Y810="估算法",Y810="算法类"),"中",IF(Y810="无法识别","低",IF(M810&lt;2,IF(O810&lt;20,"低","中"),IF(M810&lt;4,IF(O810&lt;6,"低",IF(O810&lt;20,"中","高")),IF(O810&lt;6,"中","高"))))),IF(OR(J810="ILF",J810="EIF"),IF(OR(Y810="估算法",Y810="算法类",Y810="无法识别"),"低",IF(N810&lt;2,IF(O810&lt;51,"低","中"),IF(N810&lt;6,IF(O810&lt;20,"低",IF(O810&lt;51,"中","高")),IF(O810&lt;20,"中","高")))),"不计算")))</f>
        <v/>
      </c>
      <c r="Q810" s="172">
        <f>IFERROR(IF(J810="EI",IF(P810="低",3,IF(P810="中",4,6)),IF(J810="EO",IF(P810="低",4,IF(P810="中",5,7)),IF(J810="EQ",IF(P810="低",3,IF(P810="中",4,6)),IF(J810="ILF",IF(P810="低",7,IF(P810="中",10,15)),IF(J810="EIF",IF(P810="低",5,IF(P810="中",7,10)),"不计算")))))*R810,"不计算")</f>
        <v/>
      </c>
      <c r="R810" s="172" t="n"/>
      <c r="S810" s="173">
        <f>调整因子!$F$13</f>
        <v/>
      </c>
      <c r="T810" s="93" t="n"/>
      <c r="U810" s="174">
        <f>IFERROR(Q810*S810,0)</f>
        <v/>
      </c>
      <c r="V810" s="174">
        <f>U810*T810</f>
        <v/>
      </c>
      <c r="W810" s="113" t="n"/>
      <c r="X810" s="90" t="n"/>
      <c r="Y810" s="90" t="n"/>
      <c r="Z810" s="90" t="n"/>
      <c r="AA810" s="90" t="n"/>
    </row>
    <row r="811" s="112">
      <c r="A811" s="72">
        <f>ROW()-1</f>
        <v/>
      </c>
      <c r="B811" s="175" t="n"/>
      <c r="C811" s="80" t="n"/>
      <c r="D811" s="80" t="n"/>
      <c r="E811" s="81">
        <f>VLOOKUP(I811,'25年交付功能（不含废弃）'!A:A,1,FALSE)</f>
        <v/>
      </c>
      <c r="F811" s="175" t="n"/>
      <c r="I811" s="103" t="n"/>
      <c r="J811" s="93" t="n"/>
      <c r="K811" s="84" t="n"/>
      <c r="L811" s="84" t="n"/>
      <c r="M811" s="85">
        <f>IF(OR(Y811="估算法",Y811="算法类",Y811="无法识别"),"",IF(W811="",IF(OR(J811="EI",J811="EO",J811="EQ"),0,""),LEN(W811)-LEN(SUBSTITUTE(W811,"、",""))+1))</f>
        <v/>
      </c>
      <c r="N811" s="85">
        <f>IF(OR(Y811="估算法",Y811="算法类",Y811="无法识别"),"",IF(X811="",IF(OR(J811="ILF",J811="EIF"),0,""),LEN(X811)-LEN(SUBSTITUTE(X811,"、",""))+1))</f>
        <v/>
      </c>
      <c r="O811" s="85">
        <f>IF(OR(Y811="估算法",Y811="算法类",Y811="无法识别"),"",IF(Y811="",IF(OR(J811="ILF",J811="EIF",J811="EI",J811="EO",J811="EQ"),0,""),LEN(Y811)-LEN(SUBSTITUTE(SUBSTITUTE(SUBSTITUTE(SUBSTITUTE(SUBSTITUTE(Y811,"|}","--"),"{|","--"),CHAR(10),""),"、",""),"|",""))+IF(AND(OR(J811="EI",J811="EO",J811="EQ"),$AE$1="NESMA"),2,1)))</f>
        <v/>
      </c>
      <c r="P811" s="86">
        <f>IF(J811="EI",IF(OR(Y811="估算法",Y811="算法类"),"中",IF(Y811="无法识别","低",IF(M811&lt;2,IF(O811&lt;16,"低","中"),IF(M811&lt;3,IF(O811&lt;5,"低",IF(O811&lt;16,"中","高")),IF(O811&lt;5,"中","高"))))),IF(OR(J811="EO",J811="EQ"),IF(OR(Y811="估算法",Y811="算法类"),"中",IF(Y811="无法识别","低",IF(M811&lt;2,IF(O811&lt;20,"低","中"),IF(M811&lt;4,IF(O811&lt;6,"低",IF(O811&lt;20,"中","高")),IF(O811&lt;6,"中","高"))))),IF(OR(J811="ILF",J811="EIF"),IF(OR(Y811="估算法",Y811="算法类",Y811="无法识别"),"低",IF(N811&lt;2,IF(O811&lt;51,"低","中"),IF(N811&lt;6,IF(O811&lt;20,"低",IF(O811&lt;51,"中","高")),IF(O811&lt;20,"中","高")))),"不计算")))</f>
        <v/>
      </c>
      <c r="Q811" s="172">
        <f>IFERROR(IF(J811="EI",IF(P811="低",3,IF(P811="中",4,6)),IF(J811="EO",IF(P811="低",4,IF(P811="中",5,7)),IF(J811="EQ",IF(P811="低",3,IF(P811="中",4,6)),IF(J811="ILF",IF(P811="低",7,IF(P811="中",10,15)),IF(J811="EIF",IF(P811="低",5,IF(P811="中",7,10)),"不计算")))))*R811,"不计算")</f>
        <v/>
      </c>
      <c r="R811" s="172" t="n"/>
      <c r="S811" s="173">
        <f>调整因子!$F$13</f>
        <v/>
      </c>
      <c r="T811" s="92" t="n"/>
      <c r="U811" s="174">
        <f>IFERROR(Q811*S811,0)</f>
        <v/>
      </c>
      <c r="V811" s="174">
        <f>U811*T811</f>
        <v/>
      </c>
      <c r="W811" s="113" t="n"/>
      <c r="X811" s="90" t="n"/>
      <c r="Y811" s="90" t="n"/>
      <c r="Z811" s="90" t="n"/>
      <c r="AA811" s="90" t="n"/>
    </row>
    <row r="812" s="112">
      <c r="A812" s="72">
        <f>ROW()-1</f>
        <v/>
      </c>
      <c r="B812" s="175" t="n"/>
      <c r="C812" s="80" t="n"/>
      <c r="D812" s="80" t="n"/>
      <c r="E812" s="81">
        <f>VLOOKUP(I812,'25年交付功能（不含废弃）'!A:A,1,FALSE)</f>
        <v/>
      </c>
      <c r="F812" s="175" t="n"/>
      <c r="I812" s="103" t="n"/>
      <c r="J812" s="93" t="n"/>
      <c r="K812" s="84" t="n"/>
      <c r="L812" s="84" t="n"/>
      <c r="M812" s="85">
        <f>IF(OR(Y812="估算法",Y812="算法类",Y812="无法识别"),"",IF(W812="",IF(OR(J812="EI",J812="EO",J812="EQ"),0,""),LEN(W812)-LEN(SUBSTITUTE(W812,"、",""))+1))</f>
        <v/>
      </c>
      <c r="N812" s="85">
        <f>IF(OR(Y812="估算法",Y812="算法类",Y812="无法识别"),"",IF(X812="",IF(OR(J812="ILF",J812="EIF"),0,""),LEN(X812)-LEN(SUBSTITUTE(X812,"、",""))+1))</f>
        <v/>
      </c>
      <c r="O812" s="85">
        <f>IF(OR(Y812="估算法",Y812="算法类",Y812="无法识别"),"",IF(Y812="",IF(OR(J812="ILF",J812="EIF",J812="EI",J812="EO",J812="EQ"),0,""),LEN(Y812)-LEN(SUBSTITUTE(SUBSTITUTE(SUBSTITUTE(SUBSTITUTE(SUBSTITUTE(Y812,"|}","--"),"{|","--"),CHAR(10),""),"、",""),"|",""))+IF(AND(OR(J812="EI",J812="EO",J812="EQ"),$AE$1="NESMA"),2,1)))</f>
        <v/>
      </c>
      <c r="P812" s="86">
        <f>IF(J812="EI",IF(OR(Y812="估算法",Y812="算法类"),"中",IF(Y812="无法识别","低",IF(M812&lt;2,IF(O812&lt;16,"低","中"),IF(M812&lt;3,IF(O812&lt;5,"低",IF(O812&lt;16,"中","高")),IF(O812&lt;5,"中","高"))))),IF(OR(J812="EO",J812="EQ"),IF(OR(Y812="估算法",Y812="算法类"),"中",IF(Y812="无法识别","低",IF(M812&lt;2,IF(O812&lt;20,"低","中"),IF(M812&lt;4,IF(O812&lt;6,"低",IF(O812&lt;20,"中","高")),IF(O812&lt;6,"中","高"))))),IF(OR(J812="ILF",J812="EIF"),IF(OR(Y812="估算法",Y812="算法类",Y812="无法识别"),"低",IF(N812&lt;2,IF(O812&lt;51,"低","中"),IF(N812&lt;6,IF(O812&lt;20,"低",IF(O812&lt;51,"中","高")),IF(O812&lt;20,"中","高")))),"不计算")))</f>
        <v/>
      </c>
      <c r="Q812" s="172">
        <f>IFERROR(IF(J812="EI",IF(P812="低",3,IF(P812="中",4,6)),IF(J812="EO",IF(P812="低",4,IF(P812="中",5,7)),IF(J812="EQ",IF(P812="低",3,IF(P812="中",4,6)),IF(J812="ILF",IF(P812="低",7,IF(P812="中",10,15)),IF(J812="EIF",IF(P812="低",5,IF(P812="中",7,10)),"不计算")))))*R812,"不计算")</f>
        <v/>
      </c>
      <c r="R812" s="172" t="n"/>
      <c r="S812" s="173">
        <f>调整因子!$F$13</f>
        <v/>
      </c>
      <c r="T812" s="92" t="n"/>
      <c r="U812" s="174">
        <f>IFERROR(Q812*S812,0)</f>
        <v/>
      </c>
      <c r="V812" s="174">
        <f>U812*T812</f>
        <v/>
      </c>
      <c r="W812" s="113" t="n"/>
      <c r="X812" s="90" t="n"/>
      <c r="Y812" s="90" t="n"/>
      <c r="Z812" s="90" t="n"/>
      <c r="AA812" s="90" t="n"/>
    </row>
    <row r="813" s="112">
      <c r="A813" s="72">
        <f>ROW()-1</f>
        <v/>
      </c>
      <c r="B813" s="175" t="n"/>
      <c r="C813" s="80" t="n"/>
      <c r="D813" s="80" t="n"/>
      <c r="E813" s="81">
        <f>VLOOKUP(I813,'25年交付功能（不含废弃）'!A:A,1,FALSE)</f>
        <v/>
      </c>
      <c r="F813" s="175" t="n"/>
      <c r="I813" s="103" t="n"/>
      <c r="J813" s="93" t="n"/>
      <c r="K813" s="84" t="n"/>
      <c r="L813" s="84" t="n"/>
      <c r="M813" s="85">
        <f>IF(OR(Y813="估算法",Y813="算法类",Y813="无法识别"),"",IF(W813="",IF(OR(J813="EI",J813="EO",J813="EQ"),0,""),LEN(W813)-LEN(SUBSTITUTE(W813,"、",""))+1))</f>
        <v/>
      </c>
      <c r="N813" s="85">
        <f>IF(OR(Y813="估算法",Y813="算法类",Y813="无法识别"),"",IF(X813="",IF(OR(J813="ILF",J813="EIF"),0,""),LEN(X813)-LEN(SUBSTITUTE(X813,"、",""))+1))</f>
        <v/>
      </c>
      <c r="O813" s="85">
        <f>IF(OR(Y813="估算法",Y813="算法类",Y813="无法识别"),"",IF(Y813="",IF(OR(J813="ILF",J813="EIF",J813="EI",J813="EO",J813="EQ"),0,""),LEN(Y813)-LEN(SUBSTITUTE(SUBSTITUTE(SUBSTITUTE(SUBSTITUTE(SUBSTITUTE(Y813,"|}","--"),"{|","--"),CHAR(10),""),"、",""),"|",""))+IF(AND(OR(J813="EI",J813="EO",J813="EQ"),$AE$1="NESMA"),2,1)))</f>
        <v/>
      </c>
      <c r="P813" s="86">
        <f>IF(J813="EI",IF(OR(Y813="估算法",Y813="算法类"),"中",IF(Y813="无法识别","低",IF(M813&lt;2,IF(O813&lt;16,"低","中"),IF(M813&lt;3,IF(O813&lt;5,"低",IF(O813&lt;16,"中","高")),IF(O813&lt;5,"中","高"))))),IF(OR(J813="EO",J813="EQ"),IF(OR(Y813="估算法",Y813="算法类"),"中",IF(Y813="无法识别","低",IF(M813&lt;2,IF(O813&lt;20,"低","中"),IF(M813&lt;4,IF(O813&lt;6,"低",IF(O813&lt;20,"中","高")),IF(O813&lt;6,"中","高"))))),IF(OR(J813="ILF",J813="EIF"),IF(OR(Y813="估算法",Y813="算法类",Y813="无法识别"),"低",IF(N813&lt;2,IF(O813&lt;51,"低","中"),IF(N813&lt;6,IF(O813&lt;20,"低",IF(O813&lt;51,"中","高")),IF(O813&lt;20,"中","高")))),"不计算")))</f>
        <v/>
      </c>
      <c r="Q813" s="172">
        <f>IFERROR(IF(J813="EI",IF(P813="低",3,IF(P813="中",4,6)),IF(J813="EO",IF(P813="低",4,IF(P813="中",5,7)),IF(J813="EQ",IF(P813="低",3,IF(P813="中",4,6)),IF(J813="ILF",IF(P813="低",7,IF(P813="中",10,15)),IF(J813="EIF",IF(P813="低",5,IF(P813="中",7,10)),"不计算")))))*R813,"不计算")</f>
        <v/>
      </c>
      <c r="R813" s="172" t="n"/>
      <c r="S813" s="173">
        <f>调整因子!$F$13</f>
        <v/>
      </c>
      <c r="T813" s="93" t="n"/>
      <c r="U813" s="174">
        <f>IFERROR(Q813*S813,0)</f>
        <v/>
      </c>
      <c r="V813" s="174">
        <f>U813*T813</f>
        <v/>
      </c>
      <c r="W813" s="90" t="n"/>
      <c r="X813" s="113" t="n"/>
      <c r="Y813" s="90" t="n"/>
      <c r="Z813" s="90" t="n"/>
      <c r="AA813" s="90" t="n"/>
    </row>
    <row r="814" s="112">
      <c r="A814" s="72">
        <f>ROW()-1</f>
        <v/>
      </c>
      <c r="B814" s="175" t="n"/>
      <c r="C814" s="80" t="n"/>
      <c r="D814" s="80" t="n"/>
      <c r="E814" s="81">
        <f>VLOOKUP(I814,'25年交付功能（不含废弃）'!A:A,1,FALSE)</f>
        <v/>
      </c>
      <c r="F814" s="175" t="n"/>
      <c r="I814" s="103" t="n"/>
      <c r="J814" s="93" t="n"/>
      <c r="K814" s="84" t="n"/>
      <c r="L814" s="84" t="n"/>
      <c r="M814" s="85">
        <f>IF(OR(Y814="估算法",Y814="算法类",Y814="无法识别"),"",IF(W814="",IF(OR(J814="EI",J814="EO",J814="EQ"),0,""),LEN(W814)-LEN(SUBSTITUTE(W814,"、",""))+1))</f>
        <v/>
      </c>
      <c r="N814" s="85">
        <f>IF(OR(Y814="估算法",Y814="算法类",Y814="无法识别"),"",IF(X814="",IF(OR(J814="ILF",J814="EIF"),0,""),LEN(X814)-LEN(SUBSTITUTE(X814,"、",""))+1))</f>
        <v/>
      </c>
      <c r="O814" s="85">
        <f>IF(OR(Y814="估算法",Y814="算法类",Y814="无法识别"),"",IF(Y814="",IF(OR(J814="ILF",J814="EIF",J814="EI",J814="EO",J814="EQ"),0,""),LEN(Y814)-LEN(SUBSTITUTE(SUBSTITUTE(SUBSTITUTE(SUBSTITUTE(SUBSTITUTE(Y814,"|}","--"),"{|","--"),CHAR(10),""),"、",""),"|",""))+IF(AND(OR(J814="EI",J814="EO",J814="EQ"),$AE$1="NESMA"),2,1)))</f>
        <v/>
      </c>
      <c r="P814" s="86">
        <f>IF(J814="EI",IF(OR(Y814="估算法",Y814="算法类"),"中",IF(Y814="无法识别","低",IF(M814&lt;2,IF(O814&lt;16,"低","中"),IF(M814&lt;3,IF(O814&lt;5,"低",IF(O814&lt;16,"中","高")),IF(O814&lt;5,"中","高"))))),IF(OR(J814="EO",J814="EQ"),IF(OR(Y814="估算法",Y814="算法类"),"中",IF(Y814="无法识别","低",IF(M814&lt;2,IF(O814&lt;20,"低","中"),IF(M814&lt;4,IF(O814&lt;6,"低",IF(O814&lt;20,"中","高")),IF(O814&lt;6,"中","高"))))),IF(OR(J814="ILF",J814="EIF"),IF(OR(Y814="估算法",Y814="算法类",Y814="无法识别"),"低",IF(N814&lt;2,IF(O814&lt;51,"低","中"),IF(N814&lt;6,IF(O814&lt;20,"低",IF(O814&lt;51,"中","高")),IF(O814&lt;20,"中","高")))),"不计算")))</f>
        <v/>
      </c>
      <c r="Q814" s="172">
        <f>IFERROR(IF(J814="EI",IF(P814="低",3,IF(P814="中",4,6)),IF(J814="EO",IF(P814="低",4,IF(P814="中",5,7)),IF(J814="EQ",IF(P814="低",3,IF(P814="中",4,6)),IF(J814="ILF",IF(P814="低",7,IF(P814="中",10,15)),IF(J814="EIF",IF(P814="低",5,IF(P814="中",7,10)),"不计算")))))*R814,"不计算")</f>
        <v/>
      </c>
      <c r="R814" s="172" t="n"/>
      <c r="S814" s="173">
        <f>调整因子!$F$13</f>
        <v/>
      </c>
      <c r="T814" s="92" t="n"/>
      <c r="U814" s="174">
        <f>IFERROR(Q814*S814,0)</f>
        <v/>
      </c>
      <c r="V814" s="174">
        <f>U814*T814</f>
        <v/>
      </c>
      <c r="W814" s="90" t="n"/>
      <c r="X814" s="113" t="n"/>
      <c r="Y814" s="90" t="n"/>
      <c r="Z814" s="90" t="n"/>
      <c r="AA814" s="90" t="n"/>
    </row>
    <row r="815" s="112">
      <c r="A815" s="72">
        <f>ROW()-1</f>
        <v/>
      </c>
      <c r="B815" s="175" t="n"/>
      <c r="C815" s="80" t="n"/>
      <c r="D815" s="80" t="n"/>
      <c r="E815" s="81">
        <f>VLOOKUP(I815,'25年交付功能（不含废弃）'!A:A,1,FALSE)</f>
        <v/>
      </c>
      <c r="F815" s="175" t="n"/>
      <c r="I815" s="103" t="n"/>
      <c r="J815" s="93" t="n"/>
      <c r="K815" s="84" t="n"/>
      <c r="L815" s="84" t="n"/>
      <c r="M815" s="85">
        <f>IF(OR(Y815="估算法",Y815="算法类",Y815="无法识别"),"",IF(W815="",IF(OR(J815="EI",J815="EO",J815="EQ"),0,""),LEN(W815)-LEN(SUBSTITUTE(W815,"、",""))+1))</f>
        <v/>
      </c>
      <c r="N815" s="85">
        <f>IF(OR(Y815="估算法",Y815="算法类",Y815="无法识别"),"",IF(X815="",IF(OR(J815="ILF",J815="EIF"),0,""),LEN(X815)-LEN(SUBSTITUTE(X815,"、",""))+1))</f>
        <v/>
      </c>
      <c r="O815" s="85">
        <f>IF(OR(Y815="估算法",Y815="算法类",Y815="无法识别"),"",IF(Y815="",IF(OR(J815="ILF",J815="EIF",J815="EI",J815="EO",J815="EQ"),0,""),LEN(Y815)-LEN(SUBSTITUTE(SUBSTITUTE(SUBSTITUTE(SUBSTITUTE(SUBSTITUTE(Y815,"|}","--"),"{|","--"),CHAR(10),""),"、",""),"|",""))+IF(AND(OR(J815="EI",J815="EO",J815="EQ"),$AE$1="NESMA"),2,1)))</f>
        <v/>
      </c>
      <c r="P815" s="86">
        <f>IF(J815="EI",IF(OR(Y815="估算法",Y815="算法类"),"中",IF(Y815="无法识别","低",IF(M815&lt;2,IF(O815&lt;16,"低","中"),IF(M815&lt;3,IF(O815&lt;5,"低",IF(O815&lt;16,"中","高")),IF(O815&lt;5,"中","高"))))),IF(OR(J815="EO",J815="EQ"),IF(OR(Y815="估算法",Y815="算法类"),"中",IF(Y815="无法识别","低",IF(M815&lt;2,IF(O815&lt;20,"低","中"),IF(M815&lt;4,IF(O815&lt;6,"低",IF(O815&lt;20,"中","高")),IF(O815&lt;6,"中","高"))))),IF(OR(J815="ILF",J815="EIF"),IF(OR(Y815="估算法",Y815="算法类",Y815="无法识别"),"低",IF(N815&lt;2,IF(O815&lt;51,"低","中"),IF(N815&lt;6,IF(O815&lt;20,"低",IF(O815&lt;51,"中","高")),IF(O815&lt;20,"中","高")))),"不计算")))</f>
        <v/>
      </c>
      <c r="Q815" s="172">
        <f>IFERROR(IF(J815="EI",IF(P815="低",3,IF(P815="中",4,6)),IF(J815="EO",IF(P815="低",4,IF(P815="中",5,7)),IF(J815="EQ",IF(P815="低",3,IF(P815="中",4,6)),IF(J815="ILF",IF(P815="低",7,IF(P815="中",10,15)),IF(J815="EIF",IF(P815="低",5,IF(P815="中",7,10)),"不计算")))))*R815,"不计算")</f>
        <v/>
      </c>
      <c r="R815" s="172" t="n"/>
      <c r="S815" s="173">
        <f>调整因子!$F$13</f>
        <v/>
      </c>
      <c r="T815" s="92" t="n"/>
      <c r="U815" s="174">
        <f>IFERROR(Q815*S815,0)</f>
        <v/>
      </c>
      <c r="V815" s="174">
        <f>U815*T815</f>
        <v/>
      </c>
      <c r="W815" s="90" t="n"/>
      <c r="X815" s="113" t="n"/>
      <c r="Y815" s="90" t="n"/>
      <c r="Z815" s="90" t="n"/>
      <c r="AA815" s="90" t="n"/>
    </row>
    <row r="816" s="112">
      <c r="A816" s="72">
        <f>ROW()-1</f>
        <v/>
      </c>
      <c r="B816" s="175" t="n"/>
      <c r="C816" s="80" t="n"/>
      <c r="D816" s="80" t="n"/>
      <c r="E816" s="81">
        <f>VLOOKUP(I816,'25年交付功能（不含废弃）'!A:A,1,FALSE)</f>
        <v/>
      </c>
      <c r="F816" s="175" t="n"/>
      <c r="I816" s="103" t="n"/>
      <c r="J816" s="93" t="n"/>
      <c r="K816" s="84" t="n"/>
      <c r="L816" s="84" t="n"/>
      <c r="M816" s="85">
        <f>IF(OR(Y816="估算法",Y816="算法类",Y816="无法识别"),"",IF(W816="",IF(OR(J816="EI",J816="EO",J816="EQ"),0,""),LEN(W816)-LEN(SUBSTITUTE(W816,"、",""))+1))</f>
        <v/>
      </c>
      <c r="N816" s="85">
        <f>IF(OR(Y816="估算法",Y816="算法类",Y816="无法识别"),"",IF(X816="",IF(OR(J816="ILF",J816="EIF"),0,""),LEN(X816)-LEN(SUBSTITUTE(X816,"、",""))+1))</f>
        <v/>
      </c>
      <c r="O816" s="85">
        <f>IF(OR(Y816="估算法",Y816="算法类",Y816="无法识别"),"",IF(Y816="",IF(OR(J816="ILF",J816="EIF",J816="EI",J816="EO",J816="EQ"),0,""),LEN(Y816)-LEN(SUBSTITUTE(SUBSTITUTE(SUBSTITUTE(SUBSTITUTE(SUBSTITUTE(Y816,"|}","--"),"{|","--"),CHAR(10),""),"、",""),"|",""))+IF(AND(OR(J816="EI",J816="EO",J816="EQ"),$AE$1="NESMA"),2,1)))</f>
        <v/>
      </c>
      <c r="P816" s="86">
        <f>IF(J816="EI",IF(OR(Y816="估算法",Y816="算法类"),"中",IF(Y816="无法识别","低",IF(M816&lt;2,IF(O816&lt;16,"低","中"),IF(M816&lt;3,IF(O816&lt;5,"低",IF(O816&lt;16,"中","高")),IF(O816&lt;5,"中","高"))))),IF(OR(J816="EO",J816="EQ"),IF(OR(Y816="估算法",Y816="算法类"),"中",IF(Y816="无法识别","低",IF(M816&lt;2,IF(O816&lt;20,"低","中"),IF(M816&lt;4,IF(O816&lt;6,"低",IF(O816&lt;20,"中","高")),IF(O816&lt;6,"中","高"))))),IF(OR(J816="ILF",J816="EIF"),IF(OR(Y816="估算法",Y816="算法类",Y816="无法识别"),"低",IF(N816&lt;2,IF(O816&lt;51,"低","中"),IF(N816&lt;6,IF(O816&lt;20,"低",IF(O816&lt;51,"中","高")),IF(O816&lt;20,"中","高")))),"不计算")))</f>
        <v/>
      </c>
      <c r="Q816" s="172">
        <f>IFERROR(IF(J816="EI",IF(P816="低",3,IF(P816="中",4,6)),IF(J816="EO",IF(P816="低",4,IF(P816="中",5,7)),IF(J816="EQ",IF(P816="低",3,IF(P816="中",4,6)),IF(J816="ILF",IF(P816="低",7,IF(P816="中",10,15)),IF(J816="EIF",IF(P816="低",5,IF(P816="中",7,10)),"不计算")))))*R816,"不计算")</f>
        <v/>
      </c>
      <c r="R816" s="172" t="n"/>
      <c r="S816" s="173">
        <f>调整因子!$F$13</f>
        <v/>
      </c>
      <c r="T816" s="93" t="n"/>
      <c r="U816" s="174">
        <f>IFERROR(Q816*S816,0)</f>
        <v/>
      </c>
      <c r="V816" s="174">
        <f>U816*T816</f>
        <v/>
      </c>
      <c r="W816" s="113" t="n"/>
      <c r="X816" s="90" t="n"/>
      <c r="Y816" s="90" t="n"/>
      <c r="Z816" s="90" t="n"/>
      <c r="AA816" s="90" t="n"/>
    </row>
    <row r="817" s="112">
      <c r="A817" s="72">
        <f>ROW()-1</f>
        <v/>
      </c>
      <c r="B817" s="175" t="n"/>
      <c r="C817" s="80" t="n"/>
      <c r="D817" s="80" t="n"/>
      <c r="E817" s="81">
        <f>VLOOKUP(I817,'25年交付功能（不含废弃）'!A:A,1,FALSE)</f>
        <v/>
      </c>
      <c r="F817" s="175" t="n"/>
      <c r="I817" s="103" t="n"/>
      <c r="J817" s="93" t="n"/>
      <c r="K817" s="84" t="n"/>
      <c r="L817" s="84" t="n"/>
      <c r="M817" s="85">
        <f>IF(OR(Y817="估算法",Y817="算法类",Y817="无法识别"),"",IF(W817="",IF(OR(J817="EI",J817="EO",J817="EQ"),0,""),LEN(W817)-LEN(SUBSTITUTE(W817,"、",""))+1))</f>
        <v/>
      </c>
      <c r="N817" s="85">
        <f>IF(OR(Y817="估算法",Y817="算法类",Y817="无法识别"),"",IF(X817="",IF(OR(J817="ILF",J817="EIF"),0,""),LEN(X817)-LEN(SUBSTITUTE(X817,"、",""))+1))</f>
        <v/>
      </c>
      <c r="O817" s="85">
        <f>IF(OR(Y817="估算法",Y817="算法类",Y817="无法识别"),"",IF(Y817="",IF(OR(J817="ILF",J817="EIF",J817="EI",J817="EO",J817="EQ"),0,""),LEN(Y817)-LEN(SUBSTITUTE(SUBSTITUTE(SUBSTITUTE(SUBSTITUTE(SUBSTITUTE(Y817,"|}","--"),"{|","--"),CHAR(10),""),"、",""),"|",""))+IF(AND(OR(J817="EI",J817="EO",J817="EQ"),$AE$1="NESMA"),2,1)))</f>
        <v/>
      </c>
      <c r="P817" s="86">
        <f>IF(J817="EI",IF(OR(Y817="估算法",Y817="算法类"),"中",IF(Y817="无法识别","低",IF(M817&lt;2,IF(O817&lt;16,"低","中"),IF(M817&lt;3,IF(O817&lt;5,"低",IF(O817&lt;16,"中","高")),IF(O817&lt;5,"中","高"))))),IF(OR(J817="EO",J817="EQ"),IF(OR(Y817="估算法",Y817="算法类"),"中",IF(Y817="无法识别","低",IF(M817&lt;2,IF(O817&lt;20,"低","中"),IF(M817&lt;4,IF(O817&lt;6,"低",IF(O817&lt;20,"中","高")),IF(O817&lt;6,"中","高"))))),IF(OR(J817="ILF",J817="EIF"),IF(OR(Y817="估算法",Y817="算法类",Y817="无法识别"),"低",IF(N817&lt;2,IF(O817&lt;51,"低","中"),IF(N817&lt;6,IF(O817&lt;20,"低",IF(O817&lt;51,"中","高")),IF(O817&lt;20,"中","高")))),"不计算")))</f>
        <v/>
      </c>
      <c r="Q817" s="172">
        <f>IFERROR(IF(J817="EI",IF(P817="低",3,IF(P817="中",4,6)),IF(J817="EO",IF(P817="低",4,IF(P817="中",5,7)),IF(J817="EQ",IF(P817="低",3,IF(P817="中",4,6)),IF(J817="ILF",IF(P817="低",7,IF(P817="中",10,15)),IF(J817="EIF",IF(P817="低",5,IF(P817="中",7,10)),"不计算")))))*R817,"不计算")</f>
        <v/>
      </c>
      <c r="R817" s="172" t="n"/>
      <c r="S817" s="173">
        <f>调整因子!$F$13</f>
        <v/>
      </c>
      <c r="T817" s="93" t="n"/>
      <c r="U817" s="174">
        <f>IFERROR(Q817*S817,0)</f>
        <v/>
      </c>
      <c r="V817" s="174">
        <f>U817*T817</f>
        <v/>
      </c>
      <c r="W817" s="90" t="n"/>
      <c r="X817" s="113" t="n"/>
      <c r="Y817" s="90" t="n"/>
      <c r="Z817" s="90" t="n"/>
      <c r="AA817" s="90" t="n"/>
    </row>
    <row r="818" s="112">
      <c r="A818" s="72">
        <f>ROW()-1</f>
        <v/>
      </c>
      <c r="B818" s="175" t="n"/>
      <c r="C818" s="80" t="n"/>
      <c r="D818" s="80" t="n"/>
      <c r="E818" s="81">
        <f>VLOOKUP(I818,'25年交付功能（不含废弃）'!A:A,1,FALSE)</f>
        <v/>
      </c>
      <c r="F818" s="175" t="n"/>
      <c r="I818" s="103" t="n"/>
      <c r="J818" s="93" t="n"/>
      <c r="K818" s="84" t="n"/>
      <c r="L818" s="84" t="n"/>
      <c r="M818" s="85">
        <f>IF(OR(Y818="估算法",Y818="算法类",Y818="无法识别"),"",IF(W818="",IF(OR(J818="EI",J818="EO",J818="EQ"),0,""),LEN(W818)-LEN(SUBSTITUTE(W818,"、",""))+1))</f>
        <v/>
      </c>
      <c r="N818" s="85">
        <f>IF(OR(Y818="估算法",Y818="算法类",Y818="无法识别"),"",IF(X818="",IF(OR(J818="ILF",J818="EIF"),0,""),LEN(X818)-LEN(SUBSTITUTE(X818,"、",""))+1))</f>
        <v/>
      </c>
      <c r="O818" s="85">
        <f>IF(OR(Y818="估算法",Y818="算法类",Y818="无法识别"),"",IF(Y818="",IF(OR(J818="ILF",J818="EIF",J818="EI",J818="EO",J818="EQ"),0,""),LEN(Y818)-LEN(SUBSTITUTE(SUBSTITUTE(SUBSTITUTE(SUBSTITUTE(SUBSTITUTE(Y818,"|}","--"),"{|","--"),CHAR(10),""),"、",""),"|",""))+IF(AND(OR(J818="EI",J818="EO",J818="EQ"),$AE$1="NESMA"),2,1)))</f>
        <v/>
      </c>
      <c r="P818" s="86">
        <f>IF(J818="EI",IF(OR(Y818="估算法",Y818="算法类"),"中",IF(Y818="无法识别","低",IF(M818&lt;2,IF(O818&lt;16,"低","中"),IF(M818&lt;3,IF(O818&lt;5,"低",IF(O818&lt;16,"中","高")),IF(O818&lt;5,"中","高"))))),IF(OR(J818="EO",J818="EQ"),IF(OR(Y818="估算法",Y818="算法类"),"中",IF(Y818="无法识别","低",IF(M818&lt;2,IF(O818&lt;20,"低","中"),IF(M818&lt;4,IF(O818&lt;6,"低",IF(O818&lt;20,"中","高")),IF(O818&lt;6,"中","高"))))),IF(OR(J818="ILF",J818="EIF"),IF(OR(Y818="估算法",Y818="算法类",Y818="无法识别"),"低",IF(N818&lt;2,IF(O818&lt;51,"低","中"),IF(N818&lt;6,IF(O818&lt;20,"低",IF(O818&lt;51,"中","高")),IF(O818&lt;20,"中","高")))),"不计算")))</f>
        <v/>
      </c>
      <c r="Q818" s="172">
        <f>IFERROR(IF(J818="EI",IF(P818="低",3,IF(P818="中",4,6)),IF(J818="EO",IF(P818="低",4,IF(P818="中",5,7)),IF(J818="EQ",IF(P818="低",3,IF(P818="中",4,6)),IF(J818="ILF",IF(P818="低",7,IF(P818="中",10,15)),IF(J818="EIF",IF(P818="低",5,IF(P818="中",7,10)),"不计算")))))*R818,"不计算")</f>
        <v/>
      </c>
      <c r="R818" s="172" t="n"/>
      <c r="S818" s="173">
        <f>调整因子!$F$13</f>
        <v/>
      </c>
      <c r="T818" s="92" t="n"/>
      <c r="U818" s="174">
        <f>IFERROR(Q818*S818,0)</f>
        <v/>
      </c>
      <c r="V818" s="174">
        <f>U818*T818</f>
        <v/>
      </c>
      <c r="W818" s="90" t="n"/>
      <c r="X818" s="113" t="n"/>
      <c r="Y818" s="90" t="n"/>
      <c r="Z818" s="90" t="n"/>
      <c r="AA818" s="90" t="n"/>
    </row>
    <row r="819" s="112">
      <c r="A819" s="72">
        <f>ROW()-1</f>
        <v/>
      </c>
      <c r="B819" s="175" t="n"/>
      <c r="C819" s="80" t="n"/>
      <c r="D819" s="80" t="n"/>
      <c r="E819" s="81">
        <f>VLOOKUP(I819,'25年交付功能（不含废弃）'!A:A,1,FALSE)</f>
        <v/>
      </c>
      <c r="F819" s="175" t="n"/>
      <c r="I819" s="103" t="n"/>
      <c r="J819" s="93" t="n"/>
      <c r="K819" s="84" t="n"/>
      <c r="L819" s="84" t="n"/>
      <c r="M819" s="85">
        <f>IF(OR(Y819="估算法",Y819="算法类",Y819="无法识别"),"",IF(W819="",IF(OR(J819="EI",J819="EO",J819="EQ"),0,""),LEN(W819)-LEN(SUBSTITUTE(W819,"、",""))+1))</f>
        <v/>
      </c>
      <c r="N819" s="85">
        <f>IF(OR(Y819="估算法",Y819="算法类",Y819="无法识别"),"",IF(X819="",IF(OR(J819="ILF",J819="EIF"),0,""),LEN(X819)-LEN(SUBSTITUTE(X819,"、",""))+1))</f>
        <v/>
      </c>
      <c r="O819" s="85">
        <f>IF(OR(Y819="估算法",Y819="算法类",Y819="无法识别"),"",IF(Y819="",IF(OR(J819="ILF",J819="EIF",J819="EI",J819="EO",J819="EQ"),0,""),LEN(Y819)-LEN(SUBSTITUTE(SUBSTITUTE(SUBSTITUTE(SUBSTITUTE(SUBSTITUTE(Y819,"|}","--"),"{|","--"),CHAR(10),""),"、",""),"|",""))+IF(AND(OR(J819="EI",J819="EO",J819="EQ"),$AE$1="NESMA"),2,1)))</f>
        <v/>
      </c>
      <c r="P819" s="86">
        <f>IF(J819="EI",IF(OR(Y819="估算法",Y819="算法类"),"中",IF(Y819="无法识别","低",IF(M819&lt;2,IF(O819&lt;16,"低","中"),IF(M819&lt;3,IF(O819&lt;5,"低",IF(O819&lt;16,"中","高")),IF(O819&lt;5,"中","高"))))),IF(OR(J819="EO",J819="EQ"),IF(OR(Y819="估算法",Y819="算法类"),"中",IF(Y819="无法识别","低",IF(M819&lt;2,IF(O819&lt;20,"低","中"),IF(M819&lt;4,IF(O819&lt;6,"低",IF(O819&lt;20,"中","高")),IF(O819&lt;6,"中","高"))))),IF(OR(J819="ILF",J819="EIF"),IF(OR(Y819="估算法",Y819="算法类",Y819="无法识别"),"低",IF(N819&lt;2,IF(O819&lt;51,"低","中"),IF(N819&lt;6,IF(O819&lt;20,"低",IF(O819&lt;51,"中","高")),IF(O819&lt;20,"中","高")))),"不计算")))</f>
        <v/>
      </c>
      <c r="Q819" s="172">
        <f>IFERROR(IF(J819="EI",IF(P819="低",3,IF(P819="中",4,6)),IF(J819="EO",IF(P819="低",4,IF(P819="中",5,7)),IF(J819="EQ",IF(P819="低",3,IF(P819="中",4,6)),IF(J819="ILF",IF(P819="低",7,IF(P819="中",10,15)),IF(J819="EIF",IF(P819="低",5,IF(P819="中",7,10)),"不计算")))))*R819,"不计算")</f>
        <v/>
      </c>
      <c r="R819" s="172" t="n"/>
      <c r="S819" s="173">
        <f>调整因子!$F$13</f>
        <v/>
      </c>
      <c r="T819" s="92" t="n"/>
      <c r="U819" s="174">
        <f>IFERROR(Q819*S819,0)</f>
        <v/>
      </c>
      <c r="V819" s="174">
        <f>U819*T819</f>
        <v/>
      </c>
      <c r="W819" s="90" t="n"/>
      <c r="X819" s="113" t="n"/>
      <c r="Y819" s="90" t="n"/>
      <c r="Z819" s="90" t="n"/>
      <c r="AA819" s="90" t="n"/>
    </row>
    <row r="820" s="112">
      <c r="A820" s="72">
        <f>ROW()-1</f>
        <v/>
      </c>
      <c r="B820" s="175" t="n"/>
      <c r="C820" s="80" t="n"/>
      <c r="D820" s="80" t="n"/>
      <c r="E820" s="81">
        <f>VLOOKUP(I820,'25年交付功能（不含废弃）'!A:A,1,FALSE)</f>
        <v/>
      </c>
      <c r="F820" s="175" t="n"/>
      <c r="I820" s="103" t="n"/>
      <c r="J820" s="93" t="n"/>
      <c r="K820" s="84" t="n"/>
      <c r="L820" s="84" t="n"/>
      <c r="M820" s="85">
        <f>IF(OR(Y820="估算法",Y820="算法类",Y820="无法识别"),"",IF(W820="",IF(OR(J820="EI",J820="EO",J820="EQ"),0,""),LEN(W820)-LEN(SUBSTITUTE(W820,"、",""))+1))</f>
        <v/>
      </c>
      <c r="N820" s="85">
        <f>IF(OR(Y820="估算法",Y820="算法类",Y820="无法识别"),"",IF(X820="",IF(OR(J820="ILF",J820="EIF"),0,""),LEN(X820)-LEN(SUBSTITUTE(X820,"、",""))+1))</f>
        <v/>
      </c>
      <c r="O820" s="85">
        <f>IF(OR(Y820="估算法",Y820="算法类",Y820="无法识别"),"",IF(Y820="",IF(OR(J820="ILF",J820="EIF",J820="EI",J820="EO",J820="EQ"),0,""),LEN(Y820)-LEN(SUBSTITUTE(SUBSTITUTE(SUBSTITUTE(SUBSTITUTE(SUBSTITUTE(Y820,"|}","--"),"{|","--"),CHAR(10),""),"、",""),"|",""))+IF(AND(OR(J820="EI",J820="EO",J820="EQ"),$AE$1="NESMA"),2,1)))</f>
        <v/>
      </c>
      <c r="P820" s="86">
        <f>IF(J820="EI",IF(OR(Y820="估算法",Y820="算法类"),"中",IF(Y820="无法识别","低",IF(M820&lt;2,IF(O820&lt;16,"低","中"),IF(M820&lt;3,IF(O820&lt;5,"低",IF(O820&lt;16,"中","高")),IF(O820&lt;5,"中","高"))))),IF(OR(J820="EO",J820="EQ"),IF(OR(Y820="估算法",Y820="算法类"),"中",IF(Y820="无法识别","低",IF(M820&lt;2,IF(O820&lt;20,"低","中"),IF(M820&lt;4,IF(O820&lt;6,"低",IF(O820&lt;20,"中","高")),IF(O820&lt;6,"中","高"))))),IF(OR(J820="ILF",J820="EIF"),IF(OR(Y820="估算法",Y820="算法类",Y820="无法识别"),"低",IF(N820&lt;2,IF(O820&lt;51,"低","中"),IF(N820&lt;6,IF(O820&lt;20,"低",IF(O820&lt;51,"中","高")),IF(O820&lt;20,"中","高")))),"不计算")))</f>
        <v/>
      </c>
      <c r="Q820" s="172">
        <f>IFERROR(IF(J820="EI",IF(P820="低",3,IF(P820="中",4,6)),IF(J820="EO",IF(P820="低",4,IF(P820="中",5,7)),IF(J820="EQ",IF(P820="低",3,IF(P820="中",4,6)),IF(J820="ILF",IF(P820="低",7,IF(P820="中",10,15)),IF(J820="EIF",IF(P820="低",5,IF(P820="中",7,10)),"不计算")))))*R820,"不计算")</f>
        <v/>
      </c>
      <c r="R820" s="172" t="n"/>
      <c r="S820" s="173">
        <f>调整因子!$F$13</f>
        <v/>
      </c>
      <c r="T820" s="93" t="n"/>
      <c r="U820" s="174">
        <f>IFERROR(Q820*S820,0)</f>
        <v/>
      </c>
      <c r="V820" s="174">
        <f>U820*T820</f>
        <v/>
      </c>
      <c r="W820" s="113" t="n"/>
      <c r="X820" s="90" t="n"/>
      <c r="Y820" s="90" t="n"/>
      <c r="Z820" s="90" t="n"/>
      <c r="AA820" s="90" t="n"/>
    </row>
    <row r="821" s="112">
      <c r="A821" s="72">
        <f>ROW()-1</f>
        <v/>
      </c>
      <c r="B821" s="175" t="n"/>
      <c r="C821" s="80" t="n"/>
      <c r="D821" s="80" t="n"/>
      <c r="E821" s="81">
        <f>VLOOKUP(I821,'25年交付功能（不含废弃）'!A:A,1,FALSE)</f>
        <v/>
      </c>
      <c r="F821" s="175" t="n"/>
      <c r="I821" s="103" t="n"/>
      <c r="J821" s="93" t="n"/>
      <c r="K821" s="84" t="n"/>
      <c r="L821" s="84" t="n"/>
      <c r="M821" s="85">
        <f>IF(OR(Y821="估算法",Y821="算法类",Y821="无法识别"),"",IF(W821="",IF(OR(J821="EI",J821="EO",J821="EQ"),0,""),LEN(W821)-LEN(SUBSTITUTE(W821,"、",""))+1))</f>
        <v/>
      </c>
      <c r="N821" s="85">
        <f>IF(OR(Y821="估算法",Y821="算法类",Y821="无法识别"),"",IF(X821="",IF(OR(J821="ILF",J821="EIF"),0,""),LEN(X821)-LEN(SUBSTITUTE(X821,"、",""))+1))</f>
        <v/>
      </c>
      <c r="O821" s="85">
        <f>IF(OR(Y821="估算法",Y821="算法类",Y821="无法识别"),"",IF(Y821="",IF(OR(J821="ILF",J821="EIF",J821="EI",J821="EO",J821="EQ"),0,""),LEN(Y821)-LEN(SUBSTITUTE(SUBSTITUTE(SUBSTITUTE(SUBSTITUTE(SUBSTITUTE(Y821,"|}","--"),"{|","--"),CHAR(10),""),"、",""),"|",""))+IF(AND(OR(J821="EI",J821="EO",J821="EQ"),$AE$1="NESMA"),2,1)))</f>
        <v/>
      </c>
      <c r="P821" s="86">
        <f>IF(J821="EI",IF(OR(Y821="估算法",Y821="算法类"),"中",IF(Y821="无法识别","低",IF(M821&lt;2,IF(O821&lt;16,"低","中"),IF(M821&lt;3,IF(O821&lt;5,"低",IF(O821&lt;16,"中","高")),IF(O821&lt;5,"中","高"))))),IF(OR(J821="EO",J821="EQ"),IF(OR(Y821="估算法",Y821="算法类"),"中",IF(Y821="无法识别","低",IF(M821&lt;2,IF(O821&lt;20,"低","中"),IF(M821&lt;4,IF(O821&lt;6,"低",IF(O821&lt;20,"中","高")),IF(O821&lt;6,"中","高"))))),IF(OR(J821="ILF",J821="EIF"),IF(OR(Y821="估算法",Y821="算法类",Y821="无法识别"),"低",IF(N821&lt;2,IF(O821&lt;51,"低","中"),IF(N821&lt;6,IF(O821&lt;20,"低",IF(O821&lt;51,"中","高")),IF(O821&lt;20,"中","高")))),"不计算")))</f>
        <v/>
      </c>
      <c r="Q821" s="172">
        <f>IFERROR(IF(J821="EI",IF(P821="低",3,IF(P821="中",4,6)),IF(J821="EO",IF(P821="低",4,IF(P821="中",5,7)),IF(J821="EQ",IF(P821="低",3,IF(P821="中",4,6)),IF(J821="ILF",IF(P821="低",7,IF(P821="中",10,15)),IF(J821="EIF",IF(P821="低",5,IF(P821="中",7,10)),"不计算")))))*R821,"不计算")</f>
        <v/>
      </c>
      <c r="R821" s="172" t="n"/>
      <c r="S821" s="173">
        <f>调整因子!$F$13</f>
        <v/>
      </c>
      <c r="T821" s="92" t="n"/>
      <c r="U821" s="174">
        <f>IFERROR(Q821*S821,0)</f>
        <v/>
      </c>
      <c r="V821" s="174">
        <f>U821*T821</f>
        <v/>
      </c>
      <c r="W821" s="90" t="n"/>
      <c r="X821" s="113" t="n"/>
      <c r="Y821" s="90" t="n"/>
      <c r="Z821" s="90" t="n"/>
      <c r="AA821" s="90" t="n"/>
    </row>
    <row r="822" s="112">
      <c r="A822" s="72">
        <f>ROW()-1</f>
        <v/>
      </c>
      <c r="B822" s="175" t="n"/>
      <c r="C822" s="80" t="n"/>
      <c r="D822" s="80" t="n"/>
      <c r="E822" s="81">
        <f>VLOOKUP(I822,'25年交付功能（不含废弃）'!A:A,1,FALSE)</f>
        <v/>
      </c>
      <c r="F822" s="175" t="n"/>
      <c r="I822" s="103" t="n"/>
      <c r="J822" s="93" t="n"/>
      <c r="K822" s="84" t="n"/>
      <c r="L822" s="84" t="n"/>
      <c r="M822" s="85">
        <f>IF(OR(Y822="估算法",Y822="算法类",Y822="无法识别"),"",IF(W822="",IF(OR(J822="EI",J822="EO",J822="EQ"),0,""),LEN(W822)-LEN(SUBSTITUTE(W822,"、",""))+1))</f>
        <v/>
      </c>
      <c r="N822" s="85">
        <f>IF(OR(Y822="估算法",Y822="算法类",Y822="无法识别"),"",IF(X822="",IF(OR(J822="ILF",J822="EIF"),0,""),LEN(X822)-LEN(SUBSTITUTE(X822,"、",""))+1))</f>
        <v/>
      </c>
      <c r="O822" s="85">
        <f>IF(OR(Y822="估算法",Y822="算法类",Y822="无法识别"),"",IF(Y822="",IF(OR(J822="ILF",J822="EIF",J822="EI",J822="EO",J822="EQ"),0,""),LEN(Y822)-LEN(SUBSTITUTE(SUBSTITUTE(SUBSTITUTE(SUBSTITUTE(SUBSTITUTE(Y822,"|}","--"),"{|","--"),CHAR(10),""),"、",""),"|",""))+IF(AND(OR(J822="EI",J822="EO",J822="EQ"),$AE$1="NESMA"),2,1)))</f>
        <v/>
      </c>
      <c r="P822" s="86">
        <f>IF(J822="EI",IF(OR(Y822="估算法",Y822="算法类"),"中",IF(Y822="无法识别","低",IF(M822&lt;2,IF(O822&lt;16,"低","中"),IF(M822&lt;3,IF(O822&lt;5,"低",IF(O822&lt;16,"中","高")),IF(O822&lt;5,"中","高"))))),IF(OR(J822="EO",J822="EQ"),IF(OR(Y822="估算法",Y822="算法类"),"中",IF(Y822="无法识别","低",IF(M822&lt;2,IF(O822&lt;20,"低","中"),IF(M822&lt;4,IF(O822&lt;6,"低",IF(O822&lt;20,"中","高")),IF(O822&lt;6,"中","高"))))),IF(OR(J822="ILF",J822="EIF"),IF(OR(Y822="估算法",Y822="算法类",Y822="无法识别"),"低",IF(N822&lt;2,IF(O822&lt;51,"低","中"),IF(N822&lt;6,IF(O822&lt;20,"低",IF(O822&lt;51,"中","高")),IF(O822&lt;20,"中","高")))),"不计算")))</f>
        <v/>
      </c>
      <c r="Q822" s="172">
        <f>IFERROR(IF(J822="EI",IF(P822="低",3,IF(P822="中",4,6)),IF(J822="EO",IF(P822="低",4,IF(P822="中",5,7)),IF(J822="EQ",IF(P822="低",3,IF(P822="中",4,6)),IF(J822="ILF",IF(P822="低",7,IF(P822="中",10,15)),IF(J822="EIF",IF(P822="低",5,IF(P822="中",7,10)),"不计算")))))*R822,"不计算")</f>
        <v/>
      </c>
      <c r="R822" s="172" t="n"/>
      <c r="S822" s="173">
        <f>调整因子!$F$13</f>
        <v/>
      </c>
      <c r="T822" s="92" t="n"/>
      <c r="U822" s="174">
        <f>IFERROR(Q822*S822,0)</f>
        <v/>
      </c>
      <c r="V822" s="174">
        <f>U822*T822</f>
        <v/>
      </c>
      <c r="W822" s="90" t="n"/>
      <c r="X822" s="113" t="n"/>
      <c r="Y822" s="90" t="n"/>
      <c r="Z822" s="90" t="n"/>
      <c r="AA822" s="90" t="n"/>
    </row>
    <row r="823" s="112">
      <c r="A823" s="72">
        <f>ROW()-1</f>
        <v/>
      </c>
      <c r="B823" s="175" t="n"/>
      <c r="C823" s="80" t="n"/>
      <c r="D823" s="80" t="n"/>
      <c r="E823" s="81">
        <f>VLOOKUP(I823,'25年交付功能（不含废弃）'!A:A,1,FALSE)</f>
        <v/>
      </c>
      <c r="F823" s="175" t="n"/>
      <c r="I823" s="103" t="n"/>
      <c r="J823" s="93" t="n"/>
      <c r="K823" s="84" t="n"/>
      <c r="L823" s="84" t="n"/>
      <c r="M823" s="85">
        <f>IF(OR(Y823="估算法",Y823="算法类",Y823="无法识别"),"",IF(W823="",IF(OR(J823="EI",J823="EO",J823="EQ"),0,""),LEN(W823)-LEN(SUBSTITUTE(W823,"、",""))+1))</f>
        <v/>
      </c>
      <c r="N823" s="85">
        <f>IF(OR(Y823="估算法",Y823="算法类",Y823="无法识别"),"",IF(X823="",IF(OR(J823="ILF",J823="EIF"),0,""),LEN(X823)-LEN(SUBSTITUTE(X823,"、",""))+1))</f>
        <v/>
      </c>
      <c r="O823" s="85">
        <f>IF(OR(Y823="估算法",Y823="算法类",Y823="无法识别"),"",IF(Y823="",IF(OR(J823="ILF",J823="EIF",J823="EI",J823="EO",J823="EQ"),0,""),LEN(Y823)-LEN(SUBSTITUTE(SUBSTITUTE(SUBSTITUTE(SUBSTITUTE(SUBSTITUTE(Y823,"|}","--"),"{|","--"),CHAR(10),""),"、",""),"|",""))+IF(AND(OR(J823="EI",J823="EO",J823="EQ"),$AE$1="NESMA"),2,1)))</f>
        <v/>
      </c>
      <c r="P823" s="86">
        <f>IF(J823="EI",IF(OR(Y823="估算法",Y823="算法类"),"中",IF(Y823="无法识别","低",IF(M823&lt;2,IF(O823&lt;16,"低","中"),IF(M823&lt;3,IF(O823&lt;5,"低",IF(O823&lt;16,"中","高")),IF(O823&lt;5,"中","高"))))),IF(OR(J823="EO",J823="EQ"),IF(OR(Y823="估算法",Y823="算法类"),"中",IF(Y823="无法识别","低",IF(M823&lt;2,IF(O823&lt;20,"低","中"),IF(M823&lt;4,IF(O823&lt;6,"低",IF(O823&lt;20,"中","高")),IF(O823&lt;6,"中","高"))))),IF(OR(J823="ILF",J823="EIF"),IF(OR(Y823="估算法",Y823="算法类",Y823="无法识别"),"低",IF(N823&lt;2,IF(O823&lt;51,"低","中"),IF(N823&lt;6,IF(O823&lt;20,"低",IF(O823&lt;51,"中","高")),IF(O823&lt;20,"中","高")))),"不计算")))</f>
        <v/>
      </c>
      <c r="Q823" s="172">
        <f>IFERROR(IF(J823="EI",IF(P823="低",3,IF(P823="中",4,6)),IF(J823="EO",IF(P823="低",4,IF(P823="中",5,7)),IF(J823="EQ",IF(P823="低",3,IF(P823="中",4,6)),IF(J823="ILF",IF(P823="低",7,IF(P823="中",10,15)),IF(J823="EIF",IF(P823="低",5,IF(P823="中",7,10)),"不计算")))))*R823,"不计算")</f>
        <v/>
      </c>
      <c r="R823" s="172" t="n"/>
      <c r="S823" s="173">
        <f>调整因子!$F$13</f>
        <v/>
      </c>
      <c r="T823" s="93" t="n"/>
      <c r="U823" s="174">
        <f>IFERROR(Q823*S823,0)</f>
        <v/>
      </c>
      <c r="V823" s="174">
        <f>U823*T823</f>
        <v/>
      </c>
      <c r="W823" s="90" t="n"/>
      <c r="X823" s="113" t="n"/>
      <c r="Y823" s="90" t="n"/>
      <c r="Z823" s="90" t="n"/>
      <c r="AA823" s="90" t="n"/>
    </row>
    <row r="824" s="112">
      <c r="A824" s="72">
        <f>ROW()-1</f>
        <v/>
      </c>
      <c r="B824" s="175" t="n"/>
      <c r="C824" s="80" t="n"/>
      <c r="D824" s="80" t="n"/>
      <c r="E824" s="81">
        <f>VLOOKUP(I824,'25年交付功能（不含废弃）'!A:A,1,FALSE)</f>
        <v/>
      </c>
      <c r="F824" s="175" t="n"/>
      <c r="I824" s="103" t="n"/>
      <c r="J824" s="93" t="n"/>
      <c r="K824" s="84" t="n"/>
      <c r="L824" s="84" t="n"/>
      <c r="M824" s="85">
        <f>IF(OR(Y824="估算法",Y824="算法类",Y824="无法识别"),"",IF(W824="",IF(OR(J824="EI",J824="EO",J824="EQ"),0,""),LEN(W824)-LEN(SUBSTITUTE(W824,"、",""))+1))</f>
        <v/>
      </c>
      <c r="N824" s="85">
        <f>IF(OR(Y824="估算法",Y824="算法类",Y824="无法识别"),"",IF(X824="",IF(OR(J824="ILF",J824="EIF"),0,""),LEN(X824)-LEN(SUBSTITUTE(X824,"、",""))+1))</f>
        <v/>
      </c>
      <c r="O824" s="85">
        <f>IF(OR(Y824="估算法",Y824="算法类",Y824="无法识别"),"",IF(Y824="",IF(OR(J824="ILF",J824="EIF",J824="EI",J824="EO",J824="EQ"),0,""),LEN(Y824)-LEN(SUBSTITUTE(SUBSTITUTE(SUBSTITUTE(SUBSTITUTE(SUBSTITUTE(Y824,"|}","--"),"{|","--"),CHAR(10),""),"、",""),"|",""))+IF(AND(OR(J824="EI",J824="EO",J824="EQ"),$AE$1="NESMA"),2,1)))</f>
        <v/>
      </c>
      <c r="P824" s="86">
        <f>IF(J824="EI",IF(OR(Y824="估算法",Y824="算法类"),"中",IF(Y824="无法识别","低",IF(M824&lt;2,IF(O824&lt;16,"低","中"),IF(M824&lt;3,IF(O824&lt;5,"低",IF(O824&lt;16,"中","高")),IF(O824&lt;5,"中","高"))))),IF(OR(J824="EO",J824="EQ"),IF(OR(Y824="估算法",Y824="算法类"),"中",IF(Y824="无法识别","低",IF(M824&lt;2,IF(O824&lt;20,"低","中"),IF(M824&lt;4,IF(O824&lt;6,"低",IF(O824&lt;20,"中","高")),IF(O824&lt;6,"中","高"))))),IF(OR(J824="ILF",J824="EIF"),IF(OR(Y824="估算法",Y824="算法类",Y824="无法识别"),"低",IF(N824&lt;2,IF(O824&lt;51,"低","中"),IF(N824&lt;6,IF(O824&lt;20,"低",IF(O824&lt;51,"中","高")),IF(O824&lt;20,"中","高")))),"不计算")))</f>
        <v/>
      </c>
      <c r="Q824" s="172">
        <f>IFERROR(IF(J824="EI",IF(P824="低",3,IF(P824="中",4,6)),IF(J824="EO",IF(P824="低",4,IF(P824="中",5,7)),IF(J824="EQ",IF(P824="低",3,IF(P824="中",4,6)),IF(J824="ILF",IF(P824="低",7,IF(P824="中",10,15)),IF(J824="EIF",IF(P824="低",5,IF(P824="中",7,10)),"不计算")))))*R824,"不计算")</f>
        <v/>
      </c>
      <c r="R824" s="172" t="n"/>
      <c r="S824" s="173">
        <f>调整因子!$F$13</f>
        <v/>
      </c>
      <c r="T824" s="93" t="n"/>
      <c r="U824" s="174">
        <f>IFERROR(Q824*S824,0)</f>
        <v/>
      </c>
      <c r="V824" s="174">
        <f>U824*T824</f>
        <v/>
      </c>
      <c r="W824" s="113" t="n"/>
      <c r="X824" s="90" t="n"/>
      <c r="Y824" s="90" t="n"/>
      <c r="Z824" s="90" t="n"/>
      <c r="AA824" s="90" t="n"/>
    </row>
    <row r="825" s="112">
      <c r="A825" s="72">
        <f>ROW()-1</f>
        <v/>
      </c>
      <c r="B825" s="175" t="n"/>
      <c r="C825" s="80" t="n"/>
      <c r="D825" s="80" t="n"/>
      <c r="E825" s="81">
        <f>VLOOKUP(I825,'25年交付功能（不含废弃）'!A:A,1,FALSE)</f>
        <v/>
      </c>
      <c r="F825" s="175" t="n"/>
      <c r="I825" s="103" t="n"/>
      <c r="J825" s="93" t="n"/>
      <c r="K825" s="84" t="n"/>
      <c r="L825" s="84" t="n"/>
      <c r="M825" s="85">
        <f>IF(OR(Y825="估算法",Y825="算法类",Y825="无法识别"),"",IF(W825="",IF(OR(J825="EI",J825="EO",J825="EQ"),0,""),LEN(W825)-LEN(SUBSTITUTE(W825,"、",""))+1))</f>
        <v/>
      </c>
      <c r="N825" s="85">
        <f>IF(OR(Y825="估算法",Y825="算法类",Y825="无法识别"),"",IF(X825="",IF(OR(J825="ILF",J825="EIF"),0,""),LEN(X825)-LEN(SUBSTITUTE(X825,"、",""))+1))</f>
        <v/>
      </c>
      <c r="O825" s="85">
        <f>IF(OR(Y825="估算法",Y825="算法类",Y825="无法识别"),"",IF(Y825="",IF(OR(J825="ILF",J825="EIF",J825="EI",J825="EO",J825="EQ"),0,""),LEN(Y825)-LEN(SUBSTITUTE(SUBSTITUTE(SUBSTITUTE(SUBSTITUTE(SUBSTITUTE(Y825,"|}","--"),"{|","--"),CHAR(10),""),"、",""),"|",""))+IF(AND(OR(J825="EI",J825="EO",J825="EQ"),$AE$1="NESMA"),2,1)))</f>
        <v/>
      </c>
      <c r="P825" s="86">
        <f>IF(J825="EI",IF(OR(Y825="估算法",Y825="算法类"),"中",IF(Y825="无法识别","低",IF(M825&lt;2,IF(O825&lt;16,"低","中"),IF(M825&lt;3,IF(O825&lt;5,"低",IF(O825&lt;16,"中","高")),IF(O825&lt;5,"中","高"))))),IF(OR(J825="EO",J825="EQ"),IF(OR(Y825="估算法",Y825="算法类"),"中",IF(Y825="无法识别","低",IF(M825&lt;2,IF(O825&lt;20,"低","中"),IF(M825&lt;4,IF(O825&lt;6,"低",IF(O825&lt;20,"中","高")),IF(O825&lt;6,"中","高"))))),IF(OR(J825="ILF",J825="EIF"),IF(OR(Y825="估算法",Y825="算法类",Y825="无法识别"),"低",IF(N825&lt;2,IF(O825&lt;51,"低","中"),IF(N825&lt;6,IF(O825&lt;20,"低",IF(O825&lt;51,"中","高")),IF(O825&lt;20,"中","高")))),"不计算")))</f>
        <v/>
      </c>
      <c r="Q825" s="172">
        <f>IFERROR(IF(J825="EI",IF(P825="低",3,IF(P825="中",4,6)),IF(J825="EO",IF(P825="低",4,IF(P825="中",5,7)),IF(J825="EQ",IF(P825="低",3,IF(P825="中",4,6)),IF(J825="ILF",IF(P825="低",7,IF(P825="中",10,15)),IF(J825="EIF",IF(P825="低",5,IF(P825="中",7,10)),"不计算")))))*R825,"不计算")</f>
        <v/>
      </c>
      <c r="R825" s="172" t="n"/>
      <c r="S825" s="173">
        <f>调整因子!$F$13</f>
        <v/>
      </c>
      <c r="T825" s="92" t="n"/>
      <c r="U825" s="174">
        <f>IFERROR(Q825*S825,0)</f>
        <v/>
      </c>
      <c r="V825" s="174">
        <f>U825*T825</f>
        <v/>
      </c>
      <c r="W825" s="90" t="n"/>
      <c r="X825" s="113" t="n"/>
      <c r="Y825" s="90" t="n"/>
      <c r="Z825" s="90" t="n"/>
      <c r="AA825" s="90" t="n"/>
    </row>
    <row r="826" s="112">
      <c r="A826" s="72">
        <f>ROW()-1</f>
        <v/>
      </c>
      <c r="B826" s="175" t="n"/>
      <c r="C826" s="80" t="n"/>
      <c r="D826" s="80" t="n"/>
      <c r="E826" s="81">
        <f>VLOOKUP(I826,'25年交付功能（不含废弃）'!A:A,1,FALSE)</f>
        <v/>
      </c>
      <c r="F826" s="175" t="n"/>
      <c r="I826" s="103" t="n"/>
      <c r="J826" s="93" t="n"/>
      <c r="K826" s="84" t="n"/>
      <c r="L826" s="84" t="n"/>
      <c r="M826" s="85">
        <f>IF(OR(Y826="估算法",Y826="算法类",Y826="无法识别"),"",IF(W826="",IF(OR(J826="EI",J826="EO",J826="EQ"),0,""),LEN(W826)-LEN(SUBSTITUTE(W826,"、",""))+1))</f>
        <v/>
      </c>
      <c r="N826" s="85">
        <f>IF(OR(Y826="估算法",Y826="算法类",Y826="无法识别"),"",IF(X826="",IF(OR(J826="ILF",J826="EIF"),0,""),LEN(X826)-LEN(SUBSTITUTE(X826,"、",""))+1))</f>
        <v/>
      </c>
      <c r="O826" s="85">
        <f>IF(OR(Y826="估算法",Y826="算法类",Y826="无法识别"),"",IF(Y826="",IF(OR(J826="ILF",J826="EIF",J826="EI",J826="EO",J826="EQ"),0,""),LEN(Y826)-LEN(SUBSTITUTE(SUBSTITUTE(SUBSTITUTE(SUBSTITUTE(SUBSTITUTE(Y826,"|}","--"),"{|","--"),CHAR(10),""),"、",""),"|",""))+IF(AND(OR(J826="EI",J826="EO",J826="EQ"),$AE$1="NESMA"),2,1)))</f>
        <v/>
      </c>
      <c r="P826" s="86">
        <f>IF(J826="EI",IF(OR(Y826="估算法",Y826="算法类"),"中",IF(Y826="无法识别","低",IF(M826&lt;2,IF(O826&lt;16,"低","中"),IF(M826&lt;3,IF(O826&lt;5,"低",IF(O826&lt;16,"中","高")),IF(O826&lt;5,"中","高"))))),IF(OR(J826="EO",J826="EQ"),IF(OR(Y826="估算法",Y826="算法类"),"中",IF(Y826="无法识别","低",IF(M826&lt;2,IF(O826&lt;20,"低","中"),IF(M826&lt;4,IF(O826&lt;6,"低",IF(O826&lt;20,"中","高")),IF(O826&lt;6,"中","高"))))),IF(OR(J826="ILF",J826="EIF"),IF(OR(Y826="估算法",Y826="算法类",Y826="无法识别"),"低",IF(N826&lt;2,IF(O826&lt;51,"低","中"),IF(N826&lt;6,IF(O826&lt;20,"低",IF(O826&lt;51,"中","高")),IF(O826&lt;20,"中","高")))),"不计算")))</f>
        <v/>
      </c>
      <c r="Q826" s="172">
        <f>IFERROR(IF(J826="EI",IF(P826="低",3,IF(P826="中",4,6)),IF(J826="EO",IF(P826="低",4,IF(P826="中",5,7)),IF(J826="EQ",IF(P826="低",3,IF(P826="中",4,6)),IF(J826="ILF",IF(P826="低",7,IF(P826="中",10,15)),IF(J826="EIF",IF(P826="低",5,IF(P826="中",7,10)),"不计算")))))*R826,"不计算")</f>
        <v/>
      </c>
      <c r="R826" s="172" t="n"/>
      <c r="S826" s="173">
        <f>调整因子!$F$13</f>
        <v/>
      </c>
      <c r="T826" s="92" t="n"/>
      <c r="U826" s="174">
        <f>IFERROR(Q826*S826,0)</f>
        <v/>
      </c>
      <c r="V826" s="174">
        <f>U826*T826</f>
        <v/>
      </c>
      <c r="W826" s="90" t="n"/>
      <c r="X826" s="113" t="n"/>
      <c r="Y826" s="90" t="n"/>
      <c r="Z826" s="90" t="n"/>
      <c r="AA826" s="90" t="n"/>
    </row>
    <row r="827" s="112">
      <c r="A827" s="72">
        <f>ROW()-1</f>
        <v/>
      </c>
      <c r="B827" s="175" t="n"/>
      <c r="C827" s="80" t="n"/>
      <c r="D827" s="80" t="n"/>
      <c r="E827" s="81">
        <f>VLOOKUP(I827,'25年交付功能（不含废弃）'!A:A,1,FALSE)</f>
        <v/>
      </c>
      <c r="F827" s="175" t="n"/>
      <c r="I827" s="103" t="n"/>
      <c r="J827" s="93" t="n"/>
      <c r="K827" s="84" t="n"/>
      <c r="L827" s="84" t="n"/>
      <c r="M827" s="85">
        <f>IF(OR(Y827="估算法",Y827="算法类",Y827="无法识别"),"",IF(W827="",IF(OR(J827="EI",J827="EO",J827="EQ"),0,""),LEN(W827)-LEN(SUBSTITUTE(W827,"、",""))+1))</f>
        <v/>
      </c>
      <c r="N827" s="85">
        <f>IF(OR(Y827="估算法",Y827="算法类",Y827="无法识别"),"",IF(X827="",IF(OR(J827="ILF",J827="EIF"),0,""),LEN(X827)-LEN(SUBSTITUTE(X827,"、",""))+1))</f>
        <v/>
      </c>
      <c r="O827" s="85">
        <f>IF(OR(Y827="估算法",Y827="算法类",Y827="无法识别"),"",IF(Y827="",IF(OR(J827="ILF",J827="EIF",J827="EI",J827="EO",J827="EQ"),0,""),LEN(Y827)-LEN(SUBSTITUTE(SUBSTITUTE(SUBSTITUTE(SUBSTITUTE(SUBSTITUTE(Y827,"|}","--"),"{|","--"),CHAR(10),""),"、",""),"|",""))+IF(AND(OR(J827="EI",J827="EO",J827="EQ"),$AE$1="NESMA"),2,1)))</f>
        <v/>
      </c>
      <c r="P827" s="86">
        <f>IF(J827="EI",IF(OR(Y827="估算法",Y827="算法类"),"中",IF(Y827="无法识别","低",IF(M827&lt;2,IF(O827&lt;16,"低","中"),IF(M827&lt;3,IF(O827&lt;5,"低",IF(O827&lt;16,"中","高")),IF(O827&lt;5,"中","高"))))),IF(OR(J827="EO",J827="EQ"),IF(OR(Y827="估算法",Y827="算法类"),"中",IF(Y827="无法识别","低",IF(M827&lt;2,IF(O827&lt;20,"低","中"),IF(M827&lt;4,IF(O827&lt;6,"低",IF(O827&lt;20,"中","高")),IF(O827&lt;6,"中","高"))))),IF(OR(J827="ILF",J827="EIF"),IF(OR(Y827="估算法",Y827="算法类",Y827="无法识别"),"低",IF(N827&lt;2,IF(O827&lt;51,"低","中"),IF(N827&lt;6,IF(O827&lt;20,"低",IF(O827&lt;51,"中","高")),IF(O827&lt;20,"中","高")))),"不计算")))</f>
        <v/>
      </c>
      <c r="Q827" s="172">
        <f>IFERROR(IF(J827="EI",IF(P827="低",3,IF(P827="中",4,6)),IF(J827="EO",IF(P827="低",4,IF(P827="中",5,7)),IF(J827="EQ",IF(P827="低",3,IF(P827="中",4,6)),IF(J827="ILF",IF(P827="低",7,IF(P827="中",10,15)),IF(J827="EIF",IF(P827="低",5,IF(P827="中",7,10)),"不计算")))))*R827,"不计算")</f>
        <v/>
      </c>
      <c r="R827" s="172" t="n"/>
      <c r="S827" s="173">
        <f>调整因子!$F$13</f>
        <v/>
      </c>
      <c r="T827" s="93" t="n"/>
      <c r="U827" s="174">
        <f>IFERROR(Q827*S827,0)</f>
        <v/>
      </c>
      <c r="V827" s="174">
        <f>U827*T827</f>
        <v/>
      </c>
      <c r="W827" s="90" t="n"/>
      <c r="X827" s="113" t="n"/>
      <c r="Y827" s="90" t="n"/>
      <c r="Z827" s="90" t="n"/>
      <c r="AA827" s="90" t="n"/>
    </row>
    <row r="828" s="112">
      <c r="A828" s="72">
        <f>ROW()-1</f>
        <v/>
      </c>
      <c r="B828" s="175" t="n"/>
      <c r="C828" s="80" t="n"/>
      <c r="D828" s="80" t="n"/>
      <c r="E828" s="81">
        <f>VLOOKUP(I828,'25年交付功能（不含废弃）'!A:A,1,FALSE)</f>
        <v/>
      </c>
      <c r="F828" s="175" t="n"/>
      <c r="I828" s="103" t="n"/>
      <c r="J828" s="93" t="n"/>
      <c r="K828" s="84" t="n"/>
      <c r="L828" s="84" t="n"/>
      <c r="M828" s="85">
        <f>IF(OR(Y828="估算法",Y828="算法类",Y828="无法识别"),"",IF(W828="",IF(OR(J828="EI",J828="EO",J828="EQ"),0,""),LEN(W828)-LEN(SUBSTITUTE(W828,"、",""))+1))</f>
        <v/>
      </c>
      <c r="N828" s="85">
        <f>IF(OR(Y828="估算法",Y828="算法类",Y828="无法识别"),"",IF(X828="",IF(OR(J828="ILF",J828="EIF"),0,""),LEN(X828)-LEN(SUBSTITUTE(X828,"、",""))+1))</f>
        <v/>
      </c>
      <c r="O828" s="85">
        <f>IF(OR(Y828="估算法",Y828="算法类",Y828="无法识别"),"",IF(Y828="",IF(OR(J828="ILF",J828="EIF",J828="EI",J828="EO",J828="EQ"),0,""),LEN(Y828)-LEN(SUBSTITUTE(SUBSTITUTE(SUBSTITUTE(SUBSTITUTE(SUBSTITUTE(Y828,"|}","--"),"{|","--"),CHAR(10),""),"、",""),"|",""))+IF(AND(OR(J828="EI",J828="EO",J828="EQ"),$AE$1="NESMA"),2,1)))</f>
        <v/>
      </c>
      <c r="P828" s="86">
        <f>IF(J828="EI",IF(OR(Y828="估算法",Y828="算法类"),"中",IF(Y828="无法识别","低",IF(M828&lt;2,IF(O828&lt;16,"低","中"),IF(M828&lt;3,IF(O828&lt;5,"低",IF(O828&lt;16,"中","高")),IF(O828&lt;5,"中","高"))))),IF(OR(J828="EO",J828="EQ"),IF(OR(Y828="估算法",Y828="算法类"),"中",IF(Y828="无法识别","低",IF(M828&lt;2,IF(O828&lt;20,"低","中"),IF(M828&lt;4,IF(O828&lt;6,"低",IF(O828&lt;20,"中","高")),IF(O828&lt;6,"中","高"))))),IF(OR(J828="ILF",J828="EIF"),IF(OR(Y828="估算法",Y828="算法类",Y828="无法识别"),"低",IF(N828&lt;2,IF(O828&lt;51,"低","中"),IF(N828&lt;6,IF(O828&lt;20,"低",IF(O828&lt;51,"中","高")),IF(O828&lt;20,"中","高")))),"不计算")))</f>
        <v/>
      </c>
      <c r="Q828" s="172">
        <f>IFERROR(IF(J828="EI",IF(P828="低",3,IF(P828="中",4,6)),IF(J828="EO",IF(P828="低",4,IF(P828="中",5,7)),IF(J828="EQ",IF(P828="低",3,IF(P828="中",4,6)),IF(J828="ILF",IF(P828="低",7,IF(P828="中",10,15)),IF(J828="EIF",IF(P828="低",5,IF(P828="中",7,10)),"不计算")))))*R828,"不计算")</f>
        <v/>
      </c>
      <c r="R828" s="172" t="n"/>
      <c r="S828" s="173">
        <f>调整因子!$F$13</f>
        <v/>
      </c>
      <c r="T828" s="92" t="n"/>
      <c r="U828" s="174">
        <f>IFERROR(Q828*S828,0)</f>
        <v/>
      </c>
      <c r="V828" s="174">
        <f>U828*T828</f>
        <v/>
      </c>
      <c r="W828" s="113" t="n"/>
      <c r="X828" s="90" t="n"/>
      <c r="Y828" s="90" t="n"/>
      <c r="Z828" s="90" t="n"/>
      <c r="AA828" s="90" t="n"/>
    </row>
    <row r="829" s="112">
      <c r="A829" s="72">
        <f>ROW()-1</f>
        <v/>
      </c>
      <c r="B829" s="175" t="n"/>
      <c r="C829" s="80" t="n"/>
      <c r="D829" s="80" t="n"/>
      <c r="E829" s="81">
        <f>VLOOKUP(I829,'25年交付功能（不含废弃）'!A:A,1,FALSE)</f>
        <v/>
      </c>
      <c r="F829" s="175" t="n"/>
      <c r="I829" s="103" t="n"/>
      <c r="J829" s="93" t="n"/>
      <c r="K829" s="84" t="n"/>
      <c r="L829" s="84" t="n"/>
      <c r="M829" s="85">
        <f>IF(OR(Y829="估算法",Y829="算法类",Y829="无法识别"),"",IF(W829="",IF(OR(J829="EI",J829="EO",J829="EQ"),0,""),LEN(W829)-LEN(SUBSTITUTE(W829,"、",""))+1))</f>
        <v/>
      </c>
      <c r="N829" s="85">
        <f>IF(OR(Y829="估算法",Y829="算法类",Y829="无法识别"),"",IF(X829="",IF(OR(J829="ILF",J829="EIF"),0,""),LEN(X829)-LEN(SUBSTITUTE(X829,"、",""))+1))</f>
        <v/>
      </c>
      <c r="O829" s="85">
        <f>IF(OR(Y829="估算法",Y829="算法类",Y829="无法识别"),"",IF(Y829="",IF(OR(J829="ILF",J829="EIF",J829="EI",J829="EO",J829="EQ"),0,""),LEN(Y829)-LEN(SUBSTITUTE(SUBSTITUTE(SUBSTITUTE(SUBSTITUTE(SUBSTITUTE(Y829,"|}","--"),"{|","--"),CHAR(10),""),"、",""),"|",""))+IF(AND(OR(J829="EI",J829="EO",J829="EQ"),$AE$1="NESMA"),2,1)))</f>
        <v/>
      </c>
      <c r="P829" s="86">
        <f>IF(J829="EI",IF(OR(Y829="估算法",Y829="算法类"),"中",IF(Y829="无法识别","低",IF(M829&lt;2,IF(O829&lt;16,"低","中"),IF(M829&lt;3,IF(O829&lt;5,"低",IF(O829&lt;16,"中","高")),IF(O829&lt;5,"中","高"))))),IF(OR(J829="EO",J829="EQ"),IF(OR(Y829="估算法",Y829="算法类"),"中",IF(Y829="无法识别","低",IF(M829&lt;2,IF(O829&lt;20,"低","中"),IF(M829&lt;4,IF(O829&lt;6,"低",IF(O829&lt;20,"中","高")),IF(O829&lt;6,"中","高"))))),IF(OR(J829="ILF",J829="EIF"),IF(OR(Y829="估算法",Y829="算法类",Y829="无法识别"),"低",IF(N829&lt;2,IF(O829&lt;51,"低","中"),IF(N829&lt;6,IF(O829&lt;20,"低",IF(O829&lt;51,"中","高")),IF(O829&lt;20,"中","高")))),"不计算")))</f>
        <v/>
      </c>
      <c r="Q829" s="172">
        <f>IFERROR(IF(J829="EI",IF(P829="低",3,IF(P829="中",4,6)),IF(J829="EO",IF(P829="低",4,IF(P829="中",5,7)),IF(J829="EQ",IF(P829="低",3,IF(P829="中",4,6)),IF(J829="ILF",IF(P829="低",7,IF(P829="中",10,15)),IF(J829="EIF",IF(P829="低",5,IF(P829="中",7,10)),"不计算")))))*R829,"不计算")</f>
        <v/>
      </c>
      <c r="R829" s="172" t="n"/>
      <c r="S829" s="173">
        <f>调整因子!$F$13</f>
        <v/>
      </c>
      <c r="T829" s="92" t="n"/>
      <c r="U829" s="174">
        <f>IFERROR(Q829*S829,0)</f>
        <v/>
      </c>
      <c r="V829" s="174">
        <f>U829*T829</f>
        <v/>
      </c>
      <c r="W829" s="90" t="n"/>
      <c r="X829" s="113" t="n"/>
      <c r="Y829" s="90" t="n"/>
      <c r="Z829" s="90" t="n"/>
      <c r="AA829" s="90" t="n"/>
    </row>
    <row r="830" s="112">
      <c r="A830" s="72">
        <f>ROW()-1</f>
        <v/>
      </c>
      <c r="B830" s="175" t="n"/>
      <c r="C830" s="80" t="n"/>
      <c r="D830" s="80" t="n"/>
      <c r="E830" s="81">
        <f>VLOOKUP(I830,'25年交付功能（不含废弃）'!A:A,1,FALSE)</f>
        <v/>
      </c>
      <c r="F830" s="175" t="n"/>
      <c r="I830" s="103" t="n"/>
      <c r="J830" s="93" t="n"/>
      <c r="K830" s="84" t="n"/>
      <c r="L830" s="84" t="n"/>
      <c r="M830" s="85">
        <f>IF(OR(Y830="估算法",Y830="算法类",Y830="无法识别"),"",IF(W830="",IF(OR(J830="EI",J830="EO",J830="EQ"),0,""),LEN(W830)-LEN(SUBSTITUTE(W830,"、",""))+1))</f>
        <v/>
      </c>
      <c r="N830" s="85">
        <f>IF(OR(Y830="估算法",Y830="算法类",Y830="无法识别"),"",IF(X830="",IF(OR(J830="ILF",J830="EIF"),0,""),LEN(X830)-LEN(SUBSTITUTE(X830,"、",""))+1))</f>
        <v/>
      </c>
      <c r="O830" s="85">
        <f>IF(OR(Y830="估算法",Y830="算法类",Y830="无法识别"),"",IF(Y830="",IF(OR(J830="ILF",J830="EIF",J830="EI",J830="EO",J830="EQ"),0,""),LEN(Y830)-LEN(SUBSTITUTE(SUBSTITUTE(SUBSTITUTE(SUBSTITUTE(SUBSTITUTE(Y830,"|}","--"),"{|","--"),CHAR(10),""),"、",""),"|",""))+IF(AND(OR(J830="EI",J830="EO",J830="EQ"),$AE$1="NESMA"),2,1)))</f>
        <v/>
      </c>
      <c r="P830" s="86">
        <f>IF(J830="EI",IF(OR(Y830="估算法",Y830="算法类"),"中",IF(Y830="无法识别","低",IF(M830&lt;2,IF(O830&lt;16,"低","中"),IF(M830&lt;3,IF(O830&lt;5,"低",IF(O830&lt;16,"中","高")),IF(O830&lt;5,"中","高"))))),IF(OR(J830="EO",J830="EQ"),IF(OR(Y830="估算法",Y830="算法类"),"中",IF(Y830="无法识别","低",IF(M830&lt;2,IF(O830&lt;20,"低","中"),IF(M830&lt;4,IF(O830&lt;6,"低",IF(O830&lt;20,"中","高")),IF(O830&lt;6,"中","高"))))),IF(OR(J830="ILF",J830="EIF"),IF(OR(Y830="估算法",Y830="算法类",Y830="无法识别"),"低",IF(N830&lt;2,IF(O830&lt;51,"低","中"),IF(N830&lt;6,IF(O830&lt;20,"低",IF(O830&lt;51,"中","高")),IF(O830&lt;20,"中","高")))),"不计算")))</f>
        <v/>
      </c>
      <c r="Q830" s="172">
        <f>IFERROR(IF(J830="EI",IF(P830="低",3,IF(P830="中",4,6)),IF(J830="EO",IF(P830="低",4,IF(P830="中",5,7)),IF(J830="EQ",IF(P830="低",3,IF(P830="中",4,6)),IF(J830="ILF",IF(P830="低",7,IF(P830="中",10,15)),IF(J830="EIF",IF(P830="低",5,IF(P830="中",7,10)),"不计算")))))*R830,"不计算")</f>
        <v/>
      </c>
      <c r="R830" s="172" t="n"/>
      <c r="S830" s="173">
        <f>调整因子!$F$13</f>
        <v/>
      </c>
      <c r="T830" s="93" t="n"/>
      <c r="U830" s="174">
        <f>IFERROR(Q830*S830,0)</f>
        <v/>
      </c>
      <c r="V830" s="174">
        <f>U830*T830</f>
        <v/>
      </c>
      <c r="W830" s="90" t="n"/>
      <c r="X830" s="113" t="n"/>
      <c r="Y830" s="90" t="n"/>
      <c r="Z830" s="90" t="n"/>
      <c r="AA830" s="90" t="n"/>
    </row>
    <row r="831" s="112">
      <c r="A831" s="72">
        <f>ROW()-1</f>
        <v/>
      </c>
      <c r="B831" s="175" t="n"/>
      <c r="C831" s="80" t="n"/>
      <c r="D831" s="80" t="n"/>
      <c r="E831" s="81">
        <f>VLOOKUP(I831,'25年交付功能（不含废弃）'!A:A,1,FALSE)</f>
        <v/>
      </c>
      <c r="F831" s="175" t="n"/>
      <c r="I831" s="103" t="n"/>
      <c r="J831" s="93" t="n"/>
      <c r="K831" s="84" t="n"/>
      <c r="L831" s="84" t="n"/>
      <c r="M831" s="85">
        <f>IF(OR(Y831="估算法",Y831="算法类",Y831="无法识别"),"",IF(W831="",IF(OR(J831="EI",J831="EO",J831="EQ"),0,""),LEN(W831)-LEN(SUBSTITUTE(W831,"、",""))+1))</f>
        <v/>
      </c>
      <c r="N831" s="85">
        <f>IF(OR(Y831="估算法",Y831="算法类",Y831="无法识别"),"",IF(X831="",IF(OR(J831="ILF",J831="EIF"),0,""),LEN(X831)-LEN(SUBSTITUTE(X831,"、",""))+1))</f>
        <v/>
      </c>
      <c r="O831" s="85">
        <f>IF(OR(Y831="估算法",Y831="算法类",Y831="无法识别"),"",IF(Y831="",IF(OR(J831="ILF",J831="EIF",J831="EI",J831="EO",J831="EQ"),0,""),LEN(Y831)-LEN(SUBSTITUTE(SUBSTITUTE(SUBSTITUTE(SUBSTITUTE(SUBSTITUTE(Y831,"|}","--"),"{|","--"),CHAR(10),""),"、",""),"|",""))+IF(AND(OR(J831="EI",J831="EO",J831="EQ"),$AE$1="NESMA"),2,1)))</f>
        <v/>
      </c>
      <c r="P831" s="86">
        <f>IF(J831="EI",IF(OR(Y831="估算法",Y831="算法类"),"中",IF(Y831="无法识别","低",IF(M831&lt;2,IF(O831&lt;16,"低","中"),IF(M831&lt;3,IF(O831&lt;5,"低",IF(O831&lt;16,"中","高")),IF(O831&lt;5,"中","高"))))),IF(OR(J831="EO",J831="EQ"),IF(OR(Y831="估算法",Y831="算法类"),"中",IF(Y831="无法识别","低",IF(M831&lt;2,IF(O831&lt;20,"低","中"),IF(M831&lt;4,IF(O831&lt;6,"低",IF(O831&lt;20,"中","高")),IF(O831&lt;6,"中","高"))))),IF(OR(J831="ILF",J831="EIF"),IF(OR(Y831="估算法",Y831="算法类",Y831="无法识别"),"低",IF(N831&lt;2,IF(O831&lt;51,"低","中"),IF(N831&lt;6,IF(O831&lt;20,"低",IF(O831&lt;51,"中","高")),IF(O831&lt;20,"中","高")))),"不计算")))</f>
        <v/>
      </c>
      <c r="Q831" s="172">
        <f>IFERROR(IF(J831="EI",IF(P831="低",3,IF(P831="中",4,6)),IF(J831="EO",IF(P831="低",4,IF(P831="中",5,7)),IF(J831="EQ",IF(P831="低",3,IF(P831="中",4,6)),IF(J831="ILF",IF(P831="低",7,IF(P831="中",10,15)),IF(J831="EIF",IF(P831="低",5,IF(P831="中",7,10)),"不计算")))))*R831,"不计算")</f>
        <v/>
      </c>
      <c r="R831" s="172" t="n"/>
      <c r="S831" s="173">
        <f>调整因子!$F$13</f>
        <v/>
      </c>
      <c r="T831" s="93" t="n"/>
      <c r="U831" s="174">
        <f>IFERROR(Q831*S831,0)</f>
        <v/>
      </c>
      <c r="V831" s="174">
        <f>U831*T831</f>
        <v/>
      </c>
      <c r="W831" s="90" t="n"/>
      <c r="X831" s="113" t="n"/>
      <c r="Y831" s="90" t="n"/>
      <c r="Z831" s="90" t="n"/>
      <c r="AA831" s="90" t="n"/>
    </row>
    <row r="832" s="112">
      <c r="A832" s="72">
        <f>ROW()-1</f>
        <v/>
      </c>
      <c r="B832" s="175" t="n"/>
      <c r="C832" s="80" t="n"/>
      <c r="D832" s="80" t="n"/>
      <c r="E832" s="81">
        <f>VLOOKUP(I832,'25年交付功能（不含废弃）'!A:A,1,FALSE)</f>
        <v/>
      </c>
      <c r="F832" s="175" t="n"/>
      <c r="I832" s="103" t="n"/>
      <c r="J832" s="93" t="n"/>
      <c r="K832" s="84" t="n"/>
      <c r="L832" s="84" t="n"/>
      <c r="M832" s="85">
        <f>IF(OR(Y832="估算法",Y832="算法类",Y832="无法识别"),"",IF(W832="",IF(OR(J832="EI",J832="EO",J832="EQ"),0,""),LEN(W832)-LEN(SUBSTITUTE(W832,"、",""))+1))</f>
        <v/>
      </c>
      <c r="N832" s="85">
        <f>IF(OR(Y832="估算法",Y832="算法类",Y832="无法识别"),"",IF(X832="",IF(OR(J832="ILF",J832="EIF"),0,""),LEN(X832)-LEN(SUBSTITUTE(X832,"、",""))+1))</f>
        <v/>
      </c>
      <c r="O832" s="85">
        <f>IF(OR(Y832="估算法",Y832="算法类",Y832="无法识别"),"",IF(Y832="",IF(OR(J832="ILF",J832="EIF",J832="EI",J832="EO",J832="EQ"),0,""),LEN(Y832)-LEN(SUBSTITUTE(SUBSTITUTE(SUBSTITUTE(SUBSTITUTE(SUBSTITUTE(Y832,"|}","--"),"{|","--"),CHAR(10),""),"、",""),"|",""))+IF(AND(OR(J832="EI",J832="EO",J832="EQ"),$AE$1="NESMA"),2,1)))</f>
        <v/>
      </c>
      <c r="P832" s="86">
        <f>IF(J832="EI",IF(OR(Y832="估算法",Y832="算法类"),"中",IF(Y832="无法识别","低",IF(M832&lt;2,IF(O832&lt;16,"低","中"),IF(M832&lt;3,IF(O832&lt;5,"低",IF(O832&lt;16,"中","高")),IF(O832&lt;5,"中","高"))))),IF(OR(J832="EO",J832="EQ"),IF(OR(Y832="估算法",Y832="算法类"),"中",IF(Y832="无法识别","低",IF(M832&lt;2,IF(O832&lt;20,"低","中"),IF(M832&lt;4,IF(O832&lt;6,"低",IF(O832&lt;20,"中","高")),IF(O832&lt;6,"中","高"))))),IF(OR(J832="ILF",J832="EIF"),IF(OR(Y832="估算法",Y832="算法类",Y832="无法识别"),"低",IF(N832&lt;2,IF(O832&lt;51,"低","中"),IF(N832&lt;6,IF(O832&lt;20,"低",IF(O832&lt;51,"中","高")),IF(O832&lt;20,"中","高")))),"不计算")))</f>
        <v/>
      </c>
      <c r="Q832" s="172">
        <f>IFERROR(IF(J832="EI",IF(P832="低",3,IF(P832="中",4,6)),IF(J832="EO",IF(P832="低",4,IF(P832="中",5,7)),IF(J832="EQ",IF(P832="低",3,IF(P832="中",4,6)),IF(J832="ILF",IF(P832="低",7,IF(P832="中",10,15)),IF(J832="EIF",IF(P832="低",5,IF(P832="中",7,10)),"不计算")))))*R832,"不计算")</f>
        <v/>
      </c>
      <c r="R832" s="172" t="n"/>
      <c r="S832" s="173">
        <f>调整因子!$F$13</f>
        <v/>
      </c>
      <c r="T832" s="92" t="n"/>
      <c r="U832" s="174">
        <f>IFERROR(Q832*S832,0)</f>
        <v/>
      </c>
      <c r="V832" s="174">
        <f>U832*T832</f>
        <v/>
      </c>
      <c r="W832" s="113" t="n"/>
      <c r="X832" s="90" t="n"/>
      <c r="Y832" s="90" t="n"/>
      <c r="Z832" s="90" t="n"/>
      <c r="AA832" s="90" t="n"/>
    </row>
    <row r="833" s="112">
      <c r="A833" s="72">
        <f>ROW()-1</f>
        <v/>
      </c>
      <c r="B833" s="175" t="n"/>
      <c r="C833" s="80" t="n"/>
      <c r="D833" s="80" t="n"/>
      <c r="E833" s="81">
        <f>VLOOKUP(I833,'25年交付功能（不含废弃）'!A:A,1,FALSE)</f>
        <v/>
      </c>
      <c r="F833" s="175" t="n"/>
      <c r="I833" s="103" t="n"/>
      <c r="J833" s="93" t="n"/>
      <c r="K833" s="84" t="n"/>
      <c r="L833" s="84" t="n"/>
      <c r="M833" s="85">
        <f>IF(OR(Y833="估算法",Y833="算法类",Y833="无法识别"),"",IF(W833="",IF(OR(J833="EI",J833="EO",J833="EQ"),0,""),LEN(W833)-LEN(SUBSTITUTE(W833,"、",""))+1))</f>
        <v/>
      </c>
      <c r="N833" s="85">
        <f>IF(OR(Y833="估算法",Y833="算法类",Y833="无法识别"),"",IF(X833="",IF(OR(J833="ILF",J833="EIF"),0,""),LEN(X833)-LEN(SUBSTITUTE(X833,"、",""))+1))</f>
        <v/>
      </c>
      <c r="O833" s="85">
        <f>IF(OR(Y833="估算法",Y833="算法类",Y833="无法识别"),"",IF(Y833="",IF(OR(J833="ILF",J833="EIF",J833="EI",J833="EO",J833="EQ"),0,""),LEN(Y833)-LEN(SUBSTITUTE(SUBSTITUTE(SUBSTITUTE(SUBSTITUTE(SUBSTITUTE(Y833,"|}","--"),"{|","--"),CHAR(10),""),"、",""),"|",""))+IF(AND(OR(J833="EI",J833="EO",J833="EQ"),$AE$1="NESMA"),2,1)))</f>
        <v/>
      </c>
      <c r="P833" s="86">
        <f>IF(J833="EI",IF(OR(Y833="估算法",Y833="算法类"),"中",IF(Y833="无法识别","低",IF(M833&lt;2,IF(O833&lt;16,"低","中"),IF(M833&lt;3,IF(O833&lt;5,"低",IF(O833&lt;16,"中","高")),IF(O833&lt;5,"中","高"))))),IF(OR(J833="EO",J833="EQ"),IF(OR(Y833="估算法",Y833="算法类"),"中",IF(Y833="无法识别","低",IF(M833&lt;2,IF(O833&lt;20,"低","中"),IF(M833&lt;4,IF(O833&lt;6,"低",IF(O833&lt;20,"中","高")),IF(O833&lt;6,"中","高"))))),IF(OR(J833="ILF",J833="EIF"),IF(OR(Y833="估算法",Y833="算法类",Y833="无法识别"),"低",IF(N833&lt;2,IF(O833&lt;51,"低","中"),IF(N833&lt;6,IF(O833&lt;20,"低",IF(O833&lt;51,"中","高")),IF(O833&lt;20,"中","高")))),"不计算")))</f>
        <v/>
      </c>
      <c r="Q833" s="172">
        <f>IFERROR(IF(J833="EI",IF(P833="低",3,IF(P833="中",4,6)),IF(J833="EO",IF(P833="低",4,IF(P833="中",5,7)),IF(J833="EQ",IF(P833="低",3,IF(P833="中",4,6)),IF(J833="ILF",IF(P833="低",7,IF(P833="中",10,15)),IF(J833="EIF",IF(P833="低",5,IF(P833="中",7,10)),"不计算")))))*R833,"不计算")</f>
        <v/>
      </c>
      <c r="R833" s="172" t="n"/>
      <c r="S833" s="173">
        <f>调整因子!$F$13</f>
        <v/>
      </c>
      <c r="T833" s="92" t="n"/>
      <c r="U833" s="174">
        <f>IFERROR(Q833*S833,0)</f>
        <v/>
      </c>
      <c r="V833" s="174">
        <f>U833*T833</f>
        <v/>
      </c>
      <c r="W833" s="90" t="n"/>
      <c r="X833" s="113" t="n"/>
      <c r="Y833" s="90" t="n"/>
      <c r="Z833" s="90" t="n"/>
      <c r="AA833" s="90" t="n"/>
    </row>
    <row r="834" s="112">
      <c r="A834" s="72">
        <f>ROW()-1</f>
        <v/>
      </c>
      <c r="B834" s="175" t="n"/>
      <c r="C834" s="80" t="n"/>
      <c r="D834" s="80" t="n"/>
      <c r="E834" s="81">
        <f>VLOOKUP(I834,'25年交付功能（不含废弃）'!A:A,1,FALSE)</f>
        <v/>
      </c>
      <c r="F834" s="175" t="n"/>
      <c r="I834" s="103" t="n"/>
      <c r="J834" s="93" t="n"/>
      <c r="K834" s="84" t="n"/>
      <c r="L834" s="84" t="n"/>
      <c r="M834" s="85">
        <f>IF(OR(Y834="估算法",Y834="算法类",Y834="无法识别"),"",IF(W834="",IF(OR(J834="EI",J834="EO",J834="EQ"),0,""),LEN(W834)-LEN(SUBSTITUTE(W834,"、",""))+1))</f>
        <v/>
      </c>
      <c r="N834" s="85">
        <f>IF(OR(Y834="估算法",Y834="算法类",Y834="无法识别"),"",IF(X834="",IF(OR(J834="ILF",J834="EIF"),0,""),LEN(X834)-LEN(SUBSTITUTE(X834,"、",""))+1))</f>
        <v/>
      </c>
      <c r="O834" s="85">
        <f>IF(OR(Y834="估算法",Y834="算法类",Y834="无法识别"),"",IF(Y834="",IF(OR(J834="ILF",J834="EIF",J834="EI",J834="EO",J834="EQ"),0,""),LEN(Y834)-LEN(SUBSTITUTE(SUBSTITUTE(SUBSTITUTE(SUBSTITUTE(SUBSTITUTE(Y834,"|}","--"),"{|","--"),CHAR(10),""),"、",""),"|",""))+IF(AND(OR(J834="EI",J834="EO",J834="EQ"),$AE$1="NESMA"),2,1)))</f>
        <v/>
      </c>
      <c r="P834" s="86">
        <f>IF(J834="EI",IF(OR(Y834="估算法",Y834="算法类"),"中",IF(Y834="无法识别","低",IF(M834&lt;2,IF(O834&lt;16,"低","中"),IF(M834&lt;3,IF(O834&lt;5,"低",IF(O834&lt;16,"中","高")),IF(O834&lt;5,"中","高"))))),IF(OR(J834="EO",J834="EQ"),IF(OR(Y834="估算法",Y834="算法类"),"中",IF(Y834="无法识别","低",IF(M834&lt;2,IF(O834&lt;20,"低","中"),IF(M834&lt;4,IF(O834&lt;6,"低",IF(O834&lt;20,"中","高")),IF(O834&lt;6,"中","高"))))),IF(OR(J834="ILF",J834="EIF"),IF(OR(Y834="估算法",Y834="算法类",Y834="无法识别"),"低",IF(N834&lt;2,IF(O834&lt;51,"低","中"),IF(N834&lt;6,IF(O834&lt;20,"低",IF(O834&lt;51,"中","高")),IF(O834&lt;20,"中","高")))),"不计算")))</f>
        <v/>
      </c>
      <c r="Q834" s="172">
        <f>IFERROR(IF(J834="EI",IF(P834="低",3,IF(P834="中",4,6)),IF(J834="EO",IF(P834="低",4,IF(P834="中",5,7)),IF(J834="EQ",IF(P834="低",3,IF(P834="中",4,6)),IF(J834="ILF",IF(P834="低",7,IF(P834="中",10,15)),IF(J834="EIF",IF(P834="低",5,IF(P834="中",7,10)),"不计算")))))*R834,"不计算")</f>
        <v/>
      </c>
      <c r="R834" s="172" t="n"/>
      <c r="S834" s="173">
        <f>调整因子!$F$13</f>
        <v/>
      </c>
      <c r="T834" s="93" t="n"/>
      <c r="U834" s="174">
        <f>IFERROR(Q834*S834,0)</f>
        <v/>
      </c>
      <c r="V834" s="174">
        <f>U834*T834</f>
        <v/>
      </c>
      <c r="W834" s="90" t="n"/>
      <c r="X834" s="113" t="n"/>
      <c r="Y834" s="90" t="n"/>
      <c r="Z834" s="90" t="n"/>
      <c r="AA834" s="90" t="n"/>
    </row>
    <row r="835" s="112">
      <c r="A835" s="72">
        <f>ROW()-1</f>
        <v/>
      </c>
      <c r="B835" s="175" t="n"/>
      <c r="C835" s="80" t="n"/>
      <c r="D835" s="80" t="n"/>
      <c r="E835" s="81">
        <f>VLOOKUP(I835,'25年交付功能（不含废弃）'!A:A,1,FALSE)</f>
        <v/>
      </c>
      <c r="F835" s="175" t="n"/>
      <c r="I835" s="103" t="n"/>
      <c r="J835" s="93" t="n"/>
      <c r="K835" s="84" t="n"/>
      <c r="L835" s="84" t="n"/>
      <c r="M835" s="85">
        <f>IF(OR(Y835="估算法",Y835="算法类",Y835="无法识别"),"",IF(W835="",IF(OR(J835="EI",J835="EO",J835="EQ"),0,""),LEN(W835)-LEN(SUBSTITUTE(W835,"、",""))+1))</f>
        <v/>
      </c>
      <c r="N835" s="85">
        <f>IF(OR(Y835="估算法",Y835="算法类",Y835="无法识别"),"",IF(X835="",IF(OR(J835="ILF",J835="EIF"),0,""),LEN(X835)-LEN(SUBSTITUTE(X835,"、",""))+1))</f>
        <v/>
      </c>
      <c r="O835" s="85">
        <f>IF(OR(Y835="估算法",Y835="算法类",Y835="无法识别"),"",IF(Y835="",IF(OR(J835="ILF",J835="EIF",J835="EI",J835="EO",J835="EQ"),0,""),LEN(Y835)-LEN(SUBSTITUTE(SUBSTITUTE(SUBSTITUTE(SUBSTITUTE(SUBSTITUTE(Y835,"|}","--"),"{|","--"),CHAR(10),""),"、",""),"|",""))+IF(AND(OR(J835="EI",J835="EO",J835="EQ"),$AE$1="NESMA"),2,1)))</f>
        <v/>
      </c>
      <c r="P835" s="86">
        <f>IF(J835="EI",IF(OR(Y835="估算法",Y835="算法类"),"中",IF(Y835="无法识别","低",IF(M835&lt;2,IF(O835&lt;16,"低","中"),IF(M835&lt;3,IF(O835&lt;5,"低",IF(O835&lt;16,"中","高")),IF(O835&lt;5,"中","高"))))),IF(OR(J835="EO",J835="EQ"),IF(OR(Y835="估算法",Y835="算法类"),"中",IF(Y835="无法识别","低",IF(M835&lt;2,IF(O835&lt;20,"低","中"),IF(M835&lt;4,IF(O835&lt;6,"低",IF(O835&lt;20,"中","高")),IF(O835&lt;6,"中","高"))))),IF(OR(J835="ILF",J835="EIF"),IF(OR(Y835="估算法",Y835="算法类",Y835="无法识别"),"低",IF(N835&lt;2,IF(O835&lt;51,"低","中"),IF(N835&lt;6,IF(O835&lt;20,"低",IF(O835&lt;51,"中","高")),IF(O835&lt;20,"中","高")))),"不计算")))</f>
        <v/>
      </c>
      <c r="Q835" s="172">
        <f>IFERROR(IF(J835="EI",IF(P835="低",3,IF(P835="中",4,6)),IF(J835="EO",IF(P835="低",4,IF(P835="中",5,7)),IF(J835="EQ",IF(P835="低",3,IF(P835="中",4,6)),IF(J835="ILF",IF(P835="低",7,IF(P835="中",10,15)),IF(J835="EIF",IF(P835="低",5,IF(P835="中",7,10)),"不计算")))))*R835,"不计算")</f>
        <v/>
      </c>
      <c r="R835" s="172" t="n"/>
      <c r="S835" s="173">
        <f>调整因子!$F$13</f>
        <v/>
      </c>
      <c r="T835" s="92" t="n"/>
      <c r="U835" s="174">
        <f>IFERROR(Q835*S835,0)</f>
        <v/>
      </c>
      <c r="V835" s="174">
        <f>U835*T835</f>
        <v/>
      </c>
      <c r="W835" s="90" t="n"/>
      <c r="X835" s="113" t="n"/>
      <c r="Y835" s="90" t="n"/>
      <c r="Z835" s="90" t="n"/>
      <c r="AA835" s="90" t="n"/>
    </row>
    <row r="836" s="112">
      <c r="A836" s="72">
        <f>ROW()-1</f>
        <v/>
      </c>
      <c r="B836" s="175" t="n"/>
      <c r="C836" s="80" t="n"/>
      <c r="D836" s="80" t="n"/>
      <c r="E836" s="81">
        <f>VLOOKUP(I836,'25年交付功能（不含废弃）'!A:A,1,FALSE)</f>
        <v/>
      </c>
      <c r="F836" s="175" t="n"/>
      <c r="I836" s="103" t="n"/>
      <c r="J836" s="93" t="n"/>
      <c r="K836" s="84" t="n"/>
      <c r="L836" s="84" t="n"/>
      <c r="M836" s="85">
        <f>IF(OR(Y836="估算法",Y836="算法类",Y836="无法识别"),"",IF(W836="",IF(OR(J836="EI",J836="EO",J836="EQ"),0,""),LEN(W836)-LEN(SUBSTITUTE(W836,"、",""))+1))</f>
        <v/>
      </c>
      <c r="N836" s="85">
        <f>IF(OR(Y836="估算法",Y836="算法类",Y836="无法识别"),"",IF(X836="",IF(OR(J836="ILF",J836="EIF"),0,""),LEN(X836)-LEN(SUBSTITUTE(X836,"、",""))+1))</f>
        <v/>
      </c>
      <c r="O836" s="85">
        <f>IF(OR(Y836="估算法",Y836="算法类",Y836="无法识别"),"",IF(Y836="",IF(OR(J836="ILF",J836="EIF",J836="EI",J836="EO",J836="EQ"),0,""),LEN(Y836)-LEN(SUBSTITUTE(SUBSTITUTE(SUBSTITUTE(SUBSTITUTE(SUBSTITUTE(Y836,"|}","--"),"{|","--"),CHAR(10),""),"、",""),"|",""))+IF(AND(OR(J836="EI",J836="EO",J836="EQ"),$AE$1="NESMA"),2,1)))</f>
        <v/>
      </c>
      <c r="P836" s="86">
        <f>IF(J836="EI",IF(OR(Y836="估算法",Y836="算法类"),"中",IF(Y836="无法识别","低",IF(M836&lt;2,IF(O836&lt;16,"低","中"),IF(M836&lt;3,IF(O836&lt;5,"低",IF(O836&lt;16,"中","高")),IF(O836&lt;5,"中","高"))))),IF(OR(J836="EO",J836="EQ"),IF(OR(Y836="估算法",Y836="算法类"),"中",IF(Y836="无法识别","低",IF(M836&lt;2,IF(O836&lt;20,"低","中"),IF(M836&lt;4,IF(O836&lt;6,"低",IF(O836&lt;20,"中","高")),IF(O836&lt;6,"中","高"))))),IF(OR(J836="ILF",J836="EIF"),IF(OR(Y836="估算法",Y836="算法类",Y836="无法识别"),"低",IF(N836&lt;2,IF(O836&lt;51,"低","中"),IF(N836&lt;6,IF(O836&lt;20,"低",IF(O836&lt;51,"中","高")),IF(O836&lt;20,"中","高")))),"不计算")))</f>
        <v/>
      </c>
      <c r="Q836" s="172">
        <f>IFERROR(IF(J836="EI",IF(P836="低",3,IF(P836="中",4,6)),IF(J836="EO",IF(P836="低",4,IF(P836="中",5,7)),IF(J836="EQ",IF(P836="低",3,IF(P836="中",4,6)),IF(J836="ILF",IF(P836="低",7,IF(P836="中",10,15)),IF(J836="EIF",IF(P836="低",5,IF(P836="中",7,10)),"不计算")))))*R836,"不计算")</f>
        <v/>
      </c>
      <c r="R836" s="172" t="n"/>
      <c r="S836" s="173">
        <f>调整因子!$F$13</f>
        <v/>
      </c>
      <c r="T836" s="92" t="n"/>
      <c r="U836" s="174">
        <f>IFERROR(Q836*S836,0)</f>
        <v/>
      </c>
      <c r="V836" s="174">
        <f>U836*T836</f>
        <v/>
      </c>
      <c r="W836" s="113" t="n"/>
      <c r="X836" s="90" t="n"/>
      <c r="Y836" s="90" t="n"/>
      <c r="Z836" s="90" t="n"/>
      <c r="AA836" s="90" t="n"/>
    </row>
    <row r="837" s="112">
      <c r="A837" s="72">
        <f>ROW()-1</f>
        <v/>
      </c>
      <c r="B837" s="175" t="n"/>
      <c r="C837" s="80" t="n"/>
      <c r="D837" s="80" t="n"/>
      <c r="E837" s="81">
        <f>VLOOKUP(I837,'25年交付功能（不含废弃）'!A:A,1,FALSE)</f>
        <v/>
      </c>
      <c r="F837" s="175" t="n"/>
      <c r="I837" s="103" t="n"/>
      <c r="J837" s="93" t="n"/>
      <c r="K837" s="84" t="n"/>
      <c r="L837" s="84" t="n"/>
      <c r="M837" s="85">
        <f>IF(OR(Y837="估算法",Y837="算法类",Y837="无法识别"),"",IF(W837="",IF(OR(J837="EI",J837="EO",J837="EQ"),0,""),LEN(W837)-LEN(SUBSTITUTE(W837,"、",""))+1))</f>
        <v/>
      </c>
      <c r="N837" s="85">
        <f>IF(OR(Y837="估算法",Y837="算法类",Y837="无法识别"),"",IF(X837="",IF(OR(J837="ILF",J837="EIF"),0,""),LEN(X837)-LEN(SUBSTITUTE(X837,"、",""))+1))</f>
        <v/>
      </c>
      <c r="O837" s="85">
        <f>IF(OR(Y837="估算法",Y837="算法类",Y837="无法识别"),"",IF(Y837="",IF(OR(J837="ILF",J837="EIF",J837="EI",J837="EO",J837="EQ"),0,""),LEN(Y837)-LEN(SUBSTITUTE(SUBSTITUTE(SUBSTITUTE(SUBSTITUTE(SUBSTITUTE(Y837,"|}","--"),"{|","--"),CHAR(10),""),"、",""),"|",""))+IF(AND(OR(J837="EI",J837="EO",J837="EQ"),$AE$1="NESMA"),2,1)))</f>
        <v/>
      </c>
      <c r="P837" s="86">
        <f>IF(J837="EI",IF(OR(Y837="估算法",Y837="算法类"),"中",IF(Y837="无法识别","低",IF(M837&lt;2,IF(O837&lt;16,"低","中"),IF(M837&lt;3,IF(O837&lt;5,"低",IF(O837&lt;16,"中","高")),IF(O837&lt;5,"中","高"))))),IF(OR(J837="EO",J837="EQ"),IF(OR(Y837="估算法",Y837="算法类"),"中",IF(Y837="无法识别","低",IF(M837&lt;2,IF(O837&lt;20,"低","中"),IF(M837&lt;4,IF(O837&lt;6,"低",IF(O837&lt;20,"中","高")),IF(O837&lt;6,"中","高"))))),IF(OR(J837="ILF",J837="EIF"),IF(OR(Y837="估算法",Y837="算法类",Y837="无法识别"),"低",IF(N837&lt;2,IF(O837&lt;51,"低","中"),IF(N837&lt;6,IF(O837&lt;20,"低",IF(O837&lt;51,"中","高")),IF(O837&lt;20,"中","高")))),"不计算")))</f>
        <v/>
      </c>
      <c r="Q837" s="172">
        <f>IFERROR(IF(J837="EI",IF(P837="低",3,IF(P837="中",4,6)),IF(J837="EO",IF(P837="低",4,IF(P837="中",5,7)),IF(J837="EQ",IF(P837="低",3,IF(P837="中",4,6)),IF(J837="ILF",IF(P837="低",7,IF(P837="中",10,15)),IF(J837="EIF",IF(P837="低",5,IF(P837="中",7,10)),"不计算")))))*R837,"不计算")</f>
        <v/>
      </c>
      <c r="R837" s="172" t="n"/>
      <c r="S837" s="173">
        <f>调整因子!$F$13</f>
        <v/>
      </c>
      <c r="T837" s="93" t="n"/>
      <c r="U837" s="174">
        <f>IFERROR(Q837*S837,0)</f>
        <v/>
      </c>
      <c r="V837" s="174">
        <f>U837*T837</f>
        <v/>
      </c>
      <c r="W837" s="90" t="n"/>
      <c r="X837" s="113" t="n"/>
      <c r="Y837" s="90" t="n"/>
      <c r="Z837" s="90" t="n"/>
      <c r="AA837" s="90" t="n"/>
    </row>
    <row r="838" s="112">
      <c r="A838" s="72">
        <f>ROW()-1</f>
        <v/>
      </c>
      <c r="B838" s="175" t="n"/>
      <c r="C838" s="80" t="n"/>
      <c r="D838" s="80" t="n"/>
      <c r="E838" s="81">
        <f>VLOOKUP(I838,'25年交付功能（不含废弃）'!A:A,1,FALSE)</f>
        <v/>
      </c>
      <c r="F838" s="175" t="n"/>
      <c r="I838" s="103" t="n"/>
      <c r="J838" s="93" t="n"/>
      <c r="K838" s="84" t="n"/>
      <c r="L838" s="84" t="n"/>
      <c r="M838" s="85">
        <f>IF(OR(Y838="估算法",Y838="算法类",Y838="无法识别"),"",IF(W838="",IF(OR(J838="EI",J838="EO",J838="EQ"),0,""),LEN(W838)-LEN(SUBSTITUTE(W838,"、",""))+1))</f>
        <v/>
      </c>
      <c r="N838" s="85">
        <f>IF(OR(Y838="估算法",Y838="算法类",Y838="无法识别"),"",IF(X838="",IF(OR(J838="ILF",J838="EIF"),0,""),LEN(X838)-LEN(SUBSTITUTE(X838,"、",""))+1))</f>
        <v/>
      </c>
      <c r="O838" s="85">
        <f>IF(OR(Y838="估算法",Y838="算法类",Y838="无法识别"),"",IF(Y838="",IF(OR(J838="ILF",J838="EIF",J838="EI",J838="EO",J838="EQ"),0,""),LEN(Y838)-LEN(SUBSTITUTE(SUBSTITUTE(SUBSTITUTE(SUBSTITUTE(SUBSTITUTE(Y838,"|}","--"),"{|","--"),CHAR(10),""),"、",""),"|",""))+IF(AND(OR(J838="EI",J838="EO",J838="EQ"),$AE$1="NESMA"),2,1)))</f>
        <v/>
      </c>
      <c r="P838" s="86">
        <f>IF(J838="EI",IF(OR(Y838="估算法",Y838="算法类"),"中",IF(Y838="无法识别","低",IF(M838&lt;2,IF(O838&lt;16,"低","中"),IF(M838&lt;3,IF(O838&lt;5,"低",IF(O838&lt;16,"中","高")),IF(O838&lt;5,"中","高"))))),IF(OR(J838="EO",J838="EQ"),IF(OR(Y838="估算法",Y838="算法类"),"中",IF(Y838="无法识别","低",IF(M838&lt;2,IF(O838&lt;20,"低","中"),IF(M838&lt;4,IF(O838&lt;6,"低",IF(O838&lt;20,"中","高")),IF(O838&lt;6,"中","高"))))),IF(OR(J838="ILF",J838="EIF"),IF(OR(Y838="估算法",Y838="算法类",Y838="无法识别"),"低",IF(N838&lt;2,IF(O838&lt;51,"低","中"),IF(N838&lt;6,IF(O838&lt;20,"低",IF(O838&lt;51,"中","高")),IF(O838&lt;20,"中","高")))),"不计算")))</f>
        <v/>
      </c>
      <c r="Q838" s="172">
        <f>IFERROR(IF(J838="EI",IF(P838="低",3,IF(P838="中",4,6)),IF(J838="EO",IF(P838="低",4,IF(P838="中",5,7)),IF(J838="EQ",IF(P838="低",3,IF(P838="中",4,6)),IF(J838="ILF",IF(P838="低",7,IF(P838="中",10,15)),IF(J838="EIF",IF(P838="低",5,IF(P838="中",7,10)),"不计算")))))*R838,"不计算")</f>
        <v/>
      </c>
      <c r="R838" s="172" t="n"/>
      <c r="S838" s="173">
        <f>调整因子!$F$13</f>
        <v/>
      </c>
      <c r="T838" s="93" t="n"/>
      <c r="U838" s="174">
        <f>IFERROR(Q838*S838,0)</f>
        <v/>
      </c>
      <c r="V838" s="174">
        <f>U838*T838</f>
        <v/>
      </c>
      <c r="W838" s="90" t="n"/>
      <c r="X838" s="113" t="n"/>
      <c r="Y838" s="90" t="n"/>
      <c r="Z838" s="90" t="n"/>
      <c r="AA838" s="90" t="n"/>
    </row>
    <row r="839" s="112">
      <c r="A839" s="72">
        <f>ROW()-1</f>
        <v/>
      </c>
      <c r="B839" s="175" t="n"/>
      <c r="C839" s="80" t="n"/>
      <c r="D839" s="80" t="n"/>
      <c r="E839" s="81">
        <f>VLOOKUP(I839,'25年交付功能（不含废弃）'!A:A,1,FALSE)</f>
        <v/>
      </c>
      <c r="F839" s="175" t="n"/>
      <c r="I839" s="103" t="n"/>
      <c r="J839" s="93" t="n"/>
      <c r="K839" s="84" t="n"/>
      <c r="L839" s="84" t="n"/>
      <c r="M839" s="85">
        <f>IF(OR(Y839="估算法",Y839="算法类",Y839="无法识别"),"",IF(W839="",IF(OR(J839="EI",J839="EO",J839="EQ"),0,""),LEN(W839)-LEN(SUBSTITUTE(W839,"、",""))+1))</f>
        <v/>
      </c>
      <c r="N839" s="85">
        <f>IF(OR(Y839="估算法",Y839="算法类",Y839="无法识别"),"",IF(X839="",IF(OR(J839="ILF",J839="EIF"),0,""),LEN(X839)-LEN(SUBSTITUTE(X839,"、",""))+1))</f>
        <v/>
      </c>
      <c r="O839" s="85">
        <f>IF(OR(Y839="估算法",Y839="算法类",Y839="无法识别"),"",IF(Y839="",IF(OR(J839="ILF",J839="EIF",J839="EI",J839="EO",J839="EQ"),0,""),LEN(Y839)-LEN(SUBSTITUTE(SUBSTITUTE(SUBSTITUTE(SUBSTITUTE(SUBSTITUTE(Y839,"|}","--"),"{|","--"),CHAR(10),""),"、",""),"|",""))+IF(AND(OR(J839="EI",J839="EO",J839="EQ"),$AE$1="NESMA"),2,1)))</f>
        <v/>
      </c>
      <c r="P839" s="86">
        <f>IF(J839="EI",IF(OR(Y839="估算法",Y839="算法类"),"中",IF(Y839="无法识别","低",IF(M839&lt;2,IF(O839&lt;16,"低","中"),IF(M839&lt;3,IF(O839&lt;5,"低",IF(O839&lt;16,"中","高")),IF(O839&lt;5,"中","高"))))),IF(OR(J839="EO",J839="EQ"),IF(OR(Y839="估算法",Y839="算法类"),"中",IF(Y839="无法识别","低",IF(M839&lt;2,IF(O839&lt;20,"低","中"),IF(M839&lt;4,IF(O839&lt;6,"低",IF(O839&lt;20,"中","高")),IF(O839&lt;6,"中","高"))))),IF(OR(J839="ILF",J839="EIF"),IF(OR(Y839="估算法",Y839="算法类",Y839="无法识别"),"低",IF(N839&lt;2,IF(O839&lt;51,"低","中"),IF(N839&lt;6,IF(O839&lt;20,"低",IF(O839&lt;51,"中","高")),IF(O839&lt;20,"中","高")))),"不计算")))</f>
        <v/>
      </c>
      <c r="Q839" s="172">
        <f>IFERROR(IF(J839="EI",IF(P839="低",3,IF(P839="中",4,6)),IF(J839="EO",IF(P839="低",4,IF(P839="中",5,7)),IF(J839="EQ",IF(P839="低",3,IF(P839="中",4,6)),IF(J839="ILF",IF(P839="低",7,IF(P839="中",10,15)),IF(J839="EIF",IF(P839="低",5,IF(P839="中",7,10)),"不计算")))))*R839,"不计算")</f>
        <v/>
      </c>
      <c r="R839" s="172" t="n"/>
      <c r="S839" s="173">
        <f>调整因子!$F$13</f>
        <v/>
      </c>
      <c r="T839" s="92" t="n"/>
      <c r="U839" s="174">
        <f>IFERROR(Q839*S839,0)</f>
        <v/>
      </c>
      <c r="V839" s="174">
        <f>U839*T839</f>
        <v/>
      </c>
      <c r="W839" s="90" t="n"/>
      <c r="X839" s="113" t="n"/>
      <c r="Y839" s="90" t="n"/>
      <c r="Z839" s="90" t="n"/>
      <c r="AA839" s="90" t="n"/>
    </row>
    <row r="840" s="112">
      <c r="A840" s="72">
        <f>ROW()-1</f>
        <v/>
      </c>
      <c r="B840" s="175" t="n"/>
      <c r="C840" s="80" t="n"/>
      <c r="D840" s="80" t="n"/>
      <c r="E840" s="81">
        <f>VLOOKUP(I840,'25年交付功能（不含废弃）'!A:A,1,FALSE)</f>
        <v/>
      </c>
      <c r="F840" s="175" t="n"/>
      <c r="I840" s="103" t="n"/>
      <c r="J840" s="93" t="n"/>
      <c r="K840" s="84" t="n"/>
      <c r="L840" s="84" t="n"/>
      <c r="M840" s="85">
        <f>IF(OR(Y840="估算法",Y840="算法类",Y840="无法识别"),"",IF(W840="",IF(OR(J840="EI",J840="EO",J840="EQ"),0,""),LEN(W840)-LEN(SUBSTITUTE(W840,"、",""))+1))</f>
        <v/>
      </c>
      <c r="N840" s="85">
        <f>IF(OR(Y840="估算法",Y840="算法类",Y840="无法识别"),"",IF(X840="",IF(OR(J840="ILF",J840="EIF"),0,""),LEN(X840)-LEN(SUBSTITUTE(X840,"、",""))+1))</f>
        <v/>
      </c>
      <c r="O840" s="85">
        <f>IF(OR(Y840="估算法",Y840="算法类",Y840="无法识别"),"",IF(Y840="",IF(OR(J840="ILF",J840="EIF",J840="EI",J840="EO",J840="EQ"),0,""),LEN(Y840)-LEN(SUBSTITUTE(SUBSTITUTE(SUBSTITUTE(SUBSTITUTE(SUBSTITUTE(Y840,"|}","--"),"{|","--"),CHAR(10),""),"、",""),"|",""))+IF(AND(OR(J840="EI",J840="EO",J840="EQ"),$AE$1="NESMA"),2,1)))</f>
        <v/>
      </c>
      <c r="P840" s="86">
        <f>IF(J840="EI",IF(OR(Y840="估算法",Y840="算法类"),"中",IF(Y840="无法识别","低",IF(M840&lt;2,IF(O840&lt;16,"低","中"),IF(M840&lt;3,IF(O840&lt;5,"低",IF(O840&lt;16,"中","高")),IF(O840&lt;5,"中","高"))))),IF(OR(J840="EO",J840="EQ"),IF(OR(Y840="估算法",Y840="算法类"),"中",IF(Y840="无法识别","低",IF(M840&lt;2,IF(O840&lt;20,"低","中"),IF(M840&lt;4,IF(O840&lt;6,"低",IF(O840&lt;20,"中","高")),IF(O840&lt;6,"中","高"))))),IF(OR(J840="ILF",J840="EIF"),IF(OR(Y840="估算法",Y840="算法类",Y840="无法识别"),"低",IF(N840&lt;2,IF(O840&lt;51,"低","中"),IF(N840&lt;6,IF(O840&lt;20,"低",IF(O840&lt;51,"中","高")),IF(O840&lt;20,"中","高")))),"不计算")))</f>
        <v/>
      </c>
      <c r="Q840" s="172">
        <f>IFERROR(IF(J840="EI",IF(P840="低",3,IF(P840="中",4,6)),IF(J840="EO",IF(P840="低",4,IF(P840="中",5,7)),IF(J840="EQ",IF(P840="低",3,IF(P840="中",4,6)),IF(J840="ILF",IF(P840="低",7,IF(P840="中",10,15)),IF(J840="EIF",IF(P840="低",5,IF(P840="中",7,10)),"不计算")))))*R840,"不计算")</f>
        <v/>
      </c>
      <c r="R840" s="172" t="n"/>
      <c r="S840" s="173">
        <f>调整因子!$F$13</f>
        <v/>
      </c>
      <c r="T840" s="92" t="n"/>
      <c r="U840" s="174">
        <f>IFERROR(Q840*S840,0)</f>
        <v/>
      </c>
      <c r="V840" s="174">
        <f>U840*T840</f>
        <v/>
      </c>
      <c r="W840" s="113" t="n"/>
      <c r="X840" s="90" t="n"/>
      <c r="Y840" s="90" t="n"/>
      <c r="Z840" s="90" t="n"/>
      <c r="AA840" s="90" t="n"/>
    </row>
    <row r="841" s="112">
      <c r="A841" s="72">
        <f>ROW()-1</f>
        <v/>
      </c>
      <c r="B841" s="175" t="n"/>
      <c r="C841" s="80" t="n"/>
      <c r="D841" s="80" t="n"/>
      <c r="E841" s="81">
        <f>VLOOKUP(I841,'25年交付功能（不含废弃）'!A:A,1,FALSE)</f>
        <v/>
      </c>
      <c r="F841" s="175" t="n"/>
      <c r="I841" s="103" t="n"/>
      <c r="J841" s="93" t="n"/>
      <c r="K841" s="84" t="n"/>
      <c r="L841" s="84" t="n"/>
      <c r="M841" s="85">
        <f>IF(OR(Y841="估算法",Y841="算法类",Y841="无法识别"),"",IF(W841="",IF(OR(J841="EI",J841="EO",J841="EQ"),0,""),LEN(W841)-LEN(SUBSTITUTE(W841,"、",""))+1))</f>
        <v/>
      </c>
      <c r="N841" s="85">
        <f>IF(OR(Y841="估算法",Y841="算法类",Y841="无法识别"),"",IF(X841="",IF(OR(J841="ILF",J841="EIF"),0,""),LEN(X841)-LEN(SUBSTITUTE(X841,"、",""))+1))</f>
        <v/>
      </c>
      <c r="O841" s="85">
        <f>IF(OR(Y841="估算法",Y841="算法类",Y841="无法识别"),"",IF(Y841="",IF(OR(J841="ILF",J841="EIF",J841="EI",J841="EO",J841="EQ"),0,""),LEN(Y841)-LEN(SUBSTITUTE(SUBSTITUTE(SUBSTITUTE(SUBSTITUTE(SUBSTITUTE(Y841,"|}","--"),"{|","--"),CHAR(10),""),"、",""),"|",""))+IF(AND(OR(J841="EI",J841="EO",J841="EQ"),$AE$1="NESMA"),2,1)))</f>
        <v/>
      </c>
      <c r="P841" s="86">
        <f>IF(J841="EI",IF(OR(Y841="估算法",Y841="算法类"),"中",IF(Y841="无法识别","低",IF(M841&lt;2,IF(O841&lt;16,"低","中"),IF(M841&lt;3,IF(O841&lt;5,"低",IF(O841&lt;16,"中","高")),IF(O841&lt;5,"中","高"))))),IF(OR(J841="EO",J841="EQ"),IF(OR(Y841="估算法",Y841="算法类"),"中",IF(Y841="无法识别","低",IF(M841&lt;2,IF(O841&lt;20,"低","中"),IF(M841&lt;4,IF(O841&lt;6,"低",IF(O841&lt;20,"中","高")),IF(O841&lt;6,"中","高"))))),IF(OR(J841="ILF",J841="EIF"),IF(OR(Y841="估算法",Y841="算法类",Y841="无法识别"),"低",IF(N841&lt;2,IF(O841&lt;51,"低","中"),IF(N841&lt;6,IF(O841&lt;20,"低",IF(O841&lt;51,"中","高")),IF(O841&lt;20,"中","高")))),"不计算")))</f>
        <v/>
      </c>
      <c r="Q841" s="172">
        <f>IFERROR(IF(J841="EI",IF(P841="低",3,IF(P841="中",4,6)),IF(J841="EO",IF(P841="低",4,IF(P841="中",5,7)),IF(J841="EQ",IF(P841="低",3,IF(P841="中",4,6)),IF(J841="ILF",IF(P841="低",7,IF(P841="中",10,15)),IF(J841="EIF",IF(P841="低",5,IF(P841="中",7,10)),"不计算")))))*R841,"不计算")</f>
        <v/>
      </c>
      <c r="R841" s="172" t="n"/>
      <c r="S841" s="173">
        <f>调整因子!$F$13</f>
        <v/>
      </c>
      <c r="T841" s="93" t="n"/>
      <c r="U841" s="174">
        <f>IFERROR(Q841*S841,0)</f>
        <v/>
      </c>
      <c r="V841" s="174">
        <f>U841*T841</f>
        <v/>
      </c>
      <c r="W841" s="90" t="n"/>
      <c r="X841" s="113" t="n"/>
      <c r="Y841" s="90" t="n"/>
      <c r="Z841" s="90" t="n"/>
      <c r="AA841" s="90" t="n"/>
    </row>
    <row r="842" s="112">
      <c r="A842" s="72">
        <f>ROW()-1</f>
        <v/>
      </c>
      <c r="B842" s="175" t="n"/>
      <c r="C842" s="80" t="n"/>
      <c r="D842" s="80" t="n"/>
      <c r="E842" s="81">
        <f>VLOOKUP(I842,'25年交付功能（不含废弃）'!A:A,1,FALSE)</f>
        <v/>
      </c>
      <c r="F842" s="175" t="n"/>
      <c r="I842" s="103" t="n"/>
      <c r="J842" s="93" t="n"/>
      <c r="K842" s="84" t="n"/>
      <c r="L842" s="84" t="n"/>
      <c r="M842" s="85">
        <f>IF(OR(Y842="估算法",Y842="算法类",Y842="无法识别"),"",IF(W842="",IF(OR(J842="EI",J842="EO",J842="EQ"),0,""),LEN(W842)-LEN(SUBSTITUTE(W842,"、",""))+1))</f>
        <v/>
      </c>
      <c r="N842" s="85">
        <f>IF(OR(Y842="估算法",Y842="算法类",Y842="无法识别"),"",IF(X842="",IF(OR(J842="ILF",J842="EIF"),0,""),LEN(X842)-LEN(SUBSTITUTE(X842,"、",""))+1))</f>
        <v/>
      </c>
      <c r="O842" s="85">
        <f>IF(OR(Y842="估算法",Y842="算法类",Y842="无法识别"),"",IF(Y842="",IF(OR(J842="ILF",J842="EIF",J842="EI",J842="EO",J842="EQ"),0,""),LEN(Y842)-LEN(SUBSTITUTE(SUBSTITUTE(SUBSTITUTE(SUBSTITUTE(SUBSTITUTE(Y842,"|}","--"),"{|","--"),CHAR(10),""),"、",""),"|",""))+IF(AND(OR(J842="EI",J842="EO",J842="EQ"),$AE$1="NESMA"),2,1)))</f>
        <v/>
      </c>
      <c r="P842" s="86">
        <f>IF(J842="EI",IF(OR(Y842="估算法",Y842="算法类"),"中",IF(Y842="无法识别","低",IF(M842&lt;2,IF(O842&lt;16,"低","中"),IF(M842&lt;3,IF(O842&lt;5,"低",IF(O842&lt;16,"中","高")),IF(O842&lt;5,"中","高"))))),IF(OR(J842="EO",J842="EQ"),IF(OR(Y842="估算法",Y842="算法类"),"中",IF(Y842="无法识别","低",IF(M842&lt;2,IF(O842&lt;20,"低","中"),IF(M842&lt;4,IF(O842&lt;6,"低",IF(O842&lt;20,"中","高")),IF(O842&lt;6,"中","高"))))),IF(OR(J842="ILF",J842="EIF"),IF(OR(Y842="估算法",Y842="算法类",Y842="无法识别"),"低",IF(N842&lt;2,IF(O842&lt;51,"低","中"),IF(N842&lt;6,IF(O842&lt;20,"低",IF(O842&lt;51,"中","高")),IF(O842&lt;20,"中","高")))),"不计算")))</f>
        <v/>
      </c>
      <c r="Q842" s="172">
        <f>IFERROR(IF(J842="EI",IF(P842="低",3,IF(P842="中",4,6)),IF(J842="EO",IF(P842="低",4,IF(P842="中",5,7)),IF(J842="EQ",IF(P842="低",3,IF(P842="中",4,6)),IF(J842="ILF",IF(P842="低",7,IF(P842="中",10,15)),IF(J842="EIF",IF(P842="低",5,IF(P842="中",7,10)),"不计算")))))*R842,"不计算")</f>
        <v/>
      </c>
      <c r="R842" s="172" t="n"/>
      <c r="S842" s="173">
        <f>调整因子!$F$13</f>
        <v/>
      </c>
      <c r="T842" s="92" t="n"/>
      <c r="U842" s="174">
        <f>IFERROR(Q842*S842,0)</f>
        <v/>
      </c>
      <c r="V842" s="174">
        <f>U842*T842</f>
        <v/>
      </c>
      <c r="W842" s="90" t="n"/>
      <c r="X842" s="113" t="n"/>
      <c r="Y842" s="90" t="n"/>
      <c r="Z842" s="90" t="n"/>
      <c r="AA842" s="90" t="n"/>
    </row>
    <row r="843" s="112">
      <c r="A843" s="72">
        <f>ROW()-1</f>
        <v/>
      </c>
      <c r="B843" s="175" t="n"/>
      <c r="C843" s="80" t="n"/>
      <c r="D843" s="80" t="n"/>
      <c r="E843" s="81">
        <f>VLOOKUP(I843,'25年交付功能（不含废弃）'!A:A,1,FALSE)</f>
        <v/>
      </c>
      <c r="F843" s="175" t="n"/>
      <c r="I843" s="103" t="n"/>
      <c r="J843" s="93" t="n"/>
      <c r="K843" s="84" t="n"/>
      <c r="L843" s="84" t="n"/>
      <c r="M843" s="85">
        <f>IF(OR(Y843="估算法",Y843="算法类",Y843="无法识别"),"",IF(W843="",IF(OR(J843="EI",J843="EO",J843="EQ"),0,""),LEN(W843)-LEN(SUBSTITUTE(W843,"、",""))+1))</f>
        <v/>
      </c>
      <c r="N843" s="85">
        <f>IF(OR(Y843="估算法",Y843="算法类",Y843="无法识别"),"",IF(X843="",IF(OR(J843="ILF",J843="EIF"),0,""),LEN(X843)-LEN(SUBSTITUTE(X843,"、",""))+1))</f>
        <v/>
      </c>
      <c r="O843" s="85">
        <f>IF(OR(Y843="估算法",Y843="算法类",Y843="无法识别"),"",IF(Y843="",IF(OR(J843="ILF",J843="EIF",J843="EI",J843="EO",J843="EQ"),0,""),LEN(Y843)-LEN(SUBSTITUTE(SUBSTITUTE(SUBSTITUTE(SUBSTITUTE(SUBSTITUTE(Y843,"|}","--"),"{|","--"),CHAR(10),""),"、",""),"|",""))+IF(AND(OR(J843="EI",J843="EO",J843="EQ"),$AE$1="NESMA"),2,1)))</f>
        <v/>
      </c>
      <c r="P843" s="86">
        <f>IF(J843="EI",IF(OR(Y843="估算法",Y843="算法类"),"中",IF(Y843="无法识别","低",IF(M843&lt;2,IF(O843&lt;16,"低","中"),IF(M843&lt;3,IF(O843&lt;5,"低",IF(O843&lt;16,"中","高")),IF(O843&lt;5,"中","高"))))),IF(OR(J843="EO",J843="EQ"),IF(OR(Y843="估算法",Y843="算法类"),"中",IF(Y843="无法识别","低",IF(M843&lt;2,IF(O843&lt;20,"低","中"),IF(M843&lt;4,IF(O843&lt;6,"低",IF(O843&lt;20,"中","高")),IF(O843&lt;6,"中","高"))))),IF(OR(J843="ILF",J843="EIF"),IF(OR(Y843="估算法",Y843="算法类",Y843="无法识别"),"低",IF(N843&lt;2,IF(O843&lt;51,"低","中"),IF(N843&lt;6,IF(O843&lt;20,"低",IF(O843&lt;51,"中","高")),IF(O843&lt;20,"中","高")))),"不计算")))</f>
        <v/>
      </c>
      <c r="Q843" s="172">
        <f>IFERROR(IF(J843="EI",IF(P843="低",3,IF(P843="中",4,6)),IF(J843="EO",IF(P843="低",4,IF(P843="中",5,7)),IF(J843="EQ",IF(P843="低",3,IF(P843="中",4,6)),IF(J843="ILF",IF(P843="低",7,IF(P843="中",10,15)),IF(J843="EIF",IF(P843="低",5,IF(P843="中",7,10)),"不计算")))))*R843,"不计算")</f>
        <v/>
      </c>
      <c r="R843" s="172" t="n"/>
      <c r="S843" s="173">
        <f>调整因子!$F$13</f>
        <v/>
      </c>
      <c r="T843" s="92" t="n"/>
      <c r="U843" s="174">
        <f>IFERROR(Q843*S843,0)</f>
        <v/>
      </c>
      <c r="V843" s="174">
        <f>U843*T843</f>
        <v/>
      </c>
      <c r="W843" s="90" t="n"/>
      <c r="X843" s="113" t="n"/>
      <c r="Y843" s="90" t="n"/>
      <c r="Z843" s="90" t="n"/>
      <c r="AA843" s="90" t="n"/>
    </row>
    <row r="844" s="112">
      <c r="A844" s="72">
        <f>ROW()-1</f>
        <v/>
      </c>
      <c r="B844" s="175" t="n"/>
      <c r="C844" s="80" t="n"/>
      <c r="D844" s="80" t="n"/>
      <c r="E844" s="81">
        <f>VLOOKUP(I844,'25年交付功能（不含废弃）'!A:A,1,FALSE)</f>
        <v/>
      </c>
      <c r="F844" s="175" t="n"/>
      <c r="I844" s="103" t="n"/>
      <c r="J844" s="93" t="n"/>
      <c r="K844" s="84" t="n"/>
      <c r="L844" s="84" t="n"/>
      <c r="M844" s="85">
        <f>IF(OR(Y844="估算法",Y844="算法类",Y844="无法识别"),"",IF(W844="",IF(OR(J844="EI",J844="EO",J844="EQ"),0,""),LEN(W844)-LEN(SUBSTITUTE(W844,"、",""))+1))</f>
        <v/>
      </c>
      <c r="N844" s="85">
        <f>IF(OR(Y844="估算法",Y844="算法类",Y844="无法识别"),"",IF(X844="",IF(OR(J844="ILF",J844="EIF"),0,""),LEN(X844)-LEN(SUBSTITUTE(X844,"、",""))+1))</f>
        <v/>
      </c>
      <c r="O844" s="85">
        <f>IF(OR(Y844="估算法",Y844="算法类",Y844="无法识别"),"",IF(Y844="",IF(OR(J844="ILF",J844="EIF",J844="EI",J844="EO",J844="EQ"),0,""),LEN(Y844)-LEN(SUBSTITUTE(SUBSTITUTE(SUBSTITUTE(SUBSTITUTE(SUBSTITUTE(Y844,"|}","--"),"{|","--"),CHAR(10),""),"、",""),"|",""))+IF(AND(OR(J844="EI",J844="EO",J844="EQ"),$AE$1="NESMA"),2,1)))</f>
        <v/>
      </c>
      <c r="P844" s="86">
        <f>IF(J844="EI",IF(OR(Y844="估算法",Y844="算法类"),"中",IF(Y844="无法识别","低",IF(M844&lt;2,IF(O844&lt;16,"低","中"),IF(M844&lt;3,IF(O844&lt;5,"低",IF(O844&lt;16,"中","高")),IF(O844&lt;5,"中","高"))))),IF(OR(J844="EO",J844="EQ"),IF(OR(Y844="估算法",Y844="算法类"),"中",IF(Y844="无法识别","低",IF(M844&lt;2,IF(O844&lt;20,"低","中"),IF(M844&lt;4,IF(O844&lt;6,"低",IF(O844&lt;20,"中","高")),IF(O844&lt;6,"中","高"))))),IF(OR(J844="ILF",J844="EIF"),IF(OR(Y844="估算法",Y844="算法类",Y844="无法识别"),"低",IF(N844&lt;2,IF(O844&lt;51,"低","中"),IF(N844&lt;6,IF(O844&lt;20,"低",IF(O844&lt;51,"中","高")),IF(O844&lt;20,"中","高")))),"不计算")))</f>
        <v/>
      </c>
      <c r="Q844" s="172">
        <f>IFERROR(IF(J844="EI",IF(P844="低",3,IF(P844="中",4,6)),IF(J844="EO",IF(P844="低",4,IF(P844="中",5,7)),IF(J844="EQ",IF(P844="低",3,IF(P844="中",4,6)),IF(J844="ILF",IF(P844="低",7,IF(P844="中",10,15)),IF(J844="EIF",IF(P844="低",5,IF(P844="中",7,10)),"不计算")))))*R844,"不计算")</f>
        <v/>
      </c>
      <c r="R844" s="172" t="n"/>
      <c r="S844" s="173">
        <f>调整因子!$F$13</f>
        <v/>
      </c>
      <c r="T844" s="93" t="n"/>
      <c r="U844" s="174">
        <f>IFERROR(Q844*S844,0)</f>
        <v/>
      </c>
      <c r="V844" s="174">
        <f>U844*T844</f>
        <v/>
      </c>
      <c r="W844" s="113" t="n"/>
      <c r="X844" s="90" t="n"/>
      <c r="Y844" s="90" t="n"/>
      <c r="Z844" s="90" t="n"/>
      <c r="AA844" s="90" t="n"/>
    </row>
    <row r="845" s="112">
      <c r="A845" s="72">
        <f>ROW()-1</f>
        <v/>
      </c>
      <c r="B845" s="175" t="n"/>
      <c r="C845" s="80" t="n"/>
      <c r="D845" s="80" t="n"/>
      <c r="E845" s="81">
        <f>VLOOKUP(I845,'25年交付功能（不含废弃）'!A:A,1,FALSE)</f>
        <v/>
      </c>
      <c r="F845" s="175" t="n"/>
      <c r="I845" s="103" t="n"/>
      <c r="J845" s="93" t="n"/>
      <c r="K845" s="84" t="n"/>
      <c r="L845" s="84" t="n"/>
      <c r="M845" s="85">
        <f>IF(OR(Y845="估算法",Y845="算法类",Y845="无法识别"),"",IF(W845="",IF(OR(J845="EI",J845="EO",J845="EQ"),0,""),LEN(W845)-LEN(SUBSTITUTE(W845,"、",""))+1))</f>
        <v/>
      </c>
      <c r="N845" s="85">
        <f>IF(OR(Y845="估算法",Y845="算法类",Y845="无法识别"),"",IF(X845="",IF(OR(J845="ILF",J845="EIF"),0,""),LEN(X845)-LEN(SUBSTITUTE(X845,"、",""))+1))</f>
        <v/>
      </c>
      <c r="O845" s="85">
        <f>IF(OR(Y845="估算法",Y845="算法类",Y845="无法识别"),"",IF(Y845="",IF(OR(J845="ILF",J845="EIF",J845="EI",J845="EO",J845="EQ"),0,""),LEN(Y845)-LEN(SUBSTITUTE(SUBSTITUTE(SUBSTITUTE(SUBSTITUTE(SUBSTITUTE(Y845,"|}","--"),"{|","--"),CHAR(10),""),"、",""),"|",""))+IF(AND(OR(J845="EI",J845="EO",J845="EQ"),$AE$1="NESMA"),2,1)))</f>
        <v/>
      </c>
      <c r="P845" s="86">
        <f>IF(J845="EI",IF(OR(Y845="估算法",Y845="算法类"),"中",IF(Y845="无法识别","低",IF(M845&lt;2,IF(O845&lt;16,"低","中"),IF(M845&lt;3,IF(O845&lt;5,"低",IF(O845&lt;16,"中","高")),IF(O845&lt;5,"中","高"))))),IF(OR(J845="EO",J845="EQ"),IF(OR(Y845="估算法",Y845="算法类"),"中",IF(Y845="无法识别","低",IF(M845&lt;2,IF(O845&lt;20,"低","中"),IF(M845&lt;4,IF(O845&lt;6,"低",IF(O845&lt;20,"中","高")),IF(O845&lt;6,"中","高"))))),IF(OR(J845="ILF",J845="EIF"),IF(OR(Y845="估算法",Y845="算法类",Y845="无法识别"),"低",IF(N845&lt;2,IF(O845&lt;51,"低","中"),IF(N845&lt;6,IF(O845&lt;20,"低",IF(O845&lt;51,"中","高")),IF(O845&lt;20,"中","高")))),"不计算")))</f>
        <v/>
      </c>
      <c r="Q845" s="172">
        <f>IFERROR(IF(J845="EI",IF(P845="低",3,IF(P845="中",4,6)),IF(J845="EO",IF(P845="低",4,IF(P845="中",5,7)),IF(J845="EQ",IF(P845="低",3,IF(P845="中",4,6)),IF(J845="ILF",IF(P845="低",7,IF(P845="中",10,15)),IF(J845="EIF",IF(P845="低",5,IF(P845="中",7,10)),"不计算")))))*R845,"不计算")</f>
        <v/>
      </c>
      <c r="R845" s="172" t="n"/>
      <c r="S845" s="173">
        <f>调整因子!$F$13</f>
        <v/>
      </c>
      <c r="T845" s="93" t="n"/>
      <c r="U845" s="174">
        <f>IFERROR(Q845*S845,0)</f>
        <v/>
      </c>
      <c r="V845" s="174">
        <f>U845*T845</f>
        <v/>
      </c>
      <c r="W845" s="90" t="n"/>
      <c r="X845" s="113" t="n"/>
      <c r="Y845" s="90" t="n"/>
      <c r="Z845" s="90" t="n"/>
      <c r="AA845" s="90" t="n"/>
    </row>
    <row r="846" s="112">
      <c r="A846" s="72">
        <f>ROW()-1</f>
        <v/>
      </c>
      <c r="B846" s="175" t="n"/>
      <c r="C846" s="80" t="n"/>
      <c r="D846" s="80" t="n"/>
      <c r="E846" s="81">
        <f>VLOOKUP(I846,'25年交付功能（不含废弃）'!A:A,1,FALSE)</f>
        <v/>
      </c>
      <c r="F846" s="175" t="n"/>
      <c r="I846" s="103" t="n"/>
      <c r="J846" s="93" t="n"/>
      <c r="K846" s="84" t="n"/>
      <c r="L846" s="84" t="n"/>
      <c r="M846" s="85">
        <f>IF(OR(Y846="估算法",Y846="算法类",Y846="无法识别"),"",IF(W846="",IF(OR(J846="EI",J846="EO",J846="EQ"),0,""),LEN(W846)-LEN(SUBSTITUTE(W846,"、",""))+1))</f>
        <v/>
      </c>
      <c r="N846" s="85">
        <f>IF(OR(Y846="估算法",Y846="算法类",Y846="无法识别"),"",IF(X846="",IF(OR(J846="ILF",J846="EIF"),0,""),LEN(X846)-LEN(SUBSTITUTE(X846,"、",""))+1))</f>
        <v/>
      </c>
      <c r="O846" s="85">
        <f>IF(OR(Y846="估算法",Y846="算法类",Y846="无法识别"),"",IF(Y846="",IF(OR(J846="ILF",J846="EIF",J846="EI",J846="EO",J846="EQ"),0,""),LEN(Y846)-LEN(SUBSTITUTE(SUBSTITUTE(SUBSTITUTE(SUBSTITUTE(SUBSTITUTE(Y846,"|}","--"),"{|","--"),CHAR(10),""),"、",""),"|",""))+IF(AND(OR(J846="EI",J846="EO",J846="EQ"),$AE$1="NESMA"),2,1)))</f>
        <v/>
      </c>
      <c r="P846" s="86">
        <f>IF(J846="EI",IF(OR(Y846="估算法",Y846="算法类"),"中",IF(Y846="无法识别","低",IF(M846&lt;2,IF(O846&lt;16,"低","中"),IF(M846&lt;3,IF(O846&lt;5,"低",IF(O846&lt;16,"中","高")),IF(O846&lt;5,"中","高"))))),IF(OR(J846="EO",J846="EQ"),IF(OR(Y846="估算法",Y846="算法类"),"中",IF(Y846="无法识别","低",IF(M846&lt;2,IF(O846&lt;20,"低","中"),IF(M846&lt;4,IF(O846&lt;6,"低",IF(O846&lt;20,"中","高")),IF(O846&lt;6,"中","高"))))),IF(OR(J846="ILF",J846="EIF"),IF(OR(Y846="估算法",Y846="算法类",Y846="无法识别"),"低",IF(N846&lt;2,IF(O846&lt;51,"低","中"),IF(N846&lt;6,IF(O846&lt;20,"低",IF(O846&lt;51,"中","高")),IF(O846&lt;20,"中","高")))),"不计算")))</f>
        <v/>
      </c>
      <c r="Q846" s="172">
        <f>IFERROR(IF(J846="EI",IF(P846="低",3,IF(P846="中",4,6)),IF(J846="EO",IF(P846="低",4,IF(P846="中",5,7)),IF(J846="EQ",IF(P846="低",3,IF(P846="中",4,6)),IF(J846="ILF",IF(P846="低",7,IF(P846="中",10,15)),IF(J846="EIF",IF(P846="低",5,IF(P846="中",7,10)),"不计算")))))*R846,"不计算")</f>
        <v/>
      </c>
      <c r="R846" s="172" t="n"/>
      <c r="S846" s="173">
        <f>调整因子!$F$13</f>
        <v/>
      </c>
      <c r="T846" s="92" t="n"/>
      <c r="U846" s="174">
        <f>IFERROR(Q846*S846,0)</f>
        <v/>
      </c>
      <c r="V846" s="174">
        <f>U846*T846</f>
        <v/>
      </c>
      <c r="W846" s="90" t="n"/>
      <c r="X846" s="113" t="n"/>
      <c r="Y846" s="90" t="n"/>
      <c r="Z846" s="90" t="n"/>
      <c r="AA846" s="90" t="n"/>
    </row>
    <row r="847" s="112">
      <c r="A847" s="72">
        <f>ROW()-1</f>
        <v/>
      </c>
      <c r="B847" s="175" t="n"/>
      <c r="C847" s="80" t="n"/>
      <c r="D847" s="80" t="n"/>
      <c r="E847" s="81">
        <f>VLOOKUP(I847,'25年交付功能（不含废弃）'!A:A,1,FALSE)</f>
        <v/>
      </c>
      <c r="F847" s="175" t="n"/>
      <c r="I847" s="103" t="n"/>
      <c r="J847" s="93" t="n"/>
      <c r="K847" s="84" t="n"/>
      <c r="L847" s="84" t="n"/>
      <c r="M847" s="85">
        <f>IF(OR(Y847="估算法",Y847="算法类",Y847="无法识别"),"",IF(W847="",IF(OR(J847="EI",J847="EO",J847="EQ"),0,""),LEN(W847)-LEN(SUBSTITUTE(W847,"、",""))+1))</f>
        <v/>
      </c>
      <c r="N847" s="85">
        <f>IF(OR(Y847="估算法",Y847="算法类",Y847="无法识别"),"",IF(X847="",IF(OR(J847="ILF",J847="EIF"),0,""),LEN(X847)-LEN(SUBSTITUTE(X847,"、",""))+1))</f>
        <v/>
      </c>
      <c r="O847" s="85">
        <f>IF(OR(Y847="估算法",Y847="算法类",Y847="无法识别"),"",IF(Y847="",IF(OR(J847="ILF",J847="EIF",J847="EI",J847="EO",J847="EQ"),0,""),LEN(Y847)-LEN(SUBSTITUTE(SUBSTITUTE(SUBSTITUTE(SUBSTITUTE(SUBSTITUTE(Y847,"|}","--"),"{|","--"),CHAR(10),""),"、",""),"|",""))+IF(AND(OR(J847="EI",J847="EO",J847="EQ"),$AE$1="NESMA"),2,1)))</f>
        <v/>
      </c>
      <c r="P847" s="86">
        <f>IF(J847="EI",IF(OR(Y847="估算法",Y847="算法类"),"中",IF(Y847="无法识别","低",IF(M847&lt;2,IF(O847&lt;16,"低","中"),IF(M847&lt;3,IF(O847&lt;5,"低",IF(O847&lt;16,"中","高")),IF(O847&lt;5,"中","高"))))),IF(OR(J847="EO",J847="EQ"),IF(OR(Y847="估算法",Y847="算法类"),"中",IF(Y847="无法识别","低",IF(M847&lt;2,IF(O847&lt;20,"低","中"),IF(M847&lt;4,IF(O847&lt;6,"低",IF(O847&lt;20,"中","高")),IF(O847&lt;6,"中","高"))))),IF(OR(J847="ILF",J847="EIF"),IF(OR(Y847="估算法",Y847="算法类",Y847="无法识别"),"低",IF(N847&lt;2,IF(O847&lt;51,"低","中"),IF(N847&lt;6,IF(O847&lt;20,"低",IF(O847&lt;51,"中","高")),IF(O847&lt;20,"中","高")))),"不计算")))</f>
        <v/>
      </c>
      <c r="Q847" s="172">
        <f>IFERROR(IF(J847="EI",IF(P847="低",3,IF(P847="中",4,6)),IF(J847="EO",IF(P847="低",4,IF(P847="中",5,7)),IF(J847="EQ",IF(P847="低",3,IF(P847="中",4,6)),IF(J847="ILF",IF(P847="低",7,IF(P847="中",10,15)),IF(J847="EIF",IF(P847="低",5,IF(P847="中",7,10)),"不计算")))))*R847,"不计算")</f>
        <v/>
      </c>
      <c r="R847" s="172" t="n"/>
      <c r="S847" s="173">
        <f>调整因子!$F$13</f>
        <v/>
      </c>
      <c r="T847" s="92" t="n"/>
      <c r="U847" s="174">
        <f>IFERROR(Q847*S847,0)</f>
        <v/>
      </c>
      <c r="V847" s="174">
        <f>U847*T847</f>
        <v/>
      </c>
      <c r="W847" s="90" t="n"/>
      <c r="X847" s="113" t="n"/>
      <c r="Y847" s="90" t="n"/>
      <c r="Z847" s="90" t="n"/>
      <c r="AA847" s="90" t="n"/>
    </row>
    <row r="848" s="112">
      <c r="A848" s="72">
        <f>ROW()-1</f>
        <v/>
      </c>
      <c r="B848" s="175" t="n"/>
      <c r="C848" s="80" t="n"/>
      <c r="D848" s="80" t="n"/>
      <c r="E848" s="81">
        <f>VLOOKUP(I848,'25年交付功能（不含废弃）'!A:A,1,FALSE)</f>
        <v/>
      </c>
      <c r="F848" s="175" t="n"/>
      <c r="I848" s="103" t="n"/>
      <c r="J848" s="93" t="n"/>
      <c r="K848" s="84" t="n"/>
      <c r="L848" s="84" t="n"/>
      <c r="M848" s="85">
        <f>IF(OR(Y848="估算法",Y848="算法类",Y848="无法识别"),"",IF(W848="",IF(OR(J848="EI",J848="EO",J848="EQ"),0,""),LEN(W848)-LEN(SUBSTITUTE(W848,"、",""))+1))</f>
        <v/>
      </c>
      <c r="N848" s="85">
        <f>IF(OR(Y848="估算法",Y848="算法类",Y848="无法识别"),"",IF(X848="",IF(OR(J848="ILF",J848="EIF"),0,""),LEN(X848)-LEN(SUBSTITUTE(X848,"、",""))+1))</f>
        <v/>
      </c>
      <c r="O848" s="85">
        <f>IF(OR(Y848="估算法",Y848="算法类",Y848="无法识别"),"",IF(Y848="",IF(OR(J848="ILF",J848="EIF",J848="EI",J848="EO",J848="EQ"),0,""),LEN(Y848)-LEN(SUBSTITUTE(SUBSTITUTE(SUBSTITUTE(SUBSTITUTE(SUBSTITUTE(Y848,"|}","--"),"{|","--"),CHAR(10),""),"、",""),"|",""))+IF(AND(OR(J848="EI",J848="EO",J848="EQ"),$AE$1="NESMA"),2,1)))</f>
        <v/>
      </c>
      <c r="P848" s="86">
        <f>IF(J848="EI",IF(OR(Y848="估算法",Y848="算法类"),"中",IF(Y848="无法识别","低",IF(M848&lt;2,IF(O848&lt;16,"低","中"),IF(M848&lt;3,IF(O848&lt;5,"低",IF(O848&lt;16,"中","高")),IF(O848&lt;5,"中","高"))))),IF(OR(J848="EO",J848="EQ"),IF(OR(Y848="估算法",Y848="算法类"),"中",IF(Y848="无法识别","低",IF(M848&lt;2,IF(O848&lt;20,"低","中"),IF(M848&lt;4,IF(O848&lt;6,"低",IF(O848&lt;20,"中","高")),IF(O848&lt;6,"中","高"))))),IF(OR(J848="ILF",J848="EIF"),IF(OR(Y848="估算法",Y848="算法类",Y848="无法识别"),"低",IF(N848&lt;2,IF(O848&lt;51,"低","中"),IF(N848&lt;6,IF(O848&lt;20,"低",IF(O848&lt;51,"中","高")),IF(O848&lt;20,"中","高")))),"不计算")))</f>
        <v/>
      </c>
      <c r="Q848" s="172">
        <f>IFERROR(IF(J848="EI",IF(P848="低",3,IF(P848="中",4,6)),IF(J848="EO",IF(P848="低",4,IF(P848="中",5,7)),IF(J848="EQ",IF(P848="低",3,IF(P848="中",4,6)),IF(J848="ILF",IF(P848="低",7,IF(P848="中",10,15)),IF(J848="EIF",IF(P848="低",5,IF(P848="中",7,10)),"不计算")))))*R848,"不计算")</f>
        <v/>
      </c>
      <c r="R848" s="172" t="n"/>
      <c r="S848" s="173">
        <f>调整因子!$F$13</f>
        <v/>
      </c>
      <c r="T848" s="93" t="n"/>
      <c r="U848" s="174">
        <f>IFERROR(Q848*S848,0)</f>
        <v/>
      </c>
      <c r="V848" s="174">
        <f>U848*T848</f>
        <v/>
      </c>
      <c r="W848" s="113" t="n"/>
      <c r="X848" s="90" t="n"/>
      <c r="Y848" s="90" t="n"/>
      <c r="Z848" s="90" t="n"/>
      <c r="AA848" s="90" t="n"/>
    </row>
    <row r="849" s="112">
      <c r="A849" s="72">
        <f>ROW()-1</f>
        <v/>
      </c>
      <c r="B849" s="175" t="n"/>
      <c r="C849" s="80" t="n"/>
      <c r="D849" s="80" t="n"/>
      <c r="E849" s="81">
        <f>VLOOKUP(I849,'25年交付功能（不含废弃）'!A:A,1,FALSE)</f>
        <v/>
      </c>
      <c r="F849" s="175" t="n"/>
      <c r="I849" s="103" t="n"/>
      <c r="J849" s="93" t="n"/>
      <c r="K849" s="84" t="n"/>
      <c r="L849" s="84" t="n"/>
      <c r="M849" s="85">
        <f>IF(OR(Y849="估算法",Y849="算法类",Y849="无法识别"),"",IF(W849="",IF(OR(J849="EI",J849="EO",J849="EQ"),0,""),LEN(W849)-LEN(SUBSTITUTE(W849,"、",""))+1))</f>
        <v/>
      </c>
      <c r="N849" s="85">
        <f>IF(OR(Y849="估算法",Y849="算法类",Y849="无法识别"),"",IF(X849="",IF(OR(J849="ILF",J849="EIF"),0,""),LEN(X849)-LEN(SUBSTITUTE(X849,"、",""))+1))</f>
        <v/>
      </c>
      <c r="O849" s="85">
        <f>IF(OR(Y849="估算法",Y849="算法类",Y849="无法识别"),"",IF(Y849="",IF(OR(J849="ILF",J849="EIF",J849="EI",J849="EO",J849="EQ"),0,""),LEN(Y849)-LEN(SUBSTITUTE(SUBSTITUTE(SUBSTITUTE(SUBSTITUTE(SUBSTITUTE(Y849,"|}","--"),"{|","--"),CHAR(10),""),"、",""),"|",""))+IF(AND(OR(J849="EI",J849="EO",J849="EQ"),$AE$1="NESMA"),2,1)))</f>
        <v/>
      </c>
      <c r="P849" s="86">
        <f>IF(J849="EI",IF(OR(Y849="估算法",Y849="算法类"),"中",IF(Y849="无法识别","低",IF(M849&lt;2,IF(O849&lt;16,"低","中"),IF(M849&lt;3,IF(O849&lt;5,"低",IF(O849&lt;16,"中","高")),IF(O849&lt;5,"中","高"))))),IF(OR(J849="EO",J849="EQ"),IF(OR(Y849="估算法",Y849="算法类"),"中",IF(Y849="无法识别","低",IF(M849&lt;2,IF(O849&lt;20,"低","中"),IF(M849&lt;4,IF(O849&lt;6,"低",IF(O849&lt;20,"中","高")),IF(O849&lt;6,"中","高"))))),IF(OR(J849="ILF",J849="EIF"),IF(OR(Y849="估算法",Y849="算法类",Y849="无法识别"),"低",IF(N849&lt;2,IF(O849&lt;51,"低","中"),IF(N849&lt;6,IF(O849&lt;20,"低",IF(O849&lt;51,"中","高")),IF(O849&lt;20,"中","高")))),"不计算")))</f>
        <v/>
      </c>
      <c r="Q849" s="172">
        <f>IFERROR(IF(J849="EI",IF(P849="低",3,IF(P849="中",4,6)),IF(J849="EO",IF(P849="低",4,IF(P849="中",5,7)),IF(J849="EQ",IF(P849="低",3,IF(P849="中",4,6)),IF(J849="ILF",IF(P849="低",7,IF(P849="中",10,15)),IF(J849="EIF",IF(P849="低",5,IF(P849="中",7,10)),"不计算")))))*R849,"不计算")</f>
        <v/>
      </c>
      <c r="R849" s="172" t="n"/>
      <c r="S849" s="173">
        <f>调整因子!$F$13</f>
        <v/>
      </c>
      <c r="T849" s="92" t="n"/>
      <c r="U849" s="174">
        <f>IFERROR(Q849*S849,0)</f>
        <v/>
      </c>
      <c r="V849" s="174">
        <f>U849*T849</f>
        <v/>
      </c>
      <c r="W849" s="90" t="n"/>
      <c r="X849" s="113" t="n"/>
      <c r="Y849" s="90" t="n"/>
      <c r="Z849" s="90" t="n"/>
      <c r="AA849" s="90" t="n"/>
    </row>
    <row r="850" s="112">
      <c r="A850" s="72">
        <f>ROW()-1</f>
        <v/>
      </c>
      <c r="B850" s="175" t="n"/>
      <c r="C850" s="80" t="n"/>
      <c r="D850" s="80" t="n"/>
      <c r="E850" s="81">
        <f>VLOOKUP(I850,'25年交付功能（不含废弃）'!A:A,1,FALSE)</f>
        <v/>
      </c>
      <c r="F850" s="175" t="n"/>
      <c r="I850" s="103" t="n"/>
      <c r="J850" s="93" t="n"/>
      <c r="K850" s="84" t="n"/>
      <c r="L850" s="84" t="n"/>
      <c r="M850" s="85">
        <f>IF(OR(Y850="估算法",Y850="算法类",Y850="无法识别"),"",IF(W850="",IF(OR(J850="EI",J850="EO",J850="EQ"),0,""),LEN(W850)-LEN(SUBSTITUTE(W850,"、",""))+1))</f>
        <v/>
      </c>
      <c r="N850" s="85">
        <f>IF(OR(Y850="估算法",Y850="算法类",Y850="无法识别"),"",IF(X850="",IF(OR(J850="ILF",J850="EIF"),0,""),LEN(X850)-LEN(SUBSTITUTE(X850,"、",""))+1))</f>
        <v/>
      </c>
      <c r="O850" s="85">
        <f>IF(OR(Y850="估算法",Y850="算法类",Y850="无法识别"),"",IF(Y850="",IF(OR(J850="ILF",J850="EIF",J850="EI",J850="EO",J850="EQ"),0,""),LEN(Y850)-LEN(SUBSTITUTE(SUBSTITUTE(SUBSTITUTE(SUBSTITUTE(SUBSTITUTE(Y850,"|}","--"),"{|","--"),CHAR(10),""),"、",""),"|",""))+IF(AND(OR(J850="EI",J850="EO",J850="EQ"),$AE$1="NESMA"),2,1)))</f>
        <v/>
      </c>
      <c r="P850" s="86">
        <f>IF(J850="EI",IF(OR(Y850="估算法",Y850="算法类"),"中",IF(Y850="无法识别","低",IF(M850&lt;2,IF(O850&lt;16,"低","中"),IF(M850&lt;3,IF(O850&lt;5,"低",IF(O850&lt;16,"中","高")),IF(O850&lt;5,"中","高"))))),IF(OR(J850="EO",J850="EQ"),IF(OR(Y850="估算法",Y850="算法类"),"中",IF(Y850="无法识别","低",IF(M850&lt;2,IF(O850&lt;20,"低","中"),IF(M850&lt;4,IF(O850&lt;6,"低",IF(O850&lt;20,"中","高")),IF(O850&lt;6,"中","高"))))),IF(OR(J850="ILF",J850="EIF"),IF(OR(Y850="估算法",Y850="算法类",Y850="无法识别"),"低",IF(N850&lt;2,IF(O850&lt;51,"低","中"),IF(N850&lt;6,IF(O850&lt;20,"低",IF(O850&lt;51,"中","高")),IF(O850&lt;20,"中","高")))),"不计算")))</f>
        <v/>
      </c>
      <c r="Q850" s="172">
        <f>IFERROR(IF(J850="EI",IF(P850="低",3,IF(P850="中",4,6)),IF(J850="EO",IF(P850="低",4,IF(P850="中",5,7)),IF(J850="EQ",IF(P850="低",3,IF(P850="中",4,6)),IF(J850="ILF",IF(P850="低",7,IF(P850="中",10,15)),IF(J850="EIF",IF(P850="低",5,IF(P850="中",7,10)),"不计算")))))*R850,"不计算")</f>
        <v/>
      </c>
      <c r="R850" s="172" t="n"/>
      <c r="S850" s="173">
        <f>调整因子!$F$13</f>
        <v/>
      </c>
      <c r="T850" s="92" t="n"/>
      <c r="U850" s="174">
        <f>IFERROR(Q850*S850,0)</f>
        <v/>
      </c>
      <c r="V850" s="174">
        <f>U850*T850</f>
        <v/>
      </c>
      <c r="W850" s="90" t="n"/>
      <c r="X850" s="113" t="n"/>
      <c r="Y850" s="90" t="n"/>
      <c r="Z850" s="90" t="n"/>
      <c r="AA850" s="90" t="n"/>
    </row>
    <row r="851" s="112">
      <c r="A851" s="72">
        <f>ROW()-1</f>
        <v/>
      </c>
      <c r="B851" s="175" t="n"/>
      <c r="C851" s="80" t="n"/>
      <c r="D851" s="80" t="n"/>
      <c r="E851" s="81">
        <f>VLOOKUP(I851,'25年交付功能（不含废弃）'!A:A,1,FALSE)</f>
        <v/>
      </c>
      <c r="F851" s="175" t="n"/>
      <c r="I851" s="103" t="n"/>
      <c r="J851" s="93" t="n"/>
      <c r="K851" s="84" t="n"/>
      <c r="L851" s="84" t="n"/>
      <c r="M851" s="85">
        <f>IF(OR(Y851="估算法",Y851="算法类",Y851="无法识别"),"",IF(W851="",IF(OR(J851="EI",J851="EO",J851="EQ"),0,""),LEN(W851)-LEN(SUBSTITUTE(W851,"、",""))+1))</f>
        <v/>
      </c>
      <c r="N851" s="85">
        <f>IF(OR(Y851="估算法",Y851="算法类",Y851="无法识别"),"",IF(X851="",IF(OR(J851="ILF",J851="EIF"),0,""),LEN(X851)-LEN(SUBSTITUTE(X851,"、",""))+1))</f>
        <v/>
      </c>
      <c r="O851" s="85">
        <f>IF(OR(Y851="估算法",Y851="算法类",Y851="无法识别"),"",IF(Y851="",IF(OR(J851="ILF",J851="EIF",J851="EI",J851="EO",J851="EQ"),0,""),LEN(Y851)-LEN(SUBSTITUTE(SUBSTITUTE(SUBSTITUTE(SUBSTITUTE(SUBSTITUTE(Y851,"|}","--"),"{|","--"),CHAR(10),""),"、",""),"|",""))+IF(AND(OR(J851="EI",J851="EO",J851="EQ"),$AE$1="NESMA"),2,1)))</f>
        <v/>
      </c>
      <c r="P851" s="86">
        <f>IF(J851="EI",IF(OR(Y851="估算法",Y851="算法类"),"中",IF(Y851="无法识别","低",IF(M851&lt;2,IF(O851&lt;16,"低","中"),IF(M851&lt;3,IF(O851&lt;5,"低",IF(O851&lt;16,"中","高")),IF(O851&lt;5,"中","高"))))),IF(OR(J851="EO",J851="EQ"),IF(OR(Y851="估算法",Y851="算法类"),"中",IF(Y851="无法识别","低",IF(M851&lt;2,IF(O851&lt;20,"低","中"),IF(M851&lt;4,IF(O851&lt;6,"低",IF(O851&lt;20,"中","高")),IF(O851&lt;6,"中","高"))))),IF(OR(J851="ILF",J851="EIF"),IF(OR(Y851="估算法",Y851="算法类",Y851="无法识别"),"低",IF(N851&lt;2,IF(O851&lt;51,"低","中"),IF(N851&lt;6,IF(O851&lt;20,"低",IF(O851&lt;51,"中","高")),IF(O851&lt;20,"中","高")))),"不计算")))</f>
        <v/>
      </c>
      <c r="Q851" s="172">
        <f>IFERROR(IF(J851="EI",IF(P851="低",3,IF(P851="中",4,6)),IF(J851="EO",IF(P851="低",4,IF(P851="中",5,7)),IF(J851="EQ",IF(P851="低",3,IF(P851="中",4,6)),IF(J851="ILF",IF(P851="低",7,IF(P851="中",10,15)),IF(J851="EIF",IF(P851="低",5,IF(P851="中",7,10)),"不计算")))))*R851,"不计算")</f>
        <v/>
      </c>
      <c r="R851" s="172" t="n"/>
      <c r="S851" s="173">
        <f>调整因子!$F$13</f>
        <v/>
      </c>
      <c r="T851" s="93" t="n"/>
      <c r="U851" s="174">
        <f>IFERROR(Q851*S851,0)</f>
        <v/>
      </c>
      <c r="V851" s="174">
        <f>U851*T851</f>
        <v/>
      </c>
      <c r="W851" s="90" t="n"/>
      <c r="X851" s="113" t="n"/>
      <c r="Y851" s="90" t="n"/>
      <c r="Z851" s="90" t="n"/>
      <c r="AA851" s="90" t="n"/>
    </row>
    <row r="852" s="112">
      <c r="A852" s="72">
        <f>ROW()-1</f>
        <v/>
      </c>
      <c r="B852" s="175" t="n"/>
      <c r="C852" s="80" t="n"/>
      <c r="D852" s="80" t="n"/>
      <c r="E852" s="81">
        <f>VLOOKUP(I852,'25年交付功能（不含废弃）'!A:A,1,FALSE)</f>
        <v/>
      </c>
      <c r="F852" s="175" t="n"/>
      <c r="I852" s="103" t="n"/>
      <c r="J852" s="93" t="n"/>
      <c r="K852" s="84" t="n"/>
      <c r="L852" s="84" t="n"/>
      <c r="M852" s="85">
        <f>IF(OR(Y852="估算法",Y852="算法类",Y852="无法识别"),"",IF(W852="",IF(OR(J852="EI",J852="EO",J852="EQ"),0,""),LEN(W852)-LEN(SUBSTITUTE(W852,"、",""))+1))</f>
        <v/>
      </c>
      <c r="N852" s="85">
        <f>IF(OR(Y852="估算法",Y852="算法类",Y852="无法识别"),"",IF(X852="",IF(OR(J852="ILF",J852="EIF"),0,""),LEN(X852)-LEN(SUBSTITUTE(X852,"、",""))+1))</f>
        <v/>
      </c>
      <c r="O852" s="85">
        <f>IF(OR(Y852="估算法",Y852="算法类",Y852="无法识别"),"",IF(Y852="",IF(OR(J852="ILF",J852="EIF",J852="EI",J852="EO",J852="EQ"),0,""),LEN(Y852)-LEN(SUBSTITUTE(SUBSTITUTE(SUBSTITUTE(SUBSTITUTE(SUBSTITUTE(Y852,"|}","--"),"{|","--"),CHAR(10),""),"、",""),"|",""))+IF(AND(OR(J852="EI",J852="EO",J852="EQ"),$AE$1="NESMA"),2,1)))</f>
        <v/>
      </c>
      <c r="P852" s="86">
        <f>IF(J852="EI",IF(OR(Y852="估算法",Y852="算法类"),"中",IF(Y852="无法识别","低",IF(M852&lt;2,IF(O852&lt;16,"低","中"),IF(M852&lt;3,IF(O852&lt;5,"低",IF(O852&lt;16,"中","高")),IF(O852&lt;5,"中","高"))))),IF(OR(J852="EO",J852="EQ"),IF(OR(Y852="估算法",Y852="算法类"),"中",IF(Y852="无法识别","低",IF(M852&lt;2,IF(O852&lt;20,"低","中"),IF(M852&lt;4,IF(O852&lt;6,"低",IF(O852&lt;20,"中","高")),IF(O852&lt;6,"中","高"))))),IF(OR(J852="ILF",J852="EIF"),IF(OR(Y852="估算法",Y852="算法类",Y852="无法识别"),"低",IF(N852&lt;2,IF(O852&lt;51,"低","中"),IF(N852&lt;6,IF(O852&lt;20,"低",IF(O852&lt;51,"中","高")),IF(O852&lt;20,"中","高")))),"不计算")))</f>
        <v/>
      </c>
      <c r="Q852" s="172">
        <f>IFERROR(IF(J852="EI",IF(P852="低",3,IF(P852="中",4,6)),IF(J852="EO",IF(P852="低",4,IF(P852="中",5,7)),IF(J852="EQ",IF(P852="低",3,IF(P852="中",4,6)),IF(J852="ILF",IF(P852="低",7,IF(P852="中",10,15)),IF(J852="EIF",IF(P852="低",5,IF(P852="中",7,10)),"不计算")))))*R852,"不计算")</f>
        <v/>
      </c>
      <c r="R852" s="172" t="n"/>
      <c r="S852" s="173">
        <f>调整因子!$F$13</f>
        <v/>
      </c>
      <c r="T852" s="93" t="n"/>
      <c r="U852" s="174">
        <f>IFERROR(Q852*S852,0)</f>
        <v/>
      </c>
      <c r="V852" s="174">
        <f>U852*T852</f>
        <v/>
      </c>
      <c r="W852" s="113" t="n"/>
      <c r="X852" s="90" t="n"/>
      <c r="Y852" s="90" t="n"/>
      <c r="Z852" s="90" t="n"/>
      <c r="AA852" s="90" t="n"/>
    </row>
    <row r="853" s="112">
      <c r="A853" s="72">
        <f>ROW()-1</f>
        <v/>
      </c>
      <c r="B853" s="175" t="n"/>
      <c r="C853" s="80" t="n"/>
      <c r="D853" s="80" t="n"/>
      <c r="E853" s="81">
        <f>VLOOKUP(I853,'25年交付功能（不含废弃）'!A:A,1,FALSE)</f>
        <v/>
      </c>
      <c r="F853" s="175" t="n"/>
      <c r="I853" s="103" t="n"/>
      <c r="J853" s="93" t="n"/>
      <c r="K853" s="84" t="n"/>
      <c r="L853" s="84" t="n"/>
      <c r="M853" s="85">
        <f>IF(OR(Y853="估算法",Y853="算法类",Y853="无法识别"),"",IF(W853="",IF(OR(J853="EI",J853="EO",J853="EQ"),0,""),LEN(W853)-LEN(SUBSTITUTE(W853,"、",""))+1))</f>
        <v/>
      </c>
      <c r="N853" s="85">
        <f>IF(OR(Y853="估算法",Y853="算法类",Y853="无法识别"),"",IF(X853="",IF(OR(J853="ILF",J853="EIF"),0,""),LEN(X853)-LEN(SUBSTITUTE(X853,"、",""))+1))</f>
        <v/>
      </c>
      <c r="O853" s="85">
        <f>IF(OR(Y853="估算法",Y853="算法类",Y853="无法识别"),"",IF(Y853="",IF(OR(J853="ILF",J853="EIF",J853="EI",J853="EO",J853="EQ"),0,""),LEN(Y853)-LEN(SUBSTITUTE(SUBSTITUTE(SUBSTITUTE(SUBSTITUTE(SUBSTITUTE(Y853,"|}","--"),"{|","--"),CHAR(10),""),"、",""),"|",""))+IF(AND(OR(J853="EI",J853="EO",J853="EQ"),$AE$1="NESMA"),2,1)))</f>
        <v/>
      </c>
      <c r="P853" s="86">
        <f>IF(J853="EI",IF(OR(Y853="估算法",Y853="算法类"),"中",IF(Y853="无法识别","低",IF(M853&lt;2,IF(O853&lt;16,"低","中"),IF(M853&lt;3,IF(O853&lt;5,"低",IF(O853&lt;16,"中","高")),IF(O853&lt;5,"中","高"))))),IF(OR(J853="EO",J853="EQ"),IF(OR(Y853="估算法",Y853="算法类"),"中",IF(Y853="无法识别","低",IF(M853&lt;2,IF(O853&lt;20,"低","中"),IF(M853&lt;4,IF(O853&lt;6,"低",IF(O853&lt;20,"中","高")),IF(O853&lt;6,"中","高"))))),IF(OR(J853="ILF",J853="EIF"),IF(OR(Y853="估算法",Y853="算法类",Y853="无法识别"),"低",IF(N853&lt;2,IF(O853&lt;51,"低","中"),IF(N853&lt;6,IF(O853&lt;20,"低",IF(O853&lt;51,"中","高")),IF(O853&lt;20,"中","高")))),"不计算")))</f>
        <v/>
      </c>
      <c r="Q853" s="172">
        <f>IFERROR(IF(J853="EI",IF(P853="低",3,IF(P853="中",4,6)),IF(J853="EO",IF(P853="低",4,IF(P853="中",5,7)),IF(J853="EQ",IF(P853="低",3,IF(P853="中",4,6)),IF(J853="ILF",IF(P853="低",7,IF(P853="中",10,15)),IF(J853="EIF",IF(P853="低",5,IF(P853="中",7,10)),"不计算")))))*R853,"不计算")</f>
        <v/>
      </c>
      <c r="R853" s="172" t="n"/>
      <c r="S853" s="173">
        <f>调整因子!$F$13</f>
        <v/>
      </c>
      <c r="T853" s="92" t="n"/>
      <c r="U853" s="174">
        <f>IFERROR(Q853*S853,0)</f>
        <v/>
      </c>
      <c r="V853" s="174">
        <f>U853*T853</f>
        <v/>
      </c>
      <c r="W853" s="90" t="n"/>
      <c r="X853" s="113" t="n"/>
      <c r="Y853" s="90" t="n"/>
      <c r="Z853" s="90" t="n"/>
      <c r="AA853" s="90" t="n"/>
    </row>
    <row r="854" s="112">
      <c r="A854" s="72">
        <f>ROW()-1</f>
        <v/>
      </c>
      <c r="B854" s="175" t="n"/>
      <c r="C854" s="80" t="n"/>
      <c r="D854" s="80" t="n"/>
      <c r="E854" s="81">
        <f>VLOOKUP(I854,'25年交付功能（不含废弃）'!A:A,1,FALSE)</f>
        <v/>
      </c>
      <c r="F854" s="175" t="n"/>
      <c r="I854" s="103" t="n"/>
      <c r="J854" s="93" t="n"/>
      <c r="K854" s="84" t="n"/>
      <c r="L854" s="84" t="n"/>
      <c r="M854" s="85">
        <f>IF(OR(Y854="估算法",Y854="算法类",Y854="无法识别"),"",IF(W854="",IF(OR(J854="EI",J854="EO",J854="EQ"),0,""),LEN(W854)-LEN(SUBSTITUTE(W854,"、",""))+1))</f>
        <v/>
      </c>
      <c r="N854" s="85">
        <f>IF(OR(Y854="估算法",Y854="算法类",Y854="无法识别"),"",IF(X854="",IF(OR(J854="ILF",J854="EIF"),0,""),LEN(X854)-LEN(SUBSTITUTE(X854,"、",""))+1))</f>
        <v/>
      </c>
      <c r="O854" s="85">
        <f>IF(OR(Y854="估算法",Y854="算法类",Y854="无法识别"),"",IF(Y854="",IF(OR(J854="ILF",J854="EIF",J854="EI",J854="EO",J854="EQ"),0,""),LEN(Y854)-LEN(SUBSTITUTE(SUBSTITUTE(SUBSTITUTE(SUBSTITUTE(SUBSTITUTE(Y854,"|}","--"),"{|","--"),CHAR(10),""),"、",""),"|",""))+IF(AND(OR(J854="EI",J854="EO",J854="EQ"),$AE$1="NESMA"),2,1)))</f>
        <v/>
      </c>
      <c r="P854" s="86">
        <f>IF(J854="EI",IF(OR(Y854="估算法",Y854="算法类"),"中",IF(Y854="无法识别","低",IF(M854&lt;2,IF(O854&lt;16,"低","中"),IF(M854&lt;3,IF(O854&lt;5,"低",IF(O854&lt;16,"中","高")),IF(O854&lt;5,"中","高"))))),IF(OR(J854="EO",J854="EQ"),IF(OR(Y854="估算法",Y854="算法类"),"中",IF(Y854="无法识别","低",IF(M854&lt;2,IF(O854&lt;20,"低","中"),IF(M854&lt;4,IF(O854&lt;6,"低",IF(O854&lt;20,"中","高")),IF(O854&lt;6,"中","高"))))),IF(OR(J854="ILF",J854="EIF"),IF(OR(Y854="估算法",Y854="算法类",Y854="无法识别"),"低",IF(N854&lt;2,IF(O854&lt;51,"低","中"),IF(N854&lt;6,IF(O854&lt;20,"低",IF(O854&lt;51,"中","高")),IF(O854&lt;20,"中","高")))),"不计算")))</f>
        <v/>
      </c>
      <c r="Q854" s="172">
        <f>IFERROR(IF(J854="EI",IF(P854="低",3,IF(P854="中",4,6)),IF(J854="EO",IF(P854="低",4,IF(P854="中",5,7)),IF(J854="EQ",IF(P854="低",3,IF(P854="中",4,6)),IF(J854="ILF",IF(P854="低",7,IF(P854="中",10,15)),IF(J854="EIF",IF(P854="低",5,IF(P854="中",7,10)),"不计算")))))*R854,"不计算")</f>
        <v/>
      </c>
      <c r="R854" s="172" t="n"/>
      <c r="S854" s="173">
        <f>调整因子!$F$13</f>
        <v/>
      </c>
      <c r="T854" s="92" t="n"/>
      <c r="U854" s="174">
        <f>IFERROR(Q854*S854,0)</f>
        <v/>
      </c>
      <c r="V854" s="174">
        <f>U854*T854</f>
        <v/>
      </c>
      <c r="W854" s="90" t="n"/>
      <c r="X854" s="113" t="n"/>
      <c r="Y854" s="90" t="n"/>
      <c r="Z854" s="90" t="n"/>
      <c r="AA854" s="90" t="n"/>
    </row>
    <row r="855" s="112">
      <c r="A855" s="72">
        <f>ROW()-1</f>
        <v/>
      </c>
      <c r="B855" s="175" t="n"/>
      <c r="C855" s="80" t="n"/>
      <c r="D855" s="80" t="n"/>
      <c r="E855" s="81">
        <f>VLOOKUP(I855,'25年交付功能（不含废弃）'!A:A,1,FALSE)</f>
        <v/>
      </c>
      <c r="F855" s="175" t="n"/>
      <c r="I855" s="103" t="n"/>
      <c r="J855" s="93" t="n"/>
      <c r="K855" s="84" t="n"/>
      <c r="L855" s="84" t="n"/>
      <c r="M855" s="85">
        <f>IF(OR(Y855="估算法",Y855="算法类",Y855="无法识别"),"",IF(W855="",IF(OR(J855="EI",J855="EO",J855="EQ"),0,""),LEN(W855)-LEN(SUBSTITUTE(W855,"、",""))+1))</f>
        <v/>
      </c>
      <c r="N855" s="85">
        <f>IF(OR(Y855="估算法",Y855="算法类",Y855="无法识别"),"",IF(X855="",IF(OR(J855="ILF",J855="EIF"),0,""),LEN(X855)-LEN(SUBSTITUTE(X855,"、",""))+1))</f>
        <v/>
      </c>
      <c r="O855" s="85">
        <f>IF(OR(Y855="估算法",Y855="算法类",Y855="无法识别"),"",IF(Y855="",IF(OR(J855="ILF",J855="EIF",J855="EI",J855="EO",J855="EQ"),0,""),LEN(Y855)-LEN(SUBSTITUTE(SUBSTITUTE(SUBSTITUTE(SUBSTITUTE(SUBSTITUTE(Y855,"|}","--"),"{|","--"),CHAR(10),""),"、",""),"|",""))+IF(AND(OR(J855="EI",J855="EO",J855="EQ"),$AE$1="NESMA"),2,1)))</f>
        <v/>
      </c>
      <c r="P855" s="86">
        <f>IF(J855="EI",IF(OR(Y855="估算法",Y855="算法类"),"中",IF(Y855="无法识别","低",IF(M855&lt;2,IF(O855&lt;16,"低","中"),IF(M855&lt;3,IF(O855&lt;5,"低",IF(O855&lt;16,"中","高")),IF(O855&lt;5,"中","高"))))),IF(OR(J855="EO",J855="EQ"),IF(OR(Y855="估算法",Y855="算法类"),"中",IF(Y855="无法识别","低",IF(M855&lt;2,IF(O855&lt;20,"低","中"),IF(M855&lt;4,IF(O855&lt;6,"低",IF(O855&lt;20,"中","高")),IF(O855&lt;6,"中","高"))))),IF(OR(J855="ILF",J855="EIF"),IF(OR(Y855="估算法",Y855="算法类",Y855="无法识别"),"低",IF(N855&lt;2,IF(O855&lt;51,"低","中"),IF(N855&lt;6,IF(O855&lt;20,"低",IF(O855&lt;51,"中","高")),IF(O855&lt;20,"中","高")))),"不计算")))</f>
        <v/>
      </c>
      <c r="Q855" s="172">
        <f>IFERROR(IF(J855="EI",IF(P855="低",3,IF(P855="中",4,6)),IF(J855="EO",IF(P855="低",4,IF(P855="中",5,7)),IF(J855="EQ",IF(P855="低",3,IF(P855="中",4,6)),IF(J855="ILF",IF(P855="低",7,IF(P855="中",10,15)),IF(J855="EIF",IF(P855="低",5,IF(P855="中",7,10)),"不计算")))))*R855,"不计算")</f>
        <v/>
      </c>
      <c r="R855" s="172" t="n"/>
      <c r="S855" s="173">
        <f>调整因子!$F$13</f>
        <v/>
      </c>
      <c r="T855" s="93" t="n"/>
      <c r="U855" s="174">
        <f>IFERROR(Q855*S855,0)</f>
        <v/>
      </c>
      <c r="V855" s="174">
        <f>U855*T855</f>
        <v/>
      </c>
      <c r="W855" s="90" t="n"/>
      <c r="X855" s="113" t="n"/>
      <c r="Y855" s="90" t="n"/>
      <c r="Z855" s="90" t="n"/>
      <c r="AA855" s="90" t="n"/>
    </row>
    <row r="856" s="112">
      <c r="A856" s="72">
        <f>ROW()-1</f>
        <v/>
      </c>
      <c r="B856" s="175" t="n"/>
      <c r="C856" s="80" t="n"/>
      <c r="D856" s="80" t="n"/>
      <c r="E856" s="81">
        <f>VLOOKUP(I856,'25年交付功能（不含废弃）'!A:A,1,FALSE)</f>
        <v/>
      </c>
      <c r="F856" s="176" t="n"/>
      <c r="I856" s="103" t="n"/>
      <c r="J856" s="93" t="n"/>
      <c r="K856" s="84" t="n"/>
      <c r="L856" s="84" t="n"/>
      <c r="M856" s="85">
        <f>IF(OR(Y856="估算法",Y856="算法类",Y856="无法识别"),"",IF(W856="",IF(OR(J856="EI",J856="EO",J856="EQ"),0,""),LEN(W856)-LEN(SUBSTITUTE(W856,"、",""))+1))</f>
        <v/>
      </c>
      <c r="N856" s="85">
        <f>IF(OR(Y856="估算法",Y856="算法类",Y856="无法识别"),"",IF(X856="",IF(OR(J856="ILF",J856="EIF"),0,""),LEN(X856)-LEN(SUBSTITUTE(X856,"、",""))+1))</f>
        <v/>
      </c>
      <c r="O856" s="85">
        <f>IF(OR(Y856="估算法",Y856="算法类",Y856="无法识别"),"",IF(Y856="",IF(OR(J856="ILF",J856="EIF",J856="EI",J856="EO",J856="EQ"),0,""),LEN(Y856)-LEN(SUBSTITUTE(SUBSTITUTE(SUBSTITUTE(SUBSTITUTE(SUBSTITUTE(Y856,"|}","--"),"{|","--"),CHAR(10),""),"、",""),"|",""))+IF(AND(OR(J856="EI",J856="EO",J856="EQ"),$AE$1="NESMA"),2,1)))</f>
        <v/>
      </c>
      <c r="P856" s="86">
        <f>IF(J856="EI",IF(OR(Y856="估算法",Y856="算法类"),"中",IF(Y856="无法识别","低",IF(M856&lt;2,IF(O856&lt;16,"低","中"),IF(M856&lt;3,IF(O856&lt;5,"低",IF(O856&lt;16,"中","高")),IF(O856&lt;5,"中","高"))))),IF(OR(J856="EO",J856="EQ"),IF(OR(Y856="估算法",Y856="算法类"),"中",IF(Y856="无法识别","低",IF(M856&lt;2,IF(O856&lt;20,"低","中"),IF(M856&lt;4,IF(O856&lt;6,"低",IF(O856&lt;20,"中","高")),IF(O856&lt;6,"中","高"))))),IF(OR(J856="ILF",J856="EIF"),IF(OR(Y856="估算法",Y856="算法类",Y856="无法识别"),"低",IF(N856&lt;2,IF(O856&lt;51,"低","中"),IF(N856&lt;6,IF(O856&lt;20,"低",IF(O856&lt;51,"中","高")),IF(O856&lt;20,"中","高")))),"不计算")))</f>
        <v/>
      </c>
      <c r="Q856" s="172">
        <f>IFERROR(IF(J856="EI",IF(P856="低",3,IF(P856="中",4,6)),IF(J856="EO",IF(P856="低",4,IF(P856="中",5,7)),IF(J856="EQ",IF(P856="低",3,IF(P856="中",4,6)),IF(J856="ILF",IF(P856="低",7,IF(P856="中",10,15)),IF(J856="EIF",IF(P856="低",5,IF(P856="中",7,10)),"不计算")))))*R856,"不计算")</f>
        <v/>
      </c>
      <c r="R856" s="172" t="n"/>
      <c r="S856" s="173">
        <f>调整因子!$F$13</f>
        <v/>
      </c>
      <c r="T856" s="92" t="n"/>
      <c r="U856" s="174">
        <f>IFERROR(Q856*S856,0)</f>
        <v/>
      </c>
      <c r="V856" s="174">
        <f>U856*T856</f>
        <v/>
      </c>
      <c r="W856" s="113" t="n"/>
      <c r="X856" s="90" t="n"/>
      <c r="Y856" s="90" t="n"/>
      <c r="Z856" s="90" t="n"/>
      <c r="AA856" s="90" t="n"/>
    </row>
    <row r="857" s="112">
      <c r="A857" s="72">
        <f>ROW()-1</f>
        <v/>
      </c>
      <c r="B857" s="175" t="n"/>
      <c r="C857" s="80" t="n">
        <v>2025</v>
      </c>
      <c r="D857" s="80" t="inlineStr">
        <is>
          <t>仲光华</t>
        </is>
      </c>
      <c r="E857" s="81">
        <f>VLOOKUP(I857,'25年交付功能（不含废弃）'!A:A,1,FALSE)</f>
        <v/>
      </c>
      <c r="F857" s="82" t="inlineStr">
        <is>
          <t>扫描网络规划管理与监控</t>
        </is>
      </c>
      <c r="G857" s="82" t="inlineStr">
        <is>
          <t>设备规划管理</t>
        </is>
      </c>
      <c r="H857" s="82" t="inlineStr">
        <is>
          <t>漏洞扫描设备规划</t>
        </is>
      </c>
      <c r="I857" s="81" t="inlineStr">
        <is>
          <t>查询漏洞扫描设备列表</t>
        </is>
      </c>
      <c r="J857" s="93" t="inlineStr">
        <is>
          <t>EQ</t>
        </is>
      </c>
      <c r="K857" s="84" t="n"/>
      <c r="L857" s="84" t="n"/>
      <c r="M857" s="85">
        <f>IF(OR(Y857="估算法",Y857="算法类",Y857="无法识别"),"",IF(W857="",IF(OR(J857="EI",J857="EO",J857="EQ"),0,""),LEN(W857)-LEN(SUBSTITUTE(W857,"、",""))+1))</f>
        <v/>
      </c>
      <c r="N857" s="85">
        <f>IF(OR(Y857="估算法",Y857="算法类",Y857="无法识别"),"",IF(X857="",IF(OR(J857="ILF",J857="EIF"),0,""),LEN(X857)-LEN(SUBSTITUTE(X857,"、",""))+1))</f>
        <v/>
      </c>
      <c r="O857" s="85">
        <f>IF(OR(Y857="估算法",Y857="算法类",Y857="无法识别"),"",IF(Y857="",IF(OR(J857="ILF",J857="EIF",J857="EI",J857="EO",J857="EQ"),0,""),LEN(Y857)-LEN(SUBSTITUTE(SUBSTITUTE(SUBSTITUTE(SUBSTITUTE(SUBSTITUTE(Y857,"|}","--"),"{|","--"),CHAR(10),""),"、",""),"|",""))+IF(AND(OR(J857="EI",J857="EO",J857="EQ"),$AE$1="NESMA"),2,1)))</f>
        <v/>
      </c>
      <c r="P857" s="86">
        <f>IF(J857="EI",IF(OR(Y857="估算法",Y857="算法类"),"中",IF(Y857="无法识别","低",IF(M857&lt;2,IF(O857&lt;16,"低","中"),IF(M857&lt;3,IF(O857&lt;5,"低",IF(O857&lt;16,"中","高")),IF(O857&lt;5,"中","高"))))),IF(OR(J857="EO",J857="EQ"),IF(OR(Y857="估算法",Y857="算法类"),"中",IF(Y857="无法识别","低",IF(M857&lt;2,IF(O857&lt;20,"低","中"),IF(M857&lt;4,IF(O857&lt;6,"低",IF(O857&lt;20,"中","高")),IF(O857&lt;6,"中","高"))))),IF(OR(J857="ILF",J857="EIF"),IF(OR(Y857="估算法",Y857="算法类",Y857="无法识别"),"低",IF(N857&lt;2,IF(O857&lt;51,"低","中"),IF(N857&lt;6,IF(O857&lt;20,"低",IF(O857&lt;51,"中","高")),IF(O857&lt;20,"中","高")))),"不计算")))</f>
        <v/>
      </c>
      <c r="Q857" s="172">
        <f>IFERROR(IF(J857="EI",IF(P857="低",3,IF(P857="中",4,6)),IF(J857="EO",IF(P857="低",4,IF(P857="中",5,7)),IF(J857="EQ",IF(P857="低",3,IF(P857="中",4,6)),IF(J857="ILF",IF(P857="低",7,IF(P857="中",10,15)),IF(J857="EIF",IF(P857="低",5,IF(P857="中",7,10)),"不计算")))))*R857,"不计算")</f>
        <v/>
      </c>
      <c r="R857" s="172" t="n">
        <v>1</v>
      </c>
      <c r="S857" s="173">
        <f>调整因子!$F$13</f>
        <v/>
      </c>
      <c r="T857" s="92" t="n">
        <v>1</v>
      </c>
      <c r="U857" s="174">
        <f>IFERROR(Q857*S857,0)</f>
        <v/>
      </c>
      <c r="V857" s="174">
        <f>U857*T857</f>
        <v/>
      </c>
      <c r="W857" s="90" t="inlineStr">
        <is>
          <t>漏洞扫描设备规划、扫描节点表、扫描器表、扫描器版本表、扫描器分类表、安全厂商信息、资产管理表、漏洞扫描设备规划历史表</t>
        </is>
      </c>
      <c r="X857" s="91" t="n"/>
      <c r="Y857"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7" s="90" t="n"/>
      <c r="AA857" s="90" t="n"/>
    </row>
    <row r="858" s="112">
      <c r="A858" s="72">
        <f>ROW()-1</f>
        <v/>
      </c>
      <c r="B858" s="175" t="n"/>
      <c r="C858" s="80" t="n">
        <v>2025</v>
      </c>
      <c r="D858" s="80" t="inlineStr">
        <is>
          <t>仲光华</t>
        </is>
      </c>
      <c r="E858" s="81">
        <f>VLOOKUP(I858,'25年交付功能（不含废弃）'!A:A,1,FALSE)</f>
        <v/>
      </c>
      <c r="F858" s="175" t="n"/>
      <c r="G858" s="175" t="n"/>
      <c r="H858" s="175" t="n"/>
      <c r="I858" s="81" t="inlineStr">
        <is>
          <t>查询设备规划列表</t>
        </is>
      </c>
      <c r="J858" s="93" t="n"/>
      <c r="K858" s="84" t="n"/>
      <c r="L858" s="84" t="inlineStr">
        <is>
          <t>和上行合并，输入输出字段完全一致</t>
        </is>
      </c>
      <c r="M858" s="85">
        <f>IF(OR(Y858="估算法",Y858="算法类",Y858="无法识别"),"",IF(W858="",IF(OR(J858="EI",J858="EO",J858="EQ"),0,""),LEN(W858)-LEN(SUBSTITUTE(W858,"、",""))+1))</f>
        <v/>
      </c>
      <c r="N858" s="85">
        <f>IF(OR(Y858="估算法",Y858="算法类",Y858="无法识别"),"",IF(X858="",IF(OR(J858="ILF",J858="EIF"),0,""),LEN(X858)-LEN(SUBSTITUTE(X858,"、",""))+1))</f>
        <v/>
      </c>
      <c r="O858" s="85">
        <f>IF(OR(Y858="估算法",Y858="算法类",Y858="无法识别"),"",IF(Y858="",IF(OR(J858="ILF",J858="EIF",J858="EI",J858="EO",J858="EQ"),0,""),LEN(Y858)-LEN(SUBSTITUTE(SUBSTITUTE(SUBSTITUTE(SUBSTITUTE(SUBSTITUTE(Y858,"|}","--"),"{|","--"),CHAR(10),""),"、",""),"|",""))+IF(AND(OR(J858="EI",J858="EO",J858="EQ"),$AE$1="NESMA"),2,1)))</f>
        <v/>
      </c>
      <c r="P858" s="86">
        <f>IF(J858="EI",IF(OR(Y858="估算法",Y858="算法类"),"中",IF(Y858="无法识别","低",IF(M858&lt;2,IF(O858&lt;16,"低","中"),IF(M858&lt;3,IF(O858&lt;5,"低",IF(O858&lt;16,"中","高")),IF(O858&lt;5,"中","高"))))),IF(OR(J858="EO",J858="EQ"),IF(OR(Y858="估算法",Y858="算法类"),"中",IF(Y858="无法识别","低",IF(M858&lt;2,IF(O858&lt;20,"低","中"),IF(M858&lt;4,IF(O858&lt;6,"低",IF(O858&lt;20,"中","高")),IF(O858&lt;6,"中","高"))))),IF(OR(J858="ILF",J858="EIF"),IF(OR(Y858="估算法",Y858="算法类",Y858="无法识别"),"低",IF(N858&lt;2,IF(O858&lt;51,"低","中"),IF(N858&lt;6,IF(O858&lt;20,"低",IF(O858&lt;51,"中","高")),IF(O858&lt;20,"中","高")))),"不计算")))</f>
        <v/>
      </c>
      <c r="Q858" s="172">
        <f>IFERROR(IF(J858="EI",IF(P858="低",3,IF(P858="中",4,6)),IF(J858="EO",IF(P858="低",4,IF(P858="中",5,7)),IF(J858="EQ",IF(P858="低",3,IF(P858="中",4,6)),IF(J858="ILF",IF(P858="低",7,IF(P858="中",10,15)),IF(J858="EIF",IF(P858="低",5,IF(P858="中",7,10)),"不计算")))))*R858,"不计算")</f>
        <v/>
      </c>
      <c r="R858" s="172" t="n">
        <v>1</v>
      </c>
      <c r="S858" s="173">
        <f>调整因子!$F$13</f>
        <v/>
      </c>
      <c r="T858" s="93" t="n">
        <v>1</v>
      </c>
      <c r="U858" s="174">
        <f>IFERROR(Q858*S858,0)</f>
        <v/>
      </c>
      <c r="V858" s="174">
        <f>U858*T858</f>
        <v/>
      </c>
      <c r="W858" s="90" t="inlineStr">
        <is>
          <t>漏洞扫描设备规划、扫描节点表、扫描器表、扫描器版本表、扫描器分类表、安全厂商信息、资产管理表、漏洞扫描设备规划历史表</t>
        </is>
      </c>
      <c r="X858" s="91" t="n"/>
      <c r="Y858"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8" s="90" t="n"/>
      <c r="AA858" s="90" t="n"/>
    </row>
    <row r="859" s="112">
      <c r="A859" s="72">
        <f>ROW()-1</f>
        <v/>
      </c>
      <c r="B859" s="175" t="n"/>
      <c r="C859" s="80" t="n">
        <v>2025</v>
      </c>
      <c r="D859" s="80" t="inlineStr">
        <is>
          <t>仲光华</t>
        </is>
      </c>
      <c r="E859" s="81">
        <f>VLOOKUP(I859,'25年交付功能（不含废弃）'!A:A,1,FALSE)</f>
        <v/>
      </c>
      <c r="F859" s="175" t="n"/>
      <c r="G859" s="175" t="n"/>
      <c r="H859" s="175" t="n"/>
      <c r="I859" s="81" t="inlineStr">
        <is>
          <t>新增设备规划</t>
        </is>
      </c>
      <c r="J859" s="93" t="inlineStr">
        <is>
          <t>EI</t>
        </is>
      </c>
      <c r="K859" s="84" t="n"/>
      <c r="L859" s="84" t="n"/>
      <c r="M859" s="85">
        <f>IF(OR(Y859="估算法",Y859="算法类",Y859="无法识别"),"",IF(W859="",IF(OR(J859="EI",J859="EO",J859="EQ"),0,""),LEN(W859)-LEN(SUBSTITUTE(W859,"、",""))+1))</f>
        <v/>
      </c>
      <c r="N859" s="85">
        <f>IF(OR(Y859="估算法",Y859="算法类",Y859="无法识别"),"",IF(X859="",IF(OR(J859="ILF",J859="EIF"),0,""),LEN(X859)-LEN(SUBSTITUTE(X859,"、",""))+1))</f>
        <v/>
      </c>
      <c r="O859" s="85">
        <f>IF(OR(Y859="估算法",Y859="算法类",Y859="无法识别"),"",IF(Y859="",IF(OR(J859="ILF",J859="EIF",J859="EI",J859="EO",J859="EQ"),0,""),LEN(Y859)-LEN(SUBSTITUTE(SUBSTITUTE(SUBSTITUTE(SUBSTITUTE(SUBSTITUTE(Y859,"|}","--"),"{|","--"),CHAR(10),""),"、",""),"|",""))+IF(AND(OR(J859="EI",J859="EO",J859="EQ"),$AE$1="NESMA"),2,1)))</f>
        <v/>
      </c>
      <c r="P859" s="86">
        <f>IF(J859="EI",IF(OR(Y859="估算法",Y859="算法类"),"中",IF(Y859="无法识别","低",IF(M859&lt;2,IF(O859&lt;16,"低","中"),IF(M859&lt;3,IF(O859&lt;5,"低",IF(O859&lt;16,"中","高")),IF(O859&lt;5,"中","高"))))),IF(OR(J859="EO",J859="EQ"),IF(OR(Y859="估算法",Y859="算法类"),"中",IF(Y859="无法识别","低",IF(M859&lt;2,IF(O859&lt;20,"低","中"),IF(M859&lt;4,IF(O859&lt;6,"低",IF(O859&lt;20,"中","高")),IF(O859&lt;6,"中","高"))))),IF(OR(J859="ILF",J859="EIF"),IF(OR(Y859="估算法",Y859="算法类",Y859="无法识别"),"低",IF(N859&lt;2,IF(O859&lt;51,"低","中"),IF(N859&lt;6,IF(O859&lt;20,"低",IF(O859&lt;51,"中","高")),IF(O859&lt;20,"中","高")))),"不计算")))</f>
        <v/>
      </c>
      <c r="Q859" s="172">
        <f>IFERROR(IF(J859="EI",IF(P859="低",3,IF(P859="中",4,6)),IF(J859="EO",IF(P859="低",4,IF(P859="中",5,7)),IF(J859="EQ",IF(P859="低",3,IF(P859="中",4,6)),IF(J859="ILF",IF(P859="低",7,IF(P859="中",10,15)),IF(J859="EIF",IF(P859="低",5,IF(P859="中",7,10)),"不计算")))))*R859,"不计算")</f>
        <v/>
      </c>
      <c r="R859" s="172" t="n">
        <v>1</v>
      </c>
      <c r="S859" s="173">
        <f>调整因子!$F$13</f>
        <v/>
      </c>
      <c r="T859" s="93" t="n">
        <v>1</v>
      </c>
      <c r="U859" s="174">
        <f>IFERROR(Q859*S859,0)</f>
        <v/>
      </c>
      <c r="V859" s="174">
        <f>U859*T859</f>
        <v/>
      </c>
      <c r="W859" s="90" t="inlineStr">
        <is>
          <t>漏洞扫描设备规划、扫描节点表、扫描器表、扫描器版本表、扫描器分类表、安全厂商信息、资产管理表、漏洞扫描设备规划历史表</t>
        </is>
      </c>
      <c r="X859" s="91" t="n"/>
      <c r="Y859"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59" s="90" t="n"/>
      <c r="AA859" s="90" t="n"/>
    </row>
    <row r="860" s="112">
      <c r="A860" s="72">
        <f>ROW()-1</f>
        <v/>
      </c>
      <c r="B860" s="175" t="n"/>
      <c r="C860" s="80" t="n">
        <v>2025</v>
      </c>
      <c r="D860" s="80" t="inlineStr">
        <is>
          <t>仲光华</t>
        </is>
      </c>
      <c r="E860" s="81">
        <f>VLOOKUP(I860,'25年交付功能（不含废弃）'!A:A,1,FALSE)</f>
        <v/>
      </c>
      <c r="F860" s="175" t="n"/>
      <c r="G860" s="175" t="n"/>
      <c r="H860" s="175" t="n"/>
      <c r="I860" s="81" t="inlineStr">
        <is>
          <t>修改设备规划</t>
        </is>
      </c>
      <c r="J860" s="93" t="inlineStr">
        <is>
          <t>EI</t>
        </is>
      </c>
      <c r="K860" s="84" t="n"/>
      <c r="L860" s="84" t="n"/>
      <c r="M860" s="85">
        <f>IF(OR(Y860="估算法",Y860="算法类",Y860="无法识别"),"",IF(W860="",IF(OR(J860="EI",J860="EO",J860="EQ"),0,""),LEN(W860)-LEN(SUBSTITUTE(W860,"、",""))+1))</f>
        <v/>
      </c>
      <c r="N860" s="85">
        <f>IF(OR(Y860="估算法",Y860="算法类",Y860="无法识别"),"",IF(X860="",IF(OR(J860="ILF",J860="EIF"),0,""),LEN(X860)-LEN(SUBSTITUTE(X860,"、",""))+1))</f>
        <v/>
      </c>
      <c r="O860" s="85">
        <f>IF(OR(Y860="估算法",Y860="算法类",Y860="无法识别"),"",IF(Y860="",IF(OR(J860="ILF",J860="EIF",J860="EI",J860="EO",J860="EQ"),0,""),LEN(Y860)-LEN(SUBSTITUTE(SUBSTITUTE(SUBSTITUTE(SUBSTITUTE(SUBSTITUTE(Y860,"|}","--"),"{|","--"),CHAR(10),""),"、",""),"|",""))+IF(AND(OR(J860="EI",J860="EO",J860="EQ"),$AE$1="NESMA"),2,1)))</f>
        <v/>
      </c>
      <c r="P860" s="86">
        <f>IF(J860="EI",IF(OR(Y860="估算法",Y860="算法类"),"中",IF(Y860="无法识别","低",IF(M860&lt;2,IF(O860&lt;16,"低","中"),IF(M860&lt;3,IF(O860&lt;5,"低",IF(O860&lt;16,"中","高")),IF(O860&lt;5,"中","高"))))),IF(OR(J860="EO",J860="EQ"),IF(OR(Y860="估算法",Y860="算法类"),"中",IF(Y860="无法识别","低",IF(M860&lt;2,IF(O860&lt;20,"低","中"),IF(M860&lt;4,IF(O860&lt;6,"低",IF(O860&lt;20,"中","高")),IF(O860&lt;6,"中","高"))))),IF(OR(J860="ILF",J860="EIF"),IF(OR(Y860="估算法",Y860="算法类",Y860="无法识别"),"低",IF(N860&lt;2,IF(O860&lt;51,"低","中"),IF(N860&lt;6,IF(O860&lt;20,"低",IF(O860&lt;51,"中","高")),IF(O860&lt;20,"中","高")))),"不计算")))</f>
        <v/>
      </c>
      <c r="Q860" s="172">
        <f>IFERROR(IF(J860="EI",IF(P860="低",3,IF(P860="中",4,6)),IF(J860="EO",IF(P860="低",4,IF(P860="中",5,7)),IF(J860="EQ",IF(P860="低",3,IF(P860="中",4,6)),IF(J860="ILF",IF(P860="低",7,IF(P860="中",10,15)),IF(J860="EIF",IF(P860="低",5,IF(P860="中",7,10)),"不计算")))))*R860,"不计算")</f>
        <v/>
      </c>
      <c r="R860" s="172" t="n">
        <v>0.333333333333333</v>
      </c>
      <c r="S860" s="173">
        <f>调整因子!$F$13</f>
        <v/>
      </c>
      <c r="T860" s="92" t="n">
        <v>1</v>
      </c>
      <c r="U860" s="174">
        <f>IFERROR(Q860*S860,0)</f>
        <v/>
      </c>
      <c r="V860" s="174">
        <f>U860*T860</f>
        <v/>
      </c>
      <c r="W860" s="90" t="inlineStr">
        <is>
          <t>漏洞扫描设备规划、扫描节点表、扫描器表、扫描器版本表、扫描器分类表、安全厂商信息、资产管理表、漏洞扫描设备规划历史表</t>
        </is>
      </c>
      <c r="X860" s="91" t="n"/>
      <c r="Y860" s="90" t="inlineStr">
        <is>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0" s="90" t="n"/>
      <c r="AA860" s="90" t="n"/>
    </row>
    <row r="861" s="112">
      <c r="A861" s="72">
        <f>ROW()-1</f>
        <v/>
      </c>
      <c r="B861" s="175" t="n"/>
      <c r="C861" s="80" t="n">
        <v>2025</v>
      </c>
      <c r="D861" s="80" t="inlineStr">
        <is>
          <t>仲光华</t>
        </is>
      </c>
      <c r="E861" s="81">
        <f>VLOOKUP(I861,'25年交付功能（不含废弃）'!A:A,1,FALSE)</f>
        <v/>
      </c>
      <c r="F861" s="175" t="n"/>
      <c r="G861" s="175" t="n"/>
      <c r="H861" s="175" t="n"/>
      <c r="I861" s="81" t="inlineStr">
        <is>
          <t>删除单个设备规划</t>
        </is>
      </c>
      <c r="J861" s="93" t="inlineStr">
        <is>
          <t>EI</t>
        </is>
      </c>
      <c r="K861" s="84" t="n"/>
      <c r="L861" s="84" t="n"/>
      <c r="M861" s="85">
        <f>IF(OR(Y861="估算法",Y861="算法类",Y861="无法识别"),"",IF(W861="",IF(OR(J861="EI",J861="EO",J861="EQ"),0,""),LEN(W861)-LEN(SUBSTITUTE(W861,"、",""))+1))</f>
        <v/>
      </c>
      <c r="N861" s="85">
        <f>IF(OR(Y861="估算法",Y861="算法类",Y861="无法识别"),"",IF(X861="",IF(OR(J861="ILF",J861="EIF"),0,""),LEN(X861)-LEN(SUBSTITUTE(X861,"、",""))+1))</f>
        <v/>
      </c>
      <c r="O861" s="85">
        <f>IF(OR(Y861="估算法",Y861="算法类",Y861="无法识别"),"",IF(Y861="",IF(OR(J861="ILF",J861="EIF",J861="EI",J861="EO",J861="EQ"),0,""),LEN(Y861)-LEN(SUBSTITUTE(SUBSTITUTE(SUBSTITUTE(SUBSTITUTE(SUBSTITUTE(Y861,"|}","--"),"{|","--"),CHAR(10),""),"、",""),"|",""))+IF(AND(OR(J861="EI",J861="EO",J861="EQ"),$AE$1="NESMA"),2,1)))</f>
        <v/>
      </c>
      <c r="P861" s="86">
        <f>IF(J861="EI",IF(OR(Y861="估算法",Y861="算法类"),"中",IF(Y861="无法识别","低",IF(M861&lt;2,IF(O861&lt;16,"低","中"),IF(M861&lt;3,IF(O861&lt;5,"低",IF(O861&lt;16,"中","高")),IF(O861&lt;5,"中","高"))))),IF(OR(J861="EO",J861="EQ"),IF(OR(Y861="估算法",Y861="算法类"),"中",IF(Y861="无法识别","低",IF(M861&lt;2,IF(O861&lt;20,"低","中"),IF(M861&lt;4,IF(O861&lt;6,"低",IF(O861&lt;20,"中","高")),IF(O861&lt;6,"中","高"))))),IF(OR(J861="ILF",J861="EIF"),IF(OR(Y861="估算法",Y861="算法类",Y861="无法识别"),"低",IF(N861&lt;2,IF(O861&lt;51,"低","中"),IF(N861&lt;6,IF(O861&lt;20,"低",IF(O861&lt;51,"中","高")),IF(O861&lt;20,"中","高")))),"不计算")))</f>
        <v/>
      </c>
      <c r="Q861" s="172">
        <f>IFERROR(IF(J861="EI",IF(P861="低",3,IF(P861="中",4,6)),IF(J861="EO",IF(P861="低",4,IF(P861="中",5,7)),IF(J861="EQ",IF(P861="低",3,IF(P861="中",4,6)),IF(J861="ILF",IF(P861="低",7,IF(P861="中",10,15)),IF(J861="EIF",IF(P861="低",5,IF(P861="中",7,10)),"不计算")))))*R861,"不计算")</f>
        <v/>
      </c>
      <c r="R861" s="172" t="n">
        <v>0.333333333333333</v>
      </c>
      <c r="S861" s="173">
        <f>调整因子!$F$13</f>
        <v/>
      </c>
      <c r="T861" s="92" t="n">
        <v>1</v>
      </c>
      <c r="U861" s="174">
        <f>IFERROR(Q861*S861,0)</f>
        <v/>
      </c>
      <c r="V861" s="174">
        <f>U861*T861</f>
        <v/>
      </c>
      <c r="W861" s="90" t="inlineStr">
        <is>
          <t>漏洞扫描设备规划、漏洞扫描设备规划历史表</t>
        </is>
      </c>
      <c r="X861" s="91" t="n"/>
      <c r="Y861" s="90"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Z861" s="90" t="n"/>
      <c r="AA861" s="90" t="n"/>
    </row>
    <row r="862" s="112">
      <c r="A862" s="72">
        <f>ROW()-1</f>
        <v/>
      </c>
      <c r="B862" s="175" t="n"/>
      <c r="C862" s="80" t="n">
        <v>2025</v>
      </c>
      <c r="D862" s="80" t="inlineStr">
        <is>
          <t>仲光华</t>
        </is>
      </c>
      <c r="E862" s="81">
        <f>VLOOKUP(I862,'25年交付功能（不含废弃）'!A:A,1,FALSE)</f>
        <v/>
      </c>
      <c r="F862" s="175" t="n"/>
      <c r="G862" s="175" t="n"/>
      <c r="H862" s="175" t="n"/>
      <c r="I862" s="81" t="inlineStr">
        <is>
          <t>批量删除设备规划</t>
        </is>
      </c>
      <c r="J862" s="93" t="inlineStr">
        <is>
          <t>EI</t>
        </is>
      </c>
      <c r="K862" s="84" t="n"/>
      <c r="L862" s="84" t="inlineStr">
        <is>
          <t>批量操作</t>
        </is>
      </c>
      <c r="M862" s="85">
        <f>IF(OR(Y862="估算法",Y862="算法类",Y862="无法识别"),"",IF(W862="",IF(OR(J862="EI",J862="EO",J862="EQ"),0,""),LEN(W862)-LEN(SUBSTITUTE(W862,"、",""))+1))</f>
        <v/>
      </c>
      <c r="N862" s="85">
        <f>IF(OR(Y862="估算法",Y862="算法类",Y862="无法识别"),"",IF(X862="",IF(OR(J862="ILF",J862="EIF"),0,""),LEN(X862)-LEN(SUBSTITUTE(X862,"、",""))+1))</f>
        <v/>
      </c>
      <c r="O862" s="85">
        <f>IF(OR(Y862="估算法",Y862="算法类",Y862="无法识别"),"",IF(Y862="",IF(OR(J862="ILF",J862="EIF",J862="EI",J862="EO",J862="EQ"),0,""),LEN(Y862)-LEN(SUBSTITUTE(SUBSTITUTE(SUBSTITUTE(SUBSTITUTE(SUBSTITUTE(Y862,"|}","--"),"{|","--"),CHAR(10),""),"、",""),"|",""))+IF(AND(OR(J862="EI",J862="EO",J862="EQ"),$AE$1="NESMA"),2,1)))</f>
        <v/>
      </c>
      <c r="P862" s="86">
        <f>IF(J862="EI",IF(OR(Y862="估算法",Y862="算法类"),"中",IF(Y862="无法识别","低",IF(M862&lt;2,IF(O862&lt;16,"低","中"),IF(M862&lt;3,IF(O862&lt;5,"低",IF(O862&lt;16,"中","高")),IF(O862&lt;5,"中","高"))))),IF(OR(J862="EO",J862="EQ"),IF(OR(Y862="估算法",Y862="算法类"),"中",IF(Y862="无法识别","低",IF(M862&lt;2,IF(O862&lt;20,"低","中"),IF(M862&lt;4,IF(O862&lt;6,"低",IF(O862&lt;20,"中","高")),IF(O862&lt;6,"中","高"))))),IF(OR(J862="ILF",J862="EIF"),IF(OR(Y862="估算法",Y862="算法类",Y862="无法识别"),"低",IF(N862&lt;2,IF(O862&lt;51,"低","中"),IF(N862&lt;6,IF(O862&lt;20,"低",IF(O862&lt;51,"中","高")),IF(O862&lt;20,"中","高")))),"不计算")))</f>
        <v/>
      </c>
      <c r="Q862" s="172">
        <f>IFERROR(IF(J862="EI",IF(P862="低",3,IF(P862="中",4,6)),IF(J862="EO",IF(P862="低",4,IF(P862="中",5,7)),IF(J862="EQ",IF(P862="低",3,IF(P862="中",4,6)),IF(J862="ILF",IF(P862="低",7,IF(P862="中",10,15)),IF(J862="EIF",IF(P862="低",5,IF(P862="中",7,10)),"不计算")))))*R862,"不计算")</f>
        <v/>
      </c>
      <c r="R862" s="172" t="n">
        <v>0.333333333333333</v>
      </c>
      <c r="S862" s="173">
        <f>调整因子!$F$13</f>
        <v/>
      </c>
      <c r="T862" s="93" t="n">
        <v>1</v>
      </c>
      <c r="U862" s="174">
        <f>IFERROR(Q862*S862,0)</f>
        <v/>
      </c>
      <c r="V862" s="174">
        <f>U862*T862</f>
        <v/>
      </c>
      <c r="W862" s="90" t="inlineStr">
        <is>
          <t>漏洞扫描设备规划、漏洞扫描设备规划历史表</t>
        </is>
      </c>
      <c r="X862" s="91" t="n"/>
      <c r="Y862" s="90" t="inlineStr">
        <is>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is>
      </c>
      <c r="Z862" s="90" t="n"/>
      <c r="AA862" s="90" t="n"/>
    </row>
    <row r="863" s="112">
      <c r="A863" s="72">
        <f>ROW()-1</f>
        <v/>
      </c>
      <c r="B863" s="175" t="n"/>
      <c r="C863" s="80" t="n">
        <v>2025</v>
      </c>
      <c r="D863" s="80" t="inlineStr">
        <is>
          <t>仲光华</t>
        </is>
      </c>
      <c r="E863" s="81">
        <f>VLOOKUP(I863,'25年交付功能（不含废弃）'!A:A,1,FALSE)</f>
        <v/>
      </c>
      <c r="F863" s="175" t="n"/>
      <c r="G863" s="175" t="n"/>
      <c r="H863" s="176" t="n"/>
      <c r="I863" s="98" t="inlineStr">
        <is>
          <t>漏洞扫描设备规划表</t>
        </is>
      </c>
      <c r="J863" s="93" t="n"/>
      <c r="K863" s="84" t="n"/>
      <c r="L863" s="84" t="inlineStr">
        <is>
          <t>数据库表未被本系统所使用</t>
        </is>
      </c>
      <c r="M863" s="85">
        <f>IF(OR(Y863="估算法",Y863="算法类",Y863="无法识别"),"",IF(W863="",IF(OR(J863="EI",J863="EO",J863="EQ"),0,""),LEN(W863)-LEN(SUBSTITUTE(W863,"、",""))+1))</f>
        <v/>
      </c>
      <c r="N863" s="85">
        <f>IF(OR(Y863="估算法",Y863="算法类",Y863="无法识别"),"",IF(X863="",IF(OR(J863="ILF",J863="EIF"),0,""),LEN(X863)-LEN(SUBSTITUTE(X863,"、",""))+1))</f>
        <v/>
      </c>
      <c r="O863" s="85">
        <f>IF(OR(Y863="估算法",Y863="算法类",Y863="无法识别"),"",IF(Y863="",IF(OR(J863="ILF",J863="EIF",J863="EI",J863="EO",J863="EQ"),0,""),LEN(Y863)-LEN(SUBSTITUTE(SUBSTITUTE(SUBSTITUTE(SUBSTITUTE(SUBSTITUTE(Y863,"|}","--"),"{|","--"),CHAR(10),""),"、",""),"|",""))+IF(AND(OR(J863="EI",J863="EO",J863="EQ"),$AE$1="NESMA"),2,1)))</f>
        <v/>
      </c>
      <c r="P863" s="86">
        <f>IF(J863="EI",IF(OR(Y863="估算法",Y863="算法类"),"中",IF(Y863="无法识别","低",IF(M863&lt;2,IF(O863&lt;16,"低","中"),IF(M863&lt;3,IF(O863&lt;5,"低",IF(O863&lt;16,"中","高")),IF(O863&lt;5,"中","高"))))),IF(OR(J863="EO",J863="EQ"),IF(OR(Y863="估算法",Y863="算法类"),"中",IF(Y863="无法识别","低",IF(M863&lt;2,IF(O863&lt;20,"低","中"),IF(M863&lt;4,IF(O863&lt;6,"低",IF(O863&lt;20,"中","高")),IF(O863&lt;6,"中","高"))))),IF(OR(J863="ILF",J863="EIF"),IF(OR(Y863="估算法",Y863="算法类",Y863="无法识别"),"低",IF(N863&lt;2,IF(O863&lt;51,"低","中"),IF(N863&lt;6,IF(O863&lt;20,"低",IF(O863&lt;51,"中","高")),IF(O863&lt;20,"中","高")))),"不计算")))</f>
        <v/>
      </c>
      <c r="Q863" s="172">
        <f>IFERROR(IF(J863="EI",IF(P863="低",3,IF(P863="中",4,6)),IF(J863="EO",IF(P863="低",4,IF(P863="中",5,7)),IF(J863="EQ",IF(P863="低",3,IF(P863="中",4,6)),IF(J863="ILF",IF(P863="低",7,IF(P863="中",10,15)),IF(J863="EIF",IF(P863="低",5,IF(P863="中",7,10)),"不计算")))))*R863,"不计算")</f>
        <v/>
      </c>
      <c r="R863" s="172" t="n">
        <v>1</v>
      </c>
      <c r="S863" s="173">
        <f>调整因子!$F$13</f>
        <v/>
      </c>
      <c r="T863" s="92" t="n">
        <v>1</v>
      </c>
      <c r="U863" s="174">
        <f>IFERROR(Q863*S863,0)</f>
        <v/>
      </c>
      <c r="V863" s="174">
        <f>U863*T863</f>
        <v/>
      </c>
      <c r="W863" s="98" t="n"/>
      <c r="X863" s="90" t="inlineStr">
        <is>
          <t>漏洞扫描设备规划表</t>
        </is>
      </c>
      <c r="Y863" s="90" t="inlineStr">
        <is>
          <t>漏洞扫描设备规划{ID、资产ID、设备名称、设备类型、IP地址、MAC地址、厂商、型号、操作系统、固件版本、扫描引擎版本、漏洞库版本、最大扫描并发数、支持协议类型、责任人、所属部门、启用状态、备注}</t>
        </is>
      </c>
      <c r="Z863" s="90">
        <f>IF(COUNTIFS(W:W,"*"&amp;I863&amp;"*")&gt;0,"存在","不存在")</f>
        <v/>
      </c>
      <c r="AA863" s="90">
        <f>IF(COUNTIFS(AB:AB,"*"&amp;I863&amp;"*")&gt;0,"存在","不存在")</f>
        <v/>
      </c>
    </row>
    <row r="864" s="112">
      <c r="A864" s="72">
        <f>ROW()-1</f>
        <v/>
      </c>
      <c r="B864" s="175" t="n"/>
      <c r="C864" s="80" t="n">
        <v>2025</v>
      </c>
      <c r="D864" s="80" t="inlineStr">
        <is>
          <t>仲光华</t>
        </is>
      </c>
      <c r="E864" s="81">
        <f>VLOOKUP(I864,'25年交付功能（不含废弃）'!A:A,1,FALSE)</f>
        <v/>
      </c>
      <c r="F864" s="175" t="n"/>
      <c r="G864" s="175" t="n"/>
      <c r="H864" s="82" t="inlineStr">
        <is>
          <t>POC 引擎规划</t>
        </is>
      </c>
      <c r="I864" s="81" t="inlineStr">
        <is>
          <t>查询POC引擎列表</t>
        </is>
      </c>
      <c r="J864" s="93" t="inlineStr">
        <is>
          <t>EQ</t>
        </is>
      </c>
      <c r="K864" s="84" t="n"/>
      <c r="L864" s="84" t="n"/>
      <c r="M864" s="85">
        <f>IF(OR(Y864="估算法",Y864="算法类",Y864="无法识别"),"",IF(W864="",IF(OR(J864="EI",J864="EO",J864="EQ"),0,""),LEN(W864)-LEN(SUBSTITUTE(W864,"、",""))+1))</f>
        <v/>
      </c>
      <c r="N864" s="85">
        <f>IF(OR(Y864="估算法",Y864="算法类",Y864="无法识别"),"",IF(X864="",IF(OR(J864="ILF",J864="EIF"),0,""),LEN(X864)-LEN(SUBSTITUTE(X864,"、",""))+1))</f>
        <v/>
      </c>
      <c r="O864" s="85">
        <f>IF(OR(Y864="估算法",Y864="算法类",Y864="无法识别"),"",IF(Y864="",IF(OR(J864="ILF",J864="EIF",J864="EI",J864="EO",J864="EQ"),0,""),LEN(Y864)-LEN(SUBSTITUTE(SUBSTITUTE(SUBSTITUTE(SUBSTITUTE(SUBSTITUTE(Y864,"|}","--"),"{|","--"),CHAR(10),""),"、",""),"|",""))+IF(AND(OR(J864="EI",J864="EO",J864="EQ"),$AE$1="NESMA"),2,1)))</f>
        <v/>
      </c>
      <c r="P864" s="86">
        <f>IF(J864="EI",IF(OR(Y864="估算法",Y864="算法类"),"中",IF(Y864="无法识别","低",IF(M864&lt;2,IF(O864&lt;16,"低","中"),IF(M864&lt;3,IF(O864&lt;5,"低",IF(O864&lt;16,"中","高")),IF(O864&lt;5,"中","高"))))),IF(OR(J864="EO",J864="EQ"),IF(OR(Y864="估算法",Y864="算法类"),"中",IF(Y864="无法识别","低",IF(M864&lt;2,IF(O864&lt;20,"低","中"),IF(M864&lt;4,IF(O864&lt;6,"低",IF(O864&lt;20,"中","高")),IF(O864&lt;6,"中","高"))))),IF(OR(J864="ILF",J864="EIF"),IF(OR(Y864="估算法",Y864="算法类",Y864="无法识别"),"低",IF(N864&lt;2,IF(O864&lt;51,"低","中"),IF(N864&lt;6,IF(O864&lt;20,"低",IF(O864&lt;51,"中","高")),IF(O864&lt;20,"中","高")))),"不计算")))</f>
        <v/>
      </c>
      <c r="Q864" s="172">
        <f>IFERROR(IF(J864="EI",IF(P864="低",3,IF(P864="中",4,6)),IF(J864="EO",IF(P864="低",4,IF(P864="中",5,7)),IF(J864="EQ",IF(P864="低",3,IF(P864="中",4,6)),IF(J864="ILF",IF(P864="低",7,IF(P864="中",10,15)),IF(J864="EIF",IF(P864="低",5,IF(P864="中",7,10)),"不计算")))))*R864,"不计算")</f>
        <v/>
      </c>
      <c r="R864" s="172" t="n">
        <v>1</v>
      </c>
      <c r="S864" s="173">
        <f>调整因子!$F$13</f>
        <v/>
      </c>
      <c r="T864" s="92" t="n">
        <v>1</v>
      </c>
      <c r="U864" s="174">
        <f>IFERROR(Q864*S864,0)</f>
        <v/>
      </c>
      <c r="V864" s="174">
        <f>U864*T864</f>
        <v/>
      </c>
      <c r="W864" s="90" t="inlineStr">
        <is>
          <t>POC引擎规划、扫描节点表、扫描器表、扫描器版本表、扫描器分类表、安全厂商信息、资产管理表、POC引擎规划历史记录表</t>
        </is>
      </c>
      <c r="X864" s="91" t="n"/>
      <c r="Y864"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4" s="90" t="n"/>
      <c r="AA864" s="90" t="n"/>
    </row>
    <row r="865" s="112">
      <c r="A865" s="72">
        <f>ROW()-1</f>
        <v/>
      </c>
      <c r="B865" s="175" t="n"/>
      <c r="C865" s="80" t="n">
        <v>2025</v>
      </c>
      <c r="D865" s="80" t="inlineStr">
        <is>
          <t>仲光华</t>
        </is>
      </c>
      <c r="E865" s="81">
        <f>VLOOKUP(I865,'25年交付功能（不含废弃）'!A:A,1,FALSE)</f>
        <v/>
      </c>
      <c r="F865" s="175" t="n"/>
      <c r="G865" s="175" t="n"/>
      <c r="H865" s="175" t="n"/>
      <c r="I865" s="81" t="inlineStr">
        <is>
          <t>查询POC引擎规划列表</t>
        </is>
      </c>
      <c r="J865" s="93" t="n"/>
      <c r="K865" s="84" t="n"/>
      <c r="L865" s="84" t="inlineStr">
        <is>
          <t>和上行合并，输入输出字段完全一致</t>
        </is>
      </c>
      <c r="M865" s="85">
        <f>IF(OR(Y865="估算法",Y865="算法类",Y865="无法识别"),"",IF(W865="",IF(OR(J865="EI",J865="EO",J865="EQ"),0,""),LEN(W865)-LEN(SUBSTITUTE(W865,"、",""))+1))</f>
        <v/>
      </c>
      <c r="N865" s="85">
        <f>IF(OR(Y865="估算法",Y865="算法类",Y865="无法识别"),"",IF(X865="",IF(OR(J865="ILF",J865="EIF"),0,""),LEN(X865)-LEN(SUBSTITUTE(X865,"、",""))+1))</f>
        <v/>
      </c>
      <c r="O865" s="85">
        <f>IF(OR(Y865="估算法",Y865="算法类",Y865="无法识别"),"",IF(Y865="",IF(OR(J865="ILF",J865="EIF",J865="EI",J865="EO",J865="EQ"),0,""),LEN(Y865)-LEN(SUBSTITUTE(SUBSTITUTE(SUBSTITUTE(SUBSTITUTE(SUBSTITUTE(Y865,"|}","--"),"{|","--"),CHAR(10),""),"、",""),"|",""))+IF(AND(OR(J865="EI",J865="EO",J865="EQ"),$AE$1="NESMA"),2,1)))</f>
        <v/>
      </c>
      <c r="P865" s="86">
        <f>IF(J865="EI",IF(OR(Y865="估算法",Y865="算法类"),"中",IF(Y865="无法识别","低",IF(M865&lt;2,IF(O865&lt;16,"低","中"),IF(M865&lt;3,IF(O865&lt;5,"低",IF(O865&lt;16,"中","高")),IF(O865&lt;5,"中","高"))))),IF(OR(J865="EO",J865="EQ"),IF(OR(Y865="估算法",Y865="算法类"),"中",IF(Y865="无法识别","低",IF(M865&lt;2,IF(O865&lt;20,"低","中"),IF(M865&lt;4,IF(O865&lt;6,"低",IF(O865&lt;20,"中","高")),IF(O865&lt;6,"中","高"))))),IF(OR(J865="ILF",J865="EIF"),IF(OR(Y865="估算法",Y865="算法类",Y865="无法识别"),"低",IF(N865&lt;2,IF(O865&lt;51,"低","中"),IF(N865&lt;6,IF(O865&lt;20,"低",IF(O865&lt;51,"中","高")),IF(O865&lt;20,"中","高")))),"不计算")))</f>
        <v/>
      </c>
      <c r="Q865" s="172">
        <f>IFERROR(IF(J865="EI",IF(P865="低",3,IF(P865="中",4,6)),IF(J865="EO",IF(P865="低",4,IF(P865="中",5,7)),IF(J865="EQ",IF(P865="低",3,IF(P865="中",4,6)),IF(J865="ILF",IF(P865="低",7,IF(P865="中",10,15)),IF(J865="EIF",IF(P865="低",5,IF(P865="中",7,10)),"不计算")))))*R865,"不计算")</f>
        <v/>
      </c>
      <c r="R865" s="172" t="n">
        <v>1</v>
      </c>
      <c r="S865" s="173">
        <f>调整因子!$F$13</f>
        <v/>
      </c>
      <c r="T865" s="93" t="n">
        <v>1</v>
      </c>
      <c r="U865" s="174">
        <f>IFERROR(Q865*S865,0)</f>
        <v/>
      </c>
      <c r="V865" s="174">
        <f>U865*T865</f>
        <v/>
      </c>
      <c r="W865" s="90" t="inlineStr">
        <is>
          <t>POC引擎规划、扫描节点表、扫描器表、扫描器版本表、扫描器分类表、安全厂商信息、资产管理表、POC引擎规划历史记录表</t>
        </is>
      </c>
      <c r="X865" s="91" t="n"/>
      <c r="Y865"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5" s="90" t="n"/>
      <c r="AA865" s="90" t="n"/>
    </row>
    <row r="866" s="112">
      <c r="A866" s="72">
        <f>ROW()-1</f>
        <v/>
      </c>
      <c r="B866" s="175" t="n"/>
      <c r="C866" s="80" t="n">
        <v>2025</v>
      </c>
      <c r="D866" s="80" t="inlineStr">
        <is>
          <t>仲光华</t>
        </is>
      </c>
      <c r="E866" s="81">
        <f>VLOOKUP(I866,'25年交付功能（不含废弃）'!A:A,1,FALSE)</f>
        <v/>
      </c>
      <c r="F866" s="175" t="n"/>
      <c r="G866" s="175" t="n"/>
      <c r="H866" s="175" t="n"/>
      <c r="I866" s="81" t="inlineStr">
        <is>
          <t>新增POC引擎规划</t>
        </is>
      </c>
      <c r="J866" s="93" t="inlineStr">
        <is>
          <t>EI</t>
        </is>
      </c>
      <c r="K866" s="84" t="n"/>
      <c r="L866" s="84" t="n"/>
      <c r="M866" s="85">
        <f>IF(OR(Y866="估算法",Y866="算法类",Y866="无法识别"),"",IF(W866="",IF(OR(J866="EI",J866="EO",J866="EQ"),0,""),LEN(W866)-LEN(SUBSTITUTE(W866,"、",""))+1))</f>
        <v/>
      </c>
      <c r="N866" s="85">
        <f>IF(OR(Y866="估算法",Y866="算法类",Y866="无法识别"),"",IF(X866="",IF(OR(J866="ILF",J866="EIF"),0,""),LEN(X866)-LEN(SUBSTITUTE(X866,"、",""))+1))</f>
        <v/>
      </c>
      <c r="O866" s="85">
        <f>IF(OR(Y866="估算法",Y866="算法类",Y866="无法识别"),"",IF(Y866="",IF(OR(J866="ILF",J866="EIF",J866="EI",J866="EO",J866="EQ"),0,""),LEN(Y866)-LEN(SUBSTITUTE(SUBSTITUTE(SUBSTITUTE(SUBSTITUTE(SUBSTITUTE(Y866,"|}","--"),"{|","--"),CHAR(10),""),"、",""),"|",""))+IF(AND(OR(J866="EI",J866="EO",J866="EQ"),$AE$1="NESMA"),2,1)))</f>
        <v/>
      </c>
      <c r="P866" s="86">
        <f>IF(J866="EI",IF(OR(Y866="估算法",Y866="算法类"),"中",IF(Y866="无法识别","低",IF(M866&lt;2,IF(O866&lt;16,"低","中"),IF(M866&lt;3,IF(O866&lt;5,"低",IF(O866&lt;16,"中","高")),IF(O866&lt;5,"中","高"))))),IF(OR(J866="EO",J866="EQ"),IF(OR(Y866="估算法",Y866="算法类"),"中",IF(Y866="无法识别","低",IF(M866&lt;2,IF(O866&lt;20,"低","中"),IF(M866&lt;4,IF(O866&lt;6,"低",IF(O866&lt;20,"中","高")),IF(O866&lt;6,"中","高"))))),IF(OR(J866="ILF",J866="EIF"),IF(OR(Y866="估算法",Y866="算法类",Y866="无法识别"),"低",IF(N866&lt;2,IF(O866&lt;51,"低","中"),IF(N866&lt;6,IF(O866&lt;20,"低",IF(O866&lt;51,"中","高")),IF(O866&lt;20,"中","高")))),"不计算")))</f>
        <v/>
      </c>
      <c r="Q866" s="172">
        <f>IFERROR(IF(J866="EI",IF(P866="低",3,IF(P866="中",4,6)),IF(J866="EO",IF(P866="低",4,IF(P866="中",5,7)),IF(J866="EQ",IF(P866="低",3,IF(P866="中",4,6)),IF(J866="ILF",IF(P866="低",7,IF(P866="中",10,15)),IF(J866="EIF",IF(P866="低",5,IF(P866="中",7,10)),"不计算")))))*R866,"不计算")</f>
        <v/>
      </c>
      <c r="R866" s="172" t="n">
        <v>1</v>
      </c>
      <c r="S866" s="173">
        <f>调整因子!$F$13</f>
        <v/>
      </c>
      <c r="T866" s="93" t="n">
        <v>1</v>
      </c>
      <c r="U866" s="174">
        <f>IFERROR(Q866*S866,0)</f>
        <v/>
      </c>
      <c r="V866" s="174">
        <f>U866*T866</f>
        <v/>
      </c>
      <c r="W866" s="90" t="inlineStr">
        <is>
          <t>POC引擎规划、扫描节点表、扫描器表、扫描器版本表、扫描器分类表、安全厂商信息、资产管理表、POC引擎规划历史记录表</t>
        </is>
      </c>
      <c r="X866" s="91" t="n"/>
      <c r="Y866"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6" s="90" t="n"/>
      <c r="AA866" s="90" t="n"/>
    </row>
    <row r="867" s="112">
      <c r="A867" s="72">
        <f>ROW()-1</f>
        <v/>
      </c>
      <c r="B867" s="175" t="n"/>
      <c r="C867" s="80" t="n">
        <v>2025</v>
      </c>
      <c r="D867" s="80" t="inlineStr">
        <is>
          <t>仲光华</t>
        </is>
      </c>
      <c r="E867" s="81">
        <f>VLOOKUP(I867,'25年交付功能（不含废弃）'!A:A,1,FALSE)</f>
        <v/>
      </c>
      <c r="F867" s="175" t="n"/>
      <c r="G867" s="175" t="n"/>
      <c r="H867" s="175" t="n"/>
      <c r="I867" s="81" t="inlineStr">
        <is>
          <t>修改POC引擎规划</t>
        </is>
      </c>
      <c r="J867" s="93" t="inlineStr">
        <is>
          <t>EI</t>
        </is>
      </c>
      <c r="K867" s="84" t="n"/>
      <c r="L867" s="84" t="n"/>
      <c r="M867" s="85">
        <f>IF(OR(Y867="估算法",Y867="算法类",Y867="无法识别"),"",IF(W867="",IF(OR(J867="EI",J867="EO",J867="EQ"),0,""),LEN(W867)-LEN(SUBSTITUTE(W867,"、",""))+1))</f>
        <v/>
      </c>
      <c r="N867" s="85">
        <f>IF(OR(Y867="估算法",Y867="算法类",Y867="无法识别"),"",IF(X867="",IF(OR(J867="ILF",J867="EIF"),0,""),LEN(X867)-LEN(SUBSTITUTE(X867,"、",""))+1))</f>
        <v/>
      </c>
      <c r="O867" s="85">
        <f>IF(OR(Y867="估算法",Y867="算法类",Y867="无法识别"),"",IF(Y867="",IF(OR(J867="ILF",J867="EIF",J867="EI",J867="EO",J867="EQ"),0,""),LEN(Y867)-LEN(SUBSTITUTE(SUBSTITUTE(SUBSTITUTE(SUBSTITUTE(SUBSTITUTE(Y867,"|}","--"),"{|","--"),CHAR(10),""),"、",""),"|",""))+IF(AND(OR(J867="EI",J867="EO",J867="EQ"),$AE$1="NESMA"),2,1)))</f>
        <v/>
      </c>
      <c r="P867" s="86">
        <f>IF(J867="EI",IF(OR(Y867="估算法",Y867="算法类"),"中",IF(Y867="无法识别","低",IF(M867&lt;2,IF(O867&lt;16,"低","中"),IF(M867&lt;3,IF(O867&lt;5,"低",IF(O867&lt;16,"中","高")),IF(O867&lt;5,"中","高"))))),IF(OR(J867="EO",J867="EQ"),IF(OR(Y867="估算法",Y867="算法类"),"中",IF(Y867="无法识别","低",IF(M867&lt;2,IF(O867&lt;20,"低","中"),IF(M867&lt;4,IF(O867&lt;6,"低",IF(O867&lt;20,"中","高")),IF(O867&lt;6,"中","高"))))),IF(OR(J867="ILF",J867="EIF"),IF(OR(Y867="估算法",Y867="算法类",Y867="无法识别"),"低",IF(N867&lt;2,IF(O867&lt;51,"低","中"),IF(N867&lt;6,IF(O867&lt;20,"低",IF(O867&lt;51,"中","高")),IF(O867&lt;20,"中","高")))),"不计算")))</f>
        <v/>
      </c>
      <c r="Q867" s="172">
        <f>IFERROR(IF(J867="EI",IF(P867="低",3,IF(P867="中",4,6)),IF(J867="EO",IF(P867="低",4,IF(P867="中",5,7)),IF(J867="EQ",IF(P867="低",3,IF(P867="中",4,6)),IF(J867="ILF",IF(P867="低",7,IF(P867="中",10,15)),IF(J867="EIF",IF(P867="低",5,IF(P867="中",7,10)),"不计算")))))*R867,"不计算")</f>
        <v/>
      </c>
      <c r="R867" s="172" t="n">
        <v>0.333333333333333</v>
      </c>
      <c r="S867" s="173">
        <f>调整因子!$F$13</f>
        <v/>
      </c>
      <c r="T867" s="92" t="n">
        <v>1</v>
      </c>
      <c r="U867" s="174">
        <f>IFERROR(Q867*S867,0)</f>
        <v/>
      </c>
      <c r="V867" s="174">
        <f>U867*T867</f>
        <v/>
      </c>
      <c r="W867" s="90" t="inlineStr">
        <is>
          <t>POC引擎规划、扫描节点表、扫描器表、扫描器版本表、扫描器分类表、安全厂商信息、资产管理表、POC引擎规划历史记录表</t>
        </is>
      </c>
      <c r="X867" s="91" t="n"/>
      <c r="Y867" s="90" t="inlineStr">
        <is>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67" s="90" t="n"/>
      <c r="AA867" s="90" t="n"/>
    </row>
    <row r="868" s="112">
      <c r="A868" s="72">
        <f>ROW()-1</f>
        <v/>
      </c>
      <c r="B868" s="175" t="n"/>
      <c r="C868" s="80" t="n">
        <v>2025</v>
      </c>
      <c r="D868" s="80" t="inlineStr">
        <is>
          <t>仲光华</t>
        </is>
      </c>
      <c r="E868" s="81">
        <f>VLOOKUP(I868,'25年交付功能（不含废弃）'!A:A,1,FALSE)</f>
        <v/>
      </c>
      <c r="F868" s="175" t="n"/>
      <c r="G868" s="175" t="n"/>
      <c r="H868" s="175" t="n"/>
      <c r="I868" s="81" t="inlineStr">
        <is>
          <t>删除单个POC引擎规划</t>
        </is>
      </c>
      <c r="J868" s="93" t="inlineStr">
        <is>
          <t>EI</t>
        </is>
      </c>
      <c r="K868" s="84" t="n"/>
      <c r="L868" s="84" t="n"/>
      <c r="M868" s="85">
        <f>IF(OR(Y868="估算法",Y868="算法类",Y868="无法识别"),"",IF(W868="",IF(OR(J868="EI",J868="EO",J868="EQ"),0,""),LEN(W868)-LEN(SUBSTITUTE(W868,"、",""))+1))</f>
        <v/>
      </c>
      <c r="N868" s="85">
        <f>IF(OR(Y868="估算法",Y868="算法类",Y868="无法识别"),"",IF(X868="",IF(OR(J868="ILF",J868="EIF"),0,""),LEN(X868)-LEN(SUBSTITUTE(X868,"、",""))+1))</f>
        <v/>
      </c>
      <c r="O868" s="85">
        <f>IF(OR(Y868="估算法",Y868="算法类",Y868="无法识别"),"",IF(Y868="",IF(OR(J868="ILF",J868="EIF",J868="EI",J868="EO",J868="EQ"),0,""),LEN(Y868)-LEN(SUBSTITUTE(SUBSTITUTE(SUBSTITUTE(SUBSTITUTE(SUBSTITUTE(Y868,"|}","--"),"{|","--"),CHAR(10),""),"、",""),"|",""))+IF(AND(OR(J868="EI",J868="EO",J868="EQ"),$AE$1="NESMA"),2,1)))</f>
        <v/>
      </c>
      <c r="P868" s="86">
        <f>IF(J868="EI",IF(OR(Y868="估算法",Y868="算法类"),"中",IF(Y868="无法识别","低",IF(M868&lt;2,IF(O868&lt;16,"低","中"),IF(M868&lt;3,IF(O868&lt;5,"低",IF(O868&lt;16,"中","高")),IF(O868&lt;5,"中","高"))))),IF(OR(J868="EO",J868="EQ"),IF(OR(Y868="估算法",Y868="算法类"),"中",IF(Y868="无法识别","低",IF(M868&lt;2,IF(O868&lt;20,"低","中"),IF(M868&lt;4,IF(O868&lt;6,"低",IF(O868&lt;20,"中","高")),IF(O868&lt;6,"中","高"))))),IF(OR(J868="ILF",J868="EIF"),IF(OR(Y868="估算法",Y868="算法类",Y868="无法识别"),"低",IF(N868&lt;2,IF(O868&lt;51,"低","中"),IF(N868&lt;6,IF(O868&lt;20,"低",IF(O868&lt;51,"中","高")),IF(O868&lt;20,"中","高")))),"不计算")))</f>
        <v/>
      </c>
      <c r="Q868" s="172">
        <f>IFERROR(IF(J868="EI",IF(P868="低",3,IF(P868="中",4,6)),IF(J868="EO",IF(P868="低",4,IF(P868="中",5,7)),IF(J868="EQ",IF(P868="低",3,IF(P868="中",4,6)),IF(J868="ILF",IF(P868="低",7,IF(P868="中",10,15)),IF(J868="EIF",IF(P868="低",5,IF(P868="中",7,10)),"不计算")))))*R868,"不计算")</f>
        <v/>
      </c>
      <c r="R868" s="172" t="n">
        <v>0.333333333333333</v>
      </c>
      <c r="S868" s="173">
        <f>调整因子!$F$13</f>
        <v/>
      </c>
      <c r="T868" s="92" t="n">
        <v>1</v>
      </c>
      <c r="U868" s="174">
        <f>IFERROR(Q868*S868,0)</f>
        <v/>
      </c>
      <c r="V868" s="174">
        <f>U868*T868</f>
        <v/>
      </c>
      <c r="W868" s="90" t="inlineStr">
        <is>
          <t>POC引擎规划、POC引擎规划历史记录表</t>
        </is>
      </c>
      <c r="X868" s="91" t="n"/>
      <c r="Y868" s="90"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Z868" s="90" t="n"/>
      <c r="AA868" s="90" t="n"/>
    </row>
    <row r="869" s="112">
      <c r="A869" s="72">
        <f>ROW()-1</f>
        <v/>
      </c>
      <c r="B869" s="175" t="n"/>
      <c r="C869" s="80" t="n">
        <v>2025</v>
      </c>
      <c r="D869" s="80" t="inlineStr">
        <is>
          <t>仲光华</t>
        </is>
      </c>
      <c r="E869" s="81">
        <f>VLOOKUP(I869,'25年交付功能（不含废弃）'!A:A,1,FALSE)</f>
        <v/>
      </c>
      <c r="F869" s="175" t="n"/>
      <c r="G869" s="175" t="n"/>
      <c r="H869" s="175" t="n"/>
      <c r="I869" s="81" t="inlineStr">
        <is>
          <t>批量删除POC引擎规划</t>
        </is>
      </c>
      <c r="J869" s="93" t="inlineStr">
        <is>
          <t>EI</t>
        </is>
      </c>
      <c r="K869" s="84" t="n"/>
      <c r="L869" s="84" t="inlineStr">
        <is>
          <t>批量操作</t>
        </is>
      </c>
      <c r="M869" s="85">
        <f>IF(OR(Y869="估算法",Y869="算法类",Y869="无法识别"),"",IF(W869="",IF(OR(J869="EI",J869="EO",J869="EQ"),0,""),LEN(W869)-LEN(SUBSTITUTE(W869,"、",""))+1))</f>
        <v/>
      </c>
      <c r="N869" s="85">
        <f>IF(OR(Y869="估算法",Y869="算法类",Y869="无法识别"),"",IF(X869="",IF(OR(J869="ILF",J869="EIF"),0,""),LEN(X869)-LEN(SUBSTITUTE(X869,"、",""))+1))</f>
        <v/>
      </c>
      <c r="O869" s="85">
        <f>IF(OR(Y869="估算法",Y869="算法类",Y869="无法识别"),"",IF(Y869="",IF(OR(J869="ILF",J869="EIF",J869="EI",J869="EO",J869="EQ"),0,""),LEN(Y869)-LEN(SUBSTITUTE(SUBSTITUTE(SUBSTITUTE(SUBSTITUTE(SUBSTITUTE(Y869,"|}","--"),"{|","--"),CHAR(10),""),"、",""),"|",""))+IF(AND(OR(J869="EI",J869="EO",J869="EQ"),$AE$1="NESMA"),2,1)))</f>
        <v/>
      </c>
      <c r="P869" s="86">
        <f>IF(J869="EI",IF(OR(Y869="估算法",Y869="算法类"),"中",IF(Y869="无法识别","低",IF(M869&lt;2,IF(O869&lt;16,"低","中"),IF(M869&lt;3,IF(O869&lt;5,"低",IF(O869&lt;16,"中","高")),IF(O869&lt;5,"中","高"))))),IF(OR(J869="EO",J869="EQ"),IF(OR(Y869="估算法",Y869="算法类"),"中",IF(Y869="无法识别","低",IF(M869&lt;2,IF(O869&lt;20,"低","中"),IF(M869&lt;4,IF(O869&lt;6,"低",IF(O869&lt;20,"中","高")),IF(O869&lt;6,"中","高"))))),IF(OR(J869="ILF",J869="EIF"),IF(OR(Y869="估算法",Y869="算法类",Y869="无法识别"),"低",IF(N869&lt;2,IF(O869&lt;51,"低","中"),IF(N869&lt;6,IF(O869&lt;20,"低",IF(O869&lt;51,"中","高")),IF(O869&lt;20,"中","高")))),"不计算")))</f>
        <v/>
      </c>
      <c r="Q869" s="172">
        <f>IFERROR(IF(J869="EI",IF(P869="低",3,IF(P869="中",4,6)),IF(J869="EO",IF(P869="低",4,IF(P869="中",5,7)),IF(J869="EQ",IF(P869="低",3,IF(P869="中",4,6)),IF(J869="ILF",IF(P869="低",7,IF(P869="中",10,15)),IF(J869="EIF",IF(P869="低",5,IF(P869="中",7,10)),"不计算")))))*R869,"不计算")</f>
        <v/>
      </c>
      <c r="R869" s="172" t="n">
        <v>0.333333333333333</v>
      </c>
      <c r="S869" s="173">
        <f>调整因子!$F$13</f>
        <v/>
      </c>
      <c r="T869" s="93" t="n">
        <v>1</v>
      </c>
      <c r="U869" s="174">
        <f>IFERROR(Q869*S869,0)</f>
        <v/>
      </c>
      <c r="V869" s="174">
        <f>U869*T869</f>
        <v/>
      </c>
      <c r="W869" s="90" t="inlineStr">
        <is>
          <t>POC引擎规划、POC引擎规划历史记录表</t>
        </is>
      </c>
      <c r="X869" s="91" t="n"/>
      <c r="Y869" s="90" t="inlineStr">
        <is>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is>
      </c>
      <c r="Z869" s="90" t="n"/>
      <c r="AA869" s="90" t="n"/>
    </row>
    <row r="870" s="112">
      <c r="A870" s="72">
        <f>ROW()-1</f>
        <v/>
      </c>
      <c r="B870" s="175" t="n"/>
      <c r="C870" s="80" t="n">
        <v>2025</v>
      </c>
      <c r="D870" s="80" t="inlineStr">
        <is>
          <t>仲光华</t>
        </is>
      </c>
      <c r="E870" s="81">
        <f>VLOOKUP(I870,'25年交付功能（不含废弃）'!A:A,1,FALSE)</f>
        <v/>
      </c>
      <c r="F870" s="175" t="n"/>
      <c r="G870" s="175" t="n"/>
      <c r="H870" s="176" t="n"/>
      <c r="I870" s="81" t="inlineStr">
        <is>
          <t>POC 引擎规划表</t>
        </is>
      </c>
      <c r="J870" s="93" t="n"/>
      <c r="K870" s="84" t="n"/>
      <c r="L870" s="84" t="inlineStr">
        <is>
          <t>数据库表未被本系统所使用</t>
        </is>
      </c>
      <c r="M870" s="85">
        <f>IF(OR(Y870="估算法",Y870="算法类",Y870="无法识别"),"",IF(W870="",IF(OR(J870="EI",J870="EO",J870="EQ"),0,""),LEN(W870)-LEN(SUBSTITUTE(W870,"、",""))+1))</f>
        <v/>
      </c>
      <c r="N870" s="85">
        <f>IF(OR(Y870="估算法",Y870="算法类",Y870="无法识别"),"",IF(X870="",IF(OR(J870="ILF",J870="EIF"),0,""),LEN(X870)-LEN(SUBSTITUTE(X870,"、",""))+1))</f>
        <v/>
      </c>
      <c r="O870" s="85">
        <f>IF(OR(Y870="估算法",Y870="算法类",Y870="无法识别"),"",IF(Y870="",IF(OR(J870="ILF",J870="EIF",J870="EI",J870="EO",J870="EQ"),0,""),LEN(Y870)-LEN(SUBSTITUTE(SUBSTITUTE(SUBSTITUTE(SUBSTITUTE(SUBSTITUTE(Y870,"|}","--"),"{|","--"),CHAR(10),""),"、",""),"|",""))+IF(AND(OR(J870="EI",J870="EO",J870="EQ"),$AE$1="NESMA"),2,1)))</f>
        <v/>
      </c>
      <c r="P870" s="86">
        <f>IF(J870="EI",IF(OR(Y870="估算法",Y870="算法类"),"中",IF(Y870="无法识别","低",IF(M870&lt;2,IF(O870&lt;16,"低","中"),IF(M870&lt;3,IF(O870&lt;5,"低",IF(O870&lt;16,"中","高")),IF(O870&lt;5,"中","高"))))),IF(OR(J870="EO",J870="EQ"),IF(OR(Y870="估算法",Y870="算法类"),"中",IF(Y870="无法识别","低",IF(M870&lt;2,IF(O870&lt;20,"低","中"),IF(M870&lt;4,IF(O870&lt;6,"低",IF(O870&lt;20,"中","高")),IF(O870&lt;6,"中","高"))))),IF(OR(J870="ILF",J870="EIF"),IF(OR(Y870="估算法",Y870="算法类",Y870="无法识别"),"低",IF(N870&lt;2,IF(O870&lt;51,"低","中"),IF(N870&lt;6,IF(O870&lt;20,"低",IF(O870&lt;51,"中","高")),IF(O870&lt;20,"中","高")))),"不计算")))</f>
        <v/>
      </c>
      <c r="Q870" s="172">
        <f>IFERROR(IF(J870="EI",IF(P870="低",3,IF(P870="中",4,6)),IF(J870="EO",IF(P870="低",4,IF(P870="中",5,7)),IF(J870="EQ",IF(P870="低",3,IF(P870="中",4,6)),IF(J870="ILF",IF(P870="低",7,IF(P870="中",10,15)),IF(J870="EIF",IF(P870="低",5,IF(P870="中",7,10)),"不计算")))))*R870,"不计算")</f>
        <v/>
      </c>
      <c r="R870" s="172" t="n">
        <v>1</v>
      </c>
      <c r="S870" s="173">
        <f>调整因子!$F$13</f>
        <v/>
      </c>
      <c r="T870" s="92" t="n">
        <v>1</v>
      </c>
      <c r="U870" s="174">
        <f>IFERROR(Q870*S870,0)</f>
        <v/>
      </c>
      <c r="V870" s="174">
        <f>U870*T870</f>
        <v/>
      </c>
      <c r="W870" s="81" t="n"/>
      <c r="X870" s="90" t="inlineStr">
        <is>
          <t>POC引擎规划表</t>
        </is>
      </c>
      <c r="Y870" s="90" t="inlineStr">
        <is>
          <t>POC 引擎规划{ID、POC扫描器ID、POC名称、漏洞类型、风险等级、影响系统、CVE编号、CNVD编号、CNNVD编号、POC代码路径、验证方式、依赖环境、作者、创建时间、更新时间、是否公开、状态、备注}</t>
        </is>
      </c>
      <c r="Z870" s="90">
        <f>IF(COUNTIFS(W:W,"*"&amp;I870&amp;"*")&gt;0,"存在","不存在")</f>
        <v/>
      </c>
      <c r="AA870" s="90">
        <f>IF(COUNTIFS(AB:AB,"*"&amp;I870&amp;"*")&gt;0,"存在","不存在")</f>
        <v/>
      </c>
    </row>
    <row r="871" s="112">
      <c r="A871" s="72">
        <f>ROW()-1</f>
        <v/>
      </c>
      <c r="B871" s="175" t="n"/>
      <c r="C871" s="80" t="n">
        <v>2025</v>
      </c>
      <c r="D871" s="80" t="inlineStr">
        <is>
          <t>仲光华</t>
        </is>
      </c>
      <c r="E871" s="81">
        <f>VLOOKUP(I871,'25年交付功能（不含废弃）'!A:A,1,FALSE)</f>
        <v/>
      </c>
      <c r="F871" s="175" t="n"/>
      <c r="G871" s="175" t="n"/>
      <c r="H871" s="82" t="inlineStr">
        <is>
          <t>等效防护设备规划</t>
        </is>
      </c>
      <c r="I871" s="81" t="inlineStr">
        <is>
          <t>查询等效防护设备列表</t>
        </is>
      </c>
      <c r="J871" s="93" t="inlineStr">
        <is>
          <t>EQ</t>
        </is>
      </c>
      <c r="K871" s="84" t="n"/>
      <c r="L871" s="84" t="n"/>
      <c r="M871" s="85">
        <f>IF(OR(Y871="估算法",Y871="算法类",Y871="无法识别"),"",IF(W871="",IF(OR(J871="EI",J871="EO",J871="EQ"),0,""),LEN(W871)-LEN(SUBSTITUTE(W871,"、",""))+1))</f>
        <v/>
      </c>
      <c r="N871" s="85">
        <f>IF(OR(Y871="估算法",Y871="算法类",Y871="无法识别"),"",IF(X871="",IF(OR(J871="ILF",J871="EIF"),0,""),LEN(X871)-LEN(SUBSTITUTE(X871,"、",""))+1))</f>
        <v/>
      </c>
      <c r="O871" s="85">
        <f>IF(OR(Y871="估算法",Y871="算法类",Y871="无法识别"),"",IF(Y871="",IF(OR(J871="ILF",J871="EIF",J871="EI",J871="EO",J871="EQ"),0,""),LEN(Y871)-LEN(SUBSTITUTE(SUBSTITUTE(SUBSTITUTE(SUBSTITUTE(SUBSTITUTE(Y871,"|}","--"),"{|","--"),CHAR(10),""),"、",""),"|",""))+IF(AND(OR(J871="EI",J871="EO",J871="EQ"),$AE$1="NESMA"),2,1)))</f>
        <v/>
      </c>
      <c r="P871" s="86">
        <f>IF(J871="EI",IF(OR(Y871="估算法",Y871="算法类"),"中",IF(Y871="无法识别","低",IF(M871&lt;2,IF(O871&lt;16,"低","中"),IF(M871&lt;3,IF(O871&lt;5,"低",IF(O871&lt;16,"中","高")),IF(O871&lt;5,"中","高"))))),IF(OR(J871="EO",J871="EQ"),IF(OR(Y871="估算法",Y871="算法类"),"中",IF(Y871="无法识别","低",IF(M871&lt;2,IF(O871&lt;20,"低","中"),IF(M871&lt;4,IF(O871&lt;6,"低",IF(O871&lt;20,"中","高")),IF(O871&lt;6,"中","高"))))),IF(OR(J871="ILF",J871="EIF"),IF(OR(Y871="估算法",Y871="算法类",Y871="无法识别"),"低",IF(N871&lt;2,IF(O871&lt;51,"低","中"),IF(N871&lt;6,IF(O871&lt;20,"低",IF(O871&lt;51,"中","高")),IF(O871&lt;20,"中","高")))),"不计算")))</f>
        <v/>
      </c>
      <c r="Q871" s="172">
        <f>IFERROR(IF(J871="EI",IF(P871="低",3,IF(P871="中",4,6)),IF(J871="EO",IF(P871="低",4,IF(P871="中",5,7)),IF(J871="EQ",IF(P871="低",3,IF(P871="中",4,6)),IF(J871="ILF",IF(P871="低",7,IF(P871="中",10,15)),IF(J871="EIF",IF(P871="低",5,IF(P871="中",7,10)),"不计算")))))*R871,"不计算")</f>
        <v/>
      </c>
      <c r="R871" s="172" t="n">
        <v>1</v>
      </c>
      <c r="S871" s="173">
        <f>调整因子!$F$13</f>
        <v/>
      </c>
      <c r="T871" s="92" t="n">
        <v>1</v>
      </c>
      <c r="U871" s="174">
        <f>IFERROR(Q871*S871,0)</f>
        <v/>
      </c>
      <c r="V871" s="174">
        <f>U871*T871</f>
        <v/>
      </c>
      <c r="W871" s="90" t="inlineStr">
        <is>
          <t>等效防护设备规划、扫描节点表、扫描器表、扫描器版本表、扫描器分类表、安全厂商信息、资产管理表、等效防护设备规划历史记录表</t>
        </is>
      </c>
      <c r="X871" s="91" t="n"/>
      <c r="Y871"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1" s="90" t="n"/>
      <c r="AA871" s="90" t="n"/>
    </row>
    <row r="872" s="112">
      <c r="A872" s="72">
        <f>ROW()-1</f>
        <v/>
      </c>
      <c r="B872" s="175" t="n"/>
      <c r="C872" s="80" t="n">
        <v>2025</v>
      </c>
      <c r="D872" s="80" t="inlineStr">
        <is>
          <t>仲光华</t>
        </is>
      </c>
      <c r="E872" s="81">
        <f>VLOOKUP(I872,'25年交付功能（不含废弃）'!A:A,1,FALSE)</f>
        <v/>
      </c>
      <c r="F872" s="175" t="n"/>
      <c r="G872" s="175" t="n"/>
      <c r="H872" s="175" t="n"/>
      <c r="I872" s="81" t="inlineStr">
        <is>
          <t>查询规划列表</t>
        </is>
      </c>
      <c r="J872" s="93" t="n"/>
      <c r="K872" s="84" t="n"/>
      <c r="L872" s="84" t="inlineStr">
        <is>
          <t>和上行合并，输入输出字段完全一致</t>
        </is>
      </c>
      <c r="M872" s="85">
        <f>IF(OR(Y872="估算法",Y872="算法类",Y872="无法识别"),"",IF(W872="",IF(OR(J872="EI",J872="EO",J872="EQ"),0,""),LEN(W872)-LEN(SUBSTITUTE(W872,"、",""))+1))</f>
        <v/>
      </c>
      <c r="N872" s="85">
        <f>IF(OR(Y872="估算法",Y872="算法类",Y872="无法识别"),"",IF(X872="",IF(OR(J872="ILF",J872="EIF"),0,""),LEN(X872)-LEN(SUBSTITUTE(X872,"、",""))+1))</f>
        <v/>
      </c>
      <c r="O872" s="85">
        <f>IF(OR(Y872="估算法",Y872="算法类",Y872="无法识别"),"",IF(Y872="",IF(OR(J872="ILF",J872="EIF",J872="EI",J872="EO",J872="EQ"),0,""),LEN(Y872)-LEN(SUBSTITUTE(SUBSTITUTE(SUBSTITUTE(SUBSTITUTE(SUBSTITUTE(Y872,"|}","--"),"{|","--"),CHAR(10),""),"、",""),"|",""))+IF(AND(OR(J872="EI",J872="EO",J872="EQ"),$AE$1="NESMA"),2,1)))</f>
        <v/>
      </c>
      <c r="P872" s="86">
        <f>IF(J872="EI",IF(OR(Y872="估算法",Y872="算法类"),"中",IF(Y872="无法识别","低",IF(M872&lt;2,IF(O872&lt;16,"低","中"),IF(M872&lt;3,IF(O872&lt;5,"低",IF(O872&lt;16,"中","高")),IF(O872&lt;5,"中","高"))))),IF(OR(J872="EO",J872="EQ"),IF(OR(Y872="估算法",Y872="算法类"),"中",IF(Y872="无法识别","低",IF(M872&lt;2,IF(O872&lt;20,"低","中"),IF(M872&lt;4,IF(O872&lt;6,"低",IF(O872&lt;20,"中","高")),IF(O872&lt;6,"中","高"))))),IF(OR(J872="ILF",J872="EIF"),IF(OR(Y872="估算法",Y872="算法类",Y872="无法识别"),"低",IF(N872&lt;2,IF(O872&lt;51,"低","中"),IF(N872&lt;6,IF(O872&lt;20,"低",IF(O872&lt;51,"中","高")),IF(O872&lt;20,"中","高")))),"不计算")))</f>
        <v/>
      </c>
      <c r="Q872" s="172">
        <f>IFERROR(IF(J872="EI",IF(P872="低",3,IF(P872="中",4,6)),IF(J872="EO",IF(P872="低",4,IF(P872="中",5,7)),IF(J872="EQ",IF(P872="低",3,IF(P872="中",4,6)),IF(J872="ILF",IF(P872="低",7,IF(P872="中",10,15)),IF(J872="EIF",IF(P872="低",5,IF(P872="中",7,10)),"不计算")))))*R872,"不计算")</f>
        <v/>
      </c>
      <c r="R872" s="172" t="n">
        <v>1</v>
      </c>
      <c r="S872" s="173">
        <f>调整因子!$F$13</f>
        <v/>
      </c>
      <c r="T872" s="93" t="n">
        <v>1</v>
      </c>
      <c r="U872" s="174">
        <f>IFERROR(Q872*S872,0)</f>
        <v/>
      </c>
      <c r="V872" s="174">
        <f>U872*T872</f>
        <v/>
      </c>
      <c r="W872" s="90" t="inlineStr">
        <is>
          <t>等效防护设备规划、扫描节点表、扫描器表、扫描器版本表、扫描器分类表、安全厂商信息、资产管理表、等效防护设备规划历史记录表</t>
        </is>
      </c>
      <c r="X872" s="91" t="n"/>
      <c r="Y872"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2" s="90" t="n"/>
      <c r="AA872" s="90" t="n"/>
    </row>
    <row r="873" s="112">
      <c r="A873" s="72">
        <f>ROW()-1</f>
        <v/>
      </c>
      <c r="B873" s="175" t="n"/>
      <c r="C873" s="80" t="n">
        <v>2025</v>
      </c>
      <c r="D873" s="80" t="inlineStr">
        <is>
          <t>仲光华</t>
        </is>
      </c>
      <c r="E873" s="81">
        <f>VLOOKUP(I873,'25年交付功能（不含废弃）'!A:A,1,FALSE)</f>
        <v/>
      </c>
      <c r="F873" s="175" t="n"/>
      <c r="G873" s="175" t="n"/>
      <c r="H873" s="175" t="n"/>
      <c r="I873" s="81" t="inlineStr">
        <is>
          <t>新增等效防护设备规划</t>
        </is>
      </c>
      <c r="J873" s="93" t="inlineStr">
        <is>
          <t>EI</t>
        </is>
      </c>
      <c r="K873" s="84" t="n"/>
      <c r="L873" s="84" t="n"/>
      <c r="M873" s="85">
        <f>IF(OR(Y873="估算法",Y873="算法类",Y873="无法识别"),"",IF(W873="",IF(OR(J873="EI",J873="EO",J873="EQ"),0,""),LEN(W873)-LEN(SUBSTITUTE(W873,"、",""))+1))</f>
        <v/>
      </c>
      <c r="N873" s="85">
        <f>IF(OR(Y873="估算法",Y873="算法类",Y873="无法识别"),"",IF(X873="",IF(OR(J873="ILF",J873="EIF"),0,""),LEN(X873)-LEN(SUBSTITUTE(X873,"、",""))+1))</f>
        <v/>
      </c>
      <c r="O873" s="85">
        <f>IF(OR(Y873="估算法",Y873="算法类",Y873="无法识别"),"",IF(Y873="",IF(OR(J873="ILF",J873="EIF",J873="EI",J873="EO",J873="EQ"),0,""),LEN(Y873)-LEN(SUBSTITUTE(SUBSTITUTE(SUBSTITUTE(SUBSTITUTE(SUBSTITUTE(Y873,"|}","--"),"{|","--"),CHAR(10),""),"、",""),"|",""))+IF(AND(OR(J873="EI",J873="EO",J873="EQ"),$AE$1="NESMA"),2,1)))</f>
        <v/>
      </c>
      <c r="P873" s="86">
        <f>IF(J873="EI",IF(OR(Y873="估算法",Y873="算法类"),"中",IF(Y873="无法识别","低",IF(M873&lt;2,IF(O873&lt;16,"低","中"),IF(M873&lt;3,IF(O873&lt;5,"低",IF(O873&lt;16,"中","高")),IF(O873&lt;5,"中","高"))))),IF(OR(J873="EO",J873="EQ"),IF(OR(Y873="估算法",Y873="算法类"),"中",IF(Y873="无法识别","低",IF(M873&lt;2,IF(O873&lt;20,"低","中"),IF(M873&lt;4,IF(O873&lt;6,"低",IF(O873&lt;20,"中","高")),IF(O873&lt;6,"中","高"))))),IF(OR(J873="ILF",J873="EIF"),IF(OR(Y873="估算法",Y873="算法类",Y873="无法识别"),"低",IF(N873&lt;2,IF(O873&lt;51,"低","中"),IF(N873&lt;6,IF(O873&lt;20,"低",IF(O873&lt;51,"中","高")),IF(O873&lt;20,"中","高")))),"不计算")))</f>
        <v/>
      </c>
      <c r="Q873" s="172">
        <f>IFERROR(IF(J873="EI",IF(P873="低",3,IF(P873="中",4,6)),IF(J873="EO",IF(P873="低",4,IF(P873="中",5,7)),IF(J873="EQ",IF(P873="低",3,IF(P873="中",4,6)),IF(J873="ILF",IF(P873="低",7,IF(P873="中",10,15)),IF(J873="EIF",IF(P873="低",5,IF(P873="中",7,10)),"不计算")))))*R873,"不计算")</f>
        <v/>
      </c>
      <c r="R873" s="172" t="n">
        <v>1</v>
      </c>
      <c r="S873" s="173">
        <f>调整因子!$F$13</f>
        <v/>
      </c>
      <c r="T873" s="93" t="n">
        <v>1</v>
      </c>
      <c r="U873" s="174">
        <f>IFERROR(Q873*S873,0)</f>
        <v/>
      </c>
      <c r="V873" s="174">
        <f>U873*T873</f>
        <v/>
      </c>
      <c r="W873" s="90" t="inlineStr">
        <is>
          <t>等效防护设备规划、扫描节点表、扫描器表、扫描器版本表、扫描器分类表、安全厂商信息、资产管理表、等效防护设备规划历史记录表</t>
        </is>
      </c>
      <c r="X873" s="91" t="n"/>
      <c r="Y873"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3" s="90" t="n"/>
      <c r="AA873" s="90" t="n"/>
    </row>
    <row r="874" s="112">
      <c r="A874" s="72">
        <f>ROW()-1</f>
        <v/>
      </c>
      <c r="B874" s="175" t="n"/>
      <c r="C874" s="80" t="n">
        <v>2025</v>
      </c>
      <c r="D874" s="80" t="inlineStr">
        <is>
          <t>仲光华</t>
        </is>
      </c>
      <c r="E874" s="81">
        <f>VLOOKUP(I874,'25年交付功能（不含废弃）'!A:A,1,FALSE)</f>
        <v/>
      </c>
      <c r="F874" s="175" t="n"/>
      <c r="G874" s="175" t="n"/>
      <c r="H874" s="175" t="n"/>
      <c r="I874" s="81" t="inlineStr">
        <is>
          <t>修改等效防护设备规划</t>
        </is>
      </c>
      <c r="J874" s="93" t="inlineStr">
        <is>
          <t>EI</t>
        </is>
      </c>
      <c r="K874" s="84" t="n"/>
      <c r="L874" s="84" t="n"/>
      <c r="M874" s="85">
        <f>IF(OR(Y874="估算法",Y874="算法类",Y874="无法识别"),"",IF(W874="",IF(OR(J874="EI",J874="EO",J874="EQ"),0,""),LEN(W874)-LEN(SUBSTITUTE(W874,"、",""))+1))</f>
        <v/>
      </c>
      <c r="N874" s="85">
        <f>IF(OR(Y874="估算法",Y874="算法类",Y874="无法识别"),"",IF(X874="",IF(OR(J874="ILF",J874="EIF"),0,""),LEN(X874)-LEN(SUBSTITUTE(X874,"、",""))+1))</f>
        <v/>
      </c>
      <c r="O874" s="85">
        <f>IF(OR(Y874="估算法",Y874="算法类",Y874="无法识别"),"",IF(Y874="",IF(OR(J874="ILF",J874="EIF",J874="EI",J874="EO",J874="EQ"),0,""),LEN(Y874)-LEN(SUBSTITUTE(SUBSTITUTE(SUBSTITUTE(SUBSTITUTE(SUBSTITUTE(Y874,"|}","--"),"{|","--"),CHAR(10),""),"、",""),"|",""))+IF(AND(OR(J874="EI",J874="EO",J874="EQ"),$AE$1="NESMA"),2,1)))</f>
        <v/>
      </c>
      <c r="P874" s="86">
        <f>IF(J874="EI",IF(OR(Y874="估算法",Y874="算法类"),"中",IF(Y874="无法识别","低",IF(M874&lt;2,IF(O874&lt;16,"低","中"),IF(M874&lt;3,IF(O874&lt;5,"低",IF(O874&lt;16,"中","高")),IF(O874&lt;5,"中","高"))))),IF(OR(J874="EO",J874="EQ"),IF(OR(Y874="估算法",Y874="算法类"),"中",IF(Y874="无法识别","低",IF(M874&lt;2,IF(O874&lt;20,"低","中"),IF(M874&lt;4,IF(O874&lt;6,"低",IF(O874&lt;20,"中","高")),IF(O874&lt;6,"中","高"))))),IF(OR(J874="ILF",J874="EIF"),IF(OR(Y874="估算法",Y874="算法类",Y874="无法识别"),"低",IF(N874&lt;2,IF(O874&lt;51,"低","中"),IF(N874&lt;6,IF(O874&lt;20,"低",IF(O874&lt;51,"中","高")),IF(O874&lt;20,"中","高")))),"不计算")))</f>
        <v/>
      </c>
      <c r="Q874" s="172">
        <f>IFERROR(IF(J874="EI",IF(P874="低",3,IF(P874="中",4,6)),IF(J874="EO",IF(P874="低",4,IF(P874="中",5,7)),IF(J874="EQ",IF(P874="低",3,IF(P874="中",4,6)),IF(J874="ILF",IF(P874="低",7,IF(P874="中",10,15)),IF(J874="EIF",IF(P874="低",5,IF(P874="中",7,10)),"不计算")))))*R874,"不计算")</f>
        <v/>
      </c>
      <c r="R874" s="172" t="n">
        <v>0.333333333333333</v>
      </c>
      <c r="S874" s="173">
        <f>调整因子!$F$13</f>
        <v/>
      </c>
      <c r="T874" s="92" t="n">
        <v>1</v>
      </c>
      <c r="U874" s="174">
        <f>IFERROR(Q874*S874,0)</f>
        <v/>
      </c>
      <c r="V874" s="174">
        <f>U874*T874</f>
        <v/>
      </c>
      <c r="W874" s="90" t="inlineStr">
        <is>
          <t>等效防护设备规划、扫描节点表、扫描器表、扫描器版本表、扫描器分类表、安全厂商信息、资产管理表、等效防护设备规划历史记录表</t>
        </is>
      </c>
      <c r="X874" s="91" t="n"/>
      <c r="Y874" s="90" t="inlineStr">
        <is>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is>
      </c>
      <c r="Z874" s="90" t="n"/>
      <c r="AA874" s="90" t="n"/>
    </row>
    <row r="875" s="112">
      <c r="A875" s="72">
        <f>ROW()-1</f>
        <v/>
      </c>
      <c r="B875" s="175" t="n"/>
      <c r="C875" s="80" t="n">
        <v>2025</v>
      </c>
      <c r="D875" s="80" t="inlineStr">
        <is>
          <t>仲光华</t>
        </is>
      </c>
      <c r="E875" s="81">
        <f>VLOOKUP(I875,'25年交付功能（不含废弃）'!A:A,1,FALSE)</f>
        <v/>
      </c>
      <c r="F875" s="175" t="n"/>
      <c r="G875" s="175" t="n"/>
      <c r="H875" s="175" t="n"/>
      <c r="I875" s="81" t="inlineStr">
        <is>
          <t>删除等效防护设备规划</t>
        </is>
      </c>
      <c r="J875" s="93" t="inlineStr">
        <is>
          <t>EI</t>
        </is>
      </c>
      <c r="K875" s="84" t="n"/>
      <c r="L875" s="84" t="n"/>
      <c r="M875" s="85">
        <f>IF(OR(Y875="估算法",Y875="算法类",Y875="无法识别"),"",IF(W875="",IF(OR(J875="EI",J875="EO",J875="EQ"),0,""),LEN(W875)-LEN(SUBSTITUTE(W875,"、",""))+1))</f>
        <v/>
      </c>
      <c r="N875" s="85">
        <f>IF(OR(Y875="估算法",Y875="算法类",Y875="无法识别"),"",IF(X875="",IF(OR(J875="ILF",J875="EIF"),0,""),LEN(X875)-LEN(SUBSTITUTE(X875,"、",""))+1))</f>
        <v/>
      </c>
      <c r="O875" s="85">
        <f>IF(OR(Y875="估算法",Y875="算法类",Y875="无法识别"),"",IF(Y875="",IF(OR(J875="ILF",J875="EIF",J875="EI",J875="EO",J875="EQ"),0,""),LEN(Y875)-LEN(SUBSTITUTE(SUBSTITUTE(SUBSTITUTE(SUBSTITUTE(SUBSTITUTE(Y875,"|}","--"),"{|","--"),CHAR(10),""),"、",""),"|",""))+IF(AND(OR(J875="EI",J875="EO",J875="EQ"),$AE$1="NESMA"),2,1)))</f>
        <v/>
      </c>
      <c r="P875" s="86">
        <f>IF(J875="EI",IF(OR(Y875="估算法",Y875="算法类"),"中",IF(Y875="无法识别","低",IF(M875&lt;2,IF(O875&lt;16,"低","中"),IF(M875&lt;3,IF(O875&lt;5,"低",IF(O875&lt;16,"中","高")),IF(O875&lt;5,"中","高"))))),IF(OR(J875="EO",J875="EQ"),IF(OR(Y875="估算法",Y875="算法类"),"中",IF(Y875="无法识别","低",IF(M875&lt;2,IF(O875&lt;20,"低","中"),IF(M875&lt;4,IF(O875&lt;6,"低",IF(O875&lt;20,"中","高")),IF(O875&lt;6,"中","高"))))),IF(OR(J875="ILF",J875="EIF"),IF(OR(Y875="估算法",Y875="算法类",Y875="无法识别"),"低",IF(N875&lt;2,IF(O875&lt;51,"低","中"),IF(N875&lt;6,IF(O875&lt;20,"低",IF(O875&lt;51,"中","高")),IF(O875&lt;20,"中","高")))),"不计算")))</f>
        <v/>
      </c>
      <c r="Q875" s="172">
        <f>IFERROR(IF(J875="EI",IF(P875="低",3,IF(P875="中",4,6)),IF(J875="EO",IF(P875="低",4,IF(P875="中",5,7)),IF(J875="EQ",IF(P875="低",3,IF(P875="中",4,6)),IF(J875="ILF",IF(P875="低",7,IF(P875="中",10,15)),IF(J875="EIF",IF(P875="低",5,IF(P875="中",7,10)),"不计算")))))*R875,"不计算")</f>
        <v/>
      </c>
      <c r="R875" s="172" t="n">
        <v>0.333333333333333</v>
      </c>
      <c r="S875" s="173">
        <f>调整因子!$F$13</f>
        <v/>
      </c>
      <c r="T875" s="92" t="n">
        <v>1</v>
      </c>
      <c r="U875" s="174">
        <f>IFERROR(Q875*S875,0)</f>
        <v/>
      </c>
      <c r="V875" s="174">
        <f>U875*T875</f>
        <v/>
      </c>
      <c r="W875" s="90" t="inlineStr">
        <is>
          <t>等效防护设备规划、等效防护设备规划历史记录表</t>
        </is>
      </c>
      <c r="X875" s="91" t="n"/>
      <c r="Y875" s="90"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Z875" s="90" t="n"/>
      <c r="AA875" s="90" t="n"/>
    </row>
    <row r="876" s="112">
      <c r="A876" s="72">
        <f>ROW()-1</f>
        <v/>
      </c>
      <c r="B876" s="175" t="n"/>
      <c r="C876" s="80" t="n">
        <v>2025</v>
      </c>
      <c r="D876" s="80" t="inlineStr">
        <is>
          <t>仲光华</t>
        </is>
      </c>
      <c r="E876" s="81">
        <f>VLOOKUP(I876,'25年交付功能（不含废弃）'!A:A,1,FALSE)</f>
        <v/>
      </c>
      <c r="F876" s="175" t="n"/>
      <c r="G876" s="175" t="n"/>
      <c r="H876" s="175" t="n"/>
      <c r="I876" s="81" t="inlineStr">
        <is>
          <t>批量删除规划</t>
        </is>
      </c>
      <c r="J876" s="93" t="inlineStr">
        <is>
          <t>EI</t>
        </is>
      </c>
      <c r="K876" s="84" t="n"/>
      <c r="L876" s="84" t="inlineStr">
        <is>
          <t>批量操作</t>
        </is>
      </c>
      <c r="M876" s="85">
        <f>IF(OR(Y876="估算法",Y876="算法类",Y876="无法识别"),"",IF(W876="",IF(OR(J876="EI",J876="EO",J876="EQ"),0,""),LEN(W876)-LEN(SUBSTITUTE(W876,"、",""))+1))</f>
        <v/>
      </c>
      <c r="N876" s="85">
        <f>IF(OR(Y876="估算法",Y876="算法类",Y876="无法识别"),"",IF(X876="",IF(OR(J876="ILF",J876="EIF"),0,""),LEN(X876)-LEN(SUBSTITUTE(X876,"、",""))+1))</f>
        <v/>
      </c>
      <c r="O876" s="85">
        <f>IF(OR(Y876="估算法",Y876="算法类",Y876="无法识别"),"",IF(Y876="",IF(OR(J876="ILF",J876="EIF",J876="EI",J876="EO",J876="EQ"),0,""),LEN(Y876)-LEN(SUBSTITUTE(SUBSTITUTE(SUBSTITUTE(SUBSTITUTE(SUBSTITUTE(Y876,"|}","--"),"{|","--"),CHAR(10),""),"、",""),"|",""))+IF(AND(OR(J876="EI",J876="EO",J876="EQ"),$AE$1="NESMA"),2,1)))</f>
        <v/>
      </c>
      <c r="P876" s="86">
        <f>IF(J876="EI",IF(OR(Y876="估算法",Y876="算法类"),"中",IF(Y876="无法识别","低",IF(M876&lt;2,IF(O876&lt;16,"低","中"),IF(M876&lt;3,IF(O876&lt;5,"低",IF(O876&lt;16,"中","高")),IF(O876&lt;5,"中","高"))))),IF(OR(J876="EO",J876="EQ"),IF(OR(Y876="估算法",Y876="算法类"),"中",IF(Y876="无法识别","低",IF(M876&lt;2,IF(O876&lt;20,"低","中"),IF(M876&lt;4,IF(O876&lt;6,"低",IF(O876&lt;20,"中","高")),IF(O876&lt;6,"中","高"))))),IF(OR(J876="ILF",J876="EIF"),IF(OR(Y876="估算法",Y876="算法类",Y876="无法识别"),"低",IF(N876&lt;2,IF(O876&lt;51,"低","中"),IF(N876&lt;6,IF(O876&lt;20,"低",IF(O876&lt;51,"中","高")),IF(O876&lt;20,"中","高")))),"不计算")))</f>
        <v/>
      </c>
      <c r="Q876" s="172">
        <f>IFERROR(IF(J876="EI",IF(P876="低",3,IF(P876="中",4,6)),IF(J876="EO",IF(P876="低",4,IF(P876="中",5,7)),IF(J876="EQ",IF(P876="低",3,IF(P876="中",4,6)),IF(J876="ILF",IF(P876="低",7,IF(P876="中",10,15)),IF(J876="EIF",IF(P876="低",5,IF(P876="中",7,10)),"不计算")))))*R876,"不计算")</f>
        <v/>
      </c>
      <c r="R876" s="172" t="n">
        <v>0.333333333333333</v>
      </c>
      <c r="S876" s="173">
        <f>调整因子!$F$13</f>
        <v/>
      </c>
      <c r="T876" s="93" t="n">
        <v>1</v>
      </c>
      <c r="U876" s="174">
        <f>IFERROR(Q876*S876,0)</f>
        <v/>
      </c>
      <c r="V876" s="174">
        <f>U876*T876</f>
        <v/>
      </c>
      <c r="W876" s="90" t="inlineStr">
        <is>
          <t>等效防护设备规划、等效防护设备规划历史记录表</t>
        </is>
      </c>
      <c r="X876" s="91" t="n"/>
      <c r="Y876" s="90" t="inlineStr">
        <is>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is>
      </c>
      <c r="Z876" s="90" t="n"/>
      <c r="AA876" s="90" t="n"/>
    </row>
    <row r="877" s="112">
      <c r="A877" s="72">
        <f>ROW()-1</f>
        <v/>
      </c>
      <c r="B877" s="175" t="n"/>
      <c r="C877" s="80" t="n">
        <v>2025</v>
      </c>
      <c r="D877" s="80" t="inlineStr">
        <is>
          <t>仲光华</t>
        </is>
      </c>
      <c r="E877" s="81">
        <f>VLOOKUP(I877,'25年交付功能（不含废弃）'!A:A,1,FALSE)</f>
        <v/>
      </c>
      <c r="F877" s="176" t="n"/>
      <c r="G877" s="176" t="n"/>
      <c r="H877" s="176" t="n"/>
      <c r="I877" s="98" t="inlineStr">
        <is>
          <t>等效防护设备规划表</t>
        </is>
      </c>
      <c r="J877" s="93" t="n"/>
      <c r="K877" s="84" t="n"/>
      <c r="L877" s="84" t="inlineStr">
        <is>
          <t>数据库表未被本系统所使用</t>
        </is>
      </c>
      <c r="M877" s="85">
        <f>IF(OR(Y877="估算法",Y877="算法类",Y877="无法识别"),"",IF(W877="",IF(OR(J877="EI",J877="EO",J877="EQ"),0,""),LEN(W877)-LEN(SUBSTITUTE(W877,"、",""))+1))</f>
        <v/>
      </c>
      <c r="N877" s="85">
        <f>IF(OR(Y877="估算法",Y877="算法类",Y877="无法识别"),"",IF(X877="",IF(OR(J877="ILF",J877="EIF"),0,""),LEN(X877)-LEN(SUBSTITUTE(X877,"、",""))+1))</f>
        <v/>
      </c>
      <c r="O877" s="85">
        <f>IF(OR(Y877="估算法",Y877="算法类",Y877="无法识别"),"",IF(Y877="",IF(OR(J877="ILF",J877="EIF",J877="EI",J877="EO",J877="EQ"),0,""),LEN(Y877)-LEN(SUBSTITUTE(SUBSTITUTE(SUBSTITUTE(SUBSTITUTE(SUBSTITUTE(Y877,"|}","--"),"{|","--"),CHAR(10),""),"、",""),"|",""))+IF(AND(OR(J877="EI",J877="EO",J877="EQ"),$AE$1="NESMA"),2,1)))</f>
        <v/>
      </c>
      <c r="P877" s="86">
        <f>IF(J877="EI",IF(OR(Y877="估算法",Y877="算法类"),"中",IF(Y877="无法识别","低",IF(M877&lt;2,IF(O877&lt;16,"低","中"),IF(M877&lt;3,IF(O877&lt;5,"低",IF(O877&lt;16,"中","高")),IF(O877&lt;5,"中","高"))))),IF(OR(J877="EO",J877="EQ"),IF(OR(Y877="估算法",Y877="算法类"),"中",IF(Y877="无法识别","低",IF(M877&lt;2,IF(O877&lt;20,"低","中"),IF(M877&lt;4,IF(O877&lt;6,"低",IF(O877&lt;20,"中","高")),IF(O877&lt;6,"中","高"))))),IF(OR(J877="ILF",J877="EIF"),IF(OR(Y877="估算法",Y877="算法类",Y877="无法识别"),"低",IF(N877&lt;2,IF(O877&lt;51,"低","中"),IF(N877&lt;6,IF(O877&lt;20,"低",IF(O877&lt;51,"中","高")),IF(O877&lt;20,"中","高")))),"不计算")))</f>
        <v/>
      </c>
      <c r="Q877" s="172">
        <f>IFERROR(IF(J877="EI",IF(P877="低",3,IF(P877="中",4,6)),IF(J877="EO",IF(P877="低",4,IF(P877="中",5,7)),IF(J877="EQ",IF(P877="低",3,IF(P877="中",4,6)),IF(J877="ILF",IF(P877="低",7,IF(P877="中",10,15)),IF(J877="EIF",IF(P877="低",5,IF(P877="中",7,10)),"不计算")))))*R877,"不计算")</f>
        <v/>
      </c>
      <c r="R877" s="172" t="n">
        <v>1</v>
      </c>
      <c r="S877" s="173">
        <f>调整因子!$F$13</f>
        <v/>
      </c>
      <c r="T877" s="92" t="n">
        <v>1</v>
      </c>
      <c r="U877" s="174">
        <f>IFERROR(Q877*S877,0)</f>
        <v/>
      </c>
      <c r="V877" s="174">
        <f>U877*T877</f>
        <v/>
      </c>
      <c r="W877" s="98" t="n"/>
      <c r="X877" s="90" t="inlineStr">
        <is>
          <t>等效防护设备规划表</t>
        </is>
      </c>
      <c r="Y877" s="90" t="inlineStr">
        <is>
          <t>等效防护设备规划{ID、设备编号、设备名称、设备类型、防护类别）、厂商、型号、IP地址、MAC地址、策略数量、规则库版本、更新时间、防护范围（内网/外网）、所属部门、责任人、启用状态、备注}</t>
        </is>
      </c>
      <c r="Z877" s="90">
        <f>IF(COUNTIFS(W:W,"*"&amp;I877&amp;"*")&gt;0,"存在","不存在")</f>
        <v/>
      </c>
      <c r="AA877" s="90">
        <f>IF(COUNTIFS(AB:AB,"*"&amp;I877&amp;"*")&gt;0,"存在","不存在")</f>
        <v/>
      </c>
    </row>
    <row r="878" s="112">
      <c r="A878" s="72">
        <f>ROW()-1</f>
        <v/>
      </c>
      <c r="B878" s="175" t="n"/>
      <c r="C878" s="80" t="n">
        <v>2025</v>
      </c>
      <c r="D878" s="80" t="inlineStr">
        <is>
          <t>蔡云飞</t>
        </is>
      </c>
      <c r="E878" s="81">
        <f>VLOOKUP(I878,'25年交付功能（不含废弃）'!A:A,1,FALSE)</f>
        <v/>
      </c>
      <c r="F878" s="92" t="inlineStr">
        <is>
          <t>跨级任务实时监控</t>
        </is>
      </c>
      <c r="G878" s="82" t="inlineStr">
        <is>
          <t>工单自动化执行</t>
        </is>
      </c>
      <c r="H878" s="82" t="inlineStr">
        <is>
          <t>任务自动化分配</t>
        </is>
      </c>
      <c r="I878" s="81" t="inlineStr">
        <is>
          <t>任务分配策略新增</t>
        </is>
      </c>
      <c r="J878" s="93" t="inlineStr">
        <is>
          <t>EI</t>
        </is>
      </c>
      <c r="K878" s="84" t="n"/>
      <c r="L878" s="84" t="n"/>
      <c r="M878" s="85">
        <f>IF(OR(Y878="估算法",Y878="算法类",Y878="无法识别"),"",IF(W878="",IF(OR(J878="EI",J878="EO",J878="EQ"),0,""),LEN(W878)-LEN(SUBSTITUTE(W878,"、",""))+1))</f>
        <v/>
      </c>
      <c r="N878" s="85">
        <f>IF(OR(Y878="估算法",Y878="算法类",Y878="无法识别"),"",IF(X878="",IF(OR(J878="ILF",J878="EIF"),0,""),LEN(X878)-LEN(SUBSTITUTE(X878,"、",""))+1))</f>
        <v/>
      </c>
      <c r="O878" s="85">
        <f>IF(OR(Y878="估算法",Y878="算法类",Y878="无法识别"),"",IF(Y878="",IF(OR(J878="ILF",J878="EIF",J878="EI",J878="EO",J878="EQ"),0,""),LEN(Y878)-LEN(SUBSTITUTE(SUBSTITUTE(SUBSTITUTE(SUBSTITUTE(SUBSTITUTE(Y878,"|}","--"),"{|","--"),CHAR(10),""),"、",""),"|",""))+IF(AND(OR(J878="EI",J878="EO",J878="EQ"),$AE$1="NESMA"),2,1)))</f>
        <v/>
      </c>
      <c r="P878" s="86">
        <f>IF(J878="EI",IF(OR(Y878="估算法",Y878="算法类"),"中",IF(Y878="无法识别","低",IF(M878&lt;2,IF(O878&lt;16,"低","中"),IF(M878&lt;3,IF(O878&lt;5,"低",IF(O878&lt;16,"中","高")),IF(O878&lt;5,"中","高"))))),IF(OR(J878="EO",J878="EQ"),IF(OR(Y878="估算法",Y878="算法类"),"中",IF(Y878="无法识别","低",IF(M878&lt;2,IF(O878&lt;20,"低","中"),IF(M878&lt;4,IF(O878&lt;6,"低",IF(O878&lt;20,"中","高")),IF(O878&lt;6,"中","高"))))),IF(OR(J878="ILF",J878="EIF"),IF(OR(Y878="估算法",Y878="算法类",Y878="无法识别"),"低",IF(N878&lt;2,IF(O878&lt;51,"低","中"),IF(N878&lt;6,IF(O878&lt;20,"低",IF(O878&lt;51,"中","高")),IF(O878&lt;20,"中","高")))),"不计算")))</f>
        <v/>
      </c>
      <c r="Q878" s="172">
        <f>IFERROR(IF(J878="EI",IF(P878="低",3,IF(P878="中",4,6)),IF(J878="EO",IF(P878="低",4,IF(P878="中",5,7)),IF(J878="EQ",IF(P878="低",3,IF(P878="中",4,6)),IF(J878="ILF",IF(P878="低",7,IF(P878="中",10,15)),IF(J878="EIF",IF(P878="低",5,IF(P878="中",7,10)),"不计算")))))*R878,"不计算")</f>
        <v/>
      </c>
      <c r="R878" s="172" t="n">
        <v>1</v>
      </c>
      <c r="S878" s="173">
        <f>调整因子!$F$13</f>
        <v/>
      </c>
      <c r="T878" s="92" t="n">
        <v>1</v>
      </c>
      <c r="U878" s="174">
        <f>IFERROR(Q878*S878,0)</f>
        <v/>
      </c>
      <c r="V878" s="174">
        <f>U878*T878</f>
        <v/>
      </c>
      <c r="W878" s="90" t="inlineStr">
        <is>
          <t>任务分配策略表</t>
        </is>
      </c>
      <c r="X878" s="91" t="n"/>
      <c r="Y878"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78" s="90" t="n"/>
      <c r="AA878" s="90" t="n"/>
    </row>
    <row r="879" s="112">
      <c r="A879" s="72">
        <f>ROW()-1</f>
        <v/>
      </c>
      <c r="B879" s="175" t="n"/>
      <c r="C879" s="80" t="n">
        <v>2025</v>
      </c>
      <c r="D879" s="80" t="inlineStr">
        <is>
          <t>蔡云飞</t>
        </is>
      </c>
      <c r="E879" s="81">
        <f>VLOOKUP(I879,'25年交付功能（不含废弃）'!A:A,1,FALSE)</f>
        <v/>
      </c>
      <c r="F879" s="175" t="n"/>
      <c r="G879" s="175" t="n"/>
      <c r="H879" s="175" t="n"/>
      <c r="I879" s="81" t="inlineStr">
        <is>
          <t>任务分配策略查询</t>
        </is>
      </c>
      <c r="J879" s="93" t="inlineStr">
        <is>
          <t>EQ</t>
        </is>
      </c>
      <c r="K879" s="84" t="n"/>
      <c r="L879" s="84" t="n"/>
      <c r="M879" s="85">
        <f>IF(OR(Y879="估算法",Y879="算法类",Y879="无法识别"),"",IF(W879="",IF(OR(J879="EI",J879="EO",J879="EQ"),0,""),LEN(W879)-LEN(SUBSTITUTE(W879,"、",""))+1))</f>
        <v/>
      </c>
      <c r="N879" s="85">
        <f>IF(OR(Y879="估算法",Y879="算法类",Y879="无法识别"),"",IF(X879="",IF(OR(J879="ILF",J879="EIF"),0,""),LEN(X879)-LEN(SUBSTITUTE(X879,"、",""))+1))</f>
        <v/>
      </c>
      <c r="O879" s="85">
        <f>IF(OR(Y879="估算法",Y879="算法类",Y879="无法识别"),"",IF(Y879="",IF(OR(J879="ILF",J879="EIF",J879="EI",J879="EO",J879="EQ"),0,""),LEN(Y879)-LEN(SUBSTITUTE(SUBSTITUTE(SUBSTITUTE(SUBSTITUTE(SUBSTITUTE(Y879,"|}","--"),"{|","--"),CHAR(10),""),"、",""),"|",""))+IF(AND(OR(J879="EI",J879="EO",J879="EQ"),$AE$1="NESMA"),2,1)))</f>
        <v/>
      </c>
      <c r="P879" s="86">
        <f>IF(J879="EI",IF(OR(Y879="估算法",Y879="算法类"),"中",IF(Y879="无法识别","低",IF(M879&lt;2,IF(O879&lt;16,"低","中"),IF(M879&lt;3,IF(O879&lt;5,"低",IF(O879&lt;16,"中","高")),IF(O879&lt;5,"中","高"))))),IF(OR(J879="EO",J879="EQ"),IF(OR(Y879="估算法",Y879="算法类"),"中",IF(Y879="无法识别","低",IF(M879&lt;2,IF(O879&lt;20,"低","中"),IF(M879&lt;4,IF(O879&lt;6,"低",IF(O879&lt;20,"中","高")),IF(O879&lt;6,"中","高"))))),IF(OR(J879="ILF",J879="EIF"),IF(OR(Y879="估算法",Y879="算法类",Y879="无法识别"),"低",IF(N879&lt;2,IF(O879&lt;51,"低","中"),IF(N879&lt;6,IF(O879&lt;20,"低",IF(O879&lt;51,"中","高")),IF(O879&lt;20,"中","高")))),"不计算")))</f>
        <v/>
      </c>
      <c r="Q879" s="172">
        <f>IFERROR(IF(J879="EI",IF(P879="低",3,IF(P879="中",4,6)),IF(J879="EO",IF(P879="低",4,IF(P879="中",5,7)),IF(J879="EQ",IF(P879="低",3,IF(P879="中",4,6)),IF(J879="ILF",IF(P879="低",7,IF(P879="中",10,15)),IF(J879="EIF",IF(P879="低",5,IF(P879="中",7,10)),"不计算")))))*R879,"不计算")</f>
        <v/>
      </c>
      <c r="R879" s="172" t="n">
        <v>1</v>
      </c>
      <c r="S879" s="173">
        <f>调整因子!$F$13</f>
        <v/>
      </c>
      <c r="T879" s="93" t="n">
        <v>1</v>
      </c>
      <c r="U879" s="174">
        <f>IFERROR(Q879*S879,0)</f>
        <v/>
      </c>
      <c r="V879" s="174">
        <f>U879*T879</f>
        <v/>
      </c>
      <c r="W879" s="90" t="inlineStr">
        <is>
          <t>任务分配策略表</t>
        </is>
      </c>
      <c r="X879" s="91" t="n"/>
      <c r="Y879"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79" s="90" t="n"/>
      <c r="AA879" s="90" t="n"/>
    </row>
    <row r="880" s="112">
      <c r="A880" s="72">
        <f>ROW()-1</f>
        <v/>
      </c>
      <c r="B880" s="175" t="n"/>
      <c r="C880" s="80" t="n">
        <v>2025</v>
      </c>
      <c r="D880" s="80" t="inlineStr">
        <is>
          <t>蔡云飞</t>
        </is>
      </c>
      <c r="E880" s="81">
        <f>VLOOKUP(I880,'25年交付功能（不含废弃）'!A:A,1,FALSE)</f>
        <v/>
      </c>
      <c r="F880" s="175" t="n"/>
      <c r="G880" s="175" t="n"/>
      <c r="H880" s="175" t="n"/>
      <c r="I880" s="81" t="inlineStr">
        <is>
          <t>任务分配策略修改</t>
        </is>
      </c>
      <c r="J880" s="93" t="inlineStr">
        <is>
          <t>EI</t>
        </is>
      </c>
      <c r="K880" s="84" t="n"/>
      <c r="L880" s="84" t="n"/>
      <c r="M880" s="85">
        <f>IF(OR(Y880="估算法",Y880="算法类",Y880="无法识别"),"",IF(W880="",IF(OR(J880="EI",J880="EO",J880="EQ"),0,""),LEN(W880)-LEN(SUBSTITUTE(W880,"、",""))+1))</f>
        <v/>
      </c>
      <c r="N880" s="85">
        <f>IF(OR(Y880="估算法",Y880="算法类",Y880="无法识别"),"",IF(X880="",IF(OR(J880="ILF",J880="EIF"),0,""),LEN(X880)-LEN(SUBSTITUTE(X880,"、",""))+1))</f>
        <v/>
      </c>
      <c r="O880" s="85">
        <f>IF(OR(Y880="估算法",Y880="算法类",Y880="无法识别"),"",IF(Y880="",IF(OR(J880="ILF",J880="EIF",J880="EI",J880="EO",J880="EQ"),0,""),LEN(Y880)-LEN(SUBSTITUTE(SUBSTITUTE(SUBSTITUTE(SUBSTITUTE(SUBSTITUTE(Y880,"|}","--"),"{|","--"),CHAR(10),""),"、",""),"|",""))+IF(AND(OR(J880="EI",J880="EO",J880="EQ"),$AE$1="NESMA"),2,1)))</f>
        <v/>
      </c>
      <c r="P880" s="86">
        <f>IF(J880="EI",IF(OR(Y880="估算法",Y880="算法类"),"中",IF(Y880="无法识别","低",IF(M880&lt;2,IF(O880&lt;16,"低","中"),IF(M880&lt;3,IF(O880&lt;5,"低",IF(O880&lt;16,"中","高")),IF(O880&lt;5,"中","高"))))),IF(OR(J880="EO",J880="EQ"),IF(OR(Y880="估算法",Y880="算法类"),"中",IF(Y880="无法识别","低",IF(M880&lt;2,IF(O880&lt;20,"低","中"),IF(M880&lt;4,IF(O880&lt;6,"低",IF(O880&lt;20,"中","高")),IF(O880&lt;6,"中","高"))))),IF(OR(J880="ILF",J880="EIF"),IF(OR(Y880="估算法",Y880="算法类",Y880="无法识别"),"低",IF(N880&lt;2,IF(O880&lt;51,"低","中"),IF(N880&lt;6,IF(O880&lt;20,"低",IF(O880&lt;51,"中","高")),IF(O880&lt;20,"中","高")))),"不计算")))</f>
        <v/>
      </c>
      <c r="Q880" s="172">
        <f>IFERROR(IF(J880="EI",IF(P880="低",3,IF(P880="中",4,6)),IF(J880="EO",IF(P880="低",4,IF(P880="中",5,7)),IF(J880="EQ",IF(P880="低",3,IF(P880="中",4,6)),IF(J880="ILF",IF(P880="低",7,IF(P880="中",10,15)),IF(J880="EIF",IF(P880="低",5,IF(P880="中",7,10)),"不计算")))))*R880,"不计算")</f>
        <v/>
      </c>
      <c r="R880" s="172" t="n">
        <v>0.333333333333333</v>
      </c>
      <c r="S880" s="173">
        <f>调整因子!$F$13</f>
        <v/>
      </c>
      <c r="T880" s="93" t="n">
        <v>1</v>
      </c>
      <c r="U880" s="174">
        <f>IFERROR(Q880*S880,0)</f>
        <v/>
      </c>
      <c r="V880" s="174">
        <f>U880*T880</f>
        <v/>
      </c>
      <c r="W880" s="90" t="inlineStr">
        <is>
          <t>任务分配策略表</t>
        </is>
      </c>
      <c r="X880" s="91" t="n"/>
      <c r="Y880"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0" s="90" t="n"/>
      <c r="AA880" s="90" t="n"/>
    </row>
    <row r="881" s="112">
      <c r="A881" s="72">
        <f>ROW()-1</f>
        <v/>
      </c>
      <c r="B881" s="175" t="n"/>
      <c r="C881" s="80" t="n">
        <v>2025</v>
      </c>
      <c r="D881" s="80" t="inlineStr">
        <is>
          <t>蔡云飞</t>
        </is>
      </c>
      <c r="E881" s="81">
        <f>VLOOKUP(I881,'25年交付功能（不含废弃）'!A:A,1,FALSE)</f>
        <v/>
      </c>
      <c r="F881" s="175" t="n"/>
      <c r="G881" s="175" t="n"/>
      <c r="H881" s="175" t="n"/>
      <c r="I881" s="81" t="inlineStr">
        <is>
          <t>任务分配策略删除</t>
        </is>
      </c>
      <c r="J881" s="93" t="inlineStr">
        <is>
          <t>EI</t>
        </is>
      </c>
      <c r="K881" s="84" t="n"/>
      <c r="L881" s="84" t="n"/>
      <c r="M881" s="85">
        <f>IF(OR(Y881="估算法",Y881="算法类",Y881="无法识别"),"",IF(W881="",IF(OR(J881="EI",J881="EO",J881="EQ"),0,""),LEN(W881)-LEN(SUBSTITUTE(W881,"、",""))+1))</f>
        <v/>
      </c>
      <c r="N881" s="85">
        <f>IF(OR(Y881="估算法",Y881="算法类",Y881="无法识别"),"",IF(X881="",IF(OR(J881="ILF",J881="EIF"),0,""),LEN(X881)-LEN(SUBSTITUTE(X881,"、",""))+1))</f>
        <v/>
      </c>
      <c r="O881" s="85">
        <f>IF(OR(Y881="估算法",Y881="算法类",Y881="无法识别"),"",IF(Y881="",IF(OR(J881="ILF",J881="EIF",J881="EI",J881="EO",J881="EQ"),0,""),LEN(Y881)-LEN(SUBSTITUTE(SUBSTITUTE(SUBSTITUTE(SUBSTITUTE(SUBSTITUTE(Y881,"|}","--"),"{|","--"),CHAR(10),""),"、",""),"|",""))+IF(AND(OR(J881="EI",J881="EO",J881="EQ"),$AE$1="NESMA"),2,1)))</f>
        <v/>
      </c>
      <c r="P881" s="86">
        <f>IF(J881="EI",IF(OR(Y881="估算法",Y881="算法类"),"中",IF(Y881="无法识别","低",IF(M881&lt;2,IF(O881&lt;16,"低","中"),IF(M881&lt;3,IF(O881&lt;5,"低",IF(O881&lt;16,"中","高")),IF(O881&lt;5,"中","高"))))),IF(OR(J881="EO",J881="EQ"),IF(OR(Y881="估算法",Y881="算法类"),"中",IF(Y881="无法识别","低",IF(M881&lt;2,IF(O881&lt;20,"低","中"),IF(M881&lt;4,IF(O881&lt;6,"低",IF(O881&lt;20,"中","高")),IF(O881&lt;6,"中","高"))))),IF(OR(J881="ILF",J881="EIF"),IF(OR(Y881="估算法",Y881="算法类",Y881="无法识别"),"低",IF(N881&lt;2,IF(O881&lt;51,"低","中"),IF(N881&lt;6,IF(O881&lt;20,"低",IF(O881&lt;51,"中","高")),IF(O881&lt;20,"中","高")))),"不计算")))</f>
        <v/>
      </c>
      <c r="Q881" s="172">
        <f>IFERROR(IF(J881="EI",IF(P881="低",3,IF(P881="中",4,6)),IF(J881="EO",IF(P881="低",4,IF(P881="中",5,7)),IF(J881="EQ",IF(P881="低",3,IF(P881="中",4,6)),IF(J881="ILF",IF(P881="低",7,IF(P881="中",10,15)),IF(J881="EIF",IF(P881="低",5,IF(P881="中",7,10)),"不计算")))))*R881,"不计算")</f>
        <v/>
      </c>
      <c r="R881" s="172" t="n">
        <v>0.333333333333333</v>
      </c>
      <c r="S881" s="173">
        <f>调整因子!$F$13</f>
        <v/>
      </c>
      <c r="T881" s="92" t="n">
        <v>1</v>
      </c>
      <c r="U881" s="174">
        <f>IFERROR(Q881*S881,0)</f>
        <v/>
      </c>
      <c r="V881" s="174">
        <f>U881*T881</f>
        <v/>
      </c>
      <c r="W881" s="90" t="inlineStr">
        <is>
          <t>任务分配策略表</t>
        </is>
      </c>
      <c r="X881" s="91" t="n"/>
      <c r="Y881"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1" s="90" t="n"/>
      <c r="AA881" s="90" t="n"/>
    </row>
    <row r="882" s="112">
      <c r="A882" s="72">
        <f>ROW()-1</f>
        <v/>
      </c>
      <c r="B882" s="175" t="n"/>
      <c r="C882" s="80" t="n">
        <v>2025</v>
      </c>
      <c r="D882" s="80" t="inlineStr">
        <is>
          <t>蔡云飞</t>
        </is>
      </c>
      <c r="E882" s="81">
        <f>VLOOKUP(I882,'25年交付功能（不含废弃）'!A:A,1,FALSE)</f>
        <v/>
      </c>
      <c r="F882" s="175" t="n"/>
      <c r="G882" s="175" t="n"/>
      <c r="H882" s="175" t="n"/>
      <c r="I882" s="81" t="inlineStr">
        <is>
          <t>扫描过程日志存储</t>
        </is>
      </c>
      <c r="J882" s="93" t="n"/>
      <c r="K882" s="84" t="n"/>
      <c r="L882" s="84" t="inlineStr">
        <is>
          <t>日志记录，非事务功能</t>
        </is>
      </c>
      <c r="M882" s="85">
        <f>IF(OR(Y882="估算法",Y882="算法类",Y882="无法识别"),"",IF(W882="",IF(OR(J882="EI",J882="EO",J882="EQ"),0,""),LEN(W882)-LEN(SUBSTITUTE(W882,"、",""))+1))</f>
        <v/>
      </c>
      <c r="N882" s="85">
        <f>IF(OR(Y882="估算法",Y882="算法类",Y882="无法识别"),"",IF(X882="",IF(OR(J882="ILF",J882="EIF"),0,""),LEN(X882)-LEN(SUBSTITUTE(X882,"、",""))+1))</f>
        <v/>
      </c>
      <c r="O882" s="85">
        <f>IF(OR(Y882="估算法",Y882="算法类",Y882="无法识别"),"",IF(Y882="",IF(OR(J882="ILF",J882="EIF",J882="EI",J882="EO",J882="EQ"),0,""),LEN(Y882)-LEN(SUBSTITUTE(SUBSTITUTE(SUBSTITUTE(SUBSTITUTE(SUBSTITUTE(Y882,"|}","--"),"{|","--"),CHAR(10),""),"、",""),"|",""))+IF(AND(OR(J882="EI",J882="EO",J882="EQ"),$AE$1="NESMA"),2,1)))</f>
        <v/>
      </c>
      <c r="P882" s="86">
        <f>IF(J882="EI",IF(OR(Y882="估算法",Y882="算法类"),"中",IF(Y882="无法识别","低",IF(M882&lt;2,IF(O882&lt;16,"低","中"),IF(M882&lt;3,IF(O882&lt;5,"低",IF(O882&lt;16,"中","高")),IF(O882&lt;5,"中","高"))))),IF(OR(J882="EO",J882="EQ"),IF(OR(Y882="估算法",Y882="算法类"),"中",IF(Y882="无法识别","低",IF(M882&lt;2,IF(O882&lt;20,"低","中"),IF(M882&lt;4,IF(O882&lt;6,"低",IF(O882&lt;20,"中","高")),IF(O882&lt;6,"中","高"))))),IF(OR(J882="ILF",J882="EIF"),IF(OR(Y882="估算法",Y882="算法类",Y882="无法识别"),"低",IF(N882&lt;2,IF(O882&lt;51,"低","中"),IF(N882&lt;6,IF(O882&lt;20,"低",IF(O882&lt;51,"中","高")),IF(O882&lt;20,"中","高")))),"不计算")))</f>
        <v/>
      </c>
      <c r="Q882" s="172">
        <f>IFERROR(IF(J882="EI",IF(P882="低",3,IF(P882="中",4,6)),IF(J882="EO",IF(P882="低",4,IF(P882="中",5,7)),IF(J882="EQ",IF(P882="低",3,IF(P882="中",4,6)),IF(J882="ILF",IF(P882="低",7,IF(P882="中",10,15)),IF(J882="EIF",IF(P882="低",5,IF(P882="中",7,10)),"不计算")))))*R882,"不计算")</f>
        <v/>
      </c>
      <c r="R882" s="172" t="n">
        <v>1</v>
      </c>
      <c r="S882" s="173">
        <f>调整因子!$F$13</f>
        <v/>
      </c>
      <c r="T882" s="92" t="n">
        <v>1</v>
      </c>
      <c r="U882" s="174">
        <f>IFERROR(Q882*S882,0)</f>
        <v/>
      </c>
      <c r="V882" s="174">
        <f>U882*T882</f>
        <v/>
      </c>
      <c r="W882" s="90" t="inlineStr">
        <is>
          <t>任务分配策略表</t>
        </is>
      </c>
      <c r="X882" s="91" t="n"/>
      <c r="Y882"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2" s="90" t="n"/>
      <c r="AA882" s="90" t="n"/>
    </row>
    <row r="883" s="112">
      <c r="A883" s="72">
        <f>ROW()-1</f>
        <v/>
      </c>
      <c r="B883" s="175" t="n"/>
      <c r="C883" s="80" t="n">
        <v>2025</v>
      </c>
      <c r="D883" s="80" t="inlineStr">
        <is>
          <t>蔡云飞</t>
        </is>
      </c>
      <c r="E883" s="81">
        <f>VLOOKUP(I883,'25年交付功能（不含废弃）'!A:A,1,FALSE)</f>
        <v/>
      </c>
      <c r="F883" s="175" t="n"/>
      <c r="G883" s="175" t="n"/>
      <c r="H883" s="175" t="n"/>
      <c r="I883" s="81" t="inlineStr">
        <is>
          <t>跟据策略参数自动扫描任务</t>
        </is>
      </c>
      <c r="J883" s="93" t="n"/>
      <c r="K883" s="84" t="n"/>
      <c r="L883" s="84" t="inlineStr">
        <is>
          <t>非用户触发事务功能</t>
        </is>
      </c>
      <c r="M883" s="85">
        <f>IF(OR(Y883="估算法",Y883="算法类",Y883="无法识别"),"",IF(W883="",IF(OR(J883="EI",J883="EO",J883="EQ"),0,""),LEN(W883)-LEN(SUBSTITUTE(W883,"、",""))+1))</f>
        <v/>
      </c>
      <c r="N883" s="85">
        <f>IF(OR(Y883="估算法",Y883="算法类",Y883="无法识别"),"",IF(X883="",IF(OR(J883="ILF",J883="EIF"),0,""),LEN(X883)-LEN(SUBSTITUTE(X883,"、",""))+1))</f>
        <v/>
      </c>
      <c r="O883" s="85">
        <f>IF(OR(Y883="估算法",Y883="算法类",Y883="无法识别"),"",IF(Y883="",IF(OR(J883="ILF",J883="EIF",J883="EI",J883="EO",J883="EQ"),0,""),LEN(Y883)-LEN(SUBSTITUTE(SUBSTITUTE(SUBSTITUTE(SUBSTITUTE(SUBSTITUTE(Y883,"|}","--"),"{|","--"),CHAR(10),""),"、",""),"|",""))+IF(AND(OR(J883="EI",J883="EO",J883="EQ"),$AE$1="NESMA"),2,1)))</f>
        <v/>
      </c>
      <c r="P883" s="86">
        <f>IF(J883="EI",IF(OR(Y883="估算法",Y883="算法类"),"中",IF(Y883="无法识别","低",IF(M883&lt;2,IF(O883&lt;16,"低","中"),IF(M883&lt;3,IF(O883&lt;5,"低",IF(O883&lt;16,"中","高")),IF(O883&lt;5,"中","高"))))),IF(OR(J883="EO",J883="EQ"),IF(OR(Y883="估算法",Y883="算法类"),"中",IF(Y883="无法识别","低",IF(M883&lt;2,IF(O883&lt;20,"低","中"),IF(M883&lt;4,IF(O883&lt;6,"低",IF(O883&lt;20,"中","高")),IF(O883&lt;6,"中","高"))))),IF(OR(J883="ILF",J883="EIF"),IF(OR(Y883="估算法",Y883="算法类",Y883="无法识别"),"低",IF(N883&lt;2,IF(O883&lt;51,"低","中"),IF(N883&lt;6,IF(O883&lt;20,"低",IF(O883&lt;51,"中","高")),IF(O883&lt;20,"中","高")))),"不计算")))</f>
        <v/>
      </c>
      <c r="Q883" s="172">
        <f>IFERROR(IF(J883="EI",IF(P883="低",3,IF(P883="中",4,6)),IF(J883="EO",IF(P883="低",4,IF(P883="中",5,7)),IF(J883="EQ",IF(P883="低",3,IF(P883="中",4,6)),IF(J883="ILF",IF(P883="低",7,IF(P883="中",10,15)),IF(J883="EIF",IF(P883="低",5,IF(P883="中",7,10)),"不计算")))))*R883,"不计算")</f>
        <v/>
      </c>
      <c r="R883" s="172" t="n">
        <v>1</v>
      </c>
      <c r="S883" s="173">
        <f>调整因子!$F$13</f>
        <v/>
      </c>
      <c r="T883" s="93" t="n">
        <v>1</v>
      </c>
      <c r="U883" s="174">
        <f>IFERROR(Q883*S883,0)</f>
        <v/>
      </c>
      <c r="V883" s="174">
        <f>U883*T883</f>
        <v/>
      </c>
      <c r="W883" s="90" t="inlineStr">
        <is>
          <t>任务分配策略表</t>
        </is>
      </c>
      <c r="X883" s="91" t="n"/>
      <c r="Y883"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3" s="90" t="n"/>
      <c r="AA883" s="90" t="n"/>
    </row>
    <row r="884" s="112">
      <c r="A884" s="72">
        <f>ROW()-1</f>
        <v/>
      </c>
      <c r="B884" s="175" t="n"/>
      <c r="C884" s="80" t="n">
        <v>2025</v>
      </c>
      <c r="D884" s="80" t="inlineStr">
        <is>
          <t>蔡云飞</t>
        </is>
      </c>
      <c r="E884" s="81">
        <f>VLOOKUP(I884,'25年交付功能（不含废弃）'!A:A,1,FALSE)</f>
        <v/>
      </c>
      <c r="F884" s="175" t="n"/>
      <c r="G884" s="175" t="n"/>
      <c r="H884" s="175" t="n"/>
      <c r="I884" s="98" t="inlineStr">
        <is>
          <t>任务分配策略表</t>
        </is>
      </c>
      <c r="J884" s="93" t="inlineStr">
        <is>
          <t>ILF</t>
        </is>
      </c>
      <c r="K884" s="84" t="n"/>
      <c r="L884" s="84" t="n"/>
      <c r="M884" s="85">
        <f>IF(OR(Y884="估算法",Y884="算法类",Y884="无法识别"),"",IF(W884="",IF(OR(J884="EI",J884="EO",J884="EQ"),0,""),LEN(W884)-LEN(SUBSTITUTE(W884,"、",""))+1))</f>
        <v/>
      </c>
      <c r="N884" s="85">
        <f>IF(OR(Y884="估算法",Y884="算法类",Y884="无法识别"),"",IF(X884="",IF(OR(J884="ILF",J884="EIF"),0,""),LEN(X884)-LEN(SUBSTITUTE(X884,"、",""))+1))</f>
        <v/>
      </c>
      <c r="O884" s="85">
        <f>IF(OR(Y884="估算法",Y884="算法类",Y884="无法识别"),"",IF(Y884="",IF(OR(J884="ILF",J884="EIF",J884="EI",J884="EO",J884="EQ"),0,""),LEN(Y884)-LEN(SUBSTITUTE(SUBSTITUTE(SUBSTITUTE(SUBSTITUTE(SUBSTITUTE(Y884,"|}","--"),"{|","--"),CHAR(10),""),"、",""),"|",""))+IF(AND(OR(J884="EI",J884="EO",J884="EQ"),$AE$1="NESMA"),2,1)))</f>
        <v/>
      </c>
      <c r="P884" s="86">
        <f>IF(J884="EI",IF(OR(Y884="估算法",Y884="算法类"),"中",IF(Y884="无法识别","低",IF(M884&lt;2,IF(O884&lt;16,"低","中"),IF(M884&lt;3,IF(O884&lt;5,"低",IF(O884&lt;16,"中","高")),IF(O884&lt;5,"中","高"))))),IF(OR(J884="EO",J884="EQ"),IF(OR(Y884="估算法",Y884="算法类"),"中",IF(Y884="无法识别","低",IF(M884&lt;2,IF(O884&lt;20,"低","中"),IF(M884&lt;4,IF(O884&lt;6,"低",IF(O884&lt;20,"中","高")),IF(O884&lt;6,"中","高"))))),IF(OR(J884="ILF",J884="EIF"),IF(OR(Y884="估算法",Y884="算法类",Y884="无法识别"),"低",IF(N884&lt;2,IF(O884&lt;51,"低","中"),IF(N884&lt;6,IF(O884&lt;20,"低",IF(O884&lt;51,"中","高")),IF(O884&lt;20,"中","高")))),"不计算")))</f>
        <v/>
      </c>
      <c r="Q884" s="172">
        <f>IFERROR(IF(J884="EI",IF(P884="低",3,IF(P884="中",4,6)),IF(J884="EO",IF(P884="低",4,IF(P884="中",5,7)),IF(J884="EQ",IF(P884="低",3,IF(P884="中",4,6)),IF(J884="ILF",IF(P884="低",7,IF(P884="中",10,15)),IF(J884="EIF",IF(P884="低",5,IF(P884="中",7,10)),"不计算")))))*R884,"不计算")</f>
        <v/>
      </c>
      <c r="R884" s="172" t="n">
        <v>1</v>
      </c>
      <c r="S884" s="173">
        <f>调整因子!$F$13</f>
        <v/>
      </c>
      <c r="T884" s="92" t="n">
        <v>1</v>
      </c>
      <c r="U884" s="174">
        <f>IFERROR(Q884*S884,0)</f>
        <v/>
      </c>
      <c r="V884" s="174">
        <f>U884*T884</f>
        <v/>
      </c>
      <c r="W884" s="91" t="n"/>
      <c r="X884" s="90" t="inlineStr">
        <is>
          <t>任务分配策略表</t>
        </is>
      </c>
      <c r="Y884" s="90" t="inlineStr">
        <is>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is>
      </c>
      <c r="Z884" s="90">
        <f>IF(COUNTIFS(W:W,"*"&amp;I884&amp;"*")&gt;0,"存在","不存在")</f>
        <v/>
      </c>
      <c r="AA884" s="90">
        <f>IF(COUNTIFS(AB:AB,"*"&amp;I884&amp;"*")&gt;0,"存在","不存在")</f>
        <v/>
      </c>
    </row>
    <row r="885" s="112">
      <c r="A885" s="72">
        <f>ROW()-1</f>
        <v/>
      </c>
      <c r="B885" s="175" t="n"/>
      <c r="C885" s="80" t="n">
        <v>2025</v>
      </c>
      <c r="D885" s="80" t="inlineStr">
        <is>
          <t>蔡云飞</t>
        </is>
      </c>
      <c r="E885" s="81">
        <f>VLOOKUP(I885,'25年交付功能（不含废弃）'!A:A,1,FALSE)</f>
        <v/>
      </c>
      <c r="F885" s="175" t="n"/>
      <c r="G885" s="175" t="n"/>
      <c r="H885" s="175" t="n"/>
      <c r="I885" s="98" t="inlineStr">
        <is>
          <t>任务分配策略日志表</t>
        </is>
      </c>
      <c r="J885" s="93" t="n"/>
      <c r="K885" s="84" t="n"/>
      <c r="L885" s="84" t="inlineStr">
        <is>
          <t>数据库表未被本系统所使用</t>
        </is>
      </c>
      <c r="M885" s="85">
        <f>IF(OR(Y885="估算法",Y885="算法类",Y885="无法识别"),"",IF(W885="",IF(OR(J885="EI",J885="EO",J885="EQ"),0,""),LEN(W885)-LEN(SUBSTITUTE(W885,"、",""))+1))</f>
        <v/>
      </c>
      <c r="N885" s="85">
        <f>IF(OR(Y885="估算法",Y885="算法类",Y885="无法识别"),"",IF(X885="",IF(OR(J885="ILF",J885="EIF"),0,""),LEN(X885)-LEN(SUBSTITUTE(X885,"、",""))+1))</f>
        <v/>
      </c>
      <c r="O885" s="85">
        <f>IF(OR(Y885="估算法",Y885="算法类",Y885="无法识别"),"",IF(Y885="",IF(OR(J885="ILF",J885="EIF",J885="EI",J885="EO",J885="EQ"),0,""),LEN(Y885)-LEN(SUBSTITUTE(SUBSTITUTE(SUBSTITUTE(SUBSTITUTE(SUBSTITUTE(Y885,"|}","--"),"{|","--"),CHAR(10),""),"、",""),"|",""))+IF(AND(OR(J885="EI",J885="EO",J885="EQ"),$AE$1="NESMA"),2,1)))</f>
        <v/>
      </c>
      <c r="P885" s="86">
        <f>IF(J885="EI",IF(OR(Y885="估算法",Y885="算法类"),"中",IF(Y885="无法识别","低",IF(M885&lt;2,IF(O885&lt;16,"低","中"),IF(M885&lt;3,IF(O885&lt;5,"低",IF(O885&lt;16,"中","高")),IF(O885&lt;5,"中","高"))))),IF(OR(J885="EO",J885="EQ"),IF(OR(Y885="估算法",Y885="算法类"),"中",IF(Y885="无法识别","低",IF(M885&lt;2,IF(O885&lt;20,"低","中"),IF(M885&lt;4,IF(O885&lt;6,"低",IF(O885&lt;20,"中","高")),IF(O885&lt;6,"中","高"))))),IF(OR(J885="ILF",J885="EIF"),IF(OR(Y885="估算法",Y885="算法类",Y885="无法识别"),"低",IF(N885&lt;2,IF(O885&lt;51,"低","中"),IF(N885&lt;6,IF(O885&lt;20,"低",IF(O885&lt;51,"中","高")),IF(O885&lt;20,"中","高")))),"不计算")))</f>
        <v/>
      </c>
      <c r="Q885" s="172">
        <f>IFERROR(IF(J885="EI",IF(P885="低",3,IF(P885="中",4,6)),IF(J885="EO",IF(P885="低",4,IF(P885="中",5,7)),IF(J885="EQ",IF(P885="低",3,IF(P885="中",4,6)),IF(J885="ILF",IF(P885="低",7,IF(P885="中",10,15)),IF(J885="EIF",IF(P885="低",5,IF(P885="中",7,10)),"不计算")))))*R885,"不计算")</f>
        <v/>
      </c>
      <c r="R885" s="172" t="n">
        <v>1</v>
      </c>
      <c r="S885" s="173">
        <f>调整因子!$F$13</f>
        <v/>
      </c>
      <c r="T885" s="92" t="n">
        <v>1</v>
      </c>
      <c r="U885" s="174">
        <f>IFERROR(Q885*S885,0)</f>
        <v/>
      </c>
      <c r="V885" s="174">
        <f>U885*T885</f>
        <v/>
      </c>
      <c r="W885" s="91" t="n"/>
      <c r="X885" s="90" t="inlineStr">
        <is>
          <t>任务分配策略日志表</t>
        </is>
      </c>
      <c r="Y885" s="90" t="inlineStr">
        <is>
          <t>任务分配策略日志表
{日志ID、策略ID、操作类型、操作人、操作时间、操作内容、结果状态、备注}</t>
        </is>
      </c>
      <c r="Z885" s="90">
        <f>IF(COUNTIFS(W:W,"*"&amp;I885&amp;"*")&gt;0,"存在","不存在")</f>
        <v/>
      </c>
      <c r="AA885" s="90">
        <f>IF(COUNTIFS(AB:AB,"*"&amp;I885&amp;"*")&gt;0,"存在","不存在")</f>
        <v/>
      </c>
    </row>
    <row r="886" s="112">
      <c r="A886" s="72">
        <f>ROW()-1</f>
        <v/>
      </c>
      <c r="B886" s="175" t="n"/>
      <c r="C886" s="80" t="n">
        <v>2025</v>
      </c>
      <c r="D886" s="80" t="inlineStr">
        <is>
          <t>蔡云飞</t>
        </is>
      </c>
      <c r="E886" s="81">
        <f>VLOOKUP(I886,'25年交付功能（不含废弃）'!A:A,1,FALSE)</f>
        <v/>
      </c>
      <c r="F886" s="175" t="n"/>
      <c r="G886" s="175" t="n"/>
      <c r="H886" s="175" t="n"/>
      <c r="I886" s="98" t="inlineStr">
        <is>
          <t>扫描任务表</t>
        </is>
      </c>
      <c r="J886" s="93" t="inlineStr">
        <is>
          <t>ILF</t>
        </is>
      </c>
      <c r="K886" s="84" t="n"/>
      <c r="L886" s="84" t="n"/>
      <c r="M886" s="85">
        <f>IF(OR(Y886="估算法",Y886="算法类",Y886="无法识别"),"",IF(W886="",IF(OR(J886="EI",J886="EO",J886="EQ"),0,""),LEN(W886)-LEN(SUBSTITUTE(W886,"、",""))+1))</f>
        <v/>
      </c>
      <c r="N886" s="85">
        <f>IF(OR(Y886="估算法",Y886="算法类",Y886="无法识别"),"",IF(X886="",IF(OR(J886="ILF",J886="EIF"),0,""),LEN(X886)-LEN(SUBSTITUTE(X886,"、",""))+1))</f>
        <v/>
      </c>
      <c r="O886" s="85">
        <f>IF(OR(Y886="估算法",Y886="算法类",Y886="无法识别"),"",IF(Y886="",IF(OR(J886="ILF",J886="EIF",J886="EI",J886="EO",J886="EQ"),0,""),LEN(Y886)-LEN(SUBSTITUTE(SUBSTITUTE(SUBSTITUTE(SUBSTITUTE(SUBSTITUTE(Y886,"|}","--"),"{|","--"),CHAR(10),""),"、",""),"|",""))+IF(AND(OR(J886="EI",J886="EO",J886="EQ"),$AE$1="NESMA"),2,1)))</f>
        <v/>
      </c>
      <c r="P886" s="86">
        <f>IF(J886="EI",IF(OR(Y886="估算法",Y886="算法类"),"中",IF(Y886="无法识别","低",IF(M886&lt;2,IF(O886&lt;16,"低","中"),IF(M886&lt;3,IF(O886&lt;5,"低",IF(O886&lt;16,"中","高")),IF(O886&lt;5,"中","高"))))),IF(OR(J886="EO",J886="EQ"),IF(OR(Y886="估算法",Y886="算法类"),"中",IF(Y886="无法识别","低",IF(M886&lt;2,IF(O886&lt;20,"低","中"),IF(M886&lt;4,IF(O886&lt;6,"低",IF(O886&lt;20,"中","高")),IF(O886&lt;6,"中","高"))))),IF(OR(J886="ILF",J886="EIF"),IF(OR(Y886="估算法",Y886="算法类",Y886="无法识别"),"低",IF(N886&lt;2,IF(O886&lt;51,"低","中"),IF(N886&lt;6,IF(O886&lt;20,"低",IF(O886&lt;51,"中","高")),IF(O886&lt;20,"中","高")))),"不计算")))</f>
        <v/>
      </c>
      <c r="Q886" s="172">
        <f>IFERROR(IF(J886="EI",IF(P886="低",3,IF(P886="中",4,6)),IF(J886="EO",IF(P886="低",4,IF(P886="中",5,7)),IF(J886="EQ",IF(P886="低",3,IF(P886="中",4,6)),IF(J886="ILF",IF(P886="低",7,IF(P886="中",10,15)),IF(J886="EIF",IF(P886="低",5,IF(P886="中",7,10)),"不计算")))))*R886,"不计算")</f>
        <v/>
      </c>
      <c r="R886" s="172" t="n">
        <v>1</v>
      </c>
      <c r="S886" s="173">
        <f>调整因子!$F$13</f>
        <v/>
      </c>
      <c r="T886" s="93" t="n">
        <v>1</v>
      </c>
      <c r="U886" s="174">
        <f>IFERROR(Q886*S886,0)</f>
        <v/>
      </c>
      <c r="V886" s="174">
        <f>U886*T886</f>
        <v/>
      </c>
      <c r="W886" s="91" t="n"/>
      <c r="X886" s="90" t="inlineStr">
        <is>
          <t>扫描任务表</t>
        </is>
      </c>
      <c r="Y886" s="90" t="inlineStr">
        <is>
          <t>扫描任务表
{任务ID、任务名称、任务类型、关联策略ID、目标资产范围、调度时间、执行状态、开始时间、结束时间、创建人、创建时间、备注}</t>
        </is>
      </c>
      <c r="Z886" s="90">
        <f>IF(COUNTIFS(W:W,"*"&amp;I886&amp;"*")&gt;0,"存在","不存在")</f>
        <v/>
      </c>
      <c r="AA886" s="90">
        <f>IF(COUNTIFS(AB:AB,"*"&amp;I886&amp;"*")&gt;0,"存在","不存在")</f>
        <v/>
      </c>
    </row>
    <row r="887" s="112">
      <c r="A887" s="72">
        <f>ROW()-1</f>
        <v/>
      </c>
      <c r="B887" s="175" t="n"/>
      <c r="C887" s="80" t="n">
        <v>2025</v>
      </c>
      <c r="D887" s="80" t="inlineStr">
        <is>
          <t>蔡云飞</t>
        </is>
      </c>
      <c r="E887" s="81">
        <f>VLOOKUP(I887,'25年交付功能（不含废弃）'!A:A,1,FALSE)</f>
        <v/>
      </c>
      <c r="F887" s="175" t="n"/>
      <c r="G887" s="175" t="n"/>
      <c r="H887" s="176" t="n"/>
      <c r="I887" s="98" t="inlineStr">
        <is>
          <t>扫描过程日志表</t>
        </is>
      </c>
      <c r="J887" s="93" t="n"/>
      <c r="K887" s="84" t="n"/>
      <c r="L887" s="84" t="inlineStr">
        <is>
          <t>数据库表未被本系统所使用</t>
        </is>
      </c>
      <c r="M887" s="85">
        <f>IF(OR(Y887="估算法",Y887="算法类",Y887="无法识别"),"",IF(W887="",IF(OR(J887="EI",J887="EO",J887="EQ"),0,""),LEN(W887)-LEN(SUBSTITUTE(W887,"、",""))+1))</f>
        <v/>
      </c>
      <c r="N887" s="85">
        <f>IF(OR(Y887="估算法",Y887="算法类",Y887="无法识别"),"",IF(X887="",IF(OR(J887="ILF",J887="EIF"),0,""),LEN(X887)-LEN(SUBSTITUTE(X887,"、",""))+1))</f>
        <v/>
      </c>
      <c r="O887" s="85">
        <f>IF(OR(Y887="估算法",Y887="算法类",Y887="无法识别"),"",IF(Y887="",IF(OR(J887="ILF",J887="EIF",J887="EI",J887="EO",J887="EQ"),0,""),LEN(Y887)-LEN(SUBSTITUTE(SUBSTITUTE(SUBSTITUTE(SUBSTITUTE(SUBSTITUTE(Y887,"|}","--"),"{|","--"),CHAR(10),""),"、",""),"|",""))+IF(AND(OR(J887="EI",J887="EO",J887="EQ"),$AE$1="NESMA"),2,1)))</f>
        <v/>
      </c>
      <c r="P887" s="86">
        <f>IF(J887="EI",IF(OR(Y887="估算法",Y887="算法类"),"中",IF(Y887="无法识别","低",IF(M887&lt;2,IF(O887&lt;16,"低","中"),IF(M887&lt;3,IF(O887&lt;5,"低",IF(O887&lt;16,"中","高")),IF(O887&lt;5,"中","高"))))),IF(OR(J887="EO",J887="EQ"),IF(OR(Y887="估算法",Y887="算法类"),"中",IF(Y887="无法识别","低",IF(M887&lt;2,IF(O887&lt;20,"低","中"),IF(M887&lt;4,IF(O887&lt;6,"低",IF(O887&lt;20,"中","高")),IF(O887&lt;6,"中","高"))))),IF(OR(J887="ILF",J887="EIF"),IF(OR(Y887="估算法",Y887="算法类",Y887="无法识别"),"低",IF(N887&lt;2,IF(O887&lt;51,"低","中"),IF(N887&lt;6,IF(O887&lt;20,"低",IF(O887&lt;51,"中","高")),IF(O887&lt;20,"中","高")))),"不计算")))</f>
        <v/>
      </c>
      <c r="Q887" s="172">
        <f>IFERROR(IF(J887="EI",IF(P887="低",3,IF(P887="中",4,6)),IF(J887="EO",IF(P887="低",4,IF(P887="中",5,7)),IF(J887="EQ",IF(P887="低",3,IF(P887="中",4,6)),IF(J887="ILF",IF(P887="低",7,IF(P887="中",10,15)),IF(J887="EIF",IF(P887="低",5,IF(P887="中",7,10)),"不计算")))))*R887,"不计算")</f>
        <v/>
      </c>
      <c r="R887" s="172" t="n">
        <v>1</v>
      </c>
      <c r="S887" s="173">
        <f>调整因子!$F$13</f>
        <v/>
      </c>
      <c r="T887" s="93" t="n">
        <v>1</v>
      </c>
      <c r="U887" s="174">
        <f>IFERROR(Q887*S887,0)</f>
        <v/>
      </c>
      <c r="V887" s="174">
        <f>U887*T887</f>
        <v/>
      </c>
      <c r="W887" s="91" t="n"/>
      <c r="X887" s="90" t="inlineStr">
        <is>
          <t>扫描过程日志表</t>
        </is>
      </c>
      <c r="Y887" s="90" t="inlineStr">
        <is>
          <t>扫描过程日志表
{日志ID、任务ID、资产ID、扫描阶段、日志内容、日志等级、记录时间、执行状态、备注}</t>
        </is>
      </c>
      <c r="Z887" s="90">
        <f>IF(COUNTIFS(W:W,"*"&amp;I887&amp;"*")&gt;0,"存在","不存在")</f>
        <v/>
      </c>
      <c r="AA887" s="90">
        <f>IF(COUNTIFS(AB:AB,"*"&amp;I887&amp;"*")&gt;0,"存在","不存在")</f>
        <v/>
      </c>
    </row>
    <row r="888" s="112">
      <c r="A888" s="72">
        <f>ROW()-1</f>
        <v/>
      </c>
      <c r="B888" s="175" t="n"/>
      <c r="C888" s="80" t="n">
        <v>2025</v>
      </c>
      <c r="D888" s="80" t="inlineStr">
        <is>
          <t>蔡云飞</t>
        </is>
      </c>
      <c r="E888" s="81">
        <f>VLOOKUP(I888,'25年交付功能（不含废弃）'!A:A,1,FALSE)</f>
        <v/>
      </c>
      <c r="F888" s="175" t="n"/>
      <c r="G888" s="175" t="n"/>
      <c r="H888" s="82" t="inlineStr">
        <is>
          <t>执行流程自动化</t>
        </is>
      </c>
      <c r="I888" s="81" t="inlineStr">
        <is>
          <t>自动化执行步骤修改</t>
        </is>
      </c>
      <c r="J888" s="93" t="inlineStr">
        <is>
          <t>EI</t>
        </is>
      </c>
      <c r="K888" s="84" t="n"/>
      <c r="L888" s="84" t="n"/>
      <c r="M888" s="85">
        <f>IF(OR(Y888="估算法",Y888="算法类",Y888="无法识别"),"",IF(W888="",IF(OR(J888="EI",J888="EO",J888="EQ"),0,""),LEN(W888)-LEN(SUBSTITUTE(W888,"、",""))+1))</f>
        <v/>
      </c>
      <c r="N888" s="85">
        <f>IF(OR(Y888="估算法",Y888="算法类",Y888="无法识别"),"",IF(X888="",IF(OR(J888="ILF",J888="EIF"),0,""),LEN(X888)-LEN(SUBSTITUTE(X888,"、",""))+1))</f>
        <v/>
      </c>
      <c r="O888" s="85">
        <f>IF(OR(Y888="估算法",Y888="算法类",Y888="无法识别"),"",IF(Y888="",IF(OR(J888="ILF",J888="EIF",J888="EI",J888="EO",J888="EQ"),0,""),LEN(Y888)-LEN(SUBSTITUTE(SUBSTITUTE(SUBSTITUTE(SUBSTITUTE(SUBSTITUTE(Y888,"|}","--"),"{|","--"),CHAR(10),""),"、",""),"|",""))+IF(AND(OR(J888="EI",J888="EO",J888="EQ"),$AE$1="NESMA"),2,1)))</f>
        <v/>
      </c>
      <c r="P888" s="86">
        <f>IF(J888="EI",IF(OR(Y888="估算法",Y888="算法类"),"中",IF(Y888="无法识别","低",IF(M888&lt;2,IF(O888&lt;16,"低","中"),IF(M888&lt;3,IF(O888&lt;5,"低",IF(O888&lt;16,"中","高")),IF(O888&lt;5,"中","高"))))),IF(OR(J888="EO",J888="EQ"),IF(OR(Y888="估算法",Y888="算法类"),"中",IF(Y888="无法识别","低",IF(M888&lt;2,IF(O888&lt;20,"低","中"),IF(M888&lt;4,IF(O888&lt;6,"低",IF(O888&lt;20,"中","高")),IF(O888&lt;6,"中","高"))))),IF(OR(J888="ILF",J888="EIF"),IF(OR(Y888="估算法",Y888="算法类",Y888="无法识别"),"低",IF(N888&lt;2,IF(O888&lt;51,"低","中"),IF(N888&lt;6,IF(O888&lt;20,"低",IF(O888&lt;51,"中","高")),IF(O888&lt;20,"中","高")))),"不计算")))</f>
        <v/>
      </c>
      <c r="Q888" s="172">
        <f>IFERROR(IF(J888="EI",IF(P888="低",3,IF(P888="中",4,6)),IF(J888="EO",IF(P888="低",4,IF(P888="中",5,7)),IF(J888="EQ",IF(P888="低",3,IF(P888="中",4,6)),IF(J888="ILF",IF(P888="低",7,IF(P888="中",10,15)),IF(J888="EIF",IF(P888="低",5,IF(P888="中",7,10)),"不计算")))))*R888,"不计算")</f>
        <v/>
      </c>
      <c r="R888" s="172" t="n">
        <v>0.333333333333333</v>
      </c>
      <c r="S888" s="173">
        <f>调整因子!$F$13</f>
        <v/>
      </c>
      <c r="T888" s="92" t="n">
        <v>1</v>
      </c>
      <c r="U888" s="174">
        <f>IFERROR(Q888*S888,0)</f>
        <v/>
      </c>
      <c r="V888" s="174">
        <f>U888*T888</f>
        <v/>
      </c>
      <c r="W888" s="90" t="inlineStr">
        <is>
          <t>自动化执行步骤表</t>
        </is>
      </c>
      <c r="X888" s="91" t="n"/>
      <c r="Y888"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88" s="90" t="n"/>
      <c r="AA888" s="90" t="n"/>
    </row>
    <row r="889" s="112">
      <c r="A889" s="72">
        <f>ROW()-1</f>
        <v/>
      </c>
      <c r="B889" s="175" t="n"/>
      <c r="C889" s="80" t="n">
        <v>2025</v>
      </c>
      <c r="D889" s="80" t="inlineStr">
        <is>
          <t>蔡云飞</t>
        </is>
      </c>
      <c r="E889" s="81">
        <f>VLOOKUP(I889,'25年交付功能（不含废弃）'!A:A,1,FALSE)</f>
        <v/>
      </c>
      <c r="F889" s="175" t="n"/>
      <c r="G889" s="175" t="n"/>
      <c r="H889" s="175" t="n"/>
      <c r="I889" s="81" t="inlineStr">
        <is>
          <t>自动化执行步骤删除</t>
        </is>
      </c>
      <c r="J889" s="93" t="inlineStr">
        <is>
          <t>EI</t>
        </is>
      </c>
      <c r="K889" s="84" t="n"/>
      <c r="L889" s="84" t="n"/>
      <c r="M889" s="85">
        <f>IF(OR(Y889="估算法",Y889="算法类",Y889="无法识别"),"",IF(W889="",IF(OR(J889="EI",J889="EO",J889="EQ"),0,""),LEN(W889)-LEN(SUBSTITUTE(W889,"、",""))+1))</f>
        <v/>
      </c>
      <c r="N889" s="85">
        <f>IF(OR(Y889="估算法",Y889="算法类",Y889="无法识别"),"",IF(X889="",IF(OR(J889="ILF",J889="EIF"),0,""),LEN(X889)-LEN(SUBSTITUTE(X889,"、",""))+1))</f>
        <v/>
      </c>
      <c r="O889" s="85">
        <f>IF(OR(Y889="估算法",Y889="算法类",Y889="无法识别"),"",IF(Y889="",IF(OR(J889="ILF",J889="EIF",J889="EI",J889="EO",J889="EQ"),0,""),LEN(Y889)-LEN(SUBSTITUTE(SUBSTITUTE(SUBSTITUTE(SUBSTITUTE(SUBSTITUTE(Y889,"|}","--"),"{|","--"),CHAR(10),""),"、",""),"|",""))+IF(AND(OR(J889="EI",J889="EO",J889="EQ"),$AE$1="NESMA"),2,1)))</f>
        <v/>
      </c>
      <c r="P889" s="86">
        <f>IF(J889="EI",IF(OR(Y889="估算法",Y889="算法类"),"中",IF(Y889="无法识别","低",IF(M889&lt;2,IF(O889&lt;16,"低","中"),IF(M889&lt;3,IF(O889&lt;5,"低",IF(O889&lt;16,"中","高")),IF(O889&lt;5,"中","高"))))),IF(OR(J889="EO",J889="EQ"),IF(OR(Y889="估算法",Y889="算法类"),"中",IF(Y889="无法识别","低",IF(M889&lt;2,IF(O889&lt;20,"低","中"),IF(M889&lt;4,IF(O889&lt;6,"低",IF(O889&lt;20,"中","高")),IF(O889&lt;6,"中","高"))))),IF(OR(J889="ILF",J889="EIF"),IF(OR(Y889="估算法",Y889="算法类",Y889="无法识别"),"低",IF(N889&lt;2,IF(O889&lt;51,"低","中"),IF(N889&lt;6,IF(O889&lt;20,"低",IF(O889&lt;51,"中","高")),IF(O889&lt;20,"中","高")))),"不计算")))</f>
        <v/>
      </c>
      <c r="Q889" s="172">
        <f>IFERROR(IF(J889="EI",IF(P889="低",3,IF(P889="中",4,6)),IF(J889="EO",IF(P889="低",4,IF(P889="中",5,7)),IF(J889="EQ",IF(P889="低",3,IF(P889="中",4,6)),IF(J889="ILF",IF(P889="低",7,IF(P889="中",10,15)),IF(J889="EIF",IF(P889="低",5,IF(P889="中",7,10)),"不计算")))))*R889,"不计算")</f>
        <v/>
      </c>
      <c r="R889" s="172" t="n">
        <v>0.333333333333333</v>
      </c>
      <c r="S889" s="173">
        <f>调整因子!$F$13</f>
        <v/>
      </c>
      <c r="T889" s="92" t="n">
        <v>1</v>
      </c>
      <c r="U889" s="174">
        <f>IFERROR(Q889*S889,0)</f>
        <v/>
      </c>
      <c r="V889" s="174">
        <f>U889*T889</f>
        <v/>
      </c>
      <c r="W889" s="90" t="inlineStr">
        <is>
          <t>自动化执行步骤表</t>
        </is>
      </c>
      <c r="X889" s="91" t="n"/>
      <c r="Y889"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89" s="90" t="n"/>
      <c r="AA889" s="90" t="n"/>
    </row>
    <row r="890" s="112">
      <c r="A890" s="72">
        <f>ROW()-1</f>
        <v/>
      </c>
      <c r="B890" s="175" t="n"/>
      <c r="C890" s="80" t="n">
        <v>2025</v>
      </c>
      <c r="D890" s="80" t="inlineStr">
        <is>
          <t>蔡云飞</t>
        </is>
      </c>
      <c r="E890" s="81">
        <f>VLOOKUP(I890,'25年交付功能（不含废弃）'!A:A,1,FALSE)</f>
        <v/>
      </c>
      <c r="F890" s="175" t="n"/>
      <c r="G890" s="175" t="n"/>
      <c r="H890" s="175" t="n"/>
      <c r="I890" s="81" t="inlineStr">
        <is>
          <t>自动化执行步骤新增</t>
        </is>
      </c>
      <c r="J890" s="93" t="inlineStr">
        <is>
          <t>EI</t>
        </is>
      </c>
      <c r="K890" s="84" t="n"/>
      <c r="L890" s="84" t="n"/>
      <c r="M890" s="85">
        <f>IF(OR(Y890="估算法",Y890="算法类",Y890="无法识别"),"",IF(W890="",IF(OR(J890="EI",J890="EO",J890="EQ"),0,""),LEN(W890)-LEN(SUBSTITUTE(W890,"、",""))+1))</f>
        <v/>
      </c>
      <c r="N890" s="85">
        <f>IF(OR(Y890="估算法",Y890="算法类",Y890="无法识别"),"",IF(X890="",IF(OR(J890="ILF",J890="EIF"),0,""),LEN(X890)-LEN(SUBSTITUTE(X890,"、",""))+1))</f>
        <v/>
      </c>
      <c r="O890" s="85">
        <f>IF(OR(Y890="估算法",Y890="算法类",Y890="无法识别"),"",IF(Y890="",IF(OR(J890="ILF",J890="EIF",J890="EI",J890="EO",J890="EQ"),0,""),LEN(Y890)-LEN(SUBSTITUTE(SUBSTITUTE(SUBSTITUTE(SUBSTITUTE(SUBSTITUTE(Y890,"|}","--"),"{|","--"),CHAR(10),""),"、",""),"|",""))+IF(AND(OR(J890="EI",J890="EO",J890="EQ"),$AE$1="NESMA"),2,1)))</f>
        <v/>
      </c>
      <c r="P890" s="86">
        <f>IF(J890="EI",IF(OR(Y890="估算法",Y890="算法类"),"中",IF(Y890="无法识别","低",IF(M890&lt;2,IF(O890&lt;16,"低","中"),IF(M890&lt;3,IF(O890&lt;5,"低",IF(O890&lt;16,"中","高")),IF(O890&lt;5,"中","高"))))),IF(OR(J890="EO",J890="EQ"),IF(OR(Y890="估算法",Y890="算法类"),"中",IF(Y890="无法识别","低",IF(M890&lt;2,IF(O890&lt;20,"低","中"),IF(M890&lt;4,IF(O890&lt;6,"低",IF(O890&lt;20,"中","高")),IF(O890&lt;6,"中","高"))))),IF(OR(J890="ILF",J890="EIF"),IF(OR(Y890="估算法",Y890="算法类",Y890="无法识别"),"低",IF(N890&lt;2,IF(O890&lt;51,"低","中"),IF(N890&lt;6,IF(O890&lt;20,"低",IF(O890&lt;51,"中","高")),IF(O890&lt;20,"中","高")))),"不计算")))</f>
        <v/>
      </c>
      <c r="Q890" s="172">
        <f>IFERROR(IF(J890="EI",IF(P890="低",3,IF(P890="中",4,6)),IF(J890="EO",IF(P890="低",4,IF(P890="中",5,7)),IF(J890="EQ",IF(P890="低",3,IF(P890="中",4,6)),IF(J890="ILF",IF(P890="低",7,IF(P890="中",10,15)),IF(J890="EIF",IF(P890="低",5,IF(P890="中",7,10)),"不计算")))))*R890,"不计算")</f>
        <v/>
      </c>
      <c r="R890" s="172" t="n">
        <v>1</v>
      </c>
      <c r="S890" s="173">
        <f>调整因子!$F$13</f>
        <v/>
      </c>
      <c r="T890" s="93" t="n">
        <v>1</v>
      </c>
      <c r="U890" s="174">
        <f>IFERROR(Q890*S890,0)</f>
        <v/>
      </c>
      <c r="V890" s="174">
        <f>U890*T890</f>
        <v/>
      </c>
      <c r="W890" s="90" t="inlineStr">
        <is>
          <t>自动化执行步骤表</t>
        </is>
      </c>
      <c r="X890" s="91" t="n"/>
      <c r="Y890"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0" s="90" t="n"/>
      <c r="AA890" s="90" t="n"/>
    </row>
    <row r="891" s="112">
      <c r="A891" s="72">
        <f>ROW()-1</f>
        <v/>
      </c>
      <c r="B891" s="175" t="n"/>
      <c r="C891" s="80" t="n">
        <v>2025</v>
      </c>
      <c r="D891" s="80" t="inlineStr">
        <is>
          <t>蔡云飞</t>
        </is>
      </c>
      <c r="E891" s="81">
        <f>VLOOKUP(I891,'25年交付功能（不含废弃）'!A:A,1,FALSE)</f>
        <v/>
      </c>
      <c r="F891" s="175" t="n"/>
      <c r="G891" s="175" t="n"/>
      <c r="H891" s="175" t="n"/>
      <c r="I891" s="81" t="inlineStr">
        <is>
          <t>自动化执行步骤查询</t>
        </is>
      </c>
      <c r="J891" s="93" t="inlineStr">
        <is>
          <t>EQ</t>
        </is>
      </c>
      <c r="K891" s="84" t="n"/>
      <c r="L891" s="84" t="n"/>
      <c r="M891" s="85">
        <f>IF(OR(Y891="估算法",Y891="算法类",Y891="无法识别"),"",IF(W891="",IF(OR(J891="EI",J891="EO",J891="EQ"),0,""),LEN(W891)-LEN(SUBSTITUTE(W891,"、",""))+1))</f>
        <v/>
      </c>
      <c r="N891" s="85">
        <f>IF(OR(Y891="估算法",Y891="算法类",Y891="无法识别"),"",IF(X891="",IF(OR(J891="ILF",J891="EIF"),0,""),LEN(X891)-LEN(SUBSTITUTE(X891,"、",""))+1))</f>
        <v/>
      </c>
      <c r="O891" s="85">
        <f>IF(OR(Y891="估算法",Y891="算法类",Y891="无法识别"),"",IF(Y891="",IF(OR(J891="ILF",J891="EIF",J891="EI",J891="EO",J891="EQ"),0,""),LEN(Y891)-LEN(SUBSTITUTE(SUBSTITUTE(SUBSTITUTE(SUBSTITUTE(SUBSTITUTE(Y891,"|}","--"),"{|","--"),CHAR(10),""),"、",""),"|",""))+IF(AND(OR(J891="EI",J891="EO",J891="EQ"),$AE$1="NESMA"),2,1)))</f>
        <v/>
      </c>
      <c r="P891" s="86">
        <f>IF(J891="EI",IF(OR(Y891="估算法",Y891="算法类"),"中",IF(Y891="无法识别","低",IF(M891&lt;2,IF(O891&lt;16,"低","中"),IF(M891&lt;3,IF(O891&lt;5,"低",IF(O891&lt;16,"中","高")),IF(O891&lt;5,"中","高"))))),IF(OR(J891="EO",J891="EQ"),IF(OR(Y891="估算法",Y891="算法类"),"中",IF(Y891="无法识别","低",IF(M891&lt;2,IF(O891&lt;20,"低","中"),IF(M891&lt;4,IF(O891&lt;6,"低",IF(O891&lt;20,"中","高")),IF(O891&lt;6,"中","高"))))),IF(OR(J891="ILF",J891="EIF"),IF(OR(Y891="估算法",Y891="算法类",Y891="无法识别"),"低",IF(N891&lt;2,IF(O891&lt;51,"低","中"),IF(N891&lt;6,IF(O891&lt;20,"低",IF(O891&lt;51,"中","高")),IF(O891&lt;20,"中","高")))),"不计算")))</f>
        <v/>
      </c>
      <c r="Q891" s="172">
        <f>IFERROR(IF(J891="EI",IF(P891="低",3,IF(P891="中",4,6)),IF(J891="EO",IF(P891="低",4,IF(P891="中",5,7)),IF(J891="EQ",IF(P891="低",3,IF(P891="中",4,6)),IF(J891="ILF",IF(P891="低",7,IF(P891="中",10,15)),IF(J891="EIF",IF(P891="低",5,IF(P891="中",7,10)),"不计算")))))*R891,"不计算")</f>
        <v/>
      </c>
      <c r="R891" s="172" t="n">
        <v>1</v>
      </c>
      <c r="S891" s="173">
        <f>调整因子!$F$13</f>
        <v/>
      </c>
      <c r="T891" s="92" t="n">
        <v>1</v>
      </c>
      <c r="U891" s="174">
        <f>IFERROR(Q891*S891,0)</f>
        <v/>
      </c>
      <c r="V891" s="174">
        <f>U891*T891</f>
        <v/>
      </c>
      <c r="W891" s="90" t="inlineStr">
        <is>
          <t>自动化执行步骤表</t>
        </is>
      </c>
      <c r="X891" s="91" t="n"/>
      <c r="Y891"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1" s="90" t="n"/>
      <c r="AA891" s="90" t="n"/>
    </row>
    <row r="892" s="112">
      <c r="A892" s="72">
        <f>ROW()-1</f>
        <v/>
      </c>
      <c r="B892" s="175" t="n"/>
      <c r="C892" s="80" t="n">
        <v>2025</v>
      </c>
      <c r="D892" s="80" t="inlineStr">
        <is>
          <t>蔡云飞</t>
        </is>
      </c>
      <c r="E892" s="81">
        <f>VLOOKUP(I892,'25年交付功能（不含废弃）'!A:A,1,FALSE)</f>
        <v/>
      </c>
      <c r="F892" s="175" t="n"/>
      <c r="G892" s="175" t="n"/>
      <c r="H892" s="175" t="n"/>
      <c r="I892" s="98" t="inlineStr">
        <is>
          <t>自动化执行步骤表</t>
        </is>
      </c>
      <c r="J892" s="93" t="inlineStr">
        <is>
          <t>ILF</t>
        </is>
      </c>
      <c r="K892" s="84" t="n"/>
      <c r="L892" s="84" t="n"/>
      <c r="M892" s="85">
        <f>IF(OR(Y892="估算法",Y892="算法类",Y892="无法识别"),"",IF(W892="",IF(OR(J892="EI",J892="EO",J892="EQ"),0,""),LEN(W892)-LEN(SUBSTITUTE(W892,"、",""))+1))</f>
        <v/>
      </c>
      <c r="N892" s="85">
        <f>IF(OR(Y892="估算法",Y892="算法类",Y892="无法识别"),"",IF(X892="",IF(OR(J892="ILF",J892="EIF"),0,""),LEN(X892)-LEN(SUBSTITUTE(X892,"、",""))+1))</f>
        <v/>
      </c>
      <c r="O892" s="85">
        <f>IF(OR(Y892="估算法",Y892="算法类",Y892="无法识别"),"",IF(Y892="",IF(OR(J892="ILF",J892="EIF",J892="EI",J892="EO",J892="EQ"),0,""),LEN(Y892)-LEN(SUBSTITUTE(SUBSTITUTE(SUBSTITUTE(SUBSTITUTE(SUBSTITUTE(Y892,"|}","--"),"{|","--"),CHAR(10),""),"、",""),"|",""))+IF(AND(OR(J892="EI",J892="EO",J892="EQ"),$AE$1="NESMA"),2,1)))</f>
        <v/>
      </c>
      <c r="P892" s="86">
        <f>IF(J892="EI",IF(OR(Y892="估算法",Y892="算法类"),"中",IF(Y892="无法识别","低",IF(M892&lt;2,IF(O892&lt;16,"低","中"),IF(M892&lt;3,IF(O892&lt;5,"低",IF(O892&lt;16,"中","高")),IF(O892&lt;5,"中","高"))))),IF(OR(J892="EO",J892="EQ"),IF(OR(Y892="估算法",Y892="算法类"),"中",IF(Y892="无法识别","低",IF(M892&lt;2,IF(O892&lt;20,"低","中"),IF(M892&lt;4,IF(O892&lt;6,"低",IF(O892&lt;20,"中","高")),IF(O892&lt;6,"中","高"))))),IF(OR(J892="ILF",J892="EIF"),IF(OR(Y892="估算法",Y892="算法类",Y892="无法识别"),"低",IF(N892&lt;2,IF(O892&lt;51,"低","中"),IF(N892&lt;6,IF(O892&lt;20,"低",IF(O892&lt;51,"中","高")),IF(O892&lt;20,"中","高")))),"不计算")))</f>
        <v/>
      </c>
      <c r="Q892" s="172">
        <f>IFERROR(IF(J892="EI",IF(P892="低",3,IF(P892="中",4,6)),IF(J892="EO",IF(P892="低",4,IF(P892="中",5,7)),IF(J892="EQ",IF(P892="低",3,IF(P892="中",4,6)),IF(J892="ILF",IF(P892="低",7,IF(P892="中",10,15)),IF(J892="EIF",IF(P892="低",5,IF(P892="中",7,10)),"不计算")))))*R892,"不计算")</f>
        <v/>
      </c>
      <c r="R892" s="172" t="n">
        <v>1</v>
      </c>
      <c r="S892" s="173">
        <f>调整因子!$F$13</f>
        <v/>
      </c>
      <c r="T892" s="92" t="n">
        <v>1</v>
      </c>
      <c r="U892" s="174">
        <f>IFERROR(Q892*S892,0)</f>
        <v/>
      </c>
      <c r="V892" s="174">
        <f>U892*T892</f>
        <v/>
      </c>
      <c r="W892" s="91" t="n"/>
      <c r="X892" s="90" t="inlineStr">
        <is>
          <t>自动化执行步骤表</t>
        </is>
      </c>
      <c r="Y892" s="90" t="inlineStr">
        <is>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is>
      </c>
      <c r="Z892" s="90">
        <f>IF(COUNTIFS(W:W,"*"&amp;I892&amp;"*")&gt;0,"存在","不存在")</f>
        <v/>
      </c>
      <c r="AA892" s="90">
        <f>IF(COUNTIFS(AB:AB,"*"&amp;I892&amp;"*")&gt;0,"存在","不存在")</f>
        <v/>
      </c>
    </row>
    <row r="893" s="112">
      <c r="A893" s="72">
        <f>ROW()-1</f>
        <v/>
      </c>
      <c r="B893" s="175" t="n"/>
      <c r="C893" s="80" t="n">
        <v>2025</v>
      </c>
      <c r="D893" s="80" t="inlineStr">
        <is>
          <t>蔡云飞</t>
        </is>
      </c>
      <c r="E893" s="81">
        <f>VLOOKUP(I893,'25年交付功能（不含废弃）'!A:A,1,FALSE)</f>
        <v/>
      </c>
      <c r="F893" s="175" t="n"/>
      <c r="G893" s="176" t="n"/>
      <c r="H893" s="176" t="n"/>
      <c r="I893" s="98" t="inlineStr">
        <is>
          <t>自动化执行步骤操作日志表</t>
        </is>
      </c>
      <c r="J893" s="93" t="n"/>
      <c r="K893" s="84" t="n"/>
      <c r="L893" s="84" t="inlineStr">
        <is>
          <t>数据库表未被本系统所使用</t>
        </is>
      </c>
      <c r="M893" s="85">
        <f>IF(OR(Y893="估算法",Y893="算法类",Y893="无法识别"),"",IF(W893="",IF(OR(J893="EI",J893="EO",J893="EQ"),0,""),LEN(W893)-LEN(SUBSTITUTE(W893,"、",""))+1))</f>
        <v/>
      </c>
      <c r="N893" s="85">
        <f>IF(OR(Y893="估算法",Y893="算法类",Y893="无法识别"),"",IF(X893="",IF(OR(J893="ILF",J893="EIF"),0,""),LEN(X893)-LEN(SUBSTITUTE(X893,"、",""))+1))</f>
        <v/>
      </c>
      <c r="O893" s="85">
        <f>IF(OR(Y893="估算法",Y893="算法类",Y893="无法识别"),"",IF(Y893="",IF(OR(J893="ILF",J893="EIF",J893="EI",J893="EO",J893="EQ"),0,""),LEN(Y893)-LEN(SUBSTITUTE(SUBSTITUTE(SUBSTITUTE(SUBSTITUTE(SUBSTITUTE(Y893,"|}","--"),"{|","--"),CHAR(10),""),"、",""),"|",""))+IF(AND(OR(J893="EI",J893="EO",J893="EQ"),$AE$1="NESMA"),2,1)))</f>
        <v/>
      </c>
      <c r="P893" s="86">
        <f>IF(J893="EI",IF(OR(Y893="估算法",Y893="算法类"),"中",IF(Y893="无法识别","低",IF(M893&lt;2,IF(O893&lt;16,"低","中"),IF(M893&lt;3,IF(O893&lt;5,"低",IF(O893&lt;16,"中","高")),IF(O893&lt;5,"中","高"))))),IF(OR(J893="EO",J893="EQ"),IF(OR(Y893="估算法",Y893="算法类"),"中",IF(Y893="无法识别","低",IF(M893&lt;2,IF(O893&lt;20,"低","中"),IF(M893&lt;4,IF(O893&lt;6,"低",IF(O893&lt;20,"中","高")),IF(O893&lt;6,"中","高"))))),IF(OR(J893="ILF",J893="EIF"),IF(OR(Y893="估算法",Y893="算法类",Y893="无法识别"),"低",IF(N893&lt;2,IF(O893&lt;51,"低","中"),IF(N893&lt;6,IF(O893&lt;20,"低",IF(O893&lt;51,"中","高")),IF(O893&lt;20,"中","高")))),"不计算")))</f>
        <v/>
      </c>
      <c r="Q893" s="172">
        <f>IFERROR(IF(J893="EI",IF(P893="低",3,IF(P893="中",4,6)),IF(J893="EO",IF(P893="低",4,IF(P893="中",5,7)),IF(J893="EQ",IF(P893="低",3,IF(P893="中",4,6)),IF(J893="ILF",IF(P893="低",7,IF(P893="中",10,15)),IF(J893="EIF",IF(P893="低",5,IF(P893="中",7,10)),"不计算")))))*R893,"不计算")</f>
        <v/>
      </c>
      <c r="R893" s="172" t="n">
        <v>1</v>
      </c>
      <c r="S893" s="173">
        <f>调整因子!$F$13</f>
        <v/>
      </c>
      <c r="T893" s="93" t="n">
        <v>1</v>
      </c>
      <c r="U893" s="174">
        <f>IFERROR(Q893*S893,0)</f>
        <v/>
      </c>
      <c r="V893" s="174">
        <f>U893*T893</f>
        <v/>
      </c>
      <c r="W893" s="91" t="n"/>
      <c r="X893" s="90" t="inlineStr">
        <is>
          <t>自动化执行步骤操作日志表</t>
        </is>
      </c>
      <c r="Y893" s="90" t="inlineStr">
        <is>
          <t>自动化执行步骤操作日志表
{日志ID、步骤ID、操作类型、操作人、操作时间、操作内容、变更前内容、变更后内容、结果状态、备注}</t>
        </is>
      </c>
      <c r="Z893" s="90">
        <f>IF(COUNTIFS(W:W,"*"&amp;I893&amp;"*")&gt;0,"存在","不存在")</f>
        <v/>
      </c>
      <c r="AA893" s="90">
        <f>IF(COUNTIFS(AB:AB,"*"&amp;I893&amp;"*")&gt;0,"存在","不存在")</f>
        <v/>
      </c>
    </row>
    <row r="894" s="112">
      <c r="A894" s="72">
        <f>ROW()-1</f>
        <v/>
      </c>
      <c r="B894" s="175" t="n"/>
      <c r="C894" s="80" t="n">
        <v>2025</v>
      </c>
      <c r="D894" s="80" t="inlineStr">
        <is>
          <t>窦鹏岐</t>
        </is>
      </c>
      <c r="E894" s="81">
        <f>VLOOKUP(I894,'25年交付功能（不含废弃）'!A:A,1,FALSE)</f>
        <v/>
      </c>
      <c r="F894" s="175" t="n"/>
      <c r="G894" s="82" t="inlineStr">
        <is>
          <t>实时监控记录</t>
        </is>
      </c>
      <c r="H894" s="82" t="inlineStr">
        <is>
          <t>状态数据记录</t>
        </is>
      </c>
      <c r="I894" s="81" t="inlineStr">
        <is>
          <t>创建工单状态记录</t>
        </is>
      </c>
      <c r="J894" s="93" t="inlineStr">
        <is>
          <t>EI</t>
        </is>
      </c>
      <c r="K894" s="84" t="n"/>
      <c r="L894" s="84" t="n"/>
      <c r="M894" s="85">
        <f>IF(OR(Y894="估算法",Y894="算法类",Y894="无法识别"),"",IF(W894="",IF(OR(J894="EI",J894="EO",J894="EQ"),0,""),LEN(W894)-LEN(SUBSTITUTE(W894,"、",""))+1))</f>
        <v/>
      </c>
      <c r="N894" s="85">
        <f>IF(OR(Y894="估算法",Y894="算法类",Y894="无法识别"),"",IF(X894="",IF(OR(J894="ILF",J894="EIF"),0,""),LEN(X894)-LEN(SUBSTITUTE(X894,"、",""))+1))</f>
        <v/>
      </c>
      <c r="O894" s="85">
        <f>IF(OR(Y894="估算法",Y894="算法类",Y894="无法识别"),"",IF(Y894="",IF(OR(J894="ILF",J894="EIF",J894="EI",J894="EO",J894="EQ"),0,""),LEN(Y894)-LEN(SUBSTITUTE(SUBSTITUTE(SUBSTITUTE(SUBSTITUTE(SUBSTITUTE(Y894,"|}","--"),"{|","--"),CHAR(10),""),"、",""),"|",""))+IF(AND(OR(J894="EI",J894="EO",J894="EQ"),$AE$1="NESMA"),2,1)))</f>
        <v/>
      </c>
      <c r="P894" s="86">
        <f>IF(J894="EI",IF(OR(Y894="估算法",Y894="算法类"),"中",IF(Y894="无法识别","低",IF(M894&lt;2,IF(O894&lt;16,"低","中"),IF(M894&lt;3,IF(O894&lt;5,"低",IF(O894&lt;16,"中","高")),IF(O894&lt;5,"中","高"))))),IF(OR(J894="EO",J894="EQ"),IF(OR(Y894="估算法",Y894="算法类"),"中",IF(Y894="无法识别","低",IF(M894&lt;2,IF(O894&lt;20,"低","中"),IF(M894&lt;4,IF(O894&lt;6,"低",IF(O894&lt;20,"中","高")),IF(O894&lt;6,"中","高"))))),IF(OR(J894="ILF",J894="EIF"),IF(OR(Y894="估算法",Y894="算法类",Y894="无法识别"),"低",IF(N894&lt;2,IF(O894&lt;51,"低","中"),IF(N894&lt;6,IF(O894&lt;20,"低",IF(O894&lt;51,"中","高")),IF(O894&lt;20,"中","高")))),"不计算")))</f>
        <v/>
      </c>
      <c r="Q894" s="172">
        <f>IFERROR(IF(J894="EI",IF(P894="低",3,IF(P894="中",4,6)),IF(J894="EO",IF(P894="低",4,IF(P894="中",5,7)),IF(J894="EQ",IF(P894="低",3,IF(P894="中",4,6)),IF(J894="ILF",IF(P894="低",7,IF(P894="中",10,15)),IF(J894="EIF",IF(P894="低",5,IF(P894="中",7,10)),"不计算")))))*R894,"不计算")</f>
        <v/>
      </c>
      <c r="R894" s="172" t="n">
        <v>1</v>
      </c>
      <c r="S894" s="173">
        <f>调整因子!$F$13</f>
        <v/>
      </c>
      <c r="T894" s="93" t="n">
        <v>1</v>
      </c>
      <c r="U894" s="174">
        <f>IFERROR(Q894*S894,0)</f>
        <v/>
      </c>
      <c r="V894" s="174">
        <f>U894*T894</f>
        <v/>
      </c>
      <c r="W894" s="93" t="inlineStr">
        <is>
          <t>工单状态记录表</t>
        </is>
      </c>
      <c r="X894" s="98" t="n"/>
      <c r="Y894" s="93" t="inlineStr">
        <is>
          <t>工单状态记录表{主键 id 、工单 id 、原状态、新状态、状态变更时间、变更人}</t>
        </is>
      </c>
      <c r="Z894" s="90" t="n"/>
      <c r="AA894" s="90" t="n"/>
    </row>
    <row r="895" s="112">
      <c r="A895" s="72">
        <f>ROW()-1</f>
        <v/>
      </c>
      <c r="B895" s="175" t="n"/>
      <c r="C895" s="80" t="n">
        <v>2025</v>
      </c>
      <c r="D895" s="80" t="inlineStr">
        <is>
          <t>窦鹏岐</t>
        </is>
      </c>
      <c r="E895" s="81">
        <f>VLOOKUP(I895,'25年交付功能（不含废弃）'!A:A,1,FALSE)</f>
        <v/>
      </c>
      <c r="F895" s="175" t="n"/>
      <c r="G895" s="175" t="n"/>
      <c r="H895" s="175" t="n"/>
      <c r="I895" s="81" t="inlineStr">
        <is>
          <t>变更工单状态</t>
        </is>
      </c>
      <c r="J895" s="93" t="inlineStr">
        <is>
          <t>EI</t>
        </is>
      </c>
      <c r="K895" s="84" t="n"/>
      <c r="L895" s="84" t="n"/>
      <c r="M895" s="85">
        <f>IF(OR(Y895="估算法",Y895="算法类",Y895="无法识别"),"",IF(W895="",IF(OR(J895="EI",J895="EO",J895="EQ"),0,""),LEN(W895)-LEN(SUBSTITUTE(W895,"、",""))+1))</f>
        <v/>
      </c>
      <c r="N895" s="85">
        <f>IF(OR(Y895="估算法",Y895="算法类",Y895="无法识别"),"",IF(X895="",IF(OR(J895="ILF",J895="EIF"),0,""),LEN(X895)-LEN(SUBSTITUTE(X895,"、",""))+1))</f>
        <v/>
      </c>
      <c r="O895" s="85">
        <f>IF(OR(Y895="估算法",Y895="算法类",Y895="无法识别"),"",IF(Y895="",IF(OR(J895="ILF",J895="EIF",J895="EI",J895="EO",J895="EQ"),0,""),LEN(Y895)-LEN(SUBSTITUTE(SUBSTITUTE(SUBSTITUTE(SUBSTITUTE(SUBSTITUTE(Y895,"|}","--"),"{|","--"),CHAR(10),""),"、",""),"|",""))+IF(AND(OR(J895="EI",J895="EO",J895="EQ"),$AE$1="NESMA"),2,1)))</f>
        <v/>
      </c>
      <c r="P895" s="86">
        <f>IF(J895="EI",IF(OR(Y895="估算法",Y895="算法类"),"中",IF(Y895="无法识别","低",IF(M895&lt;2,IF(O895&lt;16,"低","中"),IF(M895&lt;3,IF(O895&lt;5,"低",IF(O895&lt;16,"中","高")),IF(O895&lt;5,"中","高"))))),IF(OR(J895="EO",J895="EQ"),IF(OR(Y895="估算法",Y895="算法类"),"中",IF(Y895="无法识别","低",IF(M895&lt;2,IF(O895&lt;20,"低","中"),IF(M895&lt;4,IF(O895&lt;6,"低",IF(O895&lt;20,"中","高")),IF(O895&lt;6,"中","高"))))),IF(OR(J895="ILF",J895="EIF"),IF(OR(Y895="估算法",Y895="算法类",Y895="无法识别"),"低",IF(N895&lt;2,IF(O895&lt;51,"低","中"),IF(N895&lt;6,IF(O895&lt;20,"低",IF(O895&lt;51,"中","高")),IF(O895&lt;20,"中","高")))),"不计算")))</f>
        <v/>
      </c>
      <c r="Q895" s="172">
        <f>IFERROR(IF(J895="EI",IF(P895="低",3,IF(P895="中",4,6)),IF(J895="EO",IF(P895="低",4,IF(P895="中",5,7)),IF(J895="EQ",IF(P895="低",3,IF(P895="中",4,6)),IF(J895="ILF",IF(P895="低",7,IF(P895="中",10,15)),IF(J895="EIF",IF(P895="低",5,IF(P895="中",7,10)),"不计算")))))*R895,"不计算")</f>
        <v/>
      </c>
      <c r="R895" s="172" t="n">
        <v>1</v>
      </c>
      <c r="S895" s="173">
        <f>调整因子!$F$13</f>
        <v/>
      </c>
      <c r="T895" s="92" t="n">
        <v>1</v>
      </c>
      <c r="U895" s="174">
        <f>IFERROR(Q895*S895,0)</f>
        <v/>
      </c>
      <c r="V895" s="174">
        <f>U895*T895</f>
        <v/>
      </c>
      <c r="W895" s="93" t="inlineStr">
        <is>
          <t>工单状态记录表</t>
        </is>
      </c>
      <c r="X895" s="98" t="n"/>
      <c r="Y895" s="93" t="inlineStr">
        <is>
          <t>工单状态记录表{主键 id 、工单 id 、原状态、新状态、状态变更时间、变更人}</t>
        </is>
      </c>
      <c r="Z895" s="90" t="n"/>
      <c r="AA895" s="90" t="n"/>
    </row>
    <row r="896" s="112">
      <c r="A896" s="72">
        <f>ROW()-1</f>
        <v/>
      </c>
      <c r="B896" s="175" t="n"/>
      <c r="C896" s="80" t="n">
        <v>2025</v>
      </c>
      <c r="D896" s="80" t="inlineStr">
        <is>
          <t>窦鹏岐</t>
        </is>
      </c>
      <c r="E896" s="81">
        <f>VLOOKUP(I896,'25年交付功能（不含废弃）'!A:A,1,FALSE)</f>
        <v/>
      </c>
      <c r="F896" s="175" t="n"/>
      <c r="G896" s="175" t="n"/>
      <c r="H896" s="175" t="n"/>
      <c r="I896" s="81" t="inlineStr">
        <is>
          <t>导出状态变化日志</t>
        </is>
      </c>
      <c r="J896" s="93" t="inlineStr">
        <is>
          <t>EO</t>
        </is>
      </c>
      <c r="K896" s="84" t="n"/>
      <c r="L896" s="84" t="n"/>
      <c r="M896" s="85">
        <f>IF(OR(Y896="估算法",Y896="算法类",Y896="无法识别"),"",IF(W896="",IF(OR(J896="EI",J896="EO",J896="EQ"),0,""),LEN(W896)-LEN(SUBSTITUTE(W896,"、",""))+1))</f>
        <v/>
      </c>
      <c r="N896" s="85">
        <f>IF(OR(Y896="估算法",Y896="算法类",Y896="无法识别"),"",IF(X896="",IF(OR(J896="ILF",J896="EIF"),0,""),LEN(X896)-LEN(SUBSTITUTE(X896,"、",""))+1))</f>
        <v/>
      </c>
      <c r="O896" s="85">
        <f>IF(OR(Y896="估算法",Y896="算法类",Y896="无法识别"),"",IF(Y896="",IF(OR(J896="ILF",J896="EIF",J896="EI",J896="EO",J896="EQ"),0,""),LEN(Y896)-LEN(SUBSTITUTE(SUBSTITUTE(SUBSTITUTE(SUBSTITUTE(SUBSTITUTE(Y896,"|}","--"),"{|","--"),CHAR(10),""),"、",""),"|",""))+IF(AND(OR(J896="EI",J896="EO",J896="EQ"),$AE$1="NESMA"),2,1)))</f>
        <v/>
      </c>
      <c r="P896" s="86">
        <f>IF(J896="EI",IF(OR(Y896="估算法",Y896="算法类"),"中",IF(Y896="无法识别","低",IF(M896&lt;2,IF(O896&lt;16,"低","中"),IF(M896&lt;3,IF(O896&lt;5,"低",IF(O896&lt;16,"中","高")),IF(O896&lt;5,"中","高"))))),IF(OR(J896="EO",J896="EQ"),IF(OR(Y896="估算法",Y896="算法类"),"中",IF(Y896="无法识别","低",IF(M896&lt;2,IF(O896&lt;20,"低","中"),IF(M896&lt;4,IF(O896&lt;6,"低",IF(O896&lt;20,"中","高")),IF(O896&lt;6,"中","高"))))),IF(OR(J896="ILF",J896="EIF"),IF(OR(Y896="估算法",Y896="算法类",Y896="无法识别"),"低",IF(N896&lt;2,IF(O896&lt;51,"低","中"),IF(N896&lt;6,IF(O896&lt;20,"低",IF(O896&lt;51,"中","高")),IF(O896&lt;20,"中","高")))),"不计算")))</f>
        <v/>
      </c>
      <c r="Q896" s="172">
        <f>IFERROR(IF(J896="EI",IF(P896="低",3,IF(P896="中",4,6)),IF(J896="EO",IF(P896="低",4,IF(P896="中",5,7)),IF(J896="EQ",IF(P896="低",3,IF(P896="中",4,6)),IF(J896="ILF",IF(P896="低",7,IF(P896="中",10,15)),IF(J896="EIF",IF(P896="低",5,IF(P896="中",7,10)),"不计算")))))*R896,"不计算")</f>
        <v/>
      </c>
      <c r="R896" s="172" t="n">
        <v>1</v>
      </c>
      <c r="S896" s="173">
        <f>调整因子!$F$13</f>
        <v/>
      </c>
      <c r="T896" s="92" t="n">
        <v>1</v>
      </c>
      <c r="U896" s="174">
        <f>IFERROR(Q896*S896,0)</f>
        <v/>
      </c>
      <c r="V896" s="174">
        <f>U896*T896</f>
        <v/>
      </c>
      <c r="W896" s="93" t="inlineStr">
        <is>
          <t>状态变化日志表</t>
        </is>
      </c>
      <c r="X896" s="98" t="n"/>
      <c r="Y896" s="93" t="inlineStr">
        <is>
          <t>状态变化日志表{主键 id 、工单状态记录表 id 、日志记录时间、日志详情 }</t>
        </is>
      </c>
      <c r="Z896" s="90" t="n"/>
      <c r="AA896" s="90" t="n"/>
    </row>
    <row r="897" s="112">
      <c r="A897" s="72">
        <f>ROW()-1</f>
        <v/>
      </c>
      <c r="B897" s="175" t="n"/>
      <c r="C897" s="80" t="n">
        <v>2025</v>
      </c>
      <c r="D897" s="80" t="inlineStr">
        <is>
          <t>窦鹏岐</t>
        </is>
      </c>
      <c r="E897" s="81">
        <f>VLOOKUP(I897,'25年交付功能（不含废弃）'!A:A,1,FALSE)</f>
        <v/>
      </c>
      <c r="F897" s="175" t="n"/>
      <c r="G897" s="175" t="n"/>
      <c r="H897" s="175" t="n"/>
      <c r="I897" s="81" t="inlineStr">
        <is>
          <t>查看历史状态</t>
        </is>
      </c>
      <c r="J897" s="93" t="inlineStr">
        <is>
          <t>EQ</t>
        </is>
      </c>
      <c r="K897" s="84" t="n"/>
      <c r="L897" s="84" t="n"/>
      <c r="M897" s="85">
        <f>IF(OR(Y897="估算法",Y897="算法类",Y897="无法识别"),"",IF(W897="",IF(OR(J897="EI",J897="EO",J897="EQ"),0,""),LEN(W897)-LEN(SUBSTITUTE(W897,"、",""))+1))</f>
        <v/>
      </c>
      <c r="N897" s="85">
        <f>IF(OR(Y897="估算法",Y897="算法类",Y897="无法识别"),"",IF(X897="",IF(OR(J897="ILF",J897="EIF"),0,""),LEN(X897)-LEN(SUBSTITUTE(X897,"、",""))+1))</f>
        <v/>
      </c>
      <c r="O897" s="85">
        <f>IF(OR(Y897="估算法",Y897="算法类",Y897="无法识别"),"",IF(Y897="",IF(OR(J897="ILF",J897="EIF",J897="EI",J897="EO",J897="EQ"),0,""),LEN(Y897)-LEN(SUBSTITUTE(SUBSTITUTE(SUBSTITUTE(SUBSTITUTE(SUBSTITUTE(Y897,"|}","--"),"{|","--"),CHAR(10),""),"、",""),"|",""))+IF(AND(OR(J897="EI",J897="EO",J897="EQ"),$AE$1="NESMA"),2,1)))</f>
        <v/>
      </c>
      <c r="P897" s="86">
        <f>IF(J897="EI",IF(OR(Y897="估算法",Y897="算法类"),"中",IF(Y897="无法识别","低",IF(M897&lt;2,IF(O897&lt;16,"低","中"),IF(M897&lt;3,IF(O897&lt;5,"低",IF(O897&lt;16,"中","高")),IF(O897&lt;5,"中","高"))))),IF(OR(J897="EO",J897="EQ"),IF(OR(Y897="估算法",Y897="算法类"),"中",IF(Y897="无法识别","低",IF(M897&lt;2,IF(O897&lt;20,"低","中"),IF(M897&lt;4,IF(O897&lt;6,"低",IF(O897&lt;20,"中","高")),IF(O897&lt;6,"中","高"))))),IF(OR(J897="ILF",J897="EIF"),IF(OR(Y897="估算法",Y897="算法类",Y897="无法识别"),"低",IF(N897&lt;2,IF(O897&lt;51,"低","中"),IF(N897&lt;6,IF(O897&lt;20,"低",IF(O897&lt;51,"中","高")),IF(O897&lt;20,"中","高")))),"不计算")))</f>
        <v/>
      </c>
      <c r="Q897" s="172">
        <f>IFERROR(IF(J897="EI",IF(P897="低",3,IF(P897="中",4,6)),IF(J897="EO",IF(P897="低",4,IF(P897="中",5,7)),IF(J897="EQ",IF(P897="低",3,IF(P897="中",4,6)),IF(J897="ILF",IF(P897="低",7,IF(P897="中",10,15)),IF(J897="EIF",IF(P897="低",5,IF(P897="中",7,10)),"不计算")))))*R897,"不计算")</f>
        <v/>
      </c>
      <c r="R897" s="172" t="n">
        <v>1</v>
      </c>
      <c r="S897" s="173">
        <f>调整因子!$F$13</f>
        <v/>
      </c>
      <c r="T897" s="93" t="n">
        <v>1</v>
      </c>
      <c r="U897" s="174">
        <f>IFERROR(Q897*S897,0)</f>
        <v/>
      </c>
      <c r="V897" s="174">
        <f>U897*T897</f>
        <v/>
      </c>
      <c r="W897" s="93" t="inlineStr">
        <is>
          <t>工单状态记录表、状态变化日志表、历史状态查看记录表</t>
        </is>
      </c>
      <c r="X897" s="98" t="n"/>
      <c r="Y897" s="93" t="inlineStr">
        <is>
          <t>工单状态记录表{主键 id 、工单 id 、原状态、新状态、状态变更时间、变更人}
状态变化日志表{主键 id 、工单状态记录表 id 、日志记录时间、日志详情 }
历史状态查看记录表{主键 id 、工单 id 、查看时间、查看人、查看时状态}</t>
        </is>
      </c>
      <c r="Z897" s="90" t="n"/>
      <c r="AA897" s="90" t="n"/>
    </row>
    <row r="898" s="112">
      <c r="A898" s="72">
        <f>ROW()-1</f>
        <v/>
      </c>
      <c r="B898" s="175" t="n"/>
      <c r="C898" s="80" t="n">
        <v>2025</v>
      </c>
      <c r="D898" s="80" t="inlineStr">
        <is>
          <t>窦鹏岐</t>
        </is>
      </c>
      <c r="E898" s="81">
        <f>VLOOKUP(I898,'25年交付功能（不含废弃）'!A:A,1,FALSE)</f>
        <v/>
      </c>
      <c r="F898" s="175" t="n"/>
      <c r="G898" s="175" t="n"/>
      <c r="H898" s="176" t="n"/>
      <c r="I898" s="81" t="inlineStr">
        <is>
          <t>过滤查询</t>
        </is>
      </c>
      <c r="J898" s="93" t="inlineStr">
        <is>
          <t>EQ</t>
        </is>
      </c>
      <c r="K898" s="84" t="n"/>
      <c r="L898" s="84" t="n"/>
      <c r="M898" s="85">
        <f>IF(OR(Y898="估算法",Y898="算法类",Y898="无法识别"),"",IF(W898="",IF(OR(J898="EI",J898="EO",J898="EQ"),0,""),LEN(W898)-LEN(SUBSTITUTE(W898,"、",""))+1))</f>
        <v/>
      </c>
      <c r="N898" s="85">
        <f>IF(OR(Y898="估算法",Y898="算法类",Y898="无法识别"),"",IF(X898="",IF(OR(J898="ILF",J898="EIF"),0,""),LEN(X898)-LEN(SUBSTITUTE(X898,"、",""))+1))</f>
        <v/>
      </c>
      <c r="O898" s="85">
        <f>IF(OR(Y898="估算法",Y898="算法类",Y898="无法识别"),"",IF(Y898="",IF(OR(J898="ILF",J898="EIF",J898="EI",J898="EO",J898="EQ"),0,""),LEN(Y898)-LEN(SUBSTITUTE(SUBSTITUTE(SUBSTITUTE(SUBSTITUTE(SUBSTITUTE(Y898,"|}","--"),"{|","--"),CHAR(10),""),"、",""),"|",""))+IF(AND(OR(J898="EI",J898="EO",J898="EQ"),$AE$1="NESMA"),2,1)))</f>
        <v/>
      </c>
      <c r="P898" s="86">
        <f>IF(J898="EI",IF(OR(Y898="估算法",Y898="算法类"),"中",IF(Y898="无法识别","低",IF(M898&lt;2,IF(O898&lt;16,"低","中"),IF(M898&lt;3,IF(O898&lt;5,"低",IF(O898&lt;16,"中","高")),IF(O898&lt;5,"中","高"))))),IF(OR(J898="EO",J898="EQ"),IF(OR(Y898="估算法",Y898="算法类"),"中",IF(Y898="无法识别","低",IF(M898&lt;2,IF(O898&lt;20,"低","中"),IF(M898&lt;4,IF(O898&lt;6,"低",IF(O898&lt;20,"中","高")),IF(O898&lt;6,"中","高"))))),IF(OR(J898="ILF",J898="EIF"),IF(OR(Y898="估算法",Y898="算法类",Y898="无法识别"),"低",IF(N898&lt;2,IF(O898&lt;51,"低","中"),IF(N898&lt;6,IF(O898&lt;20,"低",IF(O898&lt;51,"中","高")),IF(O898&lt;20,"中","高")))),"不计算")))</f>
        <v/>
      </c>
      <c r="Q898" s="172">
        <f>IFERROR(IF(J898="EI",IF(P898="低",3,IF(P898="中",4,6)),IF(J898="EO",IF(P898="低",4,IF(P898="中",5,7)),IF(J898="EQ",IF(P898="低",3,IF(P898="中",4,6)),IF(J898="ILF",IF(P898="低",7,IF(P898="中",10,15)),IF(J898="EIF",IF(P898="低",5,IF(P898="中",7,10)),"不计算")))))*R898,"不计算")</f>
        <v/>
      </c>
      <c r="R898" s="172" t="n">
        <v>1</v>
      </c>
      <c r="S898" s="173">
        <f>调整因子!$F$13</f>
        <v/>
      </c>
      <c r="T898" s="92" t="n">
        <v>1</v>
      </c>
      <c r="U898" s="174">
        <f>IFERROR(Q898*S898,0)</f>
        <v/>
      </c>
      <c r="V898" s="174">
        <f>U898*T898</f>
        <v/>
      </c>
      <c r="W898" s="93" t="inlineStr">
        <is>
          <t>工单状态记录表、状态过滤查询记录表</t>
        </is>
      </c>
      <c r="X898" s="98" t="n"/>
      <c r="Y898" s="93" t="inlineStr">
        <is>
          <t>工单状态记录表{主键 id 、工单 id 、原状态、新状态、状态变更时间、变更人}
状态过滤查询记录表{主键 id 、用户 id 、过滤条件、查询时间、查询结果摘要}</t>
        </is>
      </c>
      <c r="Z898" s="90" t="n"/>
      <c r="AA898" s="90" t="n"/>
    </row>
    <row r="899" s="112">
      <c r="A899" s="72">
        <f>ROW()-1</f>
        <v/>
      </c>
      <c r="B899" s="175" t="n"/>
      <c r="C899" s="80" t="n">
        <v>2025</v>
      </c>
      <c r="D899" s="80" t="inlineStr">
        <is>
          <t>窦鹏岐</t>
        </is>
      </c>
      <c r="E899" s="81">
        <f>VLOOKUP(I899,'25年交付功能（不含废弃）'!A:A,1,FALSE)</f>
        <v/>
      </c>
      <c r="F899" s="175" t="n"/>
      <c r="G899" s="175" t="n"/>
      <c r="H899" s="82" t="inlineStr">
        <is>
          <t>异常情况捕捉</t>
        </is>
      </c>
      <c r="I899" s="81" t="inlineStr">
        <is>
          <t>修改异常捕捉规则</t>
        </is>
      </c>
      <c r="J899" s="93" t="inlineStr">
        <is>
          <t>EI</t>
        </is>
      </c>
      <c r="K899" s="84" t="n"/>
      <c r="L899" s="84" t="n"/>
      <c r="M899" s="85">
        <f>IF(OR(Y899="估算法",Y899="算法类",Y899="无法识别"),"",IF(W899="",IF(OR(J899="EI",J899="EO",J899="EQ"),0,""),LEN(W899)-LEN(SUBSTITUTE(W899,"、",""))+1))</f>
        <v/>
      </c>
      <c r="N899" s="85">
        <f>IF(OR(Y899="估算法",Y899="算法类",Y899="无法识别"),"",IF(X899="",IF(OR(J899="ILF",J899="EIF"),0,""),LEN(X899)-LEN(SUBSTITUTE(X899,"、",""))+1))</f>
        <v/>
      </c>
      <c r="O899" s="85">
        <f>IF(OR(Y899="估算法",Y899="算法类",Y899="无法识别"),"",IF(Y899="",IF(OR(J899="ILF",J899="EIF",J899="EI",J899="EO",J899="EQ"),0,""),LEN(Y899)-LEN(SUBSTITUTE(SUBSTITUTE(SUBSTITUTE(SUBSTITUTE(SUBSTITUTE(Y899,"|}","--"),"{|","--"),CHAR(10),""),"、",""),"|",""))+IF(AND(OR(J899="EI",J899="EO",J899="EQ"),$AE$1="NESMA"),2,1)))</f>
        <v/>
      </c>
      <c r="P899" s="86">
        <f>IF(J899="EI",IF(OR(Y899="估算法",Y899="算法类"),"中",IF(Y899="无法识别","低",IF(M899&lt;2,IF(O899&lt;16,"低","中"),IF(M899&lt;3,IF(O899&lt;5,"低",IF(O899&lt;16,"中","高")),IF(O899&lt;5,"中","高"))))),IF(OR(J899="EO",J899="EQ"),IF(OR(Y899="估算法",Y899="算法类"),"中",IF(Y899="无法识别","低",IF(M899&lt;2,IF(O899&lt;20,"低","中"),IF(M899&lt;4,IF(O899&lt;6,"低",IF(O899&lt;20,"中","高")),IF(O899&lt;6,"中","高"))))),IF(OR(J899="ILF",J899="EIF"),IF(OR(Y899="估算法",Y899="算法类",Y899="无法识别"),"低",IF(N899&lt;2,IF(O899&lt;51,"低","中"),IF(N899&lt;6,IF(O899&lt;20,"低",IF(O899&lt;51,"中","高")),IF(O899&lt;20,"中","高")))),"不计算")))</f>
        <v/>
      </c>
      <c r="Q899" s="172">
        <f>IFERROR(IF(J899="EI",IF(P899="低",3,IF(P899="中",4,6)),IF(J899="EO",IF(P899="低",4,IF(P899="中",5,7)),IF(J899="EQ",IF(P899="低",3,IF(P899="中",4,6)),IF(J899="ILF",IF(P899="低",7,IF(P899="中",10,15)),IF(J899="EIF",IF(P899="低",5,IF(P899="中",7,10)),"不计算")))))*R899,"不计算")</f>
        <v/>
      </c>
      <c r="R899" s="172" t="n">
        <v>0.333333333333333</v>
      </c>
      <c r="S899" s="173">
        <f>调整因子!$F$13</f>
        <v/>
      </c>
      <c r="T899" s="92" t="n">
        <v>1</v>
      </c>
      <c r="U899" s="174">
        <f>IFERROR(Q899*S899,0)</f>
        <v/>
      </c>
      <c r="V899" s="174">
        <f>U899*T899</f>
        <v/>
      </c>
      <c r="W899" s="93" t="inlineStr">
        <is>
          <t>异常捕捉规则表</t>
        </is>
      </c>
      <c r="X899" s="98" t="n"/>
      <c r="Y899" s="93" t="inlineStr">
        <is>
          <t>异常捕捉规则表{主键 id 、规则名称、规则描述、规则条件、规则状态（启用 / 禁用）、创建时间、更新时间}</t>
        </is>
      </c>
      <c r="Z899" s="90" t="n"/>
      <c r="AA899" s="90" t="n"/>
    </row>
    <row r="900" s="112">
      <c r="A900" s="72">
        <f>ROW()-1</f>
        <v/>
      </c>
      <c r="B900" s="175" t="n"/>
      <c r="C900" s="80" t="n">
        <v>2025</v>
      </c>
      <c r="D900" s="80" t="inlineStr">
        <is>
          <t>窦鹏岐</t>
        </is>
      </c>
      <c r="E900" s="81">
        <f>VLOOKUP(I900,'25年交付功能（不含废弃）'!A:A,1,FALSE)</f>
        <v/>
      </c>
      <c r="F900" s="175" t="n"/>
      <c r="G900" s="175" t="n"/>
      <c r="H900" s="175" t="n"/>
      <c r="I900" s="81" t="inlineStr">
        <is>
          <t>新增捕捉规则</t>
        </is>
      </c>
      <c r="J900" s="93" t="inlineStr">
        <is>
          <t>EI</t>
        </is>
      </c>
      <c r="K900" s="84" t="n"/>
      <c r="L900" s="84" t="n"/>
      <c r="M900" s="85">
        <f>IF(OR(Y900="估算法",Y900="算法类",Y900="无法识别"),"",IF(W900="",IF(OR(J900="EI",J900="EO",J900="EQ"),0,""),LEN(W900)-LEN(SUBSTITUTE(W900,"、",""))+1))</f>
        <v/>
      </c>
      <c r="N900" s="85">
        <f>IF(OR(Y900="估算法",Y900="算法类",Y900="无法识别"),"",IF(X900="",IF(OR(J900="ILF",J900="EIF"),0,""),LEN(X900)-LEN(SUBSTITUTE(X900,"、",""))+1))</f>
        <v/>
      </c>
      <c r="O900" s="85">
        <f>IF(OR(Y900="估算法",Y900="算法类",Y900="无法识别"),"",IF(Y900="",IF(OR(J900="ILF",J900="EIF",J900="EI",J900="EO",J900="EQ"),0,""),LEN(Y900)-LEN(SUBSTITUTE(SUBSTITUTE(SUBSTITUTE(SUBSTITUTE(SUBSTITUTE(Y900,"|}","--"),"{|","--"),CHAR(10),""),"、",""),"|",""))+IF(AND(OR(J900="EI",J900="EO",J900="EQ"),$AE$1="NESMA"),2,1)))</f>
        <v/>
      </c>
      <c r="P900" s="86">
        <f>IF(J900="EI",IF(OR(Y900="估算法",Y900="算法类"),"中",IF(Y900="无法识别","低",IF(M900&lt;2,IF(O900&lt;16,"低","中"),IF(M900&lt;3,IF(O900&lt;5,"低",IF(O900&lt;16,"中","高")),IF(O900&lt;5,"中","高"))))),IF(OR(J900="EO",J900="EQ"),IF(OR(Y900="估算法",Y900="算法类"),"中",IF(Y900="无法识别","低",IF(M900&lt;2,IF(O900&lt;20,"低","中"),IF(M900&lt;4,IF(O900&lt;6,"低",IF(O900&lt;20,"中","高")),IF(O900&lt;6,"中","高"))))),IF(OR(J900="ILF",J900="EIF"),IF(OR(Y900="估算法",Y900="算法类",Y900="无法识别"),"低",IF(N900&lt;2,IF(O900&lt;51,"低","中"),IF(N900&lt;6,IF(O900&lt;20,"低",IF(O900&lt;51,"中","高")),IF(O900&lt;20,"中","高")))),"不计算")))</f>
        <v/>
      </c>
      <c r="Q900" s="172">
        <f>IFERROR(IF(J900="EI",IF(P900="低",3,IF(P900="中",4,6)),IF(J900="EO",IF(P900="低",4,IF(P900="中",5,7)),IF(J900="EQ",IF(P900="低",3,IF(P900="中",4,6)),IF(J900="ILF",IF(P900="低",7,IF(P900="中",10,15)),IF(J900="EIF",IF(P900="低",5,IF(P900="中",7,10)),"不计算")))))*R900,"不计算")</f>
        <v/>
      </c>
      <c r="R900" s="172" t="n">
        <v>1</v>
      </c>
      <c r="S900" s="173">
        <f>调整因子!$F$13</f>
        <v/>
      </c>
      <c r="T900" s="93" t="n">
        <v>1</v>
      </c>
      <c r="U900" s="174">
        <f>IFERROR(Q900*S900,0)</f>
        <v/>
      </c>
      <c r="V900" s="174">
        <f>U900*T900</f>
        <v/>
      </c>
      <c r="W900" s="93" t="inlineStr">
        <is>
          <t>异常捕捉规则表</t>
        </is>
      </c>
      <c r="X900" s="98" t="n"/>
      <c r="Y900" s="93" t="inlineStr">
        <is>
          <t>异常捕捉规则表{主键 id 、规则名称、规则描述、规则条件、规则状态（启用 / 禁用）、创建时间、更新时间}</t>
        </is>
      </c>
      <c r="Z900" s="90" t="n"/>
      <c r="AA900" s="90" t="n"/>
    </row>
    <row r="901" s="112">
      <c r="A901" s="72">
        <f>ROW()-1</f>
        <v/>
      </c>
      <c r="B901" s="175" t="n"/>
      <c r="C901" s="80" t="n">
        <v>2025</v>
      </c>
      <c r="D901" s="80" t="inlineStr">
        <is>
          <t>窦鹏岐</t>
        </is>
      </c>
      <c r="E901" s="81">
        <f>VLOOKUP(I901,'25年交付功能（不含废弃）'!A:A,1,FALSE)</f>
        <v/>
      </c>
      <c r="F901" s="175" t="n"/>
      <c r="G901" s="175" t="n"/>
      <c r="H901" s="175" t="n"/>
      <c r="I901" s="81" t="inlineStr">
        <is>
          <t>查询异常记录</t>
        </is>
      </c>
      <c r="J901" s="93" t="inlineStr">
        <is>
          <t>EQ</t>
        </is>
      </c>
      <c r="K901" s="84" t="n"/>
      <c r="L901" s="84" t="n"/>
      <c r="M901" s="85">
        <f>IF(OR(Y901="估算法",Y901="算法类",Y901="无法识别"),"",IF(W901="",IF(OR(J901="EI",J901="EO",J901="EQ"),0,""),LEN(W901)-LEN(SUBSTITUTE(W901,"、",""))+1))</f>
        <v/>
      </c>
      <c r="N901" s="85">
        <f>IF(OR(Y901="估算法",Y901="算法类",Y901="无法识别"),"",IF(X901="",IF(OR(J901="ILF",J901="EIF"),0,""),LEN(X901)-LEN(SUBSTITUTE(X901,"、",""))+1))</f>
        <v/>
      </c>
      <c r="O901" s="85">
        <f>IF(OR(Y901="估算法",Y901="算法类",Y901="无法识别"),"",IF(Y901="",IF(OR(J901="ILF",J901="EIF",J901="EI",J901="EO",J901="EQ"),0,""),LEN(Y901)-LEN(SUBSTITUTE(SUBSTITUTE(SUBSTITUTE(SUBSTITUTE(SUBSTITUTE(Y901,"|}","--"),"{|","--"),CHAR(10),""),"、",""),"|",""))+IF(AND(OR(J901="EI",J901="EO",J901="EQ"),$AE$1="NESMA"),2,1)))</f>
        <v/>
      </c>
      <c r="P901" s="86">
        <f>IF(J901="EI",IF(OR(Y901="估算法",Y901="算法类"),"中",IF(Y901="无法识别","低",IF(M901&lt;2,IF(O901&lt;16,"低","中"),IF(M901&lt;3,IF(O901&lt;5,"低",IF(O901&lt;16,"中","高")),IF(O901&lt;5,"中","高"))))),IF(OR(J901="EO",J901="EQ"),IF(OR(Y901="估算法",Y901="算法类"),"中",IF(Y901="无法识别","低",IF(M901&lt;2,IF(O901&lt;20,"低","中"),IF(M901&lt;4,IF(O901&lt;6,"低",IF(O901&lt;20,"中","高")),IF(O901&lt;6,"中","高"))))),IF(OR(J901="ILF",J901="EIF"),IF(OR(Y901="估算法",Y901="算法类",Y901="无法识别"),"低",IF(N901&lt;2,IF(O901&lt;51,"低","中"),IF(N901&lt;6,IF(O901&lt;20,"低",IF(O901&lt;51,"中","高")),IF(O901&lt;20,"中","高")))),"不计算")))</f>
        <v/>
      </c>
      <c r="Q901" s="172">
        <f>IFERROR(IF(J901="EI",IF(P901="低",3,IF(P901="中",4,6)),IF(J901="EO",IF(P901="低",4,IF(P901="中",5,7)),IF(J901="EQ",IF(P901="低",3,IF(P901="中",4,6)),IF(J901="ILF",IF(P901="低",7,IF(P901="中",10,15)),IF(J901="EIF",IF(P901="低",5,IF(P901="中",7,10)),"不计算")))))*R901,"不计算")</f>
        <v/>
      </c>
      <c r="R901" s="172" t="n">
        <v>1</v>
      </c>
      <c r="S901" s="173">
        <f>调整因子!$F$13</f>
        <v/>
      </c>
      <c r="T901" s="93" t="n">
        <v>1</v>
      </c>
      <c r="U901" s="174">
        <f>IFERROR(Q901*S901,0)</f>
        <v/>
      </c>
      <c r="V901" s="174">
        <f>U901*T901</f>
        <v/>
      </c>
      <c r="W901" s="93" t="inlineStr">
        <is>
          <t>异常捕捉规则表、异常记录表</t>
        </is>
      </c>
      <c r="X901" s="98" t="n"/>
      <c r="Y901" s="93" t="inlineStr">
        <is>
          <t>异常捕捉规则表{主键 id 、规则名称、规则描述、规则条件、规则状态（启用 / 禁用）、创建时间、更新时间}
异常记录表{主键 id 、异常类型、异常描述、异常发生时间、关联规则 id、异常处理状态、处理时间}</t>
        </is>
      </c>
      <c r="Z901" s="90" t="n"/>
      <c r="AA901" s="90" t="n"/>
    </row>
    <row r="902" s="112">
      <c r="A902" s="72">
        <f>ROW()-1</f>
        <v/>
      </c>
      <c r="B902" s="175" t="n"/>
      <c r="C902" s="80" t="n">
        <v>2025</v>
      </c>
      <c r="D902" s="80" t="inlineStr">
        <is>
          <t>窦鹏岐</t>
        </is>
      </c>
      <c r="E902" s="81">
        <f>VLOOKUP(I902,'25年交付功能（不含废弃）'!A:A,1,FALSE)</f>
        <v/>
      </c>
      <c r="F902" s="175" t="n"/>
      <c r="G902" s="175" t="n"/>
      <c r="H902" s="175" t="n"/>
      <c r="I902" s="81" t="inlineStr">
        <is>
          <t>工单状态记录表</t>
        </is>
      </c>
      <c r="J902" s="98" t="inlineStr">
        <is>
          <t>ILF</t>
        </is>
      </c>
      <c r="K902" s="84" t="n"/>
      <c r="L902" s="84" t="n"/>
      <c r="M902" s="85">
        <f>IF(OR(Y902="估算法",Y902="算法类",Y902="无法识别"),"",IF(W902="",IF(OR(J902="EI",J902="EO",J902="EQ"),0,""),LEN(W902)-LEN(SUBSTITUTE(W902,"、",""))+1))</f>
        <v/>
      </c>
      <c r="N902" s="85">
        <f>IF(OR(Y902="估算法",Y902="算法类",Y902="无法识别"),"",IF(X902="",IF(OR(J902="ILF",J902="EIF"),0,""),LEN(X902)-LEN(SUBSTITUTE(X902,"、",""))+1))</f>
        <v/>
      </c>
      <c r="O902" s="85">
        <f>IF(OR(Y902="估算法",Y902="算法类",Y902="无法识别"),"",IF(Y902="",IF(OR(J902="ILF",J902="EIF",J902="EI",J902="EO",J902="EQ"),0,""),LEN(Y902)-LEN(SUBSTITUTE(SUBSTITUTE(SUBSTITUTE(SUBSTITUTE(SUBSTITUTE(Y902,"|}","--"),"{|","--"),CHAR(10),""),"、",""),"|",""))+IF(AND(OR(J902="EI",J902="EO",J902="EQ"),$AE$1="NESMA"),2,1)))</f>
        <v/>
      </c>
      <c r="P902" s="86">
        <f>IF(J902="EI",IF(OR(Y902="估算法",Y902="算法类"),"中",IF(Y902="无法识别","低",IF(M902&lt;2,IF(O902&lt;16,"低","中"),IF(M902&lt;3,IF(O902&lt;5,"低",IF(O902&lt;16,"中","高")),IF(O902&lt;5,"中","高"))))),IF(OR(J902="EO",J902="EQ"),IF(OR(Y902="估算法",Y902="算法类"),"中",IF(Y902="无法识别","低",IF(M902&lt;2,IF(O902&lt;20,"低","中"),IF(M902&lt;4,IF(O902&lt;6,"低",IF(O902&lt;20,"中","高")),IF(O902&lt;6,"中","高"))))),IF(OR(J902="ILF",J902="EIF"),IF(OR(Y902="估算法",Y902="算法类",Y902="无法识别"),"低",IF(N902&lt;2,IF(O902&lt;51,"低","中"),IF(N902&lt;6,IF(O902&lt;20,"低",IF(O902&lt;51,"中","高")),IF(O902&lt;20,"中","高")))),"不计算")))</f>
        <v/>
      </c>
      <c r="Q902" s="172">
        <f>IFERROR(IF(J902="EI",IF(P902="低",3,IF(P902="中",4,6)),IF(J902="EO",IF(P902="低",4,IF(P902="中",5,7)),IF(J902="EQ",IF(P902="低",3,IF(P902="中",4,6)),IF(J902="ILF",IF(P902="低",7,IF(P902="中",10,15)),IF(J902="EIF",IF(P902="低",5,IF(P902="中",7,10)),"不计算")))))*R902,"不计算")</f>
        <v/>
      </c>
      <c r="R902" s="172" t="n">
        <v>1</v>
      </c>
      <c r="S902" s="173">
        <f>调整因子!$F$13</f>
        <v/>
      </c>
      <c r="T902" s="92" t="n">
        <v>1</v>
      </c>
      <c r="U902" s="174">
        <f>IFERROR(Q902*S902,0)</f>
        <v/>
      </c>
      <c r="V902" s="174">
        <f>U902*T902</f>
        <v/>
      </c>
      <c r="W902" s="98" t="n"/>
      <c r="X902" s="82" t="inlineStr">
        <is>
          <t>工单状态记录表</t>
        </is>
      </c>
      <c r="Y902" s="93" t="inlineStr">
        <is>
          <t>工单状态记录表{主键 id 、工单 id 、原状态、新状态、状态变更时间、变更人}</t>
        </is>
      </c>
      <c r="Z902" s="90">
        <f>IF(COUNTIFS(W:W,"*"&amp;I902&amp;"*")&gt;0,"存在","不存在")</f>
        <v/>
      </c>
      <c r="AA902" s="90">
        <f>IF(COUNTIFS(AB:AB,"*"&amp;I902&amp;"*")&gt;0,"存在","不存在")</f>
        <v/>
      </c>
    </row>
    <row r="903" s="112">
      <c r="A903" s="72">
        <f>ROW()-1</f>
        <v/>
      </c>
      <c r="B903" s="175" t="n"/>
      <c r="C903" s="80" t="n">
        <v>2025</v>
      </c>
      <c r="D903" s="80" t="inlineStr">
        <is>
          <t>窦鹏岐</t>
        </is>
      </c>
      <c r="E903" s="81">
        <f>VLOOKUP(I903,'25年交付功能（不含废弃）'!A:A,1,FALSE)</f>
        <v/>
      </c>
      <c r="F903" s="175" t="n"/>
      <c r="G903" s="175" t="n"/>
      <c r="H903" s="175" t="n"/>
      <c r="I903" s="81" t="inlineStr">
        <is>
          <t>状态变化日志表</t>
        </is>
      </c>
      <c r="J903" s="98" t="n"/>
      <c r="K903" s="102" t="n"/>
      <c r="L903" s="102" t="inlineStr">
        <is>
          <t>非ILF,日志表</t>
        </is>
      </c>
      <c r="M903" s="85">
        <f>IF(OR(Y903="估算法",Y903="算法类",Y903="无法识别"),"",IF(W903="",IF(OR(J903="EI",J903="EO",J903="EQ"),0,""),LEN(W903)-LEN(SUBSTITUTE(W903,"、",""))+1))</f>
        <v/>
      </c>
      <c r="N903" s="85">
        <f>IF(OR(Y903="估算法",Y903="算法类",Y903="无法识别"),"",IF(X903="",IF(OR(J903="ILF",J903="EIF"),0,""),LEN(X903)-LEN(SUBSTITUTE(X903,"、",""))+1))</f>
        <v/>
      </c>
      <c r="O903" s="85">
        <f>IF(OR(Y903="估算法",Y903="算法类",Y903="无法识别"),"",IF(Y903="",IF(OR(J903="ILF",J903="EIF",J903="EI",J903="EO",J903="EQ"),0,""),LEN(Y903)-LEN(SUBSTITUTE(SUBSTITUTE(SUBSTITUTE(SUBSTITUTE(SUBSTITUTE(Y903,"|}","--"),"{|","--"),CHAR(10),""),"、",""),"|",""))+IF(AND(OR(J903="EI",J903="EO",J903="EQ"),$AE$1="NESMA"),2,1)))</f>
        <v/>
      </c>
      <c r="P903" s="86">
        <f>IF(J903="EI",IF(OR(Y903="估算法",Y903="算法类"),"中",IF(Y903="无法识别","低",IF(M903&lt;2,IF(O903&lt;16,"低","中"),IF(M903&lt;3,IF(O903&lt;5,"低",IF(O903&lt;16,"中","高")),IF(O903&lt;5,"中","高"))))),IF(OR(J903="EO",J903="EQ"),IF(OR(Y903="估算法",Y903="算法类"),"中",IF(Y903="无法识别","低",IF(M903&lt;2,IF(O903&lt;20,"低","中"),IF(M903&lt;4,IF(O903&lt;6,"低",IF(O903&lt;20,"中","高")),IF(O903&lt;6,"中","高"))))),IF(OR(J903="ILF",J903="EIF"),IF(OR(Y903="估算法",Y903="算法类",Y903="无法识别"),"低",IF(N903&lt;2,IF(O903&lt;51,"低","中"),IF(N903&lt;6,IF(O903&lt;20,"低",IF(O903&lt;51,"中","高")),IF(O903&lt;20,"中","高")))),"不计算")))</f>
        <v/>
      </c>
      <c r="Q903" s="172">
        <f>IFERROR(IF(J903="EI",IF(P903="低",3,IF(P903="中",4,6)),IF(J903="EO",IF(P903="低",4,IF(P903="中",5,7)),IF(J903="EQ",IF(P903="低",3,IF(P903="中",4,6)),IF(J903="ILF",IF(P903="低",7,IF(P903="中",10,15)),IF(J903="EIF",IF(P903="低",5,IF(P903="中",7,10)),"不计算")))))*R903,"不计算")</f>
        <v/>
      </c>
      <c r="R903" s="172" t="n">
        <v>1</v>
      </c>
      <c r="S903" s="173">
        <f>调整因子!$F$13</f>
        <v/>
      </c>
      <c r="T903" s="92" t="n">
        <v>1</v>
      </c>
      <c r="U903" s="174">
        <f>IFERROR(Q903*S903,0)</f>
        <v/>
      </c>
      <c r="V903" s="174">
        <f>U903*T903</f>
        <v/>
      </c>
      <c r="W903" s="98" t="n"/>
      <c r="X903" s="82" t="inlineStr">
        <is>
          <t>状态变化日志表</t>
        </is>
      </c>
      <c r="Y903" s="93" t="inlineStr">
        <is>
          <t>状态变化日志表{主键 id 、工单状态记录表 id 、日志记录时间、日志详情 }</t>
        </is>
      </c>
      <c r="Z903" s="90">
        <f>IF(COUNTIFS(W:W,"*"&amp;I903&amp;"*")&gt;0,"存在","不存在")</f>
        <v/>
      </c>
      <c r="AA903" s="90">
        <f>IF(COUNTIFS(AB:AB,"*"&amp;I903&amp;"*")&gt;0,"存在","不存在")</f>
        <v/>
      </c>
    </row>
    <row r="904" s="112">
      <c r="A904" s="72">
        <f>ROW()-1</f>
        <v/>
      </c>
      <c r="B904" s="175" t="n"/>
      <c r="C904" s="80" t="n">
        <v>2025</v>
      </c>
      <c r="D904" s="80" t="inlineStr">
        <is>
          <t>窦鹏岐</t>
        </is>
      </c>
      <c r="E904" s="81">
        <f>VLOOKUP(I904,'25年交付功能（不含废弃）'!A:A,1,FALSE)</f>
        <v/>
      </c>
      <c r="F904" s="175" t="n"/>
      <c r="G904" s="175" t="n"/>
      <c r="H904" s="175" t="n"/>
      <c r="I904" s="81" t="inlineStr">
        <is>
          <t>历史状态查看记录表</t>
        </is>
      </c>
      <c r="J904" s="98" t="inlineStr">
        <is>
          <t>ILF</t>
        </is>
      </c>
      <c r="K904" s="84" t="n"/>
      <c r="L904" s="84" t="inlineStr">
        <is>
          <t>数据库表未被本系统所维护</t>
        </is>
      </c>
      <c r="M904" s="85">
        <f>IF(OR(Y904="估算法",Y904="算法类",Y904="无法识别"),"",IF(W904="",IF(OR(J904="EI",J904="EO",J904="EQ"),0,""),LEN(W904)-LEN(SUBSTITUTE(W904,"、",""))+1))</f>
        <v/>
      </c>
      <c r="N904" s="85">
        <f>IF(OR(Y904="估算法",Y904="算法类",Y904="无法识别"),"",IF(X904="",IF(OR(J904="ILF",J904="EIF"),0,""),LEN(X904)-LEN(SUBSTITUTE(X904,"、",""))+1))</f>
        <v/>
      </c>
      <c r="O904" s="85">
        <f>IF(OR(Y904="估算法",Y904="算法类",Y904="无法识别"),"",IF(Y904="",IF(OR(J904="ILF",J904="EIF",J904="EI",J904="EO",J904="EQ"),0,""),LEN(Y904)-LEN(SUBSTITUTE(SUBSTITUTE(SUBSTITUTE(SUBSTITUTE(SUBSTITUTE(Y904,"|}","--"),"{|","--"),CHAR(10),""),"、",""),"|",""))+IF(AND(OR(J904="EI",J904="EO",J904="EQ"),$AE$1="NESMA"),2,1)))</f>
        <v/>
      </c>
      <c r="P904" s="86">
        <f>IF(J904="EI",IF(OR(Y904="估算法",Y904="算法类"),"中",IF(Y904="无法识别","低",IF(M904&lt;2,IF(O904&lt;16,"低","中"),IF(M904&lt;3,IF(O904&lt;5,"低",IF(O904&lt;16,"中","高")),IF(O904&lt;5,"中","高"))))),IF(OR(J904="EO",J904="EQ"),IF(OR(Y904="估算法",Y904="算法类"),"中",IF(Y904="无法识别","低",IF(M904&lt;2,IF(O904&lt;20,"低","中"),IF(M904&lt;4,IF(O904&lt;6,"低",IF(O904&lt;20,"中","高")),IF(O904&lt;6,"中","高"))))),IF(OR(J904="ILF",J904="EIF"),IF(OR(Y904="估算法",Y904="算法类",Y904="无法识别"),"低",IF(N904&lt;2,IF(O904&lt;51,"低","中"),IF(N904&lt;6,IF(O904&lt;20,"低",IF(O904&lt;51,"中","高")),IF(O904&lt;20,"中","高")))),"不计算")))</f>
        <v/>
      </c>
      <c r="Q904" s="172">
        <f>IFERROR(IF(J904="EI",IF(P904="低",3,IF(P904="中",4,6)),IF(J904="EO",IF(P904="低",4,IF(P904="中",5,7)),IF(J904="EQ",IF(P904="低",3,IF(P904="中",4,6)),IF(J904="ILF",IF(P904="低",7,IF(P904="中",10,15)),IF(J904="EIF",IF(P904="低",5,IF(P904="中",7,10)),"不计算")))))*R904,"不计算")</f>
        <v/>
      </c>
      <c r="R904" s="172" t="n">
        <v>0</v>
      </c>
      <c r="S904" s="173">
        <f>调整因子!$F$13</f>
        <v/>
      </c>
      <c r="T904" s="93" t="n">
        <v>1</v>
      </c>
      <c r="U904" s="174">
        <f>IFERROR(Q904*S904,0)</f>
        <v/>
      </c>
      <c r="V904" s="174">
        <f>U904*T904</f>
        <v/>
      </c>
      <c r="W904" s="98" t="n"/>
      <c r="X904" s="82" t="inlineStr">
        <is>
          <t>历史状态查看记录表</t>
        </is>
      </c>
      <c r="Y904" s="93" t="inlineStr">
        <is>
          <t>历史状态查看记录表{主键 id 、工单 id 、查看时间、查看人、查看时状态}</t>
        </is>
      </c>
      <c r="Z904" s="90">
        <f>IF(COUNTIFS(W:W,"*"&amp;I904&amp;"*")&gt;0,"存在","不存在")</f>
        <v/>
      </c>
      <c r="AA904" s="90">
        <f>IF(COUNTIFS(AB:AB,"*"&amp;I904&amp;"*")&gt;0,"存在","不存在")</f>
        <v/>
      </c>
    </row>
    <row r="905" s="112">
      <c r="A905" s="72">
        <f>ROW()-1</f>
        <v/>
      </c>
      <c r="B905" s="175" t="n"/>
      <c r="C905" s="80" t="n">
        <v>2025</v>
      </c>
      <c r="D905" s="80" t="inlineStr">
        <is>
          <t>窦鹏岐</t>
        </is>
      </c>
      <c r="E905" s="81">
        <f>VLOOKUP(I905,'25年交付功能（不含废弃）'!A:A,1,FALSE)</f>
        <v/>
      </c>
      <c r="F905" s="175" t="n"/>
      <c r="G905" s="175" t="n"/>
      <c r="H905" s="175" t="n"/>
      <c r="I905" s="81" t="inlineStr">
        <is>
          <t>状态过滤查询记录表</t>
        </is>
      </c>
      <c r="J905" s="98" t="inlineStr">
        <is>
          <t>ILF</t>
        </is>
      </c>
      <c r="K905" s="84" t="n"/>
      <c r="L905" s="84" t="inlineStr">
        <is>
          <t>数据库表未被本系统所维护</t>
        </is>
      </c>
      <c r="M905" s="85">
        <f>IF(OR(Y905="估算法",Y905="算法类",Y905="无法识别"),"",IF(W905="",IF(OR(J905="EI",J905="EO",J905="EQ"),0,""),LEN(W905)-LEN(SUBSTITUTE(W905,"、",""))+1))</f>
        <v/>
      </c>
      <c r="N905" s="85">
        <f>IF(OR(Y905="估算法",Y905="算法类",Y905="无法识别"),"",IF(X905="",IF(OR(J905="ILF",J905="EIF"),0,""),LEN(X905)-LEN(SUBSTITUTE(X905,"、",""))+1))</f>
        <v/>
      </c>
      <c r="O905" s="85">
        <f>IF(OR(Y905="估算法",Y905="算法类",Y905="无法识别"),"",IF(Y905="",IF(OR(J905="ILF",J905="EIF",J905="EI",J905="EO",J905="EQ"),0,""),LEN(Y905)-LEN(SUBSTITUTE(SUBSTITUTE(SUBSTITUTE(SUBSTITUTE(SUBSTITUTE(Y905,"|}","--"),"{|","--"),CHAR(10),""),"、",""),"|",""))+IF(AND(OR(J905="EI",J905="EO",J905="EQ"),$AE$1="NESMA"),2,1)))</f>
        <v/>
      </c>
      <c r="P905" s="86">
        <f>IF(J905="EI",IF(OR(Y905="估算法",Y905="算法类"),"中",IF(Y905="无法识别","低",IF(M905&lt;2,IF(O905&lt;16,"低","中"),IF(M905&lt;3,IF(O905&lt;5,"低",IF(O905&lt;16,"中","高")),IF(O905&lt;5,"中","高"))))),IF(OR(J905="EO",J905="EQ"),IF(OR(Y905="估算法",Y905="算法类"),"中",IF(Y905="无法识别","低",IF(M905&lt;2,IF(O905&lt;20,"低","中"),IF(M905&lt;4,IF(O905&lt;6,"低",IF(O905&lt;20,"中","高")),IF(O905&lt;6,"中","高"))))),IF(OR(J905="ILF",J905="EIF"),IF(OR(Y905="估算法",Y905="算法类",Y905="无法识别"),"低",IF(N905&lt;2,IF(O905&lt;51,"低","中"),IF(N905&lt;6,IF(O905&lt;20,"低",IF(O905&lt;51,"中","高")),IF(O905&lt;20,"中","高")))),"不计算")))</f>
        <v/>
      </c>
      <c r="Q905" s="172">
        <f>IFERROR(IF(J905="EI",IF(P905="低",3,IF(P905="中",4,6)),IF(J905="EO",IF(P905="低",4,IF(P905="中",5,7)),IF(J905="EQ",IF(P905="低",3,IF(P905="中",4,6)),IF(J905="ILF",IF(P905="低",7,IF(P905="中",10,15)),IF(J905="EIF",IF(P905="低",5,IF(P905="中",7,10)),"不计算")))))*R905,"不计算")</f>
        <v/>
      </c>
      <c r="R905" s="172" t="n">
        <v>0</v>
      </c>
      <c r="S905" s="173">
        <f>调整因子!$F$13</f>
        <v/>
      </c>
      <c r="T905" s="92" t="n">
        <v>1</v>
      </c>
      <c r="U905" s="174">
        <f>IFERROR(Q905*S905,0)</f>
        <v/>
      </c>
      <c r="V905" s="174">
        <f>U905*T905</f>
        <v/>
      </c>
      <c r="W905" s="98" t="n"/>
      <c r="X905" s="82" t="inlineStr">
        <is>
          <t>状态过滤查询记录表</t>
        </is>
      </c>
      <c r="Y905" s="93" t="inlineStr">
        <is>
          <t>状态过滤查询记录表{主键 id 、用户 id 、过滤条件、查询时间、查询结果摘要}</t>
        </is>
      </c>
      <c r="Z905" s="90">
        <f>IF(COUNTIFS(W:W,"*"&amp;I905&amp;"*")&gt;0,"存在","不存在")</f>
        <v/>
      </c>
      <c r="AA905" s="90">
        <f>IF(COUNTIFS(AB:AB,"*"&amp;I905&amp;"*")&gt;0,"存在","不存在")</f>
        <v/>
      </c>
    </row>
    <row r="906" s="112">
      <c r="A906" s="72">
        <f>ROW()-1</f>
        <v/>
      </c>
      <c r="B906" s="175" t="n"/>
      <c r="C906" s="80" t="n">
        <v>2025</v>
      </c>
      <c r="D906" s="80" t="inlineStr">
        <is>
          <t>窦鹏岐</t>
        </is>
      </c>
      <c r="E906" s="81">
        <f>VLOOKUP(I906,'25年交付功能（不含废弃）'!A:A,1,FALSE)</f>
        <v/>
      </c>
      <c r="F906" s="175" t="n"/>
      <c r="G906" s="175" t="n"/>
      <c r="H906" s="175" t="n"/>
      <c r="I906" s="81" t="inlineStr">
        <is>
          <t>异常捕捉规则表</t>
        </is>
      </c>
      <c r="J906" s="98" t="inlineStr">
        <is>
          <t>ILF</t>
        </is>
      </c>
      <c r="K906" s="84" t="n"/>
      <c r="L906" s="84" t="n"/>
      <c r="M906" s="85">
        <f>IF(OR(Y906="估算法",Y906="算法类",Y906="无法识别"),"",IF(W906="",IF(OR(J906="EI",J906="EO",J906="EQ"),0,""),LEN(W906)-LEN(SUBSTITUTE(W906,"、",""))+1))</f>
        <v/>
      </c>
      <c r="N906" s="85">
        <f>IF(OR(Y906="估算法",Y906="算法类",Y906="无法识别"),"",IF(X906="",IF(OR(J906="ILF",J906="EIF"),0,""),LEN(X906)-LEN(SUBSTITUTE(X906,"、",""))+1))</f>
        <v/>
      </c>
      <c r="O906" s="85">
        <f>IF(OR(Y906="估算法",Y906="算法类",Y906="无法识别"),"",IF(Y906="",IF(OR(J906="ILF",J906="EIF",J906="EI",J906="EO",J906="EQ"),0,""),LEN(Y906)-LEN(SUBSTITUTE(SUBSTITUTE(SUBSTITUTE(SUBSTITUTE(SUBSTITUTE(Y906,"|}","--"),"{|","--"),CHAR(10),""),"、",""),"|",""))+IF(AND(OR(J906="EI",J906="EO",J906="EQ"),$AE$1="NESMA"),2,1)))</f>
        <v/>
      </c>
      <c r="P906" s="86">
        <f>IF(J906="EI",IF(OR(Y906="估算法",Y906="算法类"),"中",IF(Y906="无法识别","低",IF(M906&lt;2,IF(O906&lt;16,"低","中"),IF(M906&lt;3,IF(O906&lt;5,"低",IF(O906&lt;16,"中","高")),IF(O906&lt;5,"中","高"))))),IF(OR(J906="EO",J906="EQ"),IF(OR(Y906="估算法",Y906="算法类"),"中",IF(Y906="无法识别","低",IF(M906&lt;2,IF(O906&lt;20,"低","中"),IF(M906&lt;4,IF(O906&lt;6,"低",IF(O906&lt;20,"中","高")),IF(O906&lt;6,"中","高"))))),IF(OR(J906="ILF",J906="EIF"),IF(OR(Y906="估算法",Y906="算法类",Y906="无法识别"),"低",IF(N906&lt;2,IF(O906&lt;51,"低","中"),IF(N906&lt;6,IF(O906&lt;20,"低",IF(O906&lt;51,"中","高")),IF(O906&lt;20,"中","高")))),"不计算")))</f>
        <v/>
      </c>
      <c r="Q906" s="172">
        <f>IFERROR(IF(J906="EI",IF(P906="低",3,IF(P906="中",4,6)),IF(J906="EO",IF(P906="低",4,IF(P906="中",5,7)),IF(J906="EQ",IF(P906="低",3,IF(P906="中",4,6)),IF(J906="ILF",IF(P906="低",7,IF(P906="中",10,15)),IF(J906="EIF",IF(P906="低",5,IF(P906="中",7,10)),"不计算")))))*R906,"不计算")</f>
        <v/>
      </c>
      <c r="R906" s="172" t="n">
        <v>1</v>
      </c>
      <c r="S906" s="173">
        <f>调整因子!$F$13</f>
        <v/>
      </c>
      <c r="T906" s="92" t="n">
        <v>1</v>
      </c>
      <c r="U906" s="174">
        <f>IFERROR(Q906*S906,0)</f>
        <v/>
      </c>
      <c r="V906" s="174">
        <f>U906*T906</f>
        <v/>
      </c>
      <c r="W906" s="98" t="n"/>
      <c r="X906" s="82" t="inlineStr">
        <is>
          <t>异常捕捉规则表</t>
        </is>
      </c>
      <c r="Y906" s="93" t="inlineStr">
        <is>
          <t>异常捕捉规则表{主键 id 、规则名称、规则描述、规则条件、规则状态（启用 / 禁用）、创建时间、更新时间}</t>
        </is>
      </c>
      <c r="Z906" s="90">
        <f>IF(COUNTIFS(W:W,"*"&amp;I906&amp;"*")&gt;0,"存在","不存在")</f>
        <v/>
      </c>
      <c r="AA906" s="90">
        <f>IF(COUNTIFS(AB:AB,"*"&amp;I906&amp;"*")&gt;0,"存在","不存在")</f>
        <v/>
      </c>
    </row>
    <row r="907" s="112">
      <c r="A907" s="72">
        <f>ROW()-1</f>
        <v/>
      </c>
      <c r="B907" s="175" t="n"/>
      <c r="C907" s="80" t="n">
        <v>2025</v>
      </c>
      <c r="D907" s="80" t="inlineStr">
        <is>
          <t>窦鹏岐</t>
        </is>
      </c>
      <c r="E907" s="81">
        <f>VLOOKUP(I907,'25年交付功能（不含废弃）'!A:A,1,FALSE)</f>
        <v/>
      </c>
      <c r="F907" s="175" t="n"/>
      <c r="G907" s="176" t="n"/>
      <c r="H907" s="176" t="n"/>
      <c r="I907" s="81" t="inlineStr">
        <is>
          <t>异常记录表</t>
        </is>
      </c>
      <c r="J907" s="98" t="inlineStr">
        <is>
          <t>ILF</t>
        </is>
      </c>
      <c r="K907" s="84" t="n"/>
      <c r="L907" s="84" t="inlineStr">
        <is>
          <t>数据库表未被本系统所维护</t>
        </is>
      </c>
      <c r="M907" s="85">
        <f>IF(OR(Y907="估算法",Y907="算法类",Y907="无法识别"),"",IF(W907="",IF(OR(J907="EI",J907="EO",J907="EQ"),0,""),LEN(W907)-LEN(SUBSTITUTE(W907,"、",""))+1))</f>
        <v/>
      </c>
      <c r="N907" s="85">
        <f>IF(OR(Y907="估算法",Y907="算法类",Y907="无法识别"),"",IF(X907="",IF(OR(J907="ILF",J907="EIF"),0,""),LEN(X907)-LEN(SUBSTITUTE(X907,"、",""))+1))</f>
        <v/>
      </c>
      <c r="O907" s="85">
        <f>IF(OR(Y907="估算法",Y907="算法类",Y907="无法识别"),"",IF(Y907="",IF(OR(J907="ILF",J907="EIF",J907="EI",J907="EO",J907="EQ"),0,""),LEN(Y907)-LEN(SUBSTITUTE(SUBSTITUTE(SUBSTITUTE(SUBSTITUTE(SUBSTITUTE(Y907,"|}","--"),"{|","--"),CHAR(10),""),"、",""),"|",""))+IF(AND(OR(J907="EI",J907="EO",J907="EQ"),$AE$1="NESMA"),2,1)))</f>
        <v/>
      </c>
      <c r="P907" s="86">
        <f>IF(J907="EI",IF(OR(Y907="估算法",Y907="算法类"),"中",IF(Y907="无法识别","低",IF(M907&lt;2,IF(O907&lt;16,"低","中"),IF(M907&lt;3,IF(O907&lt;5,"低",IF(O907&lt;16,"中","高")),IF(O907&lt;5,"中","高"))))),IF(OR(J907="EO",J907="EQ"),IF(OR(Y907="估算法",Y907="算法类"),"中",IF(Y907="无法识别","低",IF(M907&lt;2,IF(O907&lt;20,"低","中"),IF(M907&lt;4,IF(O907&lt;6,"低",IF(O907&lt;20,"中","高")),IF(O907&lt;6,"中","高"))))),IF(OR(J907="ILF",J907="EIF"),IF(OR(Y907="估算法",Y907="算法类",Y907="无法识别"),"低",IF(N907&lt;2,IF(O907&lt;51,"低","中"),IF(N907&lt;6,IF(O907&lt;20,"低",IF(O907&lt;51,"中","高")),IF(O907&lt;20,"中","高")))),"不计算")))</f>
        <v/>
      </c>
      <c r="Q907" s="172">
        <f>IFERROR(IF(J907="EI",IF(P907="低",3,IF(P907="中",4,6)),IF(J907="EO",IF(P907="低",4,IF(P907="中",5,7)),IF(J907="EQ",IF(P907="低",3,IF(P907="中",4,6)),IF(J907="ILF",IF(P907="低",7,IF(P907="中",10,15)),IF(J907="EIF",IF(P907="低",5,IF(P907="中",7,10)),"不计算")))))*R907,"不计算")</f>
        <v/>
      </c>
      <c r="R907" s="172" t="n">
        <v>0</v>
      </c>
      <c r="S907" s="173">
        <f>调整因子!$F$13</f>
        <v/>
      </c>
      <c r="T907" s="93" t="n">
        <v>1</v>
      </c>
      <c r="U907" s="174">
        <f>IFERROR(Q907*S907,0)</f>
        <v/>
      </c>
      <c r="V907" s="174">
        <f>U907*T907</f>
        <v/>
      </c>
      <c r="W907" s="98" t="n"/>
      <c r="X907" s="82" t="inlineStr">
        <is>
          <t>异常记录表</t>
        </is>
      </c>
      <c r="Y907" s="93" t="inlineStr">
        <is>
          <t>异常记录表{主键 id 、异常类型、异常描述、异常发生时间、关联规则 id、异常处理状态、处理时间}</t>
        </is>
      </c>
      <c r="Z907" s="90">
        <f>IF(COUNTIFS(W:W,"*"&amp;I907&amp;"*")&gt;0,"存在","不存在")</f>
        <v/>
      </c>
      <c r="AA907" s="90">
        <f>IF(COUNTIFS(AB:AB,"*"&amp;I907&amp;"*")&gt;0,"存在","不存在")</f>
        <v/>
      </c>
    </row>
    <row r="908" s="112">
      <c r="A908" s="72">
        <f>ROW()-1</f>
        <v/>
      </c>
      <c r="B908" s="175" t="n"/>
      <c r="C908" s="80" t="n">
        <v>2025</v>
      </c>
      <c r="D908" s="80" t="inlineStr">
        <is>
          <t>窦鹏岐</t>
        </is>
      </c>
      <c r="E908" s="81">
        <f>VLOOKUP(I908,'25年交付功能（不含废弃）'!A:A,1,FALSE)</f>
        <v/>
      </c>
      <c r="F908" s="175" t="n"/>
      <c r="G908" s="82" t="inlineStr">
        <is>
          <t>分批结果上报管理</t>
        </is>
      </c>
      <c r="H908" s="82" t="inlineStr">
        <is>
          <t>分批结果上报</t>
        </is>
      </c>
      <c r="I908" s="81" t="inlineStr">
        <is>
          <t>上报通过审核</t>
        </is>
      </c>
      <c r="J908" s="93" t="n"/>
      <c r="K908" s="84" t="n"/>
      <c r="L908" s="84" t="inlineStr">
        <is>
          <t>和新增上报批次合并，相同功能</t>
        </is>
      </c>
      <c r="M908" s="85">
        <f>IF(OR(Y908="估算法",Y908="算法类",Y908="无法识别"),"",IF(W908="",IF(OR(J908="EI",J908="EO",J908="EQ"),0,""),LEN(W908)-LEN(SUBSTITUTE(W908,"、",""))+1))</f>
        <v/>
      </c>
      <c r="N908" s="85">
        <f>IF(OR(Y908="估算法",Y908="算法类",Y908="无法识别"),"",IF(X908="",IF(OR(J908="ILF",J908="EIF"),0,""),LEN(X908)-LEN(SUBSTITUTE(X908,"、",""))+1))</f>
        <v/>
      </c>
      <c r="O908" s="85">
        <f>IF(OR(Y908="估算法",Y908="算法类",Y908="无法识别"),"",IF(Y908="",IF(OR(J908="ILF",J908="EIF",J908="EI",J908="EO",J908="EQ"),0,""),LEN(Y908)-LEN(SUBSTITUTE(SUBSTITUTE(SUBSTITUTE(SUBSTITUTE(SUBSTITUTE(Y908,"|}","--"),"{|","--"),CHAR(10),""),"、",""),"|",""))+IF(AND(OR(J908="EI",J908="EO",J908="EQ"),$AE$1="NESMA"),2,1)))</f>
        <v/>
      </c>
      <c r="P908" s="86">
        <f>IF(J908="EI",IF(OR(Y908="估算法",Y908="算法类"),"中",IF(Y908="无法识别","低",IF(M908&lt;2,IF(O908&lt;16,"低","中"),IF(M908&lt;3,IF(O908&lt;5,"低",IF(O908&lt;16,"中","高")),IF(O908&lt;5,"中","高"))))),IF(OR(J908="EO",J908="EQ"),IF(OR(Y908="估算法",Y908="算法类"),"中",IF(Y908="无法识别","低",IF(M908&lt;2,IF(O908&lt;20,"低","中"),IF(M908&lt;4,IF(O908&lt;6,"低",IF(O908&lt;20,"中","高")),IF(O908&lt;6,"中","高"))))),IF(OR(J908="ILF",J908="EIF"),IF(OR(Y908="估算法",Y908="算法类",Y908="无法识别"),"低",IF(N908&lt;2,IF(O908&lt;51,"低","中"),IF(N908&lt;6,IF(O908&lt;20,"低",IF(O908&lt;51,"中","高")),IF(O908&lt;20,"中","高")))),"不计算")))</f>
        <v/>
      </c>
      <c r="Q908" s="172">
        <f>IFERROR(IF(J908="EI",IF(P908="低",3,IF(P908="中",4,6)),IF(J908="EO",IF(P908="低",4,IF(P908="中",5,7)),IF(J908="EQ",IF(P908="低",3,IF(P908="中",4,6)),IF(J908="ILF",IF(P908="低",7,IF(P908="中",10,15)),IF(J908="EIF",IF(P908="低",5,IF(P908="中",7,10)),"不计算")))))*R908,"不计算")</f>
        <v/>
      </c>
      <c r="R908" s="172" t="n">
        <v>1</v>
      </c>
      <c r="S908" s="173">
        <f>调整因子!$F$13</f>
        <v/>
      </c>
      <c r="T908" s="93" t="n">
        <v>1</v>
      </c>
      <c r="U908" s="174">
        <f>IFERROR(Q908*S908,0)</f>
        <v/>
      </c>
      <c r="V908" s="174">
        <f>U908*T908</f>
        <v/>
      </c>
      <c r="W908" s="93" t="inlineStr">
        <is>
          <t>上报批次记录表、上报结果表</t>
        </is>
      </c>
      <c r="X908" s="98" t="n"/>
      <c r="Y908" s="93" t="inlineStr">
        <is>
          <t>上报批次记录表{主键 id 、批次名称、批次描述、创建时间、创建人}
上报结果表{主键 id 、上报批次记录表 id（关联的上报批次）、上报内容、上报时间、上报人}</t>
        </is>
      </c>
      <c r="Z908" s="90" t="n"/>
      <c r="AA908" s="90" t="n"/>
    </row>
    <row r="909" s="112">
      <c r="A909" s="72">
        <f>ROW()-1</f>
        <v/>
      </c>
      <c r="B909" s="175" t="n"/>
      <c r="C909" s="80" t="n">
        <v>2025</v>
      </c>
      <c r="D909" s="80" t="inlineStr">
        <is>
          <t>窦鹏岐</t>
        </is>
      </c>
      <c r="E909" s="81">
        <f>VLOOKUP(I909,'25年交付功能（不含废弃）'!A:A,1,FALSE)</f>
        <v/>
      </c>
      <c r="F909" s="175" t="n"/>
      <c r="G909" s="175" t="n"/>
      <c r="H909" s="175" t="n"/>
      <c r="I909" s="81" t="inlineStr">
        <is>
          <t>修改上报批次</t>
        </is>
      </c>
      <c r="J909" s="93" t="inlineStr">
        <is>
          <t>EI</t>
        </is>
      </c>
      <c r="K909" s="84" t="n"/>
      <c r="L909" s="84" t="n"/>
      <c r="M909" s="85">
        <f>IF(OR(Y909="估算法",Y909="算法类",Y909="无法识别"),"",IF(W909="",IF(OR(J909="EI",J909="EO",J909="EQ"),0,""),LEN(W909)-LEN(SUBSTITUTE(W909,"、",""))+1))</f>
        <v/>
      </c>
      <c r="N909" s="85">
        <f>IF(OR(Y909="估算法",Y909="算法类",Y909="无法识别"),"",IF(X909="",IF(OR(J909="ILF",J909="EIF"),0,""),LEN(X909)-LEN(SUBSTITUTE(X909,"、",""))+1))</f>
        <v/>
      </c>
      <c r="O909" s="85">
        <f>IF(OR(Y909="估算法",Y909="算法类",Y909="无法识别"),"",IF(Y909="",IF(OR(J909="ILF",J909="EIF",J909="EI",J909="EO",J909="EQ"),0,""),LEN(Y909)-LEN(SUBSTITUTE(SUBSTITUTE(SUBSTITUTE(SUBSTITUTE(SUBSTITUTE(Y909,"|}","--"),"{|","--"),CHAR(10),""),"、",""),"|",""))+IF(AND(OR(J909="EI",J909="EO",J909="EQ"),$AE$1="NESMA"),2,1)))</f>
        <v/>
      </c>
      <c r="P909" s="86">
        <f>IF(J909="EI",IF(OR(Y909="估算法",Y909="算法类"),"中",IF(Y909="无法识别","低",IF(M909&lt;2,IF(O909&lt;16,"低","中"),IF(M909&lt;3,IF(O909&lt;5,"低",IF(O909&lt;16,"中","高")),IF(O909&lt;5,"中","高"))))),IF(OR(J909="EO",J909="EQ"),IF(OR(Y909="估算法",Y909="算法类"),"中",IF(Y909="无法识别","低",IF(M909&lt;2,IF(O909&lt;20,"低","中"),IF(M909&lt;4,IF(O909&lt;6,"低",IF(O909&lt;20,"中","高")),IF(O909&lt;6,"中","高"))))),IF(OR(J909="ILF",J909="EIF"),IF(OR(Y909="估算法",Y909="算法类",Y909="无法识别"),"低",IF(N909&lt;2,IF(O909&lt;51,"低","中"),IF(N909&lt;6,IF(O909&lt;20,"低",IF(O909&lt;51,"中","高")),IF(O909&lt;20,"中","高")))),"不计算")))</f>
        <v/>
      </c>
      <c r="Q909" s="172">
        <f>IFERROR(IF(J909="EI",IF(P909="低",3,IF(P909="中",4,6)),IF(J909="EO",IF(P909="低",4,IF(P909="中",5,7)),IF(J909="EQ",IF(P909="低",3,IF(P909="中",4,6)),IF(J909="ILF",IF(P909="低",7,IF(P909="中",10,15)),IF(J909="EIF",IF(P909="低",5,IF(P909="中",7,10)),"不计算")))))*R909,"不计算")</f>
        <v/>
      </c>
      <c r="R909" s="172" t="n">
        <v>0.333333333333333</v>
      </c>
      <c r="S909" s="173">
        <f>调整因子!$F$13</f>
        <v/>
      </c>
      <c r="T909" s="92" t="n">
        <v>1</v>
      </c>
      <c r="U909" s="174">
        <f>IFERROR(Q909*S909,0)</f>
        <v/>
      </c>
      <c r="V909" s="174">
        <f>U909*T909</f>
        <v/>
      </c>
      <c r="W909" s="93" t="inlineStr">
        <is>
          <t>上报批次记录表、上报结果表、上报状态记录表</t>
        </is>
      </c>
      <c r="X909" s="98" t="n"/>
      <c r="Y909"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is>
      </c>
      <c r="Z909" s="90" t="n"/>
      <c r="AA909" s="90" t="n"/>
    </row>
    <row r="910" s="112">
      <c r="A910" s="72">
        <f>ROW()-1</f>
        <v/>
      </c>
      <c r="B910" s="175" t="n"/>
      <c r="C910" s="80" t="n">
        <v>2025</v>
      </c>
      <c r="D910" s="80" t="inlineStr">
        <is>
          <t>窦鹏岐</t>
        </is>
      </c>
      <c r="E910" s="81">
        <f>VLOOKUP(I910,'25年交付功能（不含废弃）'!A:A,1,FALSE)</f>
        <v/>
      </c>
      <c r="F910" s="175" t="n"/>
      <c r="G910" s="175" t="n"/>
      <c r="H910" s="175" t="n"/>
      <c r="I910" s="81" t="inlineStr">
        <is>
          <t>修改上报结果</t>
        </is>
      </c>
      <c r="J910" s="93" t="inlineStr">
        <is>
          <t>EI</t>
        </is>
      </c>
      <c r="K910" s="84" t="n"/>
      <c r="L910" s="84" t="n"/>
      <c r="M910" s="85">
        <f>IF(OR(Y910="估算法",Y910="算法类",Y910="无法识别"),"",IF(W910="",IF(OR(J910="EI",J910="EO",J910="EQ"),0,""),LEN(W910)-LEN(SUBSTITUTE(W910,"、",""))+1))</f>
        <v/>
      </c>
      <c r="N910" s="85">
        <f>IF(OR(Y910="估算法",Y910="算法类",Y910="无法识别"),"",IF(X910="",IF(OR(J910="ILF",J910="EIF"),0,""),LEN(X910)-LEN(SUBSTITUTE(X910,"、",""))+1))</f>
        <v/>
      </c>
      <c r="O910" s="85">
        <f>IF(OR(Y910="估算法",Y910="算法类",Y910="无法识别"),"",IF(Y910="",IF(OR(J910="ILF",J910="EIF",J910="EI",J910="EO",J910="EQ"),0,""),LEN(Y910)-LEN(SUBSTITUTE(SUBSTITUTE(SUBSTITUTE(SUBSTITUTE(SUBSTITUTE(Y910,"|}","--"),"{|","--"),CHAR(10),""),"、",""),"|",""))+IF(AND(OR(J910="EI",J910="EO",J910="EQ"),$AE$1="NESMA"),2,1)))</f>
        <v/>
      </c>
      <c r="P910" s="86">
        <f>IF(J910="EI",IF(OR(Y910="估算法",Y910="算法类"),"中",IF(Y910="无法识别","低",IF(M910&lt;2,IF(O910&lt;16,"低","中"),IF(M910&lt;3,IF(O910&lt;5,"低",IF(O910&lt;16,"中","高")),IF(O910&lt;5,"中","高"))))),IF(OR(J910="EO",J910="EQ"),IF(OR(Y910="估算法",Y910="算法类"),"中",IF(Y910="无法识别","低",IF(M910&lt;2,IF(O910&lt;20,"低","中"),IF(M910&lt;4,IF(O910&lt;6,"低",IF(O910&lt;20,"中","高")),IF(O910&lt;6,"中","高"))))),IF(OR(J910="ILF",J910="EIF"),IF(OR(Y910="估算法",Y910="算法类",Y910="无法识别"),"低",IF(N910&lt;2,IF(O910&lt;51,"低","中"),IF(N910&lt;6,IF(O910&lt;20,"低",IF(O910&lt;51,"中","高")),IF(O910&lt;20,"中","高")))),"不计算")))</f>
        <v/>
      </c>
      <c r="Q910" s="172">
        <f>IFERROR(IF(J910="EI",IF(P910="低",3,IF(P910="中",4,6)),IF(J910="EO",IF(P910="低",4,IF(P910="中",5,7)),IF(J910="EQ",IF(P910="低",3,IF(P910="中",4,6)),IF(J910="ILF",IF(P910="低",7,IF(P910="中",10,15)),IF(J910="EIF",IF(P910="低",5,IF(P910="中",7,10)),"不计算")))))*R910,"不计算")</f>
        <v/>
      </c>
      <c r="R910" s="172" t="n">
        <v>0.333333333333333</v>
      </c>
      <c r="S910" s="173">
        <f>调整因子!$F$13</f>
        <v/>
      </c>
      <c r="T910" s="92" t="n">
        <v>1</v>
      </c>
      <c r="U910" s="174">
        <f>IFERROR(Q910*S910,0)</f>
        <v/>
      </c>
      <c r="V910" s="174">
        <f>U910*T910</f>
        <v/>
      </c>
      <c r="W910" s="93" t="inlineStr">
        <is>
          <t>上报批次记录表、上报结果表、上报状态记录表、状态变化日志表</t>
        </is>
      </c>
      <c r="X910" s="98" t="n"/>
      <c r="Y910"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Z910" s="90" t="n"/>
      <c r="AA910" s="90" t="n"/>
    </row>
    <row r="911" s="112">
      <c r="A911" s="72">
        <f>ROW()-1</f>
        <v/>
      </c>
      <c r="B911" s="175" t="n"/>
      <c r="C911" s="80" t="n">
        <v>2025</v>
      </c>
      <c r="D911" s="80" t="inlineStr">
        <is>
          <t>窦鹏岐</t>
        </is>
      </c>
      <c r="E911" s="81">
        <f>VLOOKUP(I911,'25年交付功能（不含废弃）'!A:A,1,FALSE)</f>
        <v/>
      </c>
      <c r="F911" s="175" t="n"/>
      <c r="G911" s="175" t="n"/>
      <c r="H911" s="175" t="n"/>
      <c r="I911" s="81" t="inlineStr">
        <is>
          <t>删除上报批次</t>
        </is>
      </c>
      <c r="J911" s="93" t="inlineStr">
        <is>
          <t>EI</t>
        </is>
      </c>
      <c r="K911" s="84" t="n"/>
      <c r="L911" s="84" t="n"/>
      <c r="M911" s="85">
        <f>IF(OR(Y911="估算法",Y911="算法类",Y911="无法识别"),"",IF(W911="",IF(OR(J911="EI",J911="EO",J911="EQ"),0,""),LEN(W911)-LEN(SUBSTITUTE(W911,"、",""))+1))</f>
        <v/>
      </c>
      <c r="N911" s="85">
        <f>IF(OR(Y911="估算法",Y911="算法类",Y911="无法识别"),"",IF(X911="",IF(OR(J911="ILF",J911="EIF"),0,""),LEN(X911)-LEN(SUBSTITUTE(X911,"、",""))+1))</f>
        <v/>
      </c>
      <c r="O911" s="85">
        <f>IF(OR(Y911="估算法",Y911="算法类",Y911="无法识别"),"",IF(Y911="",IF(OR(J911="ILF",J911="EIF",J911="EI",J911="EO",J911="EQ"),0,""),LEN(Y911)-LEN(SUBSTITUTE(SUBSTITUTE(SUBSTITUTE(SUBSTITUTE(SUBSTITUTE(Y911,"|}","--"),"{|","--"),CHAR(10),""),"、",""),"|",""))+IF(AND(OR(J911="EI",J911="EO",J911="EQ"),$AE$1="NESMA"),2,1)))</f>
        <v/>
      </c>
      <c r="P911" s="86">
        <f>IF(J911="EI",IF(OR(Y911="估算法",Y911="算法类"),"中",IF(Y911="无法识别","低",IF(M911&lt;2,IF(O911&lt;16,"低","中"),IF(M911&lt;3,IF(O911&lt;5,"低",IF(O911&lt;16,"中","高")),IF(O911&lt;5,"中","高"))))),IF(OR(J911="EO",J911="EQ"),IF(OR(Y911="估算法",Y911="算法类"),"中",IF(Y911="无法识别","低",IF(M911&lt;2,IF(O911&lt;20,"低","中"),IF(M911&lt;4,IF(O911&lt;6,"低",IF(O911&lt;20,"中","高")),IF(O911&lt;6,"中","高"))))),IF(OR(J911="ILF",J911="EIF"),IF(OR(Y911="估算法",Y911="算法类",Y911="无法识别"),"低",IF(N911&lt;2,IF(O911&lt;51,"低","中"),IF(N911&lt;6,IF(O911&lt;20,"低",IF(O911&lt;51,"中","高")),IF(O911&lt;20,"中","高")))),"不计算")))</f>
        <v/>
      </c>
      <c r="Q911" s="172">
        <f>IFERROR(IF(J911="EI",IF(P911="低",3,IF(P911="中",4,6)),IF(J911="EO",IF(P911="低",4,IF(P911="中",5,7)),IF(J911="EQ",IF(P911="低",3,IF(P911="中",4,6)),IF(J911="ILF",IF(P911="低",7,IF(P911="中",10,15)),IF(J911="EIF",IF(P911="低",5,IF(P911="中",7,10)),"不计算")))))*R911,"不计算")</f>
        <v/>
      </c>
      <c r="R911" s="172" t="n">
        <v>0.333333333333333</v>
      </c>
      <c r="S911" s="173">
        <f>调整因子!$F$13</f>
        <v/>
      </c>
      <c r="T911" s="93" t="n">
        <v>1</v>
      </c>
      <c r="U911" s="174">
        <f>IFERROR(Q911*S911,0)</f>
        <v/>
      </c>
      <c r="V911" s="174">
        <f>U911*T911</f>
        <v/>
      </c>
      <c r="W911" s="93" t="inlineStr">
        <is>
          <t>上报批次记录表、上报结果表、上报状态记录表、状态变化日志表</t>
        </is>
      </c>
      <c r="X911" s="98" t="n"/>
      <c r="Y911" s="93" t="inlineStr">
        <is>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is>
      </c>
      <c r="Z911" s="90" t="n"/>
      <c r="AA911" s="90" t="n"/>
    </row>
    <row r="912" s="112">
      <c r="A912" s="72">
        <f>ROW()-1</f>
        <v/>
      </c>
      <c r="B912" s="175" t="n"/>
      <c r="C912" s="80" t="n">
        <v>2025</v>
      </c>
      <c r="D912" s="80" t="inlineStr">
        <is>
          <t>窦鹏岐</t>
        </is>
      </c>
      <c r="E912" s="81">
        <f>VLOOKUP(I912,'25年交付功能（不含废弃）'!A:A,1,FALSE)</f>
        <v/>
      </c>
      <c r="F912" s="175" t="n"/>
      <c r="G912" s="175" t="n"/>
      <c r="H912" s="175" t="n"/>
      <c r="I912" s="81" t="inlineStr">
        <is>
          <t>导出上报批次</t>
        </is>
      </c>
      <c r="J912" s="93" t="inlineStr">
        <is>
          <t>EO</t>
        </is>
      </c>
      <c r="K912" s="84" t="n"/>
      <c r="L912" s="84" t="n"/>
      <c r="M912" s="85">
        <f>IF(OR(Y912="估算法",Y912="算法类",Y912="无法识别"),"",IF(W912="",IF(OR(J912="EI",J912="EO",J912="EQ"),0,""),LEN(W912)-LEN(SUBSTITUTE(W912,"、",""))+1))</f>
        <v/>
      </c>
      <c r="N912" s="85">
        <f>IF(OR(Y912="估算法",Y912="算法类",Y912="无法识别"),"",IF(X912="",IF(OR(J912="ILF",J912="EIF"),0,""),LEN(X912)-LEN(SUBSTITUTE(X912,"、",""))+1))</f>
        <v/>
      </c>
      <c r="O912" s="85">
        <f>IF(OR(Y912="估算法",Y912="算法类",Y912="无法识别"),"",IF(Y912="",IF(OR(J912="ILF",J912="EIF",J912="EI",J912="EO",J912="EQ"),0,""),LEN(Y912)-LEN(SUBSTITUTE(SUBSTITUTE(SUBSTITUTE(SUBSTITUTE(SUBSTITUTE(Y912,"|}","--"),"{|","--"),CHAR(10),""),"、",""),"|",""))+IF(AND(OR(J912="EI",J912="EO",J912="EQ"),$AE$1="NESMA"),2,1)))</f>
        <v/>
      </c>
      <c r="P912" s="86">
        <f>IF(J912="EI",IF(OR(Y912="估算法",Y912="算法类"),"中",IF(Y912="无法识别","低",IF(M912&lt;2,IF(O912&lt;16,"低","中"),IF(M912&lt;3,IF(O912&lt;5,"低",IF(O912&lt;16,"中","高")),IF(O912&lt;5,"中","高"))))),IF(OR(J912="EO",J912="EQ"),IF(OR(Y912="估算法",Y912="算法类"),"中",IF(Y912="无法识别","低",IF(M912&lt;2,IF(O912&lt;20,"低","中"),IF(M912&lt;4,IF(O912&lt;6,"低",IF(O912&lt;20,"中","高")),IF(O912&lt;6,"中","高"))))),IF(OR(J912="ILF",J912="EIF"),IF(OR(Y912="估算法",Y912="算法类",Y912="无法识别"),"低",IF(N912&lt;2,IF(O912&lt;51,"低","中"),IF(N912&lt;6,IF(O912&lt;20,"低",IF(O912&lt;51,"中","高")),IF(O912&lt;20,"中","高")))),"不计算")))</f>
        <v/>
      </c>
      <c r="Q912" s="172">
        <f>IFERROR(IF(J912="EI",IF(P912="低",3,IF(P912="中",4,6)),IF(J912="EO",IF(P912="低",4,IF(P912="中",5,7)),IF(J912="EQ",IF(P912="低",3,IF(P912="中",4,6)),IF(J912="ILF",IF(P912="低",7,IF(P912="中",10,15)),IF(J912="EIF",IF(P912="低",5,IF(P912="中",7,10)),"不计算")))))*R912,"不计算")</f>
        <v/>
      </c>
      <c r="R912" s="172" t="n">
        <v>1</v>
      </c>
      <c r="S912" s="173">
        <f>调整因子!$F$13</f>
        <v/>
      </c>
      <c r="T912" s="92" t="n">
        <v>1</v>
      </c>
      <c r="U912" s="174">
        <f>IFERROR(Q912*S912,0)</f>
        <v/>
      </c>
      <c r="V912" s="174">
        <f>U912*T912</f>
        <v/>
      </c>
      <c r="W912" s="93" t="inlineStr">
        <is>
          <t>上报批次记录表、上报结果表</t>
        </is>
      </c>
      <c r="X912" s="98" t="n"/>
      <c r="Y912" s="93" t="inlineStr">
        <is>
          <t>上报批次记录表{主键 id 、批次名称、批次描述、创建时间、创建人}
上报结果表{主键 id 、上报批次记录表 id（关联的上报批次）、上报内容、上报时间、上报人}</t>
        </is>
      </c>
      <c r="Z912" s="90" t="n"/>
      <c r="AA912" s="90" t="n"/>
    </row>
    <row r="913" s="112">
      <c r="A913" s="72">
        <f>ROW()-1</f>
        <v/>
      </c>
      <c r="B913" s="175" t="n"/>
      <c r="C913" s="80" t="n">
        <v>2025</v>
      </c>
      <c r="D913" s="80" t="inlineStr">
        <is>
          <t>窦鹏岐</t>
        </is>
      </c>
      <c r="E913" s="81">
        <f>VLOOKUP(I913,'25年交付功能（不含废弃）'!A:A,1,FALSE)</f>
        <v/>
      </c>
      <c r="F913" s="175" t="n"/>
      <c r="G913" s="175" t="n"/>
      <c r="H913" s="175" t="n"/>
      <c r="I913" s="81" t="inlineStr">
        <is>
          <t>新增上报批次</t>
        </is>
      </c>
      <c r="J913" s="93" t="inlineStr">
        <is>
          <t>EI</t>
        </is>
      </c>
      <c r="K913" s="84" t="n"/>
      <c r="L913" s="84" t="n"/>
      <c r="M913" s="85">
        <f>IF(OR(Y913="估算法",Y913="算法类",Y913="无法识别"),"",IF(W913="",IF(OR(J913="EI",J913="EO",J913="EQ"),0,""),LEN(W913)-LEN(SUBSTITUTE(W913,"、",""))+1))</f>
        <v/>
      </c>
      <c r="N913" s="85">
        <f>IF(OR(Y913="估算法",Y913="算法类",Y913="无法识别"),"",IF(X913="",IF(OR(J913="ILF",J913="EIF"),0,""),LEN(X913)-LEN(SUBSTITUTE(X913,"、",""))+1))</f>
        <v/>
      </c>
      <c r="O913" s="85">
        <f>IF(OR(Y913="估算法",Y913="算法类",Y913="无法识别"),"",IF(Y913="",IF(OR(J913="ILF",J913="EIF",J913="EI",J913="EO",J913="EQ"),0,""),LEN(Y913)-LEN(SUBSTITUTE(SUBSTITUTE(SUBSTITUTE(SUBSTITUTE(SUBSTITUTE(Y913,"|}","--"),"{|","--"),CHAR(10),""),"、",""),"|",""))+IF(AND(OR(J913="EI",J913="EO",J913="EQ"),$AE$1="NESMA"),2,1)))</f>
        <v/>
      </c>
      <c r="P913" s="86">
        <f>IF(J913="EI",IF(OR(Y913="估算法",Y913="算法类"),"中",IF(Y913="无法识别","低",IF(M913&lt;2,IF(O913&lt;16,"低","中"),IF(M913&lt;3,IF(O913&lt;5,"低",IF(O913&lt;16,"中","高")),IF(O913&lt;5,"中","高"))))),IF(OR(J913="EO",J913="EQ"),IF(OR(Y913="估算法",Y913="算法类"),"中",IF(Y913="无法识别","低",IF(M913&lt;2,IF(O913&lt;20,"低","中"),IF(M913&lt;4,IF(O913&lt;6,"低",IF(O913&lt;20,"中","高")),IF(O913&lt;6,"中","高"))))),IF(OR(J913="ILF",J913="EIF"),IF(OR(Y913="估算法",Y913="算法类",Y913="无法识别"),"低",IF(N913&lt;2,IF(O913&lt;51,"低","中"),IF(N913&lt;6,IF(O913&lt;20,"低",IF(O913&lt;51,"中","高")),IF(O913&lt;20,"中","高")))),"不计算")))</f>
        <v/>
      </c>
      <c r="Q913" s="172">
        <f>IFERROR(IF(J913="EI",IF(P913="低",3,IF(P913="中",4,6)),IF(J913="EO",IF(P913="低",4,IF(P913="中",5,7)),IF(J913="EQ",IF(P913="低",3,IF(P913="中",4,6)),IF(J913="ILF",IF(P913="低",7,IF(P913="中",10,15)),IF(J913="EIF",IF(P913="低",5,IF(P913="中",7,10)),"不计算")))))*R913,"不计算")</f>
        <v/>
      </c>
      <c r="R913" s="172" t="n">
        <v>1</v>
      </c>
      <c r="S913" s="173">
        <f>调整因子!$F$13</f>
        <v/>
      </c>
      <c r="T913" s="92" t="n">
        <v>1</v>
      </c>
      <c r="U913" s="174">
        <f>IFERROR(Q913*S913,0)</f>
        <v/>
      </c>
      <c r="V913" s="174">
        <f>U913*T913</f>
        <v/>
      </c>
      <c r="W913" s="93" t="inlineStr">
        <is>
          <t>上报批次记录表、上报结果表</t>
        </is>
      </c>
      <c r="X913" s="98" t="n"/>
      <c r="Y913" s="93" t="inlineStr">
        <is>
          <t>上报批次记录表{主键 id 、批次名称、批次描述、创建时间、创建人}
上报结果表{主键 id 、上报批次记录表 id（关联的上报批次）、上报内容、上报时间、上报人}</t>
        </is>
      </c>
      <c r="Z913" s="90" t="n"/>
      <c r="AA913" s="90" t="n"/>
    </row>
    <row r="914" s="112">
      <c r="A914" s="72">
        <f>ROW()-1</f>
        <v/>
      </c>
      <c r="B914" s="175" t="n"/>
      <c r="C914" s="80" t="n">
        <v>2025</v>
      </c>
      <c r="D914" s="80" t="inlineStr">
        <is>
          <t>窦鹏岐</t>
        </is>
      </c>
      <c r="E914" s="81">
        <f>VLOOKUP(I914,'25年交付功能（不含废弃）'!A:A,1,FALSE)</f>
        <v/>
      </c>
      <c r="F914" s="175" t="n"/>
      <c r="G914" s="175" t="n"/>
      <c r="H914" s="175" t="n"/>
      <c r="I914" s="81" t="inlineStr">
        <is>
          <t>条件搜索</t>
        </is>
      </c>
      <c r="J914" s="93" t="inlineStr">
        <is>
          <t>EQ</t>
        </is>
      </c>
      <c r="K914" s="84" t="n"/>
      <c r="L914" s="84" t="n"/>
      <c r="M914" s="85">
        <f>IF(OR(Y914="估算法",Y914="算法类",Y914="无法识别"),"",IF(W914="",IF(OR(J914="EI",J914="EO",J914="EQ"),0,""),LEN(W914)-LEN(SUBSTITUTE(W914,"、",""))+1))</f>
        <v/>
      </c>
      <c r="N914" s="85">
        <f>IF(OR(Y914="估算法",Y914="算法类",Y914="无法识别"),"",IF(X914="",IF(OR(J914="ILF",J914="EIF"),0,""),LEN(X914)-LEN(SUBSTITUTE(X914,"、",""))+1))</f>
        <v/>
      </c>
      <c r="O914" s="85">
        <f>IF(OR(Y914="估算法",Y914="算法类",Y914="无法识别"),"",IF(Y914="",IF(OR(J914="ILF",J914="EIF",J914="EI",J914="EO",J914="EQ"),0,""),LEN(Y914)-LEN(SUBSTITUTE(SUBSTITUTE(SUBSTITUTE(SUBSTITUTE(SUBSTITUTE(Y914,"|}","--"),"{|","--"),CHAR(10),""),"、",""),"|",""))+IF(AND(OR(J914="EI",J914="EO",J914="EQ"),$AE$1="NESMA"),2,1)))</f>
        <v/>
      </c>
      <c r="P914" s="86">
        <f>IF(J914="EI",IF(OR(Y914="估算法",Y914="算法类"),"中",IF(Y914="无法识别","低",IF(M914&lt;2,IF(O914&lt;16,"低","中"),IF(M914&lt;3,IF(O914&lt;5,"低",IF(O914&lt;16,"中","高")),IF(O914&lt;5,"中","高"))))),IF(OR(J914="EO",J914="EQ"),IF(OR(Y914="估算法",Y914="算法类"),"中",IF(Y914="无法识别","低",IF(M914&lt;2,IF(O914&lt;20,"低","中"),IF(M914&lt;4,IF(O914&lt;6,"低",IF(O914&lt;20,"中","高")),IF(O914&lt;6,"中","高"))))),IF(OR(J914="ILF",J914="EIF"),IF(OR(Y914="估算法",Y914="算法类",Y914="无法识别"),"低",IF(N914&lt;2,IF(O914&lt;51,"低","中"),IF(N914&lt;6,IF(O914&lt;20,"低",IF(O914&lt;51,"中","高")),IF(O914&lt;20,"中","高")))),"不计算")))</f>
        <v/>
      </c>
      <c r="Q914" s="172">
        <f>IFERROR(IF(J914="EI",IF(P914="低",3,IF(P914="中",4,6)),IF(J914="EO",IF(P914="低",4,IF(P914="中",5,7)),IF(J914="EQ",IF(P914="低",3,IF(P914="中",4,6)),IF(J914="ILF",IF(P914="低",7,IF(P914="中",10,15)),IF(J914="EIF",IF(P914="低",5,IF(P914="中",7,10)),"不计算")))))*R914,"不计算")</f>
        <v/>
      </c>
      <c r="R914" s="172" t="n">
        <v>1</v>
      </c>
      <c r="S914" s="173">
        <f>调整因子!$F$13</f>
        <v/>
      </c>
      <c r="T914" s="93" t="n">
        <v>1</v>
      </c>
      <c r="U914" s="174">
        <f>IFERROR(Q914*S914,0)</f>
        <v/>
      </c>
      <c r="V914" s="174">
        <f>U914*T914</f>
        <v/>
      </c>
      <c r="W914" s="93" t="inlineStr">
        <is>
          <t>上报批次记录表、上报结果表</t>
        </is>
      </c>
      <c r="X914" s="98" t="n"/>
      <c r="Y914" s="93" t="inlineStr">
        <is>
          <t>上报批次记录表{主键 id 、批次名称、批次描述、创建时间、创建人}
上报结果表{主键 id 、上报批次记录表 id（关联的上报批次）、上报内容、上报时间、上报人}</t>
        </is>
      </c>
      <c r="Z914" s="90" t="n"/>
      <c r="AA914" s="90" t="n"/>
    </row>
    <row r="915" s="112">
      <c r="A915" s="72">
        <f>ROW()-1</f>
        <v/>
      </c>
      <c r="B915" s="175" t="n"/>
      <c r="C915" s="80" t="n">
        <v>2025</v>
      </c>
      <c r="D915" s="80" t="inlineStr">
        <is>
          <t>窦鹏岐</t>
        </is>
      </c>
      <c r="E915" s="81">
        <f>VLOOKUP(I915,'25年交付功能（不含废弃）'!A:A,1,FALSE)</f>
        <v/>
      </c>
      <c r="F915" s="175" t="n"/>
      <c r="G915" s="175" t="n"/>
      <c r="H915" s="176" t="n"/>
      <c r="I915" s="81" t="inlineStr">
        <is>
          <t>查询上报批次</t>
        </is>
      </c>
      <c r="J915" s="93" t="inlineStr">
        <is>
          <t>EQ</t>
        </is>
      </c>
      <c r="K915" s="84" t="n"/>
      <c r="L915" s="84" t="n"/>
      <c r="M915" s="85">
        <f>IF(OR(Y915="估算法",Y915="算法类",Y915="无法识别"),"",IF(W915="",IF(OR(J915="EI",J915="EO",J915="EQ"),0,""),LEN(W915)-LEN(SUBSTITUTE(W915,"、",""))+1))</f>
        <v/>
      </c>
      <c r="N915" s="85">
        <f>IF(OR(Y915="估算法",Y915="算法类",Y915="无法识别"),"",IF(X915="",IF(OR(J915="ILF",J915="EIF"),0,""),LEN(X915)-LEN(SUBSTITUTE(X915,"、",""))+1))</f>
        <v/>
      </c>
      <c r="O915" s="85">
        <f>IF(OR(Y915="估算法",Y915="算法类",Y915="无法识别"),"",IF(Y915="",IF(OR(J915="ILF",J915="EIF",J915="EI",J915="EO",J915="EQ"),0,""),LEN(Y915)-LEN(SUBSTITUTE(SUBSTITUTE(SUBSTITUTE(SUBSTITUTE(SUBSTITUTE(Y915,"|}","--"),"{|","--"),CHAR(10),""),"、",""),"|",""))+IF(AND(OR(J915="EI",J915="EO",J915="EQ"),$AE$1="NESMA"),2,1)))</f>
        <v/>
      </c>
      <c r="P915" s="86">
        <f>IF(J915="EI",IF(OR(Y915="估算法",Y915="算法类"),"中",IF(Y915="无法识别","低",IF(M915&lt;2,IF(O915&lt;16,"低","中"),IF(M915&lt;3,IF(O915&lt;5,"低",IF(O915&lt;16,"中","高")),IF(O915&lt;5,"中","高"))))),IF(OR(J915="EO",J915="EQ"),IF(OR(Y915="估算法",Y915="算法类"),"中",IF(Y915="无法识别","低",IF(M915&lt;2,IF(O915&lt;20,"低","中"),IF(M915&lt;4,IF(O915&lt;6,"低",IF(O915&lt;20,"中","高")),IF(O915&lt;6,"中","高"))))),IF(OR(J915="ILF",J915="EIF"),IF(OR(Y915="估算法",Y915="算法类",Y915="无法识别"),"低",IF(N915&lt;2,IF(O915&lt;51,"低","中"),IF(N915&lt;6,IF(O915&lt;20,"低",IF(O915&lt;51,"中","高")),IF(O915&lt;20,"中","高")))),"不计算")))</f>
        <v/>
      </c>
      <c r="Q915" s="172">
        <f>IFERROR(IF(J915="EI",IF(P915="低",3,IF(P915="中",4,6)),IF(J915="EO",IF(P915="低",4,IF(P915="中",5,7)),IF(J915="EQ",IF(P915="低",3,IF(P915="中",4,6)),IF(J915="ILF",IF(P915="低",7,IF(P915="中",10,15)),IF(J915="EIF",IF(P915="低",5,IF(P915="中",7,10)),"不计算")))))*R915,"不计算")</f>
        <v/>
      </c>
      <c r="R915" s="172" t="n">
        <v>1</v>
      </c>
      <c r="S915" s="173">
        <f>调整因子!$F$13</f>
        <v/>
      </c>
      <c r="T915" s="93" t="n">
        <v>1</v>
      </c>
      <c r="U915" s="174">
        <f>IFERROR(Q915*S915,0)</f>
        <v/>
      </c>
      <c r="V915" s="174">
        <f>U915*T915</f>
        <v/>
      </c>
      <c r="W915" s="93" t="inlineStr">
        <is>
          <t>上报批次记录表、上报结果表</t>
        </is>
      </c>
      <c r="X915" s="98" t="n"/>
      <c r="Y915" s="93" t="inlineStr">
        <is>
          <t>上报批次记录表{主键 id 、批次名称、批次描述、创建时间、创建人}
上报结果表{主键 id 、上报批次记录表 id（关联的上报批次）、上报内容、上报时间、上报人}</t>
        </is>
      </c>
      <c r="Z915" s="90" t="n"/>
      <c r="AA915" s="90" t="n"/>
    </row>
    <row r="916" s="112">
      <c r="A916" s="72">
        <f>ROW()-1</f>
        <v/>
      </c>
      <c r="B916" s="175" t="n"/>
      <c r="C916" s="80" t="n">
        <v>2025</v>
      </c>
      <c r="D916" s="80" t="inlineStr">
        <is>
          <t>窦鹏岐</t>
        </is>
      </c>
      <c r="E916" s="81">
        <f>VLOOKUP(I916,'25年交付功能（不含废弃）'!A:A,1,FALSE)</f>
        <v/>
      </c>
      <c r="F916" s="175" t="n"/>
      <c r="G916" s="175" t="n"/>
      <c r="H916" s="93" t="inlineStr">
        <is>
          <t>上报记录查询</t>
        </is>
      </c>
      <c r="I916" s="81" t="inlineStr">
        <is>
          <t>条件查询检索</t>
        </is>
      </c>
      <c r="J916" s="93" t="inlineStr">
        <is>
          <t>EQ</t>
        </is>
      </c>
      <c r="K916" s="84" t="n"/>
      <c r="L916" s="84" t="n"/>
      <c r="M916" s="85">
        <f>IF(OR(Y916="估算法",Y916="算法类",Y916="无法识别"),"",IF(W916="",IF(OR(J916="EI",J916="EO",J916="EQ"),0,""),LEN(W916)-LEN(SUBSTITUTE(W916,"、",""))+1))</f>
        <v/>
      </c>
      <c r="N916" s="85">
        <f>IF(OR(Y916="估算法",Y916="算法类",Y916="无法识别"),"",IF(X916="",IF(OR(J916="ILF",J916="EIF"),0,""),LEN(X916)-LEN(SUBSTITUTE(X916,"、",""))+1))</f>
        <v/>
      </c>
      <c r="O916" s="85">
        <f>IF(OR(Y916="估算法",Y916="算法类",Y916="无法识别"),"",IF(Y916="",IF(OR(J916="ILF",J916="EIF",J916="EI",J916="EO",J916="EQ"),0,""),LEN(Y916)-LEN(SUBSTITUTE(SUBSTITUTE(SUBSTITUTE(SUBSTITUTE(SUBSTITUTE(Y916,"|}","--"),"{|","--"),CHAR(10),""),"、",""),"|",""))+IF(AND(OR(J916="EI",J916="EO",J916="EQ"),$AE$1="NESMA"),2,1)))</f>
        <v/>
      </c>
      <c r="P916" s="86">
        <f>IF(J916="EI",IF(OR(Y916="估算法",Y916="算法类"),"中",IF(Y916="无法识别","低",IF(M916&lt;2,IF(O916&lt;16,"低","中"),IF(M916&lt;3,IF(O916&lt;5,"低",IF(O916&lt;16,"中","高")),IF(O916&lt;5,"中","高"))))),IF(OR(J916="EO",J916="EQ"),IF(OR(Y916="估算法",Y916="算法类"),"中",IF(Y916="无法识别","低",IF(M916&lt;2,IF(O916&lt;20,"低","中"),IF(M916&lt;4,IF(O916&lt;6,"低",IF(O916&lt;20,"中","高")),IF(O916&lt;6,"中","高"))))),IF(OR(J916="ILF",J916="EIF"),IF(OR(Y916="估算法",Y916="算法类",Y916="无法识别"),"低",IF(N916&lt;2,IF(O916&lt;51,"低","中"),IF(N916&lt;6,IF(O916&lt;20,"低",IF(O916&lt;51,"中","高")),IF(O916&lt;20,"中","高")))),"不计算")))</f>
        <v/>
      </c>
      <c r="Q916" s="172">
        <f>IFERROR(IF(J916="EI",IF(P916="低",3,IF(P916="中",4,6)),IF(J916="EO",IF(P916="低",4,IF(P916="中",5,7)),IF(J916="EQ",IF(P916="低",3,IF(P916="中",4,6)),IF(J916="ILF",IF(P916="低",7,IF(P916="中",10,15)),IF(J916="EIF",IF(P916="低",5,IF(P916="中",7,10)),"不计算")))))*R916,"不计算")</f>
        <v/>
      </c>
      <c r="R916" s="172" t="n">
        <v>1</v>
      </c>
      <c r="S916" s="173">
        <f>调整因子!$F$13</f>
        <v/>
      </c>
      <c r="T916" s="92" t="n">
        <v>1</v>
      </c>
      <c r="U916" s="174">
        <f>IFERROR(Q916*S916,0)</f>
        <v/>
      </c>
      <c r="V916" s="174">
        <f>U916*T916</f>
        <v/>
      </c>
      <c r="W916" s="93" t="inlineStr">
        <is>
          <t>上报结果表</t>
        </is>
      </c>
      <c r="X916" s="98" t="n"/>
      <c r="Y916" s="93" t="inlineStr">
        <is>
          <t>上报结果表{主键 id 、上报批次记录表 id（关联的上报批次）、上报内容、上报时间、上报人}</t>
        </is>
      </c>
      <c r="Z916" s="90" t="n"/>
      <c r="AA916" s="90" t="n"/>
    </row>
    <row r="917" s="112">
      <c r="A917" s="72">
        <f>ROW()-1</f>
        <v/>
      </c>
      <c r="B917" s="175" t="n"/>
      <c r="C917" s="80" t="n">
        <v>2025</v>
      </c>
      <c r="D917" s="80" t="inlineStr">
        <is>
          <t>窦鹏岐</t>
        </is>
      </c>
      <c r="E917" s="81">
        <f>VLOOKUP(I917,'25年交付功能（不含废弃）'!A:A,1,FALSE)</f>
        <v/>
      </c>
      <c r="F917" s="175" t="n"/>
      <c r="G917" s="175" t="n"/>
      <c r="H917" s="175" t="n"/>
      <c r="I917" s="81" t="inlineStr">
        <is>
          <t>结果上报记录查看</t>
        </is>
      </c>
      <c r="J917" s="93" t="inlineStr">
        <is>
          <t>EQ</t>
        </is>
      </c>
      <c r="K917" s="84" t="n"/>
      <c r="L917" s="84" t="n"/>
      <c r="M917" s="85">
        <f>IF(OR(Y917="估算法",Y917="算法类",Y917="无法识别"),"",IF(W917="",IF(OR(J917="EI",J917="EO",J917="EQ"),0,""),LEN(W917)-LEN(SUBSTITUTE(W917,"、",""))+1))</f>
        <v/>
      </c>
      <c r="N917" s="85">
        <f>IF(OR(Y917="估算法",Y917="算法类",Y917="无法识别"),"",IF(X917="",IF(OR(J917="ILF",J917="EIF"),0,""),LEN(X917)-LEN(SUBSTITUTE(X917,"、",""))+1))</f>
        <v/>
      </c>
      <c r="O917" s="85">
        <f>IF(OR(Y917="估算法",Y917="算法类",Y917="无法识别"),"",IF(Y917="",IF(OR(J917="ILF",J917="EIF",J917="EI",J917="EO",J917="EQ"),0,""),LEN(Y917)-LEN(SUBSTITUTE(SUBSTITUTE(SUBSTITUTE(SUBSTITUTE(SUBSTITUTE(Y917,"|}","--"),"{|","--"),CHAR(10),""),"、",""),"|",""))+IF(AND(OR(J917="EI",J917="EO",J917="EQ"),$AE$1="NESMA"),2,1)))</f>
        <v/>
      </c>
      <c r="P917" s="86">
        <f>IF(J917="EI",IF(OR(Y917="估算法",Y917="算法类"),"中",IF(Y917="无法识别","低",IF(M917&lt;2,IF(O917&lt;16,"低","中"),IF(M917&lt;3,IF(O917&lt;5,"低",IF(O917&lt;16,"中","高")),IF(O917&lt;5,"中","高"))))),IF(OR(J917="EO",J917="EQ"),IF(OR(Y917="估算法",Y917="算法类"),"中",IF(Y917="无法识别","低",IF(M917&lt;2,IF(O917&lt;20,"低","中"),IF(M917&lt;4,IF(O917&lt;6,"低",IF(O917&lt;20,"中","高")),IF(O917&lt;6,"中","高"))))),IF(OR(J917="ILF",J917="EIF"),IF(OR(Y917="估算法",Y917="算法类",Y917="无法识别"),"低",IF(N917&lt;2,IF(O917&lt;51,"低","中"),IF(N917&lt;6,IF(O917&lt;20,"低",IF(O917&lt;51,"中","高")),IF(O917&lt;20,"中","高")))),"不计算")))</f>
        <v/>
      </c>
      <c r="Q917" s="172">
        <f>IFERROR(IF(J917="EI",IF(P917="低",3,IF(P917="中",4,6)),IF(J917="EO",IF(P917="低",4,IF(P917="中",5,7)),IF(J917="EQ",IF(P917="低",3,IF(P917="中",4,6)),IF(J917="ILF",IF(P917="低",7,IF(P917="中",10,15)),IF(J917="EIF",IF(P917="低",5,IF(P917="中",7,10)),"不计算")))))*R917,"不计算")</f>
        <v/>
      </c>
      <c r="R917" s="172" t="n">
        <v>1</v>
      </c>
      <c r="S917" s="173">
        <f>调整因子!$F$13</f>
        <v/>
      </c>
      <c r="T917" s="92" t="n">
        <v>1</v>
      </c>
      <c r="U917" s="174">
        <f>IFERROR(Q917*S917,0)</f>
        <v/>
      </c>
      <c r="V917" s="174">
        <f>U917*T917</f>
        <v/>
      </c>
      <c r="W917" s="93" t="inlineStr">
        <is>
          <t>上报结果表、结果上报记录查看表</t>
        </is>
      </c>
      <c r="X917" s="98" t="n"/>
      <c r="Y917" s="93" t="inlineStr">
        <is>
          <t>上报结果表{主键 id 、上报批次记录表 id（关联的上报批次）、上报内容、上报时间、上报人}
结果上报记录查看表{主键 id 、上报结果表 id、查看时间、查看人、查看详情}</t>
        </is>
      </c>
      <c r="Z917" s="90" t="n"/>
      <c r="AA917" s="90" t="n"/>
    </row>
    <row r="918" s="112">
      <c r="A918" s="72">
        <f>ROW()-1</f>
        <v/>
      </c>
      <c r="B918" s="175" t="n"/>
      <c r="C918" s="80" t="n">
        <v>2025</v>
      </c>
      <c r="D918" s="80" t="inlineStr">
        <is>
          <t>窦鹏岐</t>
        </is>
      </c>
      <c r="E918" s="81">
        <f>VLOOKUP(I918,'25年交付功能（不含废弃）'!A:A,1,FALSE)</f>
        <v/>
      </c>
      <c r="F918" s="175" t="n"/>
      <c r="G918" s="175" t="n"/>
      <c r="H918" s="175" t="n"/>
      <c r="I918" s="81" t="inlineStr">
        <is>
          <t>上报批次记录表</t>
        </is>
      </c>
      <c r="J918" s="98" t="inlineStr">
        <is>
          <t>ILF</t>
        </is>
      </c>
      <c r="K918" s="84" t="n"/>
      <c r="L918" s="84" t="n"/>
      <c r="M918" s="85">
        <f>IF(OR(Y918="估算法",Y918="算法类",Y918="无法识别"),"",IF(W918="",IF(OR(J918="EI",J918="EO",J918="EQ"),0,""),LEN(W918)-LEN(SUBSTITUTE(W918,"、",""))+1))</f>
        <v/>
      </c>
      <c r="N918" s="85">
        <f>IF(OR(Y918="估算法",Y918="算法类",Y918="无法识别"),"",IF(X918="",IF(OR(J918="ILF",J918="EIF"),0,""),LEN(X918)-LEN(SUBSTITUTE(X918,"、",""))+1))</f>
        <v/>
      </c>
      <c r="O918" s="85">
        <f>IF(OR(Y918="估算法",Y918="算法类",Y918="无法识别"),"",IF(Y918="",IF(OR(J918="ILF",J918="EIF",J918="EI",J918="EO",J918="EQ"),0,""),LEN(Y918)-LEN(SUBSTITUTE(SUBSTITUTE(SUBSTITUTE(SUBSTITUTE(SUBSTITUTE(Y918,"|}","--"),"{|","--"),CHAR(10),""),"、",""),"|",""))+IF(AND(OR(J918="EI",J918="EO",J918="EQ"),$AE$1="NESMA"),2,1)))</f>
        <v/>
      </c>
      <c r="P918" s="86">
        <f>IF(J918="EI",IF(OR(Y918="估算法",Y918="算法类"),"中",IF(Y918="无法识别","低",IF(M918&lt;2,IF(O918&lt;16,"低","中"),IF(M918&lt;3,IF(O918&lt;5,"低",IF(O918&lt;16,"中","高")),IF(O918&lt;5,"中","高"))))),IF(OR(J918="EO",J918="EQ"),IF(OR(Y918="估算法",Y918="算法类"),"中",IF(Y918="无法识别","低",IF(M918&lt;2,IF(O918&lt;20,"低","中"),IF(M918&lt;4,IF(O918&lt;6,"低",IF(O918&lt;20,"中","高")),IF(O918&lt;6,"中","高"))))),IF(OR(J918="ILF",J918="EIF"),IF(OR(Y918="估算法",Y918="算法类",Y918="无法识别"),"低",IF(N918&lt;2,IF(O918&lt;51,"低","中"),IF(N918&lt;6,IF(O918&lt;20,"低",IF(O918&lt;51,"中","高")),IF(O918&lt;20,"中","高")))),"不计算")))</f>
        <v/>
      </c>
      <c r="Q918" s="172">
        <f>IFERROR(IF(J918="EI",IF(P918="低",3,IF(P918="中",4,6)),IF(J918="EO",IF(P918="低",4,IF(P918="中",5,7)),IF(J918="EQ",IF(P918="低",3,IF(P918="中",4,6)),IF(J918="ILF",IF(P918="低",7,IF(P918="中",10,15)),IF(J918="EIF",IF(P918="低",5,IF(P918="中",7,10)),"不计算")))))*R918,"不计算")</f>
        <v/>
      </c>
      <c r="R918" s="172" t="n">
        <v>1</v>
      </c>
      <c r="S918" s="173">
        <f>调整因子!$F$13</f>
        <v/>
      </c>
      <c r="T918" s="93" t="n">
        <v>1</v>
      </c>
      <c r="U918" s="174">
        <f>IFERROR(Q918*S918,0)</f>
        <v/>
      </c>
      <c r="V918" s="174">
        <f>U918*T918</f>
        <v/>
      </c>
      <c r="W918" s="98" t="n"/>
      <c r="X918" s="82" t="inlineStr">
        <is>
          <t>上报批次记录表</t>
        </is>
      </c>
      <c r="Y918" s="93" t="inlineStr">
        <is>
          <t>上报批次记录表{主键 id 、批次名称、批次描述、创建时间、创建人}</t>
        </is>
      </c>
      <c r="Z918" s="90">
        <f>IF(COUNTIFS(W:W,"*"&amp;I918&amp;"*")&gt;0,"存在","不存在")</f>
        <v/>
      </c>
      <c r="AA918" s="90">
        <f>IF(COUNTIFS(AB:AB,"*"&amp;I918&amp;"*")&gt;0,"存在","不存在")</f>
        <v/>
      </c>
    </row>
    <row r="919" s="112">
      <c r="A919" s="72">
        <f>ROW()-1</f>
        <v/>
      </c>
      <c r="B919" s="175" t="n"/>
      <c r="C919" s="80" t="n">
        <v>2025</v>
      </c>
      <c r="D919" s="80" t="inlineStr">
        <is>
          <t>窦鹏岐</t>
        </is>
      </c>
      <c r="E919" s="81">
        <f>VLOOKUP(I919,'25年交付功能（不含废弃）'!A:A,1,FALSE)</f>
        <v/>
      </c>
      <c r="F919" s="175" t="n"/>
      <c r="G919" s="175" t="n"/>
      <c r="H919" s="175" t="n"/>
      <c r="I919" s="81" t="inlineStr">
        <is>
          <t>上报结果表</t>
        </is>
      </c>
      <c r="J919" s="98" t="inlineStr">
        <is>
          <t>ILF</t>
        </is>
      </c>
      <c r="K919" s="84" t="n"/>
      <c r="L919" s="84" t="n"/>
      <c r="M919" s="85">
        <f>IF(OR(Y919="估算法",Y919="算法类",Y919="无法识别"),"",IF(W919="",IF(OR(J919="EI",J919="EO",J919="EQ"),0,""),LEN(W919)-LEN(SUBSTITUTE(W919,"、",""))+1))</f>
        <v/>
      </c>
      <c r="N919" s="85">
        <f>IF(OR(Y919="估算法",Y919="算法类",Y919="无法识别"),"",IF(X919="",IF(OR(J919="ILF",J919="EIF"),0,""),LEN(X919)-LEN(SUBSTITUTE(X919,"、",""))+1))</f>
        <v/>
      </c>
      <c r="O919" s="85">
        <f>IF(OR(Y919="估算法",Y919="算法类",Y919="无法识别"),"",IF(Y919="",IF(OR(J919="ILF",J919="EIF",J919="EI",J919="EO",J919="EQ"),0,""),LEN(Y919)-LEN(SUBSTITUTE(SUBSTITUTE(SUBSTITUTE(SUBSTITUTE(SUBSTITUTE(Y919,"|}","--"),"{|","--"),CHAR(10),""),"、",""),"|",""))+IF(AND(OR(J919="EI",J919="EO",J919="EQ"),$AE$1="NESMA"),2,1)))</f>
        <v/>
      </c>
      <c r="P919" s="86">
        <f>IF(J919="EI",IF(OR(Y919="估算法",Y919="算法类"),"中",IF(Y919="无法识别","低",IF(M919&lt;2,IF(O919&lt;16,"低","中"),IF(M919&lt;3,IF(O919&lt;5,"低",IF(O919&lt;16,"中","高")),IF(O919&lt;5,"中","高"))))),IF(OR(J919="EO",J919="EQ"),IF(OR(Y919="估算法",Y919="算法类"),"中",IF(Y919="无法识别","低",IF(M919&lt;2,IF(O919&lt;20,"低","中"),IF(M919&lt;4,IF(O919&lt;6,"低",IF(O919&lt;20,"中","高")),IF(O919&lt;6,"中","高"))))),IF(OR(J919="ILF",J919="EIF"),IF(OR(Y919="估算法",Y919="算法类",Y919="无法识别"),"低",IF(N919&lt;2,IF(O919&lt;51,"低","中"),IF(N919&lt;6,IF(O919&lt;20,"低",IF(O919&lt;51,"中","高")),IF(O919&lt;20,"中","高")))),"不计算")))</f>
        <v/>
      </c>
      <c r="Q919" s="172">
        <f>IFERROR(IF(J919="EI",IF(P919="低",3,IF(P919="中",4,6)),IF(J919="EO",IF(P919="低",4,IF(P919="中",5,7)),IF(J919="EQ",IF(P919="低",3,IF(P919="中",4,6)),IF(J919="ILF",IF(P919="低",7,IF(P919="中",10,15)),IF(J919="EIF",IF(P919="低",5,IF(P919="中",7,10)),"不计算")))))*R919,"不计算")</f>
        <v/>
      </c>
      <c r="R919" s="172" t="n">
        <v>1</v>
      </c>
      <c r="S919" s="173">
        <f>调整因子!$F$13</f>
        <v/>
      </c>
      <c r="T919" s="92" t="n">
        <v>1</v>
      </c>
      <c r="U919" s="174">
        <f>IFERROR(Q919*S919,0)</f>
        <v/>
      </c>
      <c r="V919" s="174">
        <f>U919*T919</f>
        <v/>
      </c>
      <c r="W919" s="98" t="n"/>
      <c r="X919" s="82" t="inlineStr">
        <is>
          <t>上报结果表</t>
        </is>
      </c>
      <c r="Y919" s="93" t="inlineStr">
        <is>
          <t>上报结果表{主键 id 、上报批次记录表 id（关联的上报批次）、上报内容、上报时间、上报人}</t>
        </is>
      </c>
      <c r="Z919" s="90">
        <f>IF(COUNTIFS(W:W,"*"&amp;I919&amp;"*")&gt;0,"存在","不存在")</f>
        <v/>
      </c>
      <c r="AA919" s="90">
        <f>IF(COUNTIFS(AB:AB,"*"&amp;I919&amp;"*")&gt;0,"存在","不存在")</f>
        <v/>
      </c>
    </row>
    <row r="920" s="112">
      <c r="A920" s="72">
        <f>ROW()-1</f>
        <v/>
      </c>
      <c r="B920" s="175" t="n"/>
      <c r="C920" s="80" t="n">
        <v>2025</v>
      </c>
      <c r="D920" s="80" t="inlineStr">
        <is>
          <t>窦鹏岐</t>
        </is>
      </c>
      <c r="E920" s="81">
        <f>VLOOKUP(I920,'25年交付功能（不含废弃）'!A:A,1,FALSE)</f>
        <v/>
      </c>
      <c r="F920" s="175" t="n"/>
      <c r="G920" s="175" t="n"/>
      <c r="H920" s="175" t="n"/>
      <c r="I920" s="81" t="inlineStr">
        <is>
          <t>上报状态记录表</t>
        </is>
      </c>
      <c r="J920" s="98" t="inlineStr">
        <is>
          <t>ILF</t>
        </is>
      </c>
      <c r="K920" s="84" t="n"/>
      <c r="L920" s="84" t="n"/>
      <c r="M920" s="85">
        <f>IF(OR(Y920="估算法",Y920="算法类",Y920="无法识别"),"",IF(W920="",IF(OR(J920="EI",J920="EO",J920="EQ"),0,""),LEN(W920)-LEN(SUBSTITUTE(W920,"、",""))+1))</f>
        <v/>
      </c>
      <c r="N920" s="85">
        <f>IF(OR(Y920="估算法",Y920="算法类",Y920="无法识别"),"",IF(X920="",IF(OR(J920="ILF",J920="EIF"),0,""),LEN(X920)-LEN(SUBSTITUTE(X920,"、",""))+1))</f>
        <v/>
      </c>
      <c r="O920" s="85">
        <f>IF(OR(Y920="估算法",Y920="算法类",Y920="无法识别"),"",IF(Y920="",IF(OR(J920="ILF",J920="EIF",J920="EI",J920="EO",J920="EQ"),0,""),LEN(Y920)-LEN(SUBSTITUTE(SUBSTITUTE(SUBSTITUTE(SUBSTITUTE(SUBSTITUTE(Y920,"|}","--"),"{|","--"),CHAR(10),""),"、",""),"|",""))+IF(AND(OR(J920="EI",J920="EO",J920="EQ"),$AE$1="NESMA"),2,1)))</f>
        <v/>
      </c>
      <c r="P920" s="86">
        <f>IF(J920="EI",IF(OR(Y920="估算法",Y920="算法类"),"中",IF(Y920="无法识别","低",IF(M920&lt;2,IF(O920&lt;16,"低","中"),IF(M920&lt;3,IF(O920&lt;5,"低",IF(O920&lt;16,"中","高")),IF(O920&lt;5,"中","高"))))),IF(OR(J920="EO",J920="EQ"),IF(OR(Y920="估算法",Y920="算法类"),"中",IF(Y920="无法识别","低",IF(M920&lt;2,IF(O920&lt;20,"低","中"),IF(M920&lt;4,IF(O920&lt;6,"低",IF(O920&lt;20,"中","高")),IF(O920&lt;6,"中","高"))))),IF(OR(J920="ILF",J920="EIF"),IF(OR(Y920="估算法",Y920="算法类",Y920="无法识别"),"低",IF(N920&lt;2,IF(O920&lt;51,"低","中"),IF(N920&lt;6,IF(O920&lt;20,"低",IF(O920&lt;51,"中","高")),IF(O920&lt;20,"中","高")))),"不计算")))</f>
        <v/>
      </c>
      <c r="Q920" s="172">
        <f>IFERROR(IF(J920="EI",IF(P920="低",3,IF(P920="中",4,6)),IF(J920="EO",IF(P920="低",4,IF(P920="中",5,7)),IF(J920="EQ",IF(P920="低",3,IF(P920="中",4,6)),IF(J920="ILF",IF(P920="低",7,IF(P920="中",10,15)),IF(J920="EIF",IF(P920="低",5,IF(P920="中",7,10)),"不计算")))))*R920,"不计算")</f>
        <v/>
      </c>
      <c r="R920" s="172" t="n">
        <v>1</v>
      </c>
      <c r="S920" s="173">
        <f>调整因子!$F$13</f>
        <v/>
      </c>
      <c r="T920" s="92" t="n">
        <v>1</v>
      </c>
      <c r="U920" s="174">
        <f>IFERROR(Q920*S920,0)</f>
        <v/>
      </c>
      <c r="V920" s="174">
        <f>U920*T920</f>
        <v/>
      </c>
      <c r="W920" s="98" t="n"/>
      <c r="X920" s="82" t="inlineStr">
        <is>
          <t>上报状态记录表</t>
        </is>
      </c>
      <c r="Y920" s="93" t="inlineStr">
        <is>
          <t>上报状态记录表{主键 id 、上报结果表 id（关联的上报结果）、状态、状态变更时间、变更人}</t>
        </is>
      </c>
      <c r="Z920" s="90">
        <f>IF(COUNTIFS(W:W,"*"&amp;I920&amp;"*")&gt;0,"存在","不存在")</f>
        <v/>
      </c>
      <c r="AA920" s="90">
        <f>IF(COUNTIFS(AB:AB,"*"&amp;I920&amp;"*")&gt;0,"存在","不存在")</f>
        <v/>
      </c>
    </row>
    <row r="921" s="112">
      <c r="A921" s="72">
        <f>ROW()-1</f>
        <v/>
      </c>
      <c r="B921" s="175" t="n"/>
      <c r="C921" s="80" t="n">
        <v>2025</v>
      </c>
      <c r="D921" s="80" t="inlineStr">
        <is>
          <t>窦鹏岐</t>
        </is>
      </c>
      <c r="E921" s="81">
        <f>VLOOKUP(I921,'25年交付功能（不含废弃）'!A:A,1,FALSE)</f>
        <v/>
      </c>
      <c r="F921" s="175" t="n"/>
      <c r="G921" s="175" t="n"/>
      <c r="H921" s="175" t="n"/>
      <c r="I921" s="81" t="inlineStr">
        <is>
          <t>状态变化日志表</t>
        </is>
      </c>
      <c r="J921" s="98" t="n"/>
      <c r="K921" s="84" t="n"/>
      <c r="L921" s="84" t="inlineStr">
        <is>
          <t>重复数据库表</t>
        </is>
      </c>
      <c r="M921" s="85">
        <f>IF(OR(Y921="估算法",Y921="算法类",Y921="无法识别"),"",IF(W921="",IF(OR(J921="EI",J921="EO",J921="EQ"),0,""),LEN(W921)-LEN(SUBSTITUTE(W921,"、",""))+1))</f>
        <v/>
      </c>
      <c r="N921" s="85">
        <f>IF(OR(Y921="估算法",Y921="算法类",Y921="无法识别"),"",IF(X921="",IF(OR(J921="ILF",J921="EIF"),0,""),LEN(X921)-LEN(SUBSTITUTE(X921,"、",""))+1))</f>
        <v/>
      </c>
      <c r="O921" s="85">
        <f>IF(OR(Y921="估算法",Y921="算法类",Y921="无法识别"),"",IF(Y921="",IF(OR(J921="ILF",J921="EIF",J921="EI",J921="EO",J921="EQ"),0,""),LEN(Y921)-LEN(SUBSTITUTE(SUBSTITUTE(SUBSTITUTE(SUBSTITUTE(SUBSTITUTE(Y921,"|}","--"),"{|","--"),CHAR(10),""),"、",""),"|",""))+IF(AND(OR(J921="EI",J921="EO",J921="EQ"),$AE$1="NESMA"),2,1)))</f>
        <v/>
      </c>
      <c r="P921" s="86">
        <f>IF(J921="EI",IF(OR(Y921="估算法",Y921="算法类"),"中",IF(Y921="无法识别","低",IF(M921&lt;2,IF(O921&lt;16,"低","中"),IF(M921&lt;3,IF(O921&lt;5,"低",IF(O921&lt;16,"中","高")),IF(O921&lt;5,"中","高"))))),IF(OR(J921="EO",J921="EQ"),IF(OR(Y921="估算法",Y921="算法类"),"中",IF(Y921="无法识别","低",IF(M921&lt;2,IF(O921&lt;20,"低","中"),IF(M921&lt;4,IF(O921&lt;6,"低",IF(O921&lt;20,"中","高")),IF(O921&lt;6,"中","高"))))),IF(OR(J921="ILF",J921="EIF"),IF(OR(Y921="估算法",Y921="算法类",Y921="无法识别"),"低",IF(N921&lt;2,IF(O921&lt;51,"低","中"),IF(N921&lt;6,IF(O921&lt;20,"低",IF(O921&lt;51,"中","高")),IF(O921&lt;20,"中","高")))),"不计算")))</f>
        <v/>
      </c>
      <c r="Q921" s="172">
        <f>IFERROR(IF(J921="EI",IF(P921="低",3,IF(P921="中",4,6)),IF(J921="EO",IF(P921="低",4,IF(P921="中",5,7)),IF(J921="EQ",IF(P921="低",3,IF(P921="中",4,6)),IF(J921="ILF",IF(P921="低",7,IF(P921="中",10,15)),IF(J921="EIF",IF(P921="低",5,IF(P921="中",7,10)),"不计算")))))*R921,"不计算")</f>
        <v/>
      </c>
      <c r="R921" s="172" t="n">
        <v>1</v>
      </c>
      <c r="S921" s="173">
        <f>调整因子!$F$13</f>
        <v/>
      </c>
      <c r="T921" s="93" t="n">
        <v>1</v>
      </c>
      <c r="U921" s="174">
        <f>IFERROR(Q921*S921,0)</f>
        <v/>
      </c>
      <c r="V921" s="174">
        <f>U921*T921</f>
        <v/>
      </c>
      <c r="W921" s="98" t="n"/>
      <c r="X921" s="82" t="inlineStr">
        <is>
          <t>状态变化日志表</t>
        </is>
      </c>
      <c r="Y921" s="93" t="inlineStr">
        <is>
          <t>状态变化日志表{主键 id 、上报状态记录表 id（关联的状态变更记录）、日志记录时间、日志详情}</t>
        </is>
      </c>
      <c r="Z921" s="90">
        <f>IF(COUNTIFS(W:W,"*"&amp;I921&amp;"*")&gt;0,"存在","不存在")</f>
        <v/>
      </c>
      <c r="AA921" s="90">
        <f>IF(COUNTIFS(AB:AB,"*"&amp;I921&amp;"*")&gt;0,"存在","不存在")</f>
        <v/>
      </c>
    </row>
    <row r="922" s="112">
      <c r="A922" s="72">
        <f>ROW()-1</f>
        <v/>
      </c>
      <c r="B922" s="175" t="n"/>
      <c r="C922" s="80" t="n">
        <v>2025</v>
      </c>
      <c r="D922" s="80" t="inlineStr">
        <is>
          <t>窦鹏岐</t>
        </is>
      </c>
      <c r="E922" s="81">
        <f>VLOOKUP(I922,'25年交付功能（不含废弃）'!A:A,1,FALSE)</f>
        <v/>
      </c>
      <c r="F922" s="176" t="n"/>
      <c r="G922" s="176" t="n"/>
      <c r="H922" s="176" t="n"/>
      <c r="I922" s="120" t="inlineStr">
        <is>
          <t>结果上报记录查看表</t>
        </is>
      </c>
      <c r="J922" s="121" t="inlineStr">
        <is>
          <t>ILF</t>
        </is>
      </c>
      <c r="K922" s="84" t="n"/>
      <c r="L922" s="84" t="inlineStr">
        <is>
          <t>数据库表未被本系统所维护</t>
        </is>
      </c>
      <c r="M922" s="85">
        <f>IF(OR(Y922="估算法",Y922="算法类",Y922="无法识别"),"",IF(W922="",IF(OR(J922="EI",J922="EO",J922="EQ"),0,""),LEN(W922)-LEN(SUBSTITUTE(W922,"、",""))+1))</f>
        <v/>
      </c>
      <c r="N922" s="85">
        <f>IF(OR(Y922="估算法",Y922="算法类",Y922="无法识别"),"",IF(X922="",IF(OR(J922="ILF",J922="EIF"),0,""),LEN(X922)-LEN(SUBSTITUTE(X922,"、",""))+1))</f>
        <v/>
      </c>
      <c r="O922" s="85">
        <f>IF(OR(Y922="估算法",Y922="算法类",Y922="无法识别"),"",IF(Y922="",IF(OR(J922="ILF",J922="EIF",J922="EI",J922="EO",J922="EQ"),0,""),LEN(Y922)-LEN(SUBSTITUTE(SUBSTITUTE(SUBSTITUTE(SUBSTITUTE(SUBSTITUTE(Y922,"|}","--"),"{|","--"),CHAR(10),""),"、",""),"|",""))+IF(AND(OR(J922="EI",J922="EO",J922="EQ"),$AE$1="NESMA"),2,1)))</f>
        <v/>
      </c>
      <c r="P922" s="86">
        <f>IF(J922="EI",IF(OR(Y922="估算法",Y922="算法类"),"中",IF(Y922="无法识别","低",IF(M922&lt;2,IF(O922&lt;16,"低","中"),IF(M922&lt;3,IF(O922&lt;5,"低",IF(O922&lt;16,"中","高")),IF(O922&lt;5,"中","高"))))),IF(OR(J922="EO",J922="EQ"),IF(OR(Y922="估算法",Y922="算法类"),"中",IF(Y922="无法识别","低",IF(M922&lt;2,IF(O922&lt;20,"低","中"),IF(M922&lt;4,IF(O922&lt;6,"低",IF(O922&lt;20,"中","高")),IF(O922&lt;6,"中","高"))))),IF(OR(J922="ILF",J922="EIF"),IF(OR(Y922="估算法",Y922="算法类",Y922="无法识别"),"低",IF(N922&lt;2,IF(O922&lt;51,"低","中"),IF(N922&lt;6,IF(O922&lt;20,"低",IF(O922&lt;51,"中","高")),IF(O922&lt;20,"中","高")))),"不计算")))</f>
        <v/>
      </c>
      <c r="Q922" s="172">
        <f>IFERROR(IF(J922="EI",IF(P922="低",3,IF(P922="中",4,6)),IF(J922="EO",IF(P922="低",4,IF(P922="中",5,7)),IF(J922="EQ",IF(P922="低",3,IF(P922="中",4,6)),IF(J922="ILF",IF(P922="低",7,IF(P922="中",10,15)),IF(J922="EIF",IF(P922="低",5,IF(P922="中",7,10)),"不计算")))))*R922,"不计算")</f>
        <v/>
      </c>
      <c r="R922" s="172" t="n">
        <v>0</v>
      </c>
      <c r="S922" s="173">
        <f>调整因子!$F$13</f>
        <v/>
      </c>
      <c r="T922" s="93" t="n">
        <v>1</v>
      </c>
      <c r="U922" s="174">
        <f>IFERROR(Q922*S922,0)</f>
        <v/>
      </c>
      <c r="V922" s="174">
        <f>U922*T922</f>
        <v/>
      </c>
      <c r="W922" s="121" t="n"/>
      <c r="X922" s="122" t="inlineStr">
        <is>
          <t>结果上报记录查看表</t>
        </is>
      </c>
      <c r="Y922" s="123" t="inlineStr">
        <is>
          <t>结果上报记录查看表{主键 id 、上报结果表 id、查看时间、查看人、查看详情}</t>
        </is>
      </c>
      <c r="Z922" s="90">
        <f>IF(COUNTIFS(W:W,"*"&amp;I922&amp;"*")&gt;0,"存在","不存在")</f>
        <v/>
      </c>
      <c r="AA922" s="90">
        <f>IF(COUNTIFS(AB:AB,"*"&amp;I922&amp;"*")&gt;0,"存在","不存在")</f>
        <v/>
      </c>
    </row>
    <row r="923" s="112">
      <c r="A923" s="72">
        <f>ROW()-1</f>
        <v/>
      </c>
      <c r="B923" s="175" t="n"/>
      <c r="C923" s="124" t="n">
        <v>2026</v>
      </c>
      <c r="D923" s="125" t="n"/>
      <c r="E923" s="103" t="n"/>
      <c r="F923" s="97" t="inlineStr">
        <is>
          <t>资产管理</t>
        </is>
      </c>
      <c r="G923" s="97" t="inlineStr">
        <is>
          <t>资产数据标准化处理</t>
        </is>
      </c>
      <c r="H923" s="97" t="inlineStr">
        <is>
          <t>数据清洗管理</t>
        </is>
      </c>
      <c r="I923" s="103" t="inlineStr">
        <is>
          <t>数据清洗任务表</t>
        </is>
      </c>
      <c r="J923" s="93" t="inlineStr">
        <is>
          <t>ILF</t>
        </is>
      </c>
      <c r="K923" s="102" t="n"/>
      <c r="L923" s="102" t="n"/>
      <c r="M923" s="85">
        <f>IF(OR(Y923="估算法",Y923="算法类",Y923="无法识别"),"",IF(W923="",IF(OR(J923="EI",J923="EO",J923="EQ"),0,""),LEN(W923)-LEN(SUBSTITUTE(W923,"、",""))+1))</f>
        <v/>
      </c>
      <c r="N923" s="85">
        <f>IF(OR(Y923="估算法",Y923="算法类",Y923="无法识别"),"",IF(X923="",IF(OR(J923="ILF",J923="EIF"),0,""),LEN(X923)-LEN(SUBSTITUTE(X923,"、",""))+1))</f>
        <v/>
      </c>
      <c r="O923" s="85">
        <f>IF(OR(Y923="估算法",Y923="算法类",Y923="无法识别"),"",IF(Y923="",IF(OR(J923="ILF",J923="EIF",J923="EI",J923="EO",J923="EQ"),0,""),LEN(Y923)-LEN(SUBSTITUTE(SUBSTITUTE(SUBSTITUTE(SUBSTITUTE(SUBSTITUTE(Y923,"|}","--"),"{|","--"),CHAR(10),""),"、",""),"|",""))+IF(AND(OR(J923="EI",J923="EO",J923="EQ"),$AE$1="NESMA"),2,1)))</f>
        <v/>
      </c>
      <c r="P923" s="86">
        <f>IF(J923="EI",IF(OR(Y923="估算法",Y923="算法类"),"中",IF(Y923="无法识别","低",IF(M923&lt;2,IF(O923&lt;16,"低","中"),IF(M923&lt;3,IF(O923&lt;5,"低",IF(O923&lt;16,"中","高")),IF(O923&lt;5,"中","高"))))),IF(OR(J923="EO",J923="EQ"),IF(OR(Y923="估算法",Y923="算法类"),"中",IF(Y923="无法识别","低",IF(M923&lt;2,IF(O923&lt;20,"低","中"),IF(M923&lt;4,IF(O923&lt;6,"低",IF(O923&lt;20,"中","高")),IF(O923&lt;6,"中","高"))))),IF(OR(J923="ILF",J923="EIF"),IF(OR(Y923="估算法",Y923="算法类",Y923="无法识别"),"低",IF(N923&lt;2,IF(O923&lt;51,"低","中"),IF(N923&lt;6,IF(O923&lt;20,"低",IF(O923&lt;51,"中","高")),IF(O923&lt;20,"中","高")))),"不计算")))</f>
        <v/>
      </c>
      <c r="Q923" s="172">
        <f>IFERROR(IF(J923="EI",IF(P923="低",3,IF(P923="中",4,6)),IF(J923="EO",IF(P923="低",4,IF(P923="中",5,7)),IF(J923="EQ",IF(P923="低",3,IF(P923="中",4,6)),IF(J923="ILF",IF(P923="低",7,IF(P923="中",10,15)),IF(J923="EIF",IF(P923="低",5,IF(P923="中",7,10)),"不计算")))))*R923,"不计算")</f>
        <v/>
      </c>
      <c r="R923" s="172" t="n">
        <v>1</v>
      </c>
      <c r="S923" s="173">
        <f>调整因子!$F$13</f>
        <v/>
      </c>
      <c r="T923" s="92" t="n">
        <v>1</v>
      </c>
      <c r="U923" s="174">
        <f>IFERROR(Q923*S923,0)</f>
        <v/>
      </c>
      <c r="V923" s="178">
        <f>U923*T923</f>
        <v/>
      </c>
      <c r="W923" s="103" t="inlineStr"/>
      <c r="X923" s="103" t="inlineStr">
        <is>
          <t>扫描任务、发现任务</t>
        </is>
      </c>
      <c r="Y923" s="97" t="inlineStr">
        <is>
          <t>数据清洗任务表{任务ID、任务名称、任务类型|任务ID、任务名称、任务类型、任务状态、创建时间、执行时间}</t>
        </is>
      </c>
      <c r="Z923" s="90">
        <f>IF(COUNTIFS(W:W,"*"&amp;I923&amp;"*")&gt;0,"存在","不存在")</f>
        <v/>
      </c>
      <c r="AA923" s="90">
        <f>IF(COUNTIFS(AB:AB,"*"&amp;I923&amp;"*")&gt;0,"存在","不存在")</f>
        <v/>
      </c>
    </row>
    <row r="924" s="112">
      <c r="A924" s="72">
        <f>ROW()-1</f>
        <v/>
      </c>
      <c r="B924" s="175" t="n"/>
      <c r="C924" s="124" t="n">
        <v>2026</v>
      </c>
      <c r="D924" s="125" t="n"/>
      <c r="E924" s="103" t="n"/>
      <c r="F924" s="175" t="n"/>
      <c r="G924" s="175" t="n"/>
      <c r="H924" s="175" t="n"/>
      <c r="I924" s="103" t="inlineStr">
        <is>
          <t>编辑清洗任务</t>
        </is>
      </c>
      <c r="J924" s="93" t="inlineStr">
        <is>
          <t>EI</t>
        </is>
      </c>
      <c r="K924" s="102" t="n"/>
      <c r="L924" s="102" t="n"/>
      <c r="M924" s="85">
        <f>IF(OR(Y924="估算法",Y924="算法类",Y924="无法识别"),"",IF(W924="",IF(OR(J924="EI",J924="EO",J924="EQ"),0,""),LEN(W924)-LEN(SUBSTITUTE(W924,"、",""))+1))</f>
        <v/>
      </c>
      <c r="N924" s="85">
        <f>IF(OR(Y924="估算法",Y924="算法类",Y924="无法识别"),"",IF(X924="",IF(OR(J924="ILF",J924="EIF"),0,""),LEN(X924)-LEN(SUBSTITUTE(X924,"、",""))+1))</f>
        <v/>
      </c>
      <c r="O924" s="85">
        <f>IF(OR(Y924="估算法",Y924="算法类",Y924="无法识别"),"",IF(Y924="",IF(OR(J924="ILF",J924="EIF",J924="EI",J924="EO",J924="EQ"),0,""),LEN(Y924)-LEN(SUBSTITUTE(SUBSTITUTE(SUBSTITUTE(SUBSTITUTE(SUBSTITUTE(Y924,"|}","--"),"{|","--"),CHAR(10),""),"、",""),"|",""))+IF(AND(OR(J924="EI",J924="EO",J924="EQ"),$AE$1="NESMA"),2,1)))</f>
        <v/>
      </c>
      <c r="P924" s="86">
        <f>IF(J924="EI",IF(OR(Y924="估算法",Y924="算法类"),"中",IF(Y924="无法识别","低",IF(M924&lt;2,IF(O924&lt;16,"低","中"),IF(M924&lt;3,IF(O924&lt;5,"低",IF(O924&lt;16,"中","高")),IF(O924&lt;5,"中","高"))))),IF(OR(J924="EO",J924="EQ"),IF(OR(Y924="估算法",Y924="算法类"),"中",IF(Y924="无法识别","低",IF(M924&lt;2,IF(O924&lt;20,"低","中"),IF(M924&lt;4,IF(O924&lt;6,"低",IF(O924&lt;20,"中","高")),IF(O924&lt;6,"中","高"))))),IF(OR(J924="ILF",J924="EIF"),IF(OR(Y924="估算法",Y924="算法类",Y924="无法识别"),"低",IF(N924&lt;2,IF(O924&lt;51,"低","中"),IF(N924&lt;6,IF(O924&lt;20,"低",IF(O924&lt;51,"中","高")),IF(O924&lt;20,"中","高")))),"不计算")))</f>
        <v/>
      </c>
      <c r="Q924" s="172">
        <f>IFERROR(IF(J924="EI",IF(P924="低",3,IF(P924="中",4,6)),IF(J924="EO",IF(P924="低",4,IF(P924="中",5,7)),IF(J924="EQ",IF(P924="低",3,IF(P924="中",4,6)),IF(J924="ILF",IF(P924="低",7,IF(P924="中",10,15)),IF(J924="EIF",IF(P924="低",5,IF(P924="中",7,10)),"不计算")))))*R924,"不计算")</f>
        <v/>
      </c>
      <c r="R924" s="172" t="n">
        <v>1</v>
      </c>
      <c r="S924" s="173">
        <f>调整因子!$F$13</f>
        <v/>
      </c>
      <c r="T924" s="92" t="n">
        <v>1</v>
      </c>
      <c r="U924" s="174">
        <f>IFERROR(Q924*S924,0)</f>
        <v/>
      </c>
      <c r="V924" s="178">
        <f>U924*T924</f>
        <v/>
      </c>
      <c r="W924" s="103" t="inlineStr">
        <is>
          <t>数据清洗任务表、资产同步任务表、同步任务调度表、任务统计数据表、任务趋势分析表</t>
        </is>
      </c>
      <c r="X924" s="103" t="inlineStr"/>
      <c r="Y924"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24" s="90" t="n"/>
      <c r="AA924" s="90" t="n"/>
    </row>
    <row r="925" s="112">
      <c r="A925" s="72">
        <f>ROW()-1</f>
        <v/>
      </c>
      <c r="B925" s="175" t="n"/>
      <c r="C925" s="124" t="n">
        <v>2026</v>
      </c>
      <c r="D925" s="125" t="n"/>
      <c r="E925" s="103" t="n"/>
      <c r="F925" s="175" t="n"/>
      <c r="G925" s="175" t="n"/>
      <c r="H925" s="176" t="n"/>
      <c r="I925" s="103" t="inlineStr">
        <is>
          <t>删除清洗任务</t>
        </is>
      </c>
      <c r="J925" s="93" t="inlineStr">
        <is>
          <t>EI</t>
        </is>
      </c>
      <c r="K925" s="102" t="n"/>
      <c r="L925" s="102" t="n"/>
      <c r="M925" s="85">
        <f>IF(OR(Y925="估算法",Y925="算法类",Y925="无法识别"),"",IF(W925="",IF(OR(J925="EI",J925="EO",J925="EQ"),0,""),LEN(W925)-LEN(SUBSTITUTE(W925,"、",""))+1))</f>
        <v/>
      </c>
      <c r="N925" s="85">
        <f>IF(OR(Y925="估算法",Y925="算法类",Y925="无法识别"),"",IF(X925="",IF(OR(J925="ILF",J925="EIF"),0,""),LEN(X925)-LEN(SUBSTITUTE(X925,"、",""))+1))</f>
        <v/>
      </c>
      <c r="O925" s="85">
        <f>IF(OR(Y925="估算法",Y925="算法类",Y925="无法识别"),"",IF(Y925="",IF(OR(J925="ILF",J925="EIF",J925="EI",J925="EO",J925="EQ"),0,""),LEN(Y925)-LEN(SUBSTITUTE(SUBSTITUTE(SUBSTITUTE(SUBSTITUTE(SUBSTITUTE(Y925,"|}","--"),"{|","--"),CHAR(10),""),"、",""),"|",""))+IF(AND(OR(J925="EI",J925="EO",J925="EQ"),$AE$1="NESMA"),2,1)))</f>
        <v/>
      </c>
      <c r="P925" s="86">
        <f>IF(J925="EI",IF(OR(Y925="估算法",Y925="算法类"),"中",IF(Y925="无法识别","低",IF(M925&lt;2,IF(O925&lt;16,"低","中"),IF(M925&lt;3,IF(O925&lt;5,"低",IF(O925&lt;16,"中","高")),IF(O925&lt;5,"中","高"))))),IF(OR(J925="EO",J925="EQ"),IF(OR(Y925="估算法",Y925="算法类"),"中",IF(Y925="无法识别","低",IF(M925&lt;2,IF(O925&lt;20,"低","中"),IF(M925&lt;4,IF(O925&lt;6,"低",IF(O925&lt;20,"中","高")),IF(O925&lt;6,"中","高"))))),IF(OR(J925="ILF",J925="EIF"),IF(OR(Y925="估算法",Y925="算法类",Y925="无法识别"),"低",IF(N925&lt;2,IF(O925&lt;51,"低","中"),IF(N925&lt;6,IF(O925&lt;20,"低",IF(O925&lt;51,"中","高")),IF(O925&lt;20,"中","高")))),"不计算")))</f>
        <v/>
      </c>
      <c r="Q925" s="172">
        <f>IFERROR(IF(J925="EI",IF(P925="低",3,IF(P925="中",4,6)),IF(J925="EO",IF(P925="低",4,IF(P925="中",5,7)),IF(J925="EQ",IF(P925="低",3,IF(P925="中",4,6)),IF(J925="ILF",IF(P925="低",7,IF(P925="中",10,15)),IF(J925="EIF",IF(P925="低",5,IF(P925="中",7,10)),"不计算")))))*R925,"不计算")</f>
        <v/>
      </c>
      <c r="R925" s="172" t="n">
        <v>0.333333333333333</v>
      </c>
      <c r="S925" s="173">
        <f>调整因子!$F$13</f>
        <v/>
      </c>
      <c r="T925" s="93" t="n">
        <v>1</v>
      </c>
      <c r="U925" s="174">
        <f>IFERROR(Q925*S925,0)</f>
        <v/>
      </c>
      <c r="V925" s="178">
        <f>U925*T925</f>
        <v/>
      </c>
      <c r="W925" s="103" t="inlineStr">
        <is>
          <t>数据清洗任务表、资产同步任务表、同步任务调度表、任务统计数据表</t>
        </is>
      </c>
      <c r="X925" s="103" t="inlineStr"/>
      <c r="Y925"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925" s="90" t="n"/>
      <c r="AA925" s="90" t="n"/>
    </row>
    <row r="926" s="112">
      <c r="A926" s="72">
        <f>ROW()-1</f>
        <v/>
      </c>
      <c r="B926" s="175" t="n"/>
      <c r="C926" s="124" t="n">
        <v>2026</v>
      </c>
      <c r="D926" s="125" t="n"/>
      <c r="E926" s="103" t="n"/>
      <c r="F926" s="175" t="n"/>
      <c r="G926" s="175" t="n"/>
      <c r="H926" s="97" t="inlineStr">
        <is>
          <t>数据去重管理</t>
        </is>
      </c>
      <c r="I926" s="103" t="inlineStr">
        <is>
          <t>编辑去重任务</t>
        </is>
      </c>
      <c r="J926" s="93" t="inlineStr">
        <is>
          <t>EI</t>
        </is>
      </c>
      <c r="K926" s="102" t="n"/>
      <c r="L926" s="102" t="n"/>
      <c r="M926" s="85">
        <f>IF(OR(Y926="估算法",Y926="算法类",Y926="无法识别"),"",IF(W926="",IF(OR(J926="EI",J926="EO",J926="EQ"),0,""),LEN(W926)-LEN(SUBSTITUTE(W926,"、",""))+1))</f>
        <v/>
      </c>
      <c r="N926" s="85">
        <f>IF(OR(Y926="估算法",Y926="算法类",Y926="无法识别"),"",IF(X926="",IF(OR(J926="ILF",J926="EIF"),0,""),LEN(X926)-LEN(SUBSTITUTE(X926,"、",""))+1))</f>
        <v/>
      </c>
      <c r="O926" s="85">
        <f>IF(OR(Y926="估算法",Y926="算法类",Y926="无法识别"),"",IF(Y926="",IF(OR(J926="ILF",J926="EIF",J926="EI",J926="EO",J926="EQ"),0,""),LEN(Y926)-LEN(SUBSTITUTE(SUBSTITUTE(SUBSTITUTE(SUBSTITUTE(SUBSTITUTE(Y926,"|}","--"),"{|","--"),CHAR(10),""),"、",""),"|",""))+IF(AND(OR(J926="EI",J926="EO",J926="EQ"),$AE$1="NESMA"),2,1)))</f>
        <v/>
      </c>
      <c r="P926" s="86">
        <f>IF(J926="EI",IF(OR(Y926="估算法",Y926="算法类"),"中",IF(Y926="无法识别","低",IF(M926&lt;2,IF(O926&lt;16,"低","中"),IF(M926&lt;3,IF(O926&lt;5,"低",IF(O926&lt;16,"中","高")),IF(O926&lt;5,"中","高"))))),IF(OR(J926="EO",J926="EQ"),IF(OR(Y926="估算法",Y926="算法类"),"中",IF(Y926="无法识别","低",IF(M926&lt;2,IF(O926&lt;20,"低","中"),IF(M926&lt;4,IF(O926&lt;6,"低",IF(O926&lt;20,"中","高")),IF(O926&lt;6,"中","高"))))),IF(OR(J926="ILF",J926="EIF"),IF(OR(Y926="估算法",Y926="算法类",Y926="无法识别"),"低",IF(N926&lt;2,IF(O926&lt;51,"低","中"),IF(N926&lt;6,IF(O926&lt;20,"低",IF(O926&lt;51,"中","高")),IF(O926&lt;20,"中","高")))),"不计算")))</f>
        <v/>
      </c>
      <c r="Q926" s="172">
        <f>IFERROR(IF(J926="EI",IF(P926="低",3,IF(P926="中",4,6)),IF(J926="EO",IF(P926="低",4,IF(P926="中",5,7)),IF(J926="EQ",IF(P926="低",3,IF(P926="中",4,6)),IF(J926="ILF",IF(P926="低",7,IF(P926="中",10,15)),IF(J926="EIF",IF(P926="低",5,IF(P926="中",7,10)),"不计算")))))*R926,"不计算")</f>
        <v/>
      </c>
      <c r="R926" s="172" t="n">
        <v>1</v>
      </c>
      <c r="S926" s="173">
        <f>调整因子!$F$13</f>
        <v/>
      </c>
      <c r="T926" s="92" t="n">
        <v>1</v>
      </c>
      <c r="U926" s="174">
        <f>IFERROR(Q926*S926,0)</f>
        <v/>
      </c>
      <c r="V926" s="178">
        <f>U926*T926</f>
        <v/>
      </c>
      <c r="W926" s="103" t="inlineStr">
        <is>
          <t>数据清洗任务表、资产同步任务表、同步任务调度表</t>
        </is>
      </c>
      <c r="X926" s="103" t="inlineStr"/>
      <c r="Y92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6" s="90" t="n"/>
      <c r="AA926" s="90" t="n"/>
    </row>
    <row r="927" s="112">
      <c r="A927" s="72">
        <f>ROW()-1</f>
        <v/>
      </c>
      <c r="B927" s="175" t="n"/>
      <c r="C927" s="124" t="n">
        <v>2026</v>
      </c>
      <c r="D927" s="125" t="n"/>
      <c r="E927" s="103" t="n"/>
      <c r="F927" s="175" t="n"/>
      <c r="G927" s="175" t="n"/>
      <c r="H927" s="176" t="n"/>
      <c r="I927" s="103" t="inlineStr">
        <is>
          <t>删除去重任务</t>
        </is>
      </c>
      <c r="J927" s="93" t="inlineStr">
        <is>
          <t>EI</t>
        </is>
      </c>
      <c r="K927" s="102" t="n"/>
      <c r="L927" s="102" t="n"/>
      <c r="M927" s="85">
        <f>IF(OR(Y927="估算法",Y927="算法类",Y927="无法识别"),"",IF(W927="",IF(OR(J927="EI",J927="EO",J927="EQ"),0,""),LEN(W927)-LEN(SUBSTITUTE(W927,"、",""))+1))</f>
        <v/>
      </c>
      <c r="N927" s="85">
        <f>IF(OR(Y927="估算法",Y927="算法类",Y927="无法识别"),"",IF(X927="",IF(OR(J927="ILF",J927="EIF"),0,""),LEN(X927)-LEN(SUBSTITUTE(X927,"、",""))+1))</f>
        <v/>
      </c>
      <c r="O927" s="85">
        <f>IF(OR(Y927="估算法",Y927="算法类",Y927="无法识别"),"",IF(Y927="",IF(OR(J927="ILF",J927="EIF",J927="EI",J927="EO",J927="EQ"),0,""),LEN(Y927)-LEN(SUBSTITUTE(SUBSTITUTE(SUBSTITUTE(SUBSTITUTE(SUBSTITUTE(Y927,"|}","--"),"{|","--"),CHAR(10),""),"、",""),"|",""))+IF(AND(OR(J927="EI",J927="EO",J927="EQ"),$AE$1="NESMA"),2,1)))</f>
        <v/>
      </c>
      <c r="P927" s="86">
        <f>IF(J927="EI",IF(OR(Y927="估算法",Y927="算法类"),"中",IF(Y927="无法识别","低",IF(M927&lt;2,IF(O927&lt;16,"低","中"),IF(M927&lt;3,IF(O927&lt;5,"低",IF(O927&lt;16,"中","高")),IF(O927&lt;5,"中","高"))))),IF(OR(J927="EO",J927="EQ"),IF(OR(Y927="估算法",Y927="算法类"),"中",IF(Y927="无法识别","低",IF(M927&lt;2,IF(O927&lt;20,"低","中"),IF(M927&lt;4,IF(O927&lt;6,"低",IF(O927&lt;20,"中","高")),IF(O927&lt;6,"中","高"))))),IF(OR(J927="ILF",J927="EIF"),IF(OR(Y927="估算法",Y927="算法类",Y927="无法识别"),"低",IF(N927&lt;2,IF(O927&lt;51,"低","中"),IF(N927&lt;6,IF(O927&lt;20,"低",IF(O927&lt;51,"中","高")),IF(O927&lt;20,"中","高")))),"不计算")))</f>
        <v/>
      </c>
      <c r="Q927" s="172">
        <f>IFERROR(IF(J927="EI",IF(P927="低",3,IF(P927="中",4,6)),IF(J927="EO",IF(P927="低",4,IF(P927="中",5,7)),IF(J927="EQ",IF(P927="低",3,IF(P927="中",4,6)),IF(J927="ILF",IF(P927="低",7,IF(P927="中",10,15)),IF(J927="EIF",IF(P927="低",5,IF(P927="中",7,10)),"不计算")))))*R927,"不计算")</f>
        <v/>
      </c>
      <c r="R927" s="172" t="n">
        <v>0.333333333333333</v>
      </c>
      <c r="S927" s="173">
        <f>调整因子!$F$13</f>
        <v/>
      </c>
      <c r="T927" s="92" t="n">
        <v>1</v>
      </c>
      <c r="U927" s="174">
        <f>IFERROR(Q927*S927,0)</f>
        <v/>
      </c>
      <c r="V927" s="178">
        <f>U927*T927</f>
        <v/>
      </c>
      <c r="W927" s="103" t="inlineStr">
        <is>
          <t>数据清洗任务表、资产同步任务表、同步任务调度表</t>
        </is>
      </c>
      <c r="X927" s="103" t="inlineStr"/>
      <c r="Y92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7" s="90" t="n"/>
      <c r="AA927" s="90" t="n"/>
    </row>
    <row r="928" s="112">
      <c r="A928" s="72">
        <f>ROW()-1</f>
        <v/>
      </c>
      <c r="B928" s="175" t="n"/>
      <c r="C928" s="124" t="n">
        <v>2026</v>
      </c>
      <c r="D928" s="125" t="n"/>
      <c r="E928" s="103" t="n"/>
      <c r="F928" s="175" t="n"/>
      <c r="G928" s="175" t="n"/>
      <c r="H928" s="97" t="inlineStr">
        <is>
          <t>数据合并管理</t>
        </is>
      </c>
      <c r="I928" s="103" t="inlineStr">
        <is>
          <t>编辑合并任务</t>
        </is>
      </c>
      <c r="J928" s="93" t="inlineStr">
        <is>
          <t>EI</t>
        </is>
      </c>
      <c r="K928" s="102" t="n"/>
      <c r="L928" s="102" t="n"/>
      <c r="M928" s="85">
        <f>IF(OR(Y928="估算法",Y928="算法类",Y928="无法识别"),"",IF(W928="",IF(OR(J928="EI",J928="EO",J928="EQ"),0,""),LEN(W928)-LEN(SUBSTITUTE(W928,"、",""))+1))</f>
        <v/>
      </c>
      <c r="N928" s="85">
        <f>IF(OR(Y928="估算法",Y928="算法类",Y928="无法识别"),"",IF(X928="",IF(OR(J928="ILF",J928="EIF"),0,""),LEN(X928)-LEN(SUBSTITUTE(X928,"、",""))+1))</f>
        <v/>
      </c>
      <c r="O928" s="85">
        <f>IF(OR(Y928="估算法",Y928="算法类",Y928="无法识别"),"",IF(Y928="",IF(OR(J928="ILF",J928="EIF",J928="EI",J928="EO",J928="EQ"),0,""),LEN(Y928)-LEN(SUBSTITUTE(SUBSTITUTE(SUBSTITUTE(SUBSTITUTE(SUBSTITUTE(Y928,"|}","--"),"{|","--"),CHAR(10),""),"、",""),"|",""))+IF(AND(OR(J928="EI",J928="EO",J928="EQ"),$AE$1="NESMA"),2,1)))</f>
        <v/>
      </c>
      <c r="P928" s="86">
        <f>IF(J928="EI",IF(OR(Y928="估算法",Y928="算法类"),"中",IF(Y928="无法识别","低",IF(M928&lt;2,IF(O928&lt;16,"低","中"),IF(M928&lt;3,IF(O928&lt;5,"低",IF(O928&lt;16,"中","高")),IF(O928&lt;5,"中","高"))))),IF(OR(J928="EO",J928="EQ"),IF(OR(Y928="估算法",Y928="算法类"),"中",IF(Y928="无法识别","低",IF(M928&lt;2,IF(O928&lt;20,"低","中"),IF(M928&lt;4,IF(O928&lt;6,"低",IF(O928&lt;20,"中","高")),IF(O928&lt;6,"中","高"))))),IF(OR(J928="ILF",J928="EIF"),IF(OR(Y928="估算法",Y928="算法类",Y928="无法识别"),"低",IF(N928&lt;2,IF(O928&lt;51,"低","中"),IF(N928&lt;6,IF(O928&lt;20,"低",IF(O928&lt;51,"中","高")),IF(O928&lt;20,"中","高")))),"不计算")))</f>
        <v/>
      </c>
      <c r="Q928" s="172">
        <f>IFERROR(IF(J928="EI",IF(P928="低",3,IF(P928="中",4,6)),IF(J928="EO",IF(P928="低",4,IF(P928="中",5,7)),IF(J928="EQ",IF(P928="低",3,IF(P928="中",4,6)),IF(J928="ILF",IF(P928="低",7,IF(P928="中",10,15)),IF(J928="EIF",IF(P928="低",5,IF(P928="中",7,10)),"不计算")))))*R928,"不计算")</f>
        <v/>
      </c>
      <c r="R928" s="172" t="n">
        <v>1</v>
      </c>
      <c r="S928" s="173">
        <f>调整因子!$F$13</f>
        <v/>
      </c>
      <c r="T928" s="93" t="n">
        <v>1</v>
      </c>
      <c r="U928" s="174">
        <f>IFERROR(Q928*S928,0)</f>
        <v/>
      </c>
      <c r="V928" s="178">
        <f>U928*T928</f>
        <v/>
      </c>
      <c r="W928" s="103" t="inlineStr">
        <is>
          <t>数据清洗任务表、资产同步任务表、同步任务调度表</t>
        </is>
      </c>
      <c r="X928" s="103" t="inlineStr"/>
      <c r="Y92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8" s="90" t="n"/>
      <c r="AA928" s="90" t="n"/>
    </row>
    <row r="929" s="112">
      <c r="A929" s="72">
        <f>ROW()-1</f>
        <v/>
      </c>
      <c r="B929" s="175" t="n"/>
      <c r="C929" s="124" t="n">
        <v>2026</v>
      </c>
      <c r="D929" s="125" t="n"/>
      <c r="E929" s="103" t="n"/>
      <c r="F929" s="175" t="n"/>
      <c r="G929" s="175" t="n"/>
      <c r="H929" s="176" t="n"/>
      <c r="I929" s="103" t="inlineStr">
        <is>
          <t>删除合并任务</t>
        </is>
      </c>
      <c r="J929" s="93" t="inlineStr">
        <is>
          <t>EI</t>
        </is>
      </c>
      <c r="K929" s="102" t="n"/>
      <c r="L929" s="102" t="n"/>
      <c r="M929" s="85">
        <f>IF(OR(Y929="估算法",Y929="算法类",Y929="无法识别"),"",IF(W929="",IF(OR(J929="EI",J929="EO",J929="EQ"),0,""),LEN(W929)-LEN(SUBSTITUTE(W929,"、",""))+1))</f>
        <v/>
      </c>
      <c r="N929" s="85">
        <f>IF(OR(Y929="估算法",Y929="算法类",Y929="无法识别"),"",IF(X929="",IF(OR(J929="ILF",J929="EIF"),0,""),LEN(X929)-LEN(SUBSTITUTE(X929,"、",""))+1))</f>
        <v/>
      </c>
      <c r="O929" s="85">
        <f>IF(OR(Y929="估算法",Y929="算法类",Y929="无法识别"),"",IF(Y929="",IF(OR(J929="ILF",J929="EIF",J929="EI",J929="EO",J929="EQ"),0,""),LEN(Y929)-LEN(SUBSTITUTE(SUBSTITUTE(SUBSTITUTE(SUBSTITUTE(SUBSTITUTE(Y929,"|}","--"),"{|","--"),CHAR(10),""),"、",""),"|",""))+IF(AND(OR(J929="EI",J929="EO",J929="EQ"),$AE$1="NESMA"),2,1)))</f>
        <v/>
      </c>
      <c r="P929" s="86">
        <f>IF(J929="EI",IF(OR(Y929="估算法",Y929="算法类"),"中",IF(Y929="无法识别","低",IF(M929&lt;2,IF(O929&lt;16,"低","中"),IF(M929&lt;3,IF(O929&lt;5,"低",IF(O929&lt;16,"中","高")),IF(O929&lt;5,"中","高"))))),IF(OR(J929="EO",J929="EQ"),IF(OR(Y929="估算法",Y929="算法类"),"中",IF(Y929="无法识别","低",IF(M929&lt;2,IF(O929&lt;20,"低","中"),IF(M929&lt;4,IF(O929&lt;6,"低",IF(O929&lt;20,"中","高")),IF(O929&lt;6,"中","高"))))),IF(OR(J929="ILF",J929="EIF"),IF(OR(Y929="估算法",Y929="算法类",Y929="无法识别"),"低",IF(N929&lt;2,IF(O929&lt;51,"低","中"),IF(N929&lt;6,IF(O929&lt;20,"低",IF(O929&lt;51,"中","高")),IF(O929&lt;20,"中","高")))),"不计算")))</f>
        <v/>
      </c>
      <c r="Q929" s="172">
        <f>IFERROR(IF(J929="EI",IF(P929="低",3,IF(P929="中",4,6)),IF(J929="EO",IF(P929="低",4,IF(P929="中",5,7)),IF(J929="EQ",IF(P929="低",3,IF(P929="中",4,6)),IF(J929="ILF",IF(P929="低",7,IF(P929="中",10,15)),IF(J929="EIF",IF(P929="低",5,IF(P929="中",7,10)),"不计算")))))*R929,"不计算")</f>
        <v/>
      </c>
      <c r="R929" s="172" t="n">
        <v>0.333333333333333</v>
      </c>
      <c r="S929" s="173">
        <f>调整因子!$F$13</f>
        <v/>
      </c>
      <c r="T929" s="93" t="n">
        <v>1</v>
      </c>
      <c r="U929" s="174">
        <f>IFERROR(Q929*S929,0)</f>
        <v/>
      </c>
      <c r="V929" s="178">
        <f>U929*T929</f>
        <v/>
      </c>
      <c r="W929" s="103" t="inlineStr">
        <is>
          <t>数据清洗任务表、资产同步任务表、同步任务调度表</t>
        </is>
      </c>
      <c r="X929" s="103" t="inlineStr"/>
      <c r="Y929"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29" s="90" t="n"/>
      <c r="AA929" s="90" t="n"/>
    </row>
    <row r="930" s="112">
      <c r="A930" s="72">
        <f>ROW()-1</f>
        <v/>
      </c>
      <c r="B930" s="175" t="n"/>
      <c r="C930" s="124" t="n">
        <v>2026</v>
      </c>
      <c r="D930" s="125" t="n"/>
      <c r="E930" s="103" t="n"/>
      <c r="F930" s="175" t="n"/>
      <c r="G930" s="175" t="n"/>
      <c r="H930" s="97" t="inlineStr">
        <is>
          <t>数据转换规则配置</t>
        </is>
      </c>
      <c r="I930" s="103" t="inlineStr">
        <is>
          <t>新增转换规则</t>
        </is>
      </c>
      <c r="J930" s="93" t="inlineStr">
        <is>
          <t>EI</t>
        </is>
      </c>
      <c r="K930" s="102" t="n"/>
      <c r="L930" s="102" t="n"/>
      <c r="M930" s="85">
        <f>IF(OR(Y930="估算法",Y930="算法类",Y930="无法识别"),"",IF(W930="",IF(OR(J930="EI",J930="EO",J930="EQ"),0,""),LEN(W930)-LEN(SUBSTITUTE(W930,"、",""))+1))</f>
        <v/>
      </c>
      <c r="N930" s="85">
        <f>IF(OR(Y930="估算法",Y930="算法类",Y930="无法识别"),"",IF(X930="",IF(OR(J930="ILF",J930="EIF"),0,""),LEN(X930)-LEN(SUBSTITUTE(X930,"、",""))+1))</f>
        <v/>
      </c>
      <c r="O930" s="85">
        <f>IF(OR(Y930="估算法",Y930="算法类",Y930="无法识别"),"",IF(Y930="",IF(OR(J930="ILF",J930="EIF",J930="EI",J930="EO",J930="EQ"),0,""),LEN(Y930)-LEN(SUBSTITUTE(SUBSTITUTE(SUBSTITUTE(SUBSTITUTE(SUBSTITUTE(Y930,"|}","--"),"{|","--"),CHAR(10),""),"、",""),"|",""))+IF(AND(OR(J930="EI",J930="EO",J930="EQ"),$AE$1="NESMA"),2,1)))</f>
        <v/>
      </c>
      <c r="P930" s="86">
        <f>IF(J930="EI",IF(OR(Y930="估算法",Y930="算法类"),"中",IF(Y930="无法识别","低",IF(M930&lt;2,IF(O930&lt;16,"低","中"),IF(M930&lt;3,IF(O930&lt;5,"低",IF(O930&lt;16,"中","高")),IF(O930&lt;5,"中","高"))))),IF(OR(J930="EO",J930="EQ"),IF(OR(Y930="估算法",Y930="算法类"),"中",IF(Y930="无法识别","低",IF(M930&lt;2,IF(O930&lt;20,"低","中"),IF(M930&lt;4,IF(O930&lt;6,"低",IF(O930&lt;20,"中","高")),IF(O930&lt;6,"中","高"))))),IF(OR(J930="ILF",J930="EIF"),IF(OR(Y930="估算法",Y930="算法类",Y930="无法识别"),"低",IF(N930&lt;2,IF(O930&lt;51,"低","中"),IF(N930&lt;6,IF(O930&lt;20,"低",IF(O930&lt;51,"中","高")),IF(O930&lt;20,"中","高")))),"不计算")))</f>
        <v/>
      </c>
      <c r="Q930" s="172">
        <f>IFERROR(IF(J930="EI",IF(P930="低",3,IF(P930="中",4,6)),IF(J930="EO",IF(P930="低",4,IF(P930="中",5,7)),IF(J930="EQ",IF(P930="低",3,IF(P930="中",4,6)),IF(J930="ILF",IF(P930="低",7,IF(P930="中",10,15)),IF(J930="EIF",IF(P930="低",5,IF(P930="中",7,10)),"不计算")))))*R930,"不计算")</f>
        <v/>
      </c>
      <c r="R930" s="172" t="n">
        <v>1</v>
      </c>
      <c r="S930" s="173">
        <f>调整因子!$F$13</f>
        <v/>
      </c>
      <c r="T930" s="92" t="n">
        <v>1</v>
      </c>
      <c r="U930" s="174">
        <f>IFERROR(Q930*S930,0)</f>
        <v/>
      </c>
      <c r="V930" s="178">
        <f>U930*T930</f>
        <v/>
      </c>
      <c r="W930" s="103" t="inlineStr">
        <is>
          <t>推送规则表、提醒规则表、脱敏规则表</t>
        </is>
      </c>
      <c r="X930" s="103" t="inlineStr"/>
      <c r="Y93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930" s="90" t="n"/>
      <c r="AA930" s="90" t="n"/>
    </row>
    <row r="931" s="112">
      <c r="A931" s="72">
        <f>ROW()-1</f>
        <v/>
      </c>
      <c r="B931" s="175" t="n"/>
      <c r="C931" s="124" t="n">
        <v>2026</v>
      </c>
      <c r="D931" s="125" t="n"/>
      <c r="E931" s="103" t="n"/>
      <c r="F931" s="175" t="n"/>
      <c r="G931" s="175" t="n"/>
      <c r="H931" s="175" t="n"/>
      <c r="I931" s="103" t="inlineStr">
        <is>
          <t>编辑转换规则</t>
        </is>
      </c>
      <c r="J931" s="93" t="inlineStr">
        <is>
          <t>EI</t>
        </is>
      </c>
      <c r="K931" s="102" t="n"/>
      <c r="L931" s="102" t="n"/>
      <c r="M931" s="85">
        <f>IF(OR(Y931="估算法",Y931="算法类",Y931="无法识别"),"",IF(W931="",IF(OR(J931="EI",J931="EO",J931="EQ"),0,""),LEN(W931)-LEN(SUBSTITUTE(W931,"、",""))+1))</f>
        <v/>
      </c>
      <c r="N931" s="85">
        <f>IF(OR(Y931="估算法",Y931="算法类",Y931="无法识别"),"",IF(X931="",IF(OR(J931="ILF",J931="EIF"),0,""),LEN(X931)-LEN(SUBSTITUTE(X931,"、",""))+1))</f>
        <v/>
      </c>
      <c r="O931" s="85">
        <f>IF(OR(Y931="估算法",Y931="算法类",Y931="无法识别"),"",IF(Y931="",IF(OR(J931="ILF",J931="EIF",J931="EI",J931="EO",J931="EQ"),0,""),LEN(Y931)-LEN(SUBSTITUTE(SUBSTITUTE(SUBSTITUTE(SUBSTITUTE(SUBSTITUTE(Y931,"|}","--"),"{|","--"),CHAR(10),""),"、",""),"|",""))+IF(AND(OR(J931="EI",J931="EO",J931="EQ"),$AE$1="NESMA"),2,1)))</f>
        <v/>
      </c>
      <c r="P931" s="86">
        <f>IF(J931="EI",IF(OR(Y931="估算法",Y931="算法类"),"中",IF(Y931="无法识别","低",IF(M931&lt;2,IF(O931&lt;16,"低","中"),IF(M931&lt;3,IF(O931&lt;5,"低",IF(O931&lt;16,"中","高")),IF(O931&lt;5,"中","高"))))),IF(OR(J931="EO",J931="EQ"),IF(OR(Y931="估算法",Y931="算法类"),"中",IF(Y931="无法识别","低",IF(M931&lt;2,IF(O931&lt;20,"低","中"),IF(M931&lt;4,IF(O931&lt;6,"低",IF(O931&lt;20,"中","高")),IF(O931&lt;6,"中","高"))))),IF(OR(J931="ILF",J931="EIF"),IF(OR(Y931="估算法",Y931="算法类",Y931="无法识别"),"低",IF(N931&lt;2,IF(O931&lt;51,"低","中"),IF(N931&lt;6,IF(O931&lt;20,"低",IF(O931&lt;51,"中","高")),IF(O931&lt;20,"中","高")))),"不计算")))</f>
        <v/>
      </c>
      <c r="Q931" s="172">
        <f>IFERROR(IF(J931="EI",IF(P931="低",3,IF(P931="中",4,6)),IF(J931="EO",IF(P931="低",4,IF(P931="中",5,7)),IF(J931="EQ",IF(P931="低",3,IF(P931="中",4,6)),IF(J931="ILF",IF(P931="低",7,IF(P931="中",10,15)),IF(J931="EIF",IF(P931="低",5,IF(P931="中",7,10)),"不计算")))))*R931,"不计算")</f>
        <v/>
      </c>
      <c r="R931" s="172" t="n">
        <v>1</v>
      </c>
      <c r="S931" s="173">
        <f>调整因子!$F$13</f>
        <v/>
      </c>
      <c r="T931" s="92" t="n">
        <v>1</v>
      </c>
      <c r="U931" s="174">
        <f>IFERROR(Q931*S931,0)</f>
        <v/>
      </c>
      <c r="V931" s="178">
        <f>U931*T931</f>
        <v/>
      </c>
      <c r="W931" s="103" t="inlineStr">
        <is>
          <t>推送规则表、提醒规则表、脱敏规则表、加密规则表</t>
        </is>
      </c>
      <c r="X931" s="103" t="inlineStr"/>
      <c r="Y931"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31" s="90" t="n"/>
      <c r="AA931" s="90" t="n"/>
    </row>
    <row r="932" s="112">
      <c r="A932" s="72">
        <f>ROW()-1</f>
        <v/>
      </c>
      <c r="B932" s="175" t="n"/>
      <c r="C932" s="124" t="n">
        <v>2026</v>
      </c>
      <c r="D932" s="125" t="n"/>
      <c r="E932" s="103" t="n"/>
      <c r="F932" s="175" t="n"/>
      <c r="G932" s="175" t="n"/>
      <c r="H932" s="175" t="n"/>
      <c r="I932" s="103" t="inlineStr">
        <is>
          <t>删除转换规则</t>
        </is>
      </c>
      <c r="J932" s="93" t="inlineStr">
        <is>
          <t>EI</t>
        </is>
      </c>
      <c r="K932" s="102" t="n"/>
      <c r="L932" s="102" t="n"/>
      <c r="M932" s="85">
        <f>IF(OR(Y932="估算法",Y932="算法类",Y932="无法识别"),"",IF(W932="",IF(OR(J932="EI",J932="EO",J932="EQ"),0,""),LEN(W932)-LEN(SUBSTITUTE(W932,"、",""))+1))</f>
        <v/>
      </c>
      <c r="N932" s="85">
        <f>IF(OR(Y932="估算法",Y932="算法类",Y932="无法识别"),"",IF(X932="",IF(OR(J932="ILF",J932="EIF"),0,""),LEN(X932)-LEN(SUBSTITUTE(X932,"、",""))+1))</f>
        <v/>
      </c>
      <c r="O932" s="85">
        <f>IF(OR(Y932="估算法",Y932="算法类",Y932="无法识别"),"",IF(Y932="",IF(OR(J932="ILF",J932="EIF",J932="EI",J932="EO",J932="EQ"),0,""),LEN(Y932)-LEN(SUBSTITUTE(SUBSTITUTE(SUBSTITUTE(SUBSTITUTE(SUBSTITUTE(Y932,"|}","--"),"{|","--"),CHAR(10),""),"、",""),"|",""))+IF(AND(OR(J932="EI",J932="EO",J932="EQ"),$AE$1="NESMA"),2,1)))</f>
        <v/>
      </c>
      <c r="P932" s="86">
        <f>IF(J932="EI",IF(OR(Y932="估算法",Y932="算法类"),"中",IF(Y932="无法识别","低",IF(M932&lt;2,IF(O932&lt;16,"低","中"),IF(M932&lt;3,IF(O932&lt;5,"低",IF(O932&lt;16,"中","高")),IF(O932&lt;5,"中","高"))))),IF(OR(J932="EO",J932="EQ"),IF(OR(Y932="估算法",Y932="算法类"),"中",IF(Y932="无法识别","低",IF(M932&lt;2,IF(O932&lt;20,"低","中"),IF(M932&lt;4,IF(O932&lt;6,"低",IF(O932&lt;20,"中","高")),IF(O932&lt;6,"中","高"))))),IF(OR(J932="ILF",J932="EIF"),IF(OR(Y932="估算法",Y932="算法类",Y932="无法识别"),"低",IF(N932&lt;2,IF(O932&lt;51,"低","中"),IF(N932&lt;6,IF(O932&lt;20,"低",IF(O932&lt;51,"中","高")),IF(O932&lt;20,"中","高")))),"不计算")))</f>
        <v/>
      </c>
      <c r="Q932" s="172">
        <f>IFERROR(IF(J932="EI",IF(P932="低",3,IF(P932="中",4,6)),IF(J932="EO",IF(P932="低",4,IF(P932="中",5,7)),IF(J932="EQ",IF(P932="低",3,IF(P932="中",4,6)),IF(J932="ILF",IF(P932="低",7,IF(P932="中",10,15)),IF(J932="EIF",IF(P932="低",5,IF(P932="中",7,10)),"不计算")))))*R932,"不计算")</f>
        <v/>
      </c>
      <c r="R932" s="172" t="n">
        <v>0.333333333333333</v>
      </c>
      <c r="S932" s="173">
        <f>调整因子!$F$13</f>
        <v/>
      </c>
      <c r="T932" s="93" t="n">
        <v>1</v>
      </c>
      <c r="U932" s="174">
        <f>IFERROR(Q932*S932,0)</f>
        <v/>
      </c>
      <c r="V932" s="178">
        <f>U932*T932</f>
        <v/>
      </c>
      <c r="W932" s="103" t="inlineStr">
        <is>
          <t>推送规则表、提醒规则表、脱敏规则表、加密规则表、提醒规则表</t>
        </is>
      </c>
      <c r="X932" s="103" t="inlineStr"/>
      <c r="Y932"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is>
      </c>
      <c r="Z932" s="90" t="n"/>
      <c r="AA932" s="90" t="n"/>
    </row>
    <row r="933" s="112">
      <c r="A933" s="72">
        <f>ROW()-1</f>
        <v/>
      </c>
      <c r="B933" s="175" t="n"/>
      <c r="C933" s="124" t="n">
        <v>2026</v>
      </c>
      <c r="D933" s="125" t="n"/>
      <c r="E933" s="103" t="n"/>
      <c r="F933" s="175" t="n"/>
      <c r="G933" s="175" t="n"/>
      <c r="H933" s="175" t="n"/>
      <c r="I933" s="103" t="inlineStr">
        <is>
          <t>启用转换规则</t>
        </is>
      </c>
      <c r="J933" s="93" t="inlineStr">
        <is>
          <t>EI</t>
        </is>
      </c>
      <c r="K933" s="102" t="n"/>
      <c r="L933" s="102" t="n"/>
      <c r="M933" s="85">
        <f>IF(OR(Y933="估算法",Y933="算法类",Y933="无法识别"),"",IF(W933="",IF(OR(J933="EI",J933="EO",J933="EQ"),0,""),LEN(W933)-LEN(SUBSTITUTE(W933,"、",""))+1))</f>
        <v/>
      </c>
      <c r="N933" s="85">
        <f>IF(OR(Y933="估算法",Y933="算法类",Y933="无法识别"),"",IF(X933="",IF(OR(J933="ILF",J933="EIF"),0,""),LEN(X933)-LEN(SUBSTITUTE(X933,"、",""))+1))</f>
        <v/>
      </c>
      <c r="O933" s="85">
        <f>IF(OR(Y933="估算法",Y933="算法类",Y933="无法识别"),"",IF(Y933="",IF(OR(J933="ILF",J933="EIF",J933="EI",J933="EO",J933="EQ"),0,""),LEN(Y933)-LEN(SUBSTITUTE(SUBSTITUTE(SUBSTITUTE(SUBSTITUTE(SUBSTITUTE(Y933,"|}","--"),"{|","--"),CHAR(10),""),"、",""),"|",""))+IF(AND(OR(J933="EI",J933="EO",J933="EQ"),$AE$1="NESMA"),2,1)))</f>
        <v/>
      </c>
      <c r="P933" s="86">
        <f>IF(J933="EI",IF(OR(Y933="估算法",Y933="算法类"),"中",IF(Y933="无法识别","低",IF(M933&lt;2,IF(O933&lt;16,"低","中"),IF(M933&lt;3,IF(O933&lt;5,"低",IF(O933&lt;16,"中","高")),IF(O933&lt;5,"中","高"))))),IF(OR(J933="EO",J933="EQ"),IF(OR(Y933="估算法",Y933="算法类"),"中",IF(Y933="无法识别","低",IF(M933&lt;2,IF(O933&lt;20,"低","中"),IF(M933&lt;4,IF(O933&lt;6,"低",IF(O933&lt;20,"中","高")),IF(O933&lt;6,"中","高"))))),IF(OR(J933="ILF",J933="EIF"),IF(OR(Y933="估算法",Y933="算法类",Y933="无法识别"),"低",IF(N933&lt;2,IF(O933&lt;51,"低","中"),IF(N933&lt;6,IF(O933&lt;20,"低",IF(O933&lt;51,"中","高")),IF(O933&lt;20,"中","高")))),"不计算")))</f>
        <v/>
      </c>
      <c r="Q933" s="172">
        <f>IFERROR(IF(J933="EI",IF(P933="低",3,IF(P933="中",4,6)),IF(J933="EO",IF(P933="低",4,IF(P933="中",5,7)),IF(J933="EQ",IF(P933="低",3,IF(P933="中",4,6)),IF(J933="ILF",IF(P933="低",7,IF(P933="中",10,15)),IF(J933="EIF",IF(P933="低",5,IF(P933="中",7,10)),"不计算")))))*R933,"不计算")</f>
        <v/>
      </c>
      <c r="R933" s="172" t="n">
        <v>1</v>
      </c>
      <c r="S933" s="173">
        <f>调整因子!$F$13</f>
        <v/>
      </c>
      <c r="T933" s="92" t="n">
        <v>1</v>
      </c>
      <c r="U933" s="174">
        <f>IFERROR(Q933*S933,0)</f>
        <v/>
      </c>
      <c r="V933" s="178">
        <f>U933*T933</f>
        <v/>
      </c>
      <c r="W933" s="103" t="inlineStr">
        <is>
          <t>推送规则表、提醒规则表、脱敏规则表、加密规则表、标签分类表</t>
        </is>
      </c>
      <c r="X933" s="103" t="inlineStr"/>
      <c r="Y93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is>
      </c>
      <c r="Z933" s="90" t="n"/>
      <c r="AA933" s="90" t="n"/>
    </row>
    <row r="934" s="112">
      <c r="A934" s="72">
        <f>ROW()-1</f>
        <v/>
      </c>
      <c r="B934" s="175" t="n"/>
      <c r="C934" s="124" t="n">
        <v>2026</v>
      </c>
      <c r="D934" s="125" t="n"/>
      <c r="E934" s="103" t="n"/>
      <c r="F934" s="175" t="n"/>
      <c r="G934" s="175" t="n"/>
      <c r="H934" s="175" t="n"/>
      <c r="I934" s="103" t="inlineStr">
        <is>
          <t>停用转换规则</t>
        </is>
      </c>
      <c r="J934" s="93" t="n"/>
      <c r="K934" s="102" t="n"/>
      <c r="L934" s="102" t="inlineStr">
        <is>
          <t>和上行合并，启停为相同功能</t>
        </is>
      </c>
      <c r="M934" s="85">
        <f>IF(OR(Y934="估算法",Y934="算法类",Y934="无法识别"),"",IF(W934="",IF(OR(J934="EI",J934="EO",J934="EQ"),0,""),LEN(W934)-LEN(SUBSTITUTE(W934,"、",""))+1))</f>
        <v/>
      </c>
      <c r="N934" s="85">
        <f>IF(OR(Y934="估算法",Y934="算法类",Y934="无法识别"),"",IF(X934="",IF(OR(J934="ILF",J934="EIF"),0,""),LEN(X934)-LEN(SUBSTITUTE(X934,"、",""))+1))</f>
        <v/>
      </c>
      <c r="O934" s="85">
        <f>IF(OR(Y934="估算法",Y934="算法类",Y934="无法识别"),"",IF(Y934="",IF(OR(J934="ILF",J934="EIF",J934="EI",J934="EO",J934="EQ"),0,""),LEN(Y934)-LEN(SUBSTITUTE(SUBSTITUTE(SUBSTITUTE(SUBSTITUTE(SUBSTITUTE(Y934,"|}","--"),"{|","--"),CHAR(10),""),"、",""),"|",""))+IF(AND(OR(J934="EI",J934="EO",J934="EQ"),$AE$1="NESMA"),2,1)))</f>
        <v/>
      </c>
      <c r="P934" s="86">
        <f>IF(J934="EI",IF(OR(Y934="估算法",Y934="算法类"),"中",IF(Y934="无法识别","低",IF(M934&lt;2,IF(O934&lt;16,"低","中"),IF(M934&lt;3,IF(O934&lt;5,"低",IF(O934&lt;16,"中","高")),IF(O934&lt;5,"中","高"))))),IF(OR(J934="EO",J934="EQ"),IF(OR(Y934="估算法",Y934="算法类"),"中",IF(Y934="无法识别","低",IF(M934&lt;2,IF(O934&lt;20,"低","中"),IF(M934&lt;4,IF(O934&lt;6,"低",IF(O934&lt;20,"中","高")),IF(O934&lt;6,"中","高"))))),IF(OR(J934="ILF",J934="EIF"),IF(OR(Y934="估算法",Y934="算法类",Y934="无法识别"),"低",IF(N934&lt;2,IF(O934&lt;51,"低","中"),IF(N934&lt;6,IF(O934&lt;20,"低",IF(O934&lt;51,"中","高")),IF(O934&lt;20,"中","高")))),"不计算")))</f>
        <v/>
      </c>
      <c r="Q934" s="172">
        <f>IFERROR(IF(J934="EI",IF(P934="低",3,IF(P934="中",4,6)),IF(J934="EO",IF(P934="低",4,IF(P934="中",5,7)),IF(J934="EQ",IF(P934="低",3,IF(P934="中",4,6)),IF(J934="ILF",IF(P934="低",7,IF(P934="中",10,15)),IF(J934="EIF",IF(P934="低",5,IF(P934="中",7,10)),"不计算")))))*R934,"不计算")</f>
        <v/>
      </c>
      <c r="R934" s="172" t="n">
        <v>1</v>
      </c>
      <c r="S934" s="173">
        <f>调整因子!$F$13</f>
        <v/>
      </c>
      <c r="T934" s="92" t="n">
        <v>1</v>
      </c>
      <c r="U934" s="174">
        <f>IFERROR(Q934*S934,0)</f>
        <v/>
      </c>
      <c r="V934" s="178">
        <f>U934*T934</f>
        <v/>
      </c>
      <c r="W934" s="103" t="inlineStr">
        <is>
          <t>推送规则表、提醒规则表、脱敏规则表、加密规则表</t>
        </is>
      </c>
      <c r="X934" s="103" t="inlineStr"/>
      <c r="Y93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34" s="90" t="n"/>
      <c r="AA934" s="90" t="n"/>
    </row>
    <row r="935" s="112">
      <c r="A935" s="72">
        <f>ROW()-1</f>
        <v/>
      </c>
      <c r="B935" s="175" t="n"/>
      <c r="C935" s="124" t="n">
        <v>2026</v>
      </c>
      <c r="D935" s="125" t="n"/>
      <c r="E935" s="103" t="n"/>
      <c r="F935" s="175" t="n"/>
      <c r="G935" s="175" t="n"/>
      <c r="H935" s="175" t="n"/>
      <c r="I935" s="103" t="inlineStr">
        <is>
          <t>导出转换规则</t>
        </is>
      </c>
      <c r="J935" s="93" t="inlineStr">
        <is>
          <t>EO</t>
        </is>
      </c>
      <c r="K935" s="102" t="n"/>
      <c r="L935" s="102" t="n"/>
      <c r="M935" s="85">
        <f>IF(OR(Y935="估算法",Y935="算法类",Y935="无法识别"),"",IF(W935="",IF(OR(J935="EI",J935="EO",J935="EQ"),0,""),LEN(W935)-LEN(SUBSTITUTE(W935,"、",""))+1))</f>
        <v/>
      </c>
      <c r="N935" s="85">
        <f>IF(OR(Y935="估算法",Y935="算法类",Y935="无法识别"),"",IF(X935="",IF(OR(J935="ILF",J935="EIF"),0,""),LEN(X935)-LEN(SUBSTITUTE(X935,"、",""))+1))</f>
        <v/>
      </c>
      <c r="O935" s="85">
        <f>IF(OR(Y935="估算法",Y935="算法类",Y935="无法识别"),"",IF(Y935="",IF(OR(J935="ILF",J935="EIF",J935="EI",J935="EO",J935="EQ"),0,""),LEN(Y935)-LEN(SUBSTITUTE(SUBSTITUTE(SUBSTITUTE(SUBSTITUTE(SUBSTITUTE(Y935,"|}","--"),"{|","--"),CHAR(10),""),"、",""),"|",""))+IF(AND(OR(J935="EI",J935="EO",J935="EQ"),$AE$1="NESMA"),2,1)))</f>
        <v/>
      </c>
      <c r="P935" s="86">
        <f>IF(J935="EI",IF(OR(Y935="估算法",Y935="算法类"),"中",IF(Y935="无法识别","低",IF(M935&lt;2,IF(O935&lt;16,"低","中"),IF(M935&lt;3,IF(O935&lt;5,"低",IF(O935&lt;16,"中","高")),IF(O935&lt;5,"中","高"))))),IF(OR(J935="EO",J935="EQ"),IF(OR(Y935="估算法",Y935="算法类"),"中",IF(Y935="无法识别","低",IF(M935&lt;2,IF(O935&lt;20,"低","中"),IF(M935&lt;4,IF(O935&lt;6,"低",IF(O935&lt;20,"中","高")),IF(O935&lt;6,"中","高"))))),IF(OR(J935="ILF",J935="EIF"),IF(OR(Y935="估算法",Y935="算法类",Y935="无法识别"),"低",IF(N935&lt;2,IF(O935&lt;51,"低","中"),IF(N935&lt;6,IF(O935&lt;20,"低",IF(O935&lt;51,"中","高")),IF(O935&lt;20,"中","高")))),"不计算")))</f>
        <v/>
      </c>
      <c r="Q935" s="172">
        <f>IFERROR(IF(J935="EI",IF(P935="低",3,IF(P935="中",4,6)),IF(J935="EO",IF(P935="低",4,IF(P935="中",5,7)),IF(J935="EQ",IF(P935="低",3,IF(P935="中",4,6)),IF(J935="ILF",IF(P935="低",7,IF(P935="中",10,15)),IF(J935="EIF",IF(P935="低",5,IF(P935="中",7,10)),"不计算")))))*R935,"不计算")</f>
        <v/>
      </c>
      <c r="R935" s="172" t="n">
        <v>1</v>
      </c>
      <c r="S935" s="173">
        <f>调整因子!$F$13</f>
        <v/>
      </c>
      <c r="T935" s="93" t="n">
        <v>1</v>
      </c>
      <c r="U935" s="174">
        <f>IFERROR(Q935*S935,0)</f>
        <v/>
      </c>
      <c r="V935" s="178">
        <f>U935*T935</f>
        <v/>
      </c>
      <c r="W935" s="103" t="inlineStr">
        <is>
          <t>推送规则表、提醒规则表、脱敏规则表</t>
        </is>
      </c>
      <c r="X935" s="103" t="inlineStr"/>
      <c r="Y935"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35" s="90" t="n"/>
      <c r="AA935" s="90" t="n"/>
    </row>
    <row r="936" s="112">
      <c r="A936" s="72">
        <f>ROW()-1</f>
        <v/>
      </c>
      <c r="B936" s="175" t="n"/>
      <c r="C936" s="124" t="n">
        <v>2026</v>
      </c>
      <c r="D936" s="125" t="n"/>
      <c r="E936" s="103" t="n"/>
      <c r="F936" s="175" t="n"/>
      <c r="G936" s="175" t="n"/>
      <c r="H936" s="176" t="n"/>
      <c r="I936" s="103" t="inlineStr">
        <is>
          <t>下载规则模板</t>
        </is>
      </c>
      <c r="J936" s="93" t="inlineStr">
        <is>
          <t>EO</t>
        </is>
      </c>
      <c r="K936" s="102" t="n"/>
      <c r="L936" s="102" t="n"/>
      <c r="M936" s="85">
        <f>IF(OR(Y936="估算法",Y936="算法类",Y936="无法识别"),"",IF(W936="",IF(OR(J936="EI",J936="EO",J936="EQ"),0,""),LEN(W936)-LEN(SUBSTITUTE(W936,"、",""))+1))</f>
        <v/>
      </c>
      <c r="N936" s="85">
        <f>IF(OR(Y936="估算法",Y936="算法类",Y936="无法识别"),"",IF(X936="",IF(OR(J936="ILF",J936="EIF"),0,""),LEN(X936)-LEN(SUBSTITUTE(X936,"、",""))+1))</f>
        <v/>
      </c>
      <c r="O936" s="85">
        <f>IF(OR(Y936="估算法",Y936="算法类",Y936="无法识别"),"",IF(Y936="",IF(OR(J936="ILF",J936="EIF",J936="EI",J936="EO",J936="EQ"),0,""),LEN(Y936)-LEN(SUBSTITUTE(SUBSTITUTE(SUBSTITUTE(SUBSTITUTE(SUBSTITUTE(Y936,"|}","--"),"{|","--"),CHAR(10),""),"、",""),"|",""))+IF(AND(OR(J936="EI",J936="EO",J936="EQ"),$AE$1="NESMA"),2,1)))</f>
        <v/>
      </c>
      <c r="P936" s="86">
        <f>IF(J936="EI",IF(OR(Y936="估算法",Y936="算法类"),"中",IF(Y936="无法识别","低",IF(M936&lt;2,IF(O936&lt;16,"低","中"),IF(M936&lt;3,IF(O936&lt;5,"低",IF(O936&lt;16,"中","高")),IF(O936&lt;5,"中","高"))))),IF(OR(J936="EO",J936="EQ"),IF(OR(Y936="估算法",Y936="算法类"),"中",IF(Y936="无法识别","低",IF(M936&lt;2,IF(O936&lt;20,"低","中"),IF(M936&lt;4,IF(O936&lt;6,"低",IF(O936&lt;20,"中","高")),IF(O936&lt;6,"中","高"))))),IF(OR(J936="ILF",J936="EIF"),IF(OR(Y936="估算法",Y936="算法类",Y936="无法识别"),"低",IF(N936&lt;2,IF(O936&lt;51,"低","中"),IF(N936&lt;6,IF(O936&lt;20,"低",IF(O936&lt;51,"中","高")),IF(O936&lt;20,"中","高")))),"不计算")))</f>
        <v/>
      </c>
      <c r="Q936" s="172">
        <f>IFERROR(IF(J936="EI",IF(P936="低",3,IF(P936="中",4,6)),IF(J936="EO",IF(P936="低",4,IF(P936="中",5,7)),IF(J936="EQ",IF(P936="低",3,IF(P936="中",4,6)),IF(J936="ILF",IF(P936="低",7,IF(P936="中",10,15)),IF(J936="EIF",IF(P936="低",5,IF(P936="中",7,10)),"不计算")))))*R936,"不计算")</f>
        <v/>
      </c>
      <c r="R936" s="172" t="n">
        <v>1</v>
      </c>
      <c r="S936" s="173">
        <f>调整因子!$F$13</f>
        <v/>
      </c>
      <c r="T936" s="93" t="n">
        <v>1</v>
      </c>
      <c r="U936" s="174">
        <f>IFERROR(Q936*S936,0)</f>
        <v/>
      </c>
      <c r="V936" s="178">
        <f>U936*T936</f>
        <v/>
      </c>
      <c r="W936" s="103" t="inlineStr">
        <is>
          <t>推送规则表、提醒规则表、脱敏规则表、加密规则表</t>
        </is>
      </c>
      <c r="X936" s="103" t="inlineStr"/>
      <c r="Y936"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936" s="90" t="n"/>
      <c r="AA936" s="90" t="n"/>
    </row>
    <row r="937" s="112">
      <c r="A937" s="72">
        <f>ROW()-1</f>
        <v/>
      </c>
      <c r="B937" s="175" t="n"/>
      <c r="C937" s="124" t="n">
        <v>2026</v>
      </c>
      <c r="D937" s="125" t="n"/>
      <c r="E937" s="103" t="n"/>
      <c r="F937" s="175" t="n"/>
      <c r="G937" s="175" t="n"/>
      <c r="H937" s="97" t="inlineStr">
        <is>
          <t>数据质量管理</t>
        </is>
      </c>
      <c r="I937" s="103" t="inlineStr">
        <is>
          <t>编辑质量评分任务</t>
        </is>
      </c>
      <c r="J937" s="93" t="inlineStr">
        <is>
          <t>EI</t>
        </is>
      </c>
      <c r="K937" s="102" t="n"/>
      <c r="L937" s="102" t="n"/>
      <c r="M937" s="85">
        <f>IF(OR(Y937="估算法",Y937="算法类",Y937="无法识别"),"",IF(W937="",IF(OR(J937="EI",J937="EO",J937="EQ"),0,""),LEN(W937)-LEN(SUBSTITUTE(W937,"、",""))+1))</f>
        <v/>
      </c>
      <c r="N937" s="85">
        <f>IF(OR(Y937="估算法",Y937="算法类",Y937="无法识别"),"",IF(X937="",IF(OR(J937="ILF",J937="EIF"),0,""),LEN(X937)-LEN(SUBSTITUTE(X937,"、",""))+1))</f>
        <v/>
      </c>
      <c r="O937" s="85">
        <f>IF(OR(Y937="估算法",Y937="算法类",Y937="无法识别"),"",IF(Y937="",IF(OR(J937="ILF",J937="EIF",J937="EI",J937="EO",J937="EQ"),0,""),LEN(Y937)-LEN(SUBSTITUTE(SUBSTITUTE(SUBSTITUTE(SUBSTITUTE(SUBSTITUTE(Y937,"|}","--"),"{|","--"),CHAR(10),""),"、",""),"|",""))+IF(AND(OR(J937="EI",J937="EO",J937="EQ"),$AE$1="NESMA"),2,1)))</f>
        <v/>
      </c>
      <c r="P937" s="86">
        <f>IF(J937="EI",IF(OR(Y937="估算法",Y937="算法类"),"中",IF(Y937="无法识别","低",IF(M937&lt;2,IF(O937&lt;16,"低","中"),IF(M937&lt;3,IF(O937&lt;5,"低",IF(O937&lt;16,"中","高")),IF(O937&lt;5,"中","高"))))),IF(OR(J937="EO",J937="EQ"),IF(OR(Y937="估算法",Y937="算法类"),"中",IF(Y937="无法识别","低",IF(M937&lt;2,IF(O937&lt;20,"低","中"),IF(M937&lt;4,IF(O937&lt;6,"低",IF(O937&lt;20,"中","高")),IF(O937&lt;6,"中","高"))))),IF(OR(J937="ILF",J937="EIF"),IF(OR(Y937="估算法",Y937="算法类",Y937="无法识别"),"低",IF(N937&lt;2,IF(O937&lt;51,"低","中"),IF(N937&lt;6,IF(O937&lt;20,"低",IF(O937&lt;51,"中","高")),IF(O937&lt;20,"中","高")))),"不计算")))</f>
        <v/>
      </c>
      <c r="Q937" s="172">
        <f>IFERROR(IF(J937="EI",IF(P937="低",3,IF(P937="中",4,6)),IF(J937="EO",IF(P937="低",4,IF(P937="中",5,7)),IF(J937="EQ",IF(P937="低",3,IF(P937="中",4,6)),IF(J937="ILF",IF(P937="低",7,IF(P937="中",10,15)),IF(J937="EIF",IF(P937="低",5,IF(P937="中",7,10)),"不计算")))))*R937,"不计算")</f>
        <v/>
      </c>
      <c r="R937" s="172" t="n">
        <v>1</v>
      </c>
      <c r="S937" s="173">
        <f>调整因子!$F$13</f>
        <v/>
      </c>
      <c r="T937" s="92" t="n">
        <v>1</v>
      </c>
      <c r="U937" s="174">
        <f>IFERROR(Q937*S937,0)</f>
        <v/>
      </c>
      <c r="V937" s="178">
        <f>U937*T937</f>
        <v/>
      </c>
      <c r="W937" s="103" t="inlineStr">
        <is>
          <t>数据清洗任务表、资产同步任务表、同步任务调度表、任务统计数据表、任务趋势分析表</t>
        </is>
      </c>
      <c r="X937" s="103" t="inlineStr"/>
      <c r="Y93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37" s="90" t="n"/>
      <c r="AA937" s="90" t="n"/>
    </row>
    <row r="938" s="112">
      <c r="A938" s="72">
        <f>ROW()-1</f>
        <v/>
      </c>
      <c r="B938" s="175" t="n"/>
      <c r="C938" s="124" t="n">
        <v>2026</v>
      </c>
      <c r="D938" s="125" t="n"/>
      <c r="E938" s="103" t="n"/>
      <c r="F938" s="175" t="n"/>
      <c r="G938" s="176" t="n"/>
      <c r="H938" s="176" t="n"/>
      <c r="I938" s="103" t="inlineStr">
        <is>
          <t>删除质量评分任务</t>
        </is>
      </c>
      <c r="J938" s="93" t="inlineStr">
        <is>
          <t>EI</t>
        </is>
      </c>
      <c r="K938" s="102" t="n"/>
      <c r="L938" s="102" t="n"/>
      <c r="M938" s="85">
        <f>IF(OR(Y938="估算法",Y938="算法类",Y938="无法识别"),"",IF(W938="",IF(OR(J938="EI",J938="EO",J938="EQ"),0,""),LEN(W938)-LEN(SUBSTITUTE(W938,"、",""))+1))</f>
        <v/>
      </c>
      <c r="N938" s="85">
        <f>IF(OR(Y938="估算法",Y938="算法类",Y938="无法识别"),"",IF(X938="",IF(OR(J938="ILF",J938="EIF"),0,""),LEN(X938)-LEN(SUBSTITUTE(X938,"、",""))+1))</f>
        <v/>
      </c>
      <c r="O938" s="85">
        <f>IF(OR(Y938="估算法",Y938="算法类",Y938="无法识别"),"",IF(Y938="",IF(OR(J938="ILF",J938="EIF",J938="EI",J938="EO",J938="EQ"),0,""),LEN(Y938)-LEN(SUBSTITUTE(SUBSTITUTE(SUBSTITUTE(SUBSTITUTE(SUBSTITUTE(Y938,"|}","--"),"{|","--"),CHAR(10),""),"、",""),"|",""))+IF(AND(OR(J938="EI",J938="EO",J938="EQ"),$AE$1="NESMA"),2,1)))</f>
        <v/>
      </c>
      <c r="P938" s="86">
        <f>IF(J938="EI",IF(OR(Y938="估算法",Y938="算法类"),"中",IF(Y938="无法识别","低",IF(M938&lt;2,IF(O938&lt;16,"低","中"),IF(M938&lt;3,IF(O938&lt;5,"低",IF(O938&lt;16,"中","高")),IF(O938&lt;5,"中","高"))))),IF(OR(J938="EO",J938="EQ"),IF(OR(Y938="估算法",Y938="算法类"),"中",IF(Y938="无法识别","低",IF(M938&lt;2,IF(O938&lt;20,"低","中"),IF(M938&lt;4,IF(O938&lt;6,"低",IF(O938&lt;20,"中","高")),IF(O938&lt;6,"中","高"))))),IF(OR(J938="ILF",J938="EIF"),IF(OR(Y938="估算法",Y938="算法类",Y938="无法识别"),"低",IF(N938&lt;2,IF(O938&lt;51,"低","中"),IF(N938&lt;6,IF(O938&lt;20,"低",IF(O938&lt;51,"中","高")),IF(O938&lt;20,"中","高")))),"不计算")))</f>
        <v/>
      </c>
      <c r="Q938" s="172">
        <f>IFERROR(IF(J938="EI",IF(P938="低",3,IF(P938="中",4,6)),IF(J938="EO",IF(P938="低",4,IF(P938="中",5,7)),IF(J938="EQ",IF(P938="低",3,IF(P938="中",4,6)),IF(J938="ILF",IF(P938="低",7,IF(P938="中",10,15)),IF(J938="EIF",IF(P938="低",5,IF(P938="中",7,10)),"不计算")))))*R938,"不计算")</f>
        <v/>
      </c>
      <c r="R938" s="172" t="n">
        <v>0.333333333333333</v>
      </c>
      <c r="S938" s="173">
        <f>调整因子!$F$13</f>
        <v/>
      </c>
      <c r="T938" s="92" t="n">
        <v>1</v>
      </c>
      <c r="U938" s="174">
        <f>IFERROR(Q938*S938,0)</f>
        <v/>
      </c>
      <c r="V938" s="178">
        <f>U938*T938</f>
        <v/>
      </c>
      <c r="W938" s="103" t="inlineStr">
        <is>
          <t>数据清洗任务表、资产同步任务表、同步任务调度表</t>
        </is>
      </c>
      <c r="X938" s="103" t="inlineStr"/>
      <c r="Y93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38" s="90" t="n"/>
      <c r="AA938" s="90" t="n"/>
    </row>
    <row r="939" s="112">
      <c r="A939" s="72">
        <f>ROW()-1</f>
        <v/>
      </c>
      <c r="B939" s="175" t="n"/>
      <c r="C939" s="124" t="n">
        <v>2026</v>
      </c>
      <c r="D939" s="125" t="n"/>
      <c r="E939" s="103" t="n"/>
      <c r="F939" s="175" t="n"/>
      <c r="G939" s="97" t="inlineStr">
        <is>
          <t>资产标签体系管理</t>
        </is>
      </c>
      <c r="H939" s="97" t="inlineStr">
        <is>
          <t>标签分类管理</t>
        </is>
      </c>
      <c r="I939" s="103" t="inlineStr">
        <is>
          <t>标签分类表</t>
        </is>
      </c>
      <c r="J939" s="93" t="inlineStr">
        <is>
          <t>ILF</t>
        </is>
      </c>
      <c r="K939" s="102" t="n"/>
      <c r="L939" s="102" t="n"/>
      <c r="M939" s="85">
        <f>IF(OR(Y939="估算法",Y939="算法类",Y939="无法识别"),"",IF(W939="",IF(OR(J939="EI",J939="EO",J939="EQ"),0,""),LEN(W939)-LEN(SUBSTITUTE(W939,"、",""))+1))</f>
        <v/>
      </c>
      <c r="N939" s="85">
        <f>IF(OR(Y939="估算法",Y939="算法类",Y939="无法识别"),"",IF(X939="",IF(OR(J939="ILF",J939="EIF"),0,""),LEN(X939)-LEN(SUBSTITUTE(X939,"、",""))+1))</f>
        <v/>
      </c>
      <c r="O939" s="85">
        <f>IF(OR(Y939="估算法",Y939="算法类",Y939="无法识别"),"",IF(Y939="",IF(OR(J939="ILF",J939="EIF",J939="EI",J939="EO",J939="EQ"),0,""),LEN(Y939)-LEN(SUBSTITUTE(SUBSTITUTE(SUBSTITUTE(SUBSTITUTE(SUBSTITUTE(Y939,"|}","--"),"{|","--"),CHAR(10),""),"、",""),"|",""))+IF(AND(OR(J939="EI",J939="EO",J939="EQ"),$AE$1="NESMA"),2,1)))</f>
        <v/>
      </c>
      <c r="P939" s="86">
        <f>IF(J939="EI",IF(OR(Y939="估算法",Y939="算法类"),"中",IF(Y939="无法识别","低",IF(M939&lt;2,IF(O939&lt;16,"低","中"),IF(M939&lt;3,IF(O939&lt;5,"低",IF(O939&lt;16,"中","高")),IF(O939&lt;5,"中","高"))))),IF(OR(J939="EO",J939="EQ"),IF(OR(Y939="估算法",Y939="算法类"),"中",IF(Y939="无法识别","低",IF(M939&lt;2,IF(O939&lt;20,"低","中"),IF(M939&lt;4,IF(O939&lt;6,"低",IF(O939&lt;20,"中","高")),IF(O939&lt;6,"中","高"))))),IF(OR(J939="ILF",J939="EIF"),IF(OR(Y939="估算法",Y939="算法类",Y939="无法识别"),"低",IF(N939&lt;2,IF(O939&lt;51,"低","中"),IF(N939&lt;6,IF(O939&lt;20,"低",IF(O939&lt;51,"中","高")),IF(O939&lt;20,"中","高")))),"不计算")))</f>
        <v/>
      </c>
      <c r="Q939" s="172">
        <f>IFERROR(IF(J939="EI",IF(P939="低",3,IF(P939="中",4,6)),IF(J939="EO",IF(P939="低",4,IF(P939="中",5,7)),IF(J939="EQ",IF(P939="低",3,IF(P939="中",4,6)),IF(J939="ILF",IF(P939="低",7,IF(P939="中",10,15)),IF(J939="EIF",IF(P939="低",5,IF(P939="中",7,10)),"不计算")))))*R939,"不计算")</f>
        <v/>
      </c>
      <c r="R939" s="172" t="n">
        <v>1</v>
      </c>
      <c r="S939" s="173">
        <f>调整因子!$F$13</f>
        <v/>
      </c>
      <c r="T939" s="93" t="n">
        <v>1</v>
      </c>
      <c r="U939" s="174">
        <f>IFERROR(Q939*S939,0)</f>
        <v/>
      </c>
      <c r="V939" s="178">
        <f>U939*T939</f>
        <v/>
      </c>
      <c r="W939" s="103" t="inlineStr"/>
      <c r="X939" s="103" t="inlineStr">
        <is>
          <t>数据记录</t>
        </is>
      </c>
      <c r="Y939" s="97" t="inlineStr">
        <is>
          <t>标签分类表{ID、名称、类型|ID、名称、类型、状态、创建时间、更新时间}</t>
        </is>
      </c>
      <c r="Z939" s="90">
        <f>IF(COUNTIFS(W:W,"*"&amp;I939&amp;"*")&gt;0,"存在","不存在")</f>
        <v/>
      </c>
      <c r="AA939" s="90">
        <f>IF(COUNTIFS(AB:AB,"*"&amp;I939&amp;"*")&gt;0,"存在","不存在")</f>
        <v/>
      </c>
    </row>
    <row r="940" s="112">
      <c r="A940" s="72">
        <f>ROW()-1</f>
        <v/>
      </c>
      <c r="B940" s="175" t="n"/>
      <c r="C940" s="124" t="n">
        <v>2026</v>
      </c>
      <c r="D940" s="125" t="n"/>
      <c r="E940" s="103" t="n"/>
      <c r="F940" s="175" t="n"/>
      <c r="G940" s="175" t="n"/>
      <c r="H940" s="175" t="n"/>
      <c r="I940" s="103" t="inlineStr">
        <is>
          <t>分类层级关系表</t>
        </is>
      </c>
      <c r="J940" s="93" t="inlineStr">
        <is>
          <t>ILF</t>
        </is>
      </c>
      <c r="K940" s="102" t="n"/>
      <c r="L940" s="102" t="n"/>
      <c r="M940" s="85">
        <f>IF(OR(Y940="估算法",Y940="算法类",Y940="无法识别"),"",IF(W940="",IF(OR(J940="EI",J940="EO",J940="EQ"),0,""),LEN(W940)-LEN(SUBSTITUTE(W940,"、",""))+1))</f>
        <v/>
      </c>
      <c r="N940" s="85">
        <f>IF(OR(Y940="估算法",Y940="算法类",Y940="无法识别"),"",IF(X940="",IF(OR(J940="ILF",J940="EIF"),0,""),LEN(X940)-LEN(SUBSTITUTE(X940,"、",""))+1))</f>
        <v/>
      </c>
      <c r="O940" s="85">
        <f>IF(OR(Y940="估算法",Y940="算法类",Y940="无法识别"),"",IF(Y940="",IF(OR(J940="ILF",J940="EIF",J940="EI",J940="EO",J940="EQ"),0,""),LEN(Y940)-LEN(SUBSTITUTE(SUBSTITUTE(SUBSTITUTE(SUBSTITUTE(SUBSTITUTE(Y940,"|}","--"),"{|","--"),CHAR(10),""),"、",""),"|",""))+IF(AND(OR(J940="EI",J940="EO",J940="EQ"),$AE$1="NESMA"),2,1)))</f>
        <v/>
      </c>
      <c r="P940" s="86">
        <f>IF(J940="EI",IF(OR(Y940="估算法",Y940="算法类"),"中",IF(Y940="无法识别","低",IF(M940&lt;2,IF(O940&lt;16,"低","中"),IF(M940&lt;3,IF(O940&lt;5,"低",IF(O940&lt;16,"中","高")),IF(O940&lt;5,"中","高"))))),IF(OR(J940="EO",J940="EQ"),IF(OR(Y940="估算法",Y940="算法类"),"中",IF(Y940="无法识别","低",IF(M940&lt;2,IF(O940&lt;20,"低","中"),IF(M940&lt;4,IF(O940&lt;6,"低",IF(O940&lt;20,"中","高")),IF(O940&lt;6,"中","高"))))),IF(OR(J940="ILF",J940="EIF"),IF(OR(Y940="估算法",Y940="算法类",Y940="无法识别"),"低",IF(N940&lt;2,IF(O940&lt;51,"低","中"),IF(N940&lt;6,IF(O940&lt;20,"低",IF(O940&lt;51,"中","高")),IF(O940&lt;20,"中","高")))),"不计算")))</f>
        <v/>
      </c>
      <c r="Q940" s="172">
        <f>IFERROR(IF(J940="EI",IF(P940="低",3,IF(P940="中",4,6)),IF(J940="EO",IF(P940="低",4,IF(P940="中",5,7)),IF(J940="EQ",IF(P940="低",3,IF(P940="中",4,6)),IF(J940="ILF",IF(P940="低",7,IF(P940="中",10,15)),IF(J940="EIF",IF(P940="低",5,IF(P940="中",7,10)),"不计算")))))*R940,"不计算")</f>
        <v/>
      </c>
      <c r="R940" s="172" t="n">
        <v>1</v>
      </c>
      <c r="S940" s="173">
        <f>调整因子!$F$13</f>
        <v/>
      </c>
      <c r="T940" s="92" t="n">
        <v>1</v>
      </c>
      <c r="U940" s="174">
        <f>IFERROR(Q940*S940,0)</f>
        <v/>
      </c>
      <c r="V940" s="178">
        <f>U940*T940</f>
        <v/>
      </c>
      <c r="W940" s="103" t="inlineStr"/>
      <c r="X940" s="103" t="inlineStr">
        <is>
          <t>数据记录</t>
        </is>
      </c>
      <c r="Y940" s="97" t="inlineStr">
        <is>
          <t>分类层级关系表{ID、名称、类型|ID、名称、类型、状态、创建时间、更新时间}</t>
        </is>
      </c>
      <c r="Z940" s="90">
        <f>IF(COUNTIFS(W:W,"*"&amp;I940&amp;"*")&gt;0,"存在","不存在")</f>
        <v/>
      </c>
      <c r="AA940" s="90">
        <f>IF(COUNTIFS(AB:AB,"*"&amp;I940&amp;"*")&gt;0,"存在","不存在")</f>
        <v/>
      </c>
    </row>
    <row r="941" s="112">
      <c r="A941" s="72">
        <f>ROW()-1</f>
        <v/>
      </c>
      <c r="B941" s="175" t="n"/>
      <c r="C941" s="124" t="n">
        <v>2026</v>
      </c>
      <c r="D941" s="125" t="n"/>
      <c r="E941" s="103" t="n"/>
      <c r="F941" s="175" t="n"/>
      <c r="G941" s="175" t="n"/>
      <c r="H941" s="175" t="n"/>
      <c r="I941" s="103" t="inlineStr">
        <is>
          <t>新增标签分类</t>
        </is>
      </c>
      <c r="J941" s="93" t="inlineStr">
        <is>
          <t>EI</t>
        </is>
      </c>
      <c r="K941" s="102" t="n"/>
      <c r="L941" s="102" t="n"/>
      <c r="M941" s="85">
        <f>IF(OR(Y941="估算法",Y941="算法类",Y941="无法识别"),"",IF(W941="",IF(OR(J941="EI",J941="EO",J941="EQ"),0,""),LEN(W941)-LEN(SUBSTITUTE(W941,"、",""))+1))</f>
        <v/>
      </c>
      <c r="N941" s="85">
        <f>IF(OR(Y941="估算法",Y941="算法类",Y941="无法识别"),"",IF(X941="",IF(OR(J941="ILF",J941="EIF"),0,""),LEN(X941)-LEN(SUBSTITUTE(X941,"、",""))+1))</f>
        <v/>
      </c>
      <c r="O941" s="85">
        <f>IF(OR(Y941="估算法",Y941="算法类",Y941="无法识别"),"",IF(Y941="",IF(OR(J941="ILF",J941="EIF",J941="EI",J941="EO",J941="EQ"),0,""),LEN(Y941)-LEN(SUBSTITUTE(SUBSTITUTE(SUBSTITUTE(SUBSTITUTE(SUBSTITUTE(Y941,"|}","--"),"{|","--"),CHAR(10),""),"、",""),"|",""))+IF(AND(OR(J941="EI",J941="EO",J941="EQ"),$AE$1="NESMA"),2,1)))</f>
        <v/>
      </c>
      <c r="P941" s="86">
        <f>IF(J941="EI",IF(OR(Y941="估算法",Y941="算法类"),"中",IF(Y941="无法识别","低",IF(M941&lt;2,IF(O941&lt;16,"低","中"),IF(M941&lt;3,IF(O941&lt;5,"低",IF(O941&lt;16,"中","高")),IF(O941&lt;5,"中","高"))))),IF(OR(J941="EO",J941="EQ"),IF(OR(Y941="估算法",Y941="算法类"),"中",IF(Y941="无法识别","低",IF(M941&lt;2,IF(O941&lt;20,"低","中"),IF(M941&lt;4,IF(O941&lt;6,"低",IF(O941&lt;20,"中","高")),IF(O941&lt;6,"中","高"))))),IF(OR(J941="ILF",J941="EIF"),IF(OR(Y941="估算法",Y941="算法类",Y941="无法识别"),"低",IF(N941&lt;2,IF(O941&lt;51,"低","中"),IF(N941&lt;6,IF(O941&lt;20,"低",IF(O941&lt;51,"中","高")),IF(O941&lt;20,"中","高")))),"不计算")))</f>
        <v/>
      </c>
      <c r="Q941" s="172">
        <f>IFERROR(IF(J941="EI",IF(P941="低",3,IF(P941="中",4,6)),IF(J941="EO",IF(P941="低",4,IF(P941="中",5,7)),IF(J941="EQ",IF(P941="低",3,IF(P941="中",4,6)),IF(J941="ILF",IF(P941="低",7,IF(P941="中",10,15)),IF(J941="EIF",IF(P941="低",5,IF(P941="中",7,10)),"不计算")))))*R941,"不计算")</f>
        <v/>
      </c>
      <c r="R941" s="172" t="n">
        <v>1</v>
      </c>
      <c r="S941" s="173">
        <f>调整因子!$F$13</f>
        <v/>
      </c>
      <c r="T941" s="92" t="n">
        <v>1</v>
      </c>
      <c r="U941" s="174">
        <f>IFERROR(Q941*S941,0)</f>
        <v/>
      </c>
      <c r="V941" s="178">
        <f>U941*T941</f>
        <v/>
      </c>
      <c r="W941" s="103" t="inlineStr">
        <is>
          <t>审计日志表、漏洞处置推送接口配置表、提醒规则表、扫描策略模板表</t>
        </is>
      </c>
      <c r="X941" s="103" t="inlineStr"/>
      <c r="Y941" s="97" t="inlineStr">
        <is>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is>
      </c>
      <c r="Z941" s="90" t="n"/>
      <c r="AA941" s="90" t="n"/>
    </row>
    <row r="942" s="112">
      <c r="A942" s="72">
        <f>ROW()-1</f>
        <v/>
      </c>
      <c r="B942" s="175" t="n"/>
      <c r="C942" s="124" t="n">
        <v>2026</v>
      </c>
      <c r="D942" s="125" t="n"/>
      <c r="E942" s="103" t="n"/>
      <c r="F942" s="175" t="n"/>
      <c r="G942" s="175" t="n"/>
      <c r="H942" s="175" t="n"/>
      <c r="I942" s="103" t="inlineStr">
        <is>
          <t>编辑标签分类</t>
        </is>
      </c>
      <c r="J942" s="93" t="inlineStr">
        <is>
          <t>EI</t>
        </is>
      </c>
      <c r="K942" s="102" t="n"/>
      <c r="L942" s="102" t="n"/>
      <c r="M942" s="85">
        <f>IF(OR(Y942="估算法",Y942="算法类",Y942="无法识别"),"",IF(W942="",IF(OR(J942="EI",J942="EO",J942="EQ"),0,""),LEN(W942)-LEN(SUBSTITUTE(W942,"、",""))+1))</f>
        <v/>
      </c>
      <c r="N942" s="85">
        <f>IF(OR(Y942="估算法",Y942="算法类",Y942="无法识别"),"",IF(X942="",IF(OR(J942="ILF",J942="EIF"),0,""),LEN(X942)-LEN(SUBSTITUTE(X942,"、",""))+1))</f>
        <v/>
      </c>
      <c r="O942" s="85">
        <f>IF(OR(Y942="估算法",Y942="算法类",Y942="无法识别"),"",IF(Y942="",IF(OR(J942="ILF",J942="EIF",J942="EI",J942="EO",J942="EQ"),0,""),LEN(Y942)-LEN(SUBSTITUTE(SUBSTITUTE(SUBSTITUTE(SUBSTITUTE(SUBSTITUTE(Y942,"|}","--"),"{|","--"),CHAR(10),""),"、",""),"|",""))+IF(AND(OR(J942="EI",J942="EO",J942="EQ"),$AE$1="NESMA"),2,1)))</f>
        <v/>
      </c>
      <c r="P942" s="86">
        <f>IF(J942="EI",IF(OR(Y942="估算法",Y942="算法类"),"中",IF(Y942="无法识别","低",IF(M942&lt;2,IF(O942&lt;16,"低","中"),IF(M942&lt;3,IF(O942&lt;5,"低",IF(O942&lt;16,"中","高")),IF(O942&lt;5,"中","高"))))),IF(OR(J942="EO",J942="EQ"),IF(OR(Y942="估算法",Y942="算法类"),"中",IF(Y942="无法识别","低",IF(M942&lt;2,IF(O942&lt;20,"低","中"),IF(M942&lt;4,IF(O942&lt;6,"低",IF(O942&lt;20,"中","高")),IF(O942&lt;6,"中","高"))))),IF(OR(J942="ILF",J942="EIF"),IF(OR(Y942="估算法",Y942="算法类",Y942="无法识别"),"低",IF(N942&lt;2,IF(O942&lt;51,"低","中"),IF(N942&lt;6,IF(O942&lt;20,"低",IF(O942&lt;51,"中","高")),IF(O942&lt;20,"中","高")))),"不计算")))</f>
        <v/>
      </c>
      <c r="Q942" s="172">
        <f>IFERROR(IF(J942="EI",IF(P942="低",3,IF(P942="中",4,6)),IF(J942="EO",IF(P942="低",4,IF(P942="中",5,7)),IF(J942="EQ",IF(P942="低",3,IF(P942="中",4,6)),IF(J942="ILF",IF(P942="低",7,IF(P942="中",10,15)),IF(J942="EIF",IF(P942="低",5,IF(P942="中",7,10)),"不计算")))))*R942,"不计算")</f>
        <v/>
      </c>
      <c r="R942" s="172" t="n">
        <v>1</v>
      </c>
      <c r="S942" s="173">
        <f>调整因子!$F$13</f>
        <v/>
      </c>
      <c r="T942" s="93" t="n">
        <v>1</v>
      </c>
      <c r="U942" s="174">
        <f>IFERROR(Q942*S942,0)</f>
        <v/>
      </c>
      <c r="V942" s="178">
        <f>U942*T942</f>
        <v/>
      </c>
      <c r="W942" s="103" t="inlineStr">
        <is>
          <t>接口参数配置表、任务日志表、提醒规则表、考核指标配置表、漏洞查询接口配置表</t>
        </is>
      </c>
      <c r="X942" s="103" t="inlineStr"/>
      <c r="Y942" s="97" t="inlineStr">
        <is>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is>
      </c>
      <c r="Z942" s="90" t="n"/>
      <c r="AA942" s="90" t="n"/>
    </row>
    <row r="943" s="112">
      <c r="A943" s="72">
        <f>ROW()-1</f>
        <v/>
      </c>
      <c r="B943" s="175" t="n"/>
      <c r="C943" s="124" t="n">
        <v>2026</v>
      </c>
      <c r="D943" s="125" t="n"/>
      <c r="E943" s="103" t="n"/>
      <c r="F943" s="175" t="n"/>
      <c r="G943" s="175" t="n"/>
      <c r="H943" s="175" t="n"/>
      <c r="I943" s="103" t="inlineStr">
        <is>
          <t>删除标签分类</t>
        </is>
      </c>
      <c r="J943" s="93" t="inlineStr">
        <is>
          <t>EI</t>
        </is>
      </c>
      <c r="K943" s="102" t="n"/>
      <c r="L943" s="102" t="n"/>
      <c r="M943" s="85">
        <f>IF(OR(Y943="估算法",Y943="算法类",Y943="无法识别"),"",IF(W943="",IF(OR(J943="EI",J943="EO",J943="EQ"),0,""),LEN(W943)-LEN(SUBSTITUTE(W943,"、",""))+1))</f>
        <v/>
      </c>
      <c r="N943" s="85">
        <f>IF(OR(Y943="估算法",Y943="算法类",Y943="无法识别"),"",IF(X943="",IF(OR(J943="ILF",J943="EIF"),0,""),LEN(X943)-LEN(SUBSTITUTE(X943,"、",""))+1))</f>
        <v/>
      </c>
      <c r="O943" s="85">
        <f>IF(OR(Y943="估算法",Y943="算法类",Y943="无法识别"),"",IF(Y943="",IF(OR(J943="ILF",J943="EIF",J943="EI",J943="EO",J943="EQ"),0,""),LEN(Y943)-LEN(SUBSTITUTE(SUBSTITUTE(SUBSTITUTE(SUBSTITUTE(SUBSTITUTE(Y943,"|}","--"),"{|","--"),CHAR(10),""),"、",""),"|",""))+IF(AND(OR(J943="EI",J943="EO",J943="EQ"),$AE$1="NESMA"),2,1)))</f>
        <v/>
      </c>
      <c r="P943" s="86">
        <f>IF(J943="EI",IF(OR(Y943="估算法",Y943="算法类"),"中",IF(Y943="无法识别","低",IF(M943&lt;2,IF(O943&lt;16,"低","中"),IF(M943&lt;3,IF(O943&lt;5,"低",IF(O943&lt;16,"中","高")),IF(O943&lt;5,"中","高"))))),IF(OR(J943="EO",J943="EQ"),IF(OR(Y943="估算法",Y943="算法类"),"中",IF(Y943="无法识别","低",IF(M943&lt;2,IF(O943&lt;20,"低","中"),IF(M943&lt;4,IF(O943&lt;6,"低",IF(O943&lt;20,"中","高")),IF(O943&lt;6,"中","高"))))),IF(OR(J943="ILF",J943="EIF"),IF(OR(Y943="估算法",Y943="算法类",Y943="无法识别"),"低",IF(N943&lt;2,IF(O943&lt;51,"低","中"),IF(N943&lt;6,IF(O943&lt;20,"低",IF(O943&lt;51,"中","高")),IF(O943&lt;20,"中","高")))),"不计算")))</f>
        <v/>
      </c>
      <c r="Q943" s="172">
        <f>IFERROR(IF(J943="EI",IF(P943="低",3,IF(P943="中",4,6)),IF(J943="EO",IF(P943="低",4,IF(P943="中",5,7)),IF(J943="EQ",IF(P943="低",3,IF(P943="中",4,6)),IF(J943="ILF",IF(P943="低",7,IF(P943="中",10,15)),IF(J943="EIF",IF(P943="低",5,IF(P943="中",7,10)),"不计算")))))*R943,"不计算")</f>
        <v/>
      </c>
      <c r="R943" s="172" t="n">
        <v>0.333333333333333</v>
      </c>
      <c r="S943" s="173">
        <f>调整因子!$F$13</f>
        <v/>
      </c>
      <c r="T943" s="93" t="n">
        <v>1</v>
      </c>
      <c r="U943" s="174">
        <f>IFERROR(Q943*S943,0)</f>
        <v/>
      </c>
      <c r="V943" s="178">
        <f>U943*T943</f>
        <v/>
      </c>
      <c r="W943" s="103" t="inlineStr">
        <is>
          <t>处置单配置表、验证任务表、验证记录表、报告模板表</t>
        </is>
      </c>
      <c r="X943" s="103" t="inlineStr"/>
      <c r="Y943" s="97" t="inlineStr">
        <is>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is>
      </c>
      <c r="Z943" s="90" t="n"/>
      <c r="AA943" s="90" t="n"/>
    </row>
    <row r="944" s="112">
      <c r="A944" s="72">
        <f>ROW()-1</f>
        <v/>
      </c>
      <c r="B944" s="175" t="n"/>
      <c r="C944" s="124" t="n">
        <v>2026</v>
      </c>
      <c r="D944" s="125" t="n"/>
      <c r="E944" s="103" t="n"/>
      <c r="F944" s="175" t="n"/>
      <c r="G944" s="175" t="n"/>
      <c r="H944" s="175" t="n"/>
      <c r="I944" s="103" t="inlineStr">
        <is>
          <t>启用标签分类</t>
        </is>
      </c>
      <c r="J944" s="93" t="inlineStr">
        <is>
          <t>EI</t>
        </is>
      </c>
      <c r="K944" s="102" t="n"/>
      <c r="L944" s="102" t="n"/>
      <c r="M944" s="85">
        <f>IF(OR(Y944="估算法",Y944="算法类",Y944="无法识别"),"",IF(W944="",IF(OR(J944="EI",J944="EO",J944="EQ"),0,""),LEN(W944)-LEN(SUBSTITUTE(W944,"、",""))+1))</f>
        <v/>
      </c>
      <c r="N944" s="85">
        <f>IF(OR(Y944="估算法",Y944="算法类",Y944="无法识别"),"",IF(X944="",IF(OR(J944="ILF",J944="EIF"),0,""),LEN(X944)-LEN(SUBSTITUTE(X944,"、",""))+1))</f>
        <v/>
      </c>
      <c r="O944" s="85">
        <f>IF(OR(Y944="估算法",Y944="算法类",Y944="无法识别"),"",IF(Y944="",IF(OR(J944="ILF",J944="EIF",J944="EI",J944="EO",J944="EQ"),0,""),LEN(Y944)-LEN(SUBSTITUTE(SUBSTITUTE(SUBSTITUTE(SUBSTITUTE(SUBSTITUTE(Y944,"|}","--"),"{|","--"),CHAR(10),""),"、",""),"|",""))+IF(AND(OR(J944="EI",J944="EO",J944="EQ"),$AE$1="NESMA"),2,1)))</f>
        <v/>
      </c>
      <c r="P944" s="86">
        <f>IF(J944="EI",IF(OR(Y944="估算法",Y944="算法类"),"中",IF(Y944="无法识别","低",IF(M944&lt;2,IF(O944&lt;16,"低","中"),IF(M944&lt;3,IF(O944&lt;5,"低",IF(O944&lt;16,"中","高")),IF(O944&lt;5,"中","高"))))),IF(OR(J944="EO",J944="EQ"),IF(OR(Y944="估算法",Y944="算法类"),"中",IF(Y944="无法识别","低",IF(M944&lt;2,IF(O944&lt;20,"低","中"),IF(M944&lt;4,IF(O944&lt;6,"低",IF(O944&lt;20,"中","高")),IF(O944&lt;6,"中","高"))))),IF(OR(J944="ILF",J944="EIF"),IF(OR(Y944="估算法",Y944="算法类",Y944="无法识别"),"低",IF(N944&lt;2,IF(O944&lt;51,"低","中"),IF(N944&lt;6,IF(O944&lt;20,"低",IF(O944&lt;51,"中","高")),IF(O944&lt;20,"中","高")))),"不计算")))</f>
        <v/>
      </c>
      <c r="Q944" s="172">
        <f>IFERROR(IF(J944="EI",IF(P944="低",3,IF(P944="中",4,6)),IF(J944="EO",IF(P944="低",4,IF(P944="中",5,7)),IF(J944="EQ",IF(P944="低",3,IF(P944="中",4,6)),IF(J944="ILF",IF(P944="低",7,IF(P944="中",10,15)),IF(J944="EIF",IF(P944="低",5,IF(P944="中",7,10)),"不计算")))))*R944,"不计算")</f>
        <v/>
      </c>
      <c r="R944" s="172" t="n">
        <v>1</v>
      </c>
      <c r="S944" s="173">
        <f>调整因子!$F$13</f>
        <v/>
      </c>
      <c r="T944" s="92" t="n">
        <v>1</v>
      </c>
      <c r="U944" s="174">
        <f>IFERROR(Q944*S944,0)</f>
        <v/>
      </c>
      <c r="V944" s="178">
        <f>U944*T944</f>
        <v/>
      </c>
      <c r="W944" s="103" t="inlineStr">
        <is>
          <t>分布分析表、接口参数表、报告导入记录表、扫描能力缺口表、处置单关联表</t>
        </is>
      </c>
      <c r="X944" s="103" t="inlineStr"/>
      <c r="Y944" s="97" t="inlineStr">
        <is>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is>
      </c>
      <c r="Z944" s="90" t="n"/>
      <c r="AA944" s="90" t="n"/>
    </row>
    <row r="945" s="112">
      <c r="A945" s="72">
        <f>ROW()-1</f>
        <v/>
      </c>
      <c r="B945" s="175" t="n"/>
      <c r="C945" s="124" t="n">
        <v>2026</v>
      </c>
      <c r="D945" s="125" t="n"/>
      <c r="E945" s="103" t="n"/>
      <c r="F945" s="175" t="n"/>
      <c r="G945" s="175" t="n"/>
      <c r="H945" s="175" t="n"/>
      <c r="I945" s="103" t="inlineStr">
        <is>
          <t>停用标签分类</t>
        </is>
      </c>
      <c r="J945" s="93" t="n"/>
      <c r="K945" s="102" t="n"/>
      <c r="L945" s="102" t="inlineStr">
        <is>
          <t>和上行合并，启停为相同功能</t>
        </is>
      </c>
      <c r="M945" s="85">
        <f>IF(OR(Y945="估算法",Y945="算法类",Y945="无法识别"),"",IF(W945="",IF(OR(J945="EI",J945="EO",J945="EQ"),0,""),LEN(W945)-LEN(SUBSTITUTE(W945,"、",""))+1))</f>
        <v/>
      </c>
      <c r="N945" s="85">
        <f>IF(OR(Y945="估算法",Y945="算法类",Y945="无法识别"),"",IF(X945="",IF(OR(J945="ILF",J945="EIF"),0,""),LEN(X945)-LEN(SUBSTITUTE(X945,"、",""))+1))</f>
        <v/>
      </c>
      <c r="O945" s="85">
        <f>IF(OR(Y945="估算法",Y945="算法类",Y945="无法识别"),"",IF(Y945="",IF(OR(J945="ILF",J945="EIF",J945="EI",J945="EO",J945="EQ"),0,""),LEN(Y945)-LEN(SUBSTITUTE(SUBSTITUTE(SUBSTITUTE(SUBSTITUTE(SUBSTITUTE(Y945,"|}","--"),"{|","--"),CHAR(10),""),"、",""),"|",""))+IF(AND(OR(J945="EI",J945="EO",J945="EQ"),$AE$1="NESMA"),2,1)))</f>
        <v/>
      </c>
      <c r="P945" s="86">
        <f>IF(J945="EI",IF(OR(Y945="估算法",Y945="算法类"),"中",IF(Y945="无法识别","低",IF(M945&lt;2,IF(O945&lt;16,"低","中"),IF(M945&lt;3,IF(O945&lt;5,"低",IF(O945&lt;16,"中","高")),IF(O945&lt;5,"中","高"))))),IF(OR(J945="EO",J945="EQ"),IF(OR(Y945="估算法",Y945="算法类"),"中",IF(Y945="无法识别","低",IF(M945&lt;2,IF(O945&lt;20,"低","中"),IF(M945&lt;4,IF(O945&lt;6,"低",IF(O945&lt;20,"中","高")),IF(O945&lt;6,"中","高"))))),IF(OR(J945="ILF",J945="EIF"),IF(OR(Y945="估算法",Y945="算法类",Y945="无法识别"),"低",IF(N945&lt;2,IF(O945&lt;51,"低","中"),IF(N945&lt;6,IF(O945&lt;20,"低",IF(O945&lt;51,"中","高")),IF(O945&lt;20,"中","高")))),"不计算")))</f>
        <v/>
      </c>
      <c r="Q945" s="172">
        <f>IFERROR(IF(J945="EI",IF(P945="低",3,IF(P945="中",4,6)),IF(J945="EO",IF(P945="低",4,IF(P945="中",5,7)),IF(J945="EQ",IF(P945="低",3,IF(P945="中",4,6)),IF(J945="ILF",IF(P945="低",7,IF(P945="中",10,15)),IF(J945="EIF",IF(P945="低",5,IF(P945="中",7,10)),"不计算")))))*R945,"不计算")</f>
        <v/>
      </c>
      <c r="R945" s="172" t="n">
        <v>1</v>
      </c>
      <c r="S945" s="173">
        <f>调整因子!$F$13</f>
        <v/>
      </c>
      <c r="T945" s="92" t="n">
        <v>1</v>
      </c>
      <c r="U945" s="174">
        <f>IFERROR(Q945*S945,0)</f>
        <v/>
      </c>
      <c r="V945" s="178">
        <f>U945*T945</f>
        <v/>
      </c>
      <c r="W945" s="103" t="inlineStr">
        <is>
          <t>漏洞处置单表、复测任务表、资产同步任务表</t>
        </is>
      </c>
      <c r="X945" s="103" t="inlineStr"/>
      <c r="Y945" s="97" t="inlineStr">
        <is>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is>
      </c>
      <c r="Z945" s="90" t="n"/>
      <c r="AA945" s="90" t="n"/>
    </row>
    <row r="946" s="112">
      <c r="A946" s="72">
        <f>ROW()-1</f>
        <v/>
      </c>
      <c r="B946" s="175" t="n"/>
      <c r="C946" s="124" t="n">
        <v>2026</v>
      </c>
      <c r="D946" s="125" t="n"/>
      <c r="E946" s="103" t="n"/>
      <c r="F946" s="175" t="n"/>
      <c r="G946" s="175" t="n"/>
      <c r="H946" s="176" t="n"/>
      <c r="I946" s="103" t="inlineStr">
        <is>
          <t>查看标签分类详情</t>
        </is>
      </c>
      <c r="J946" s="93" t="inlineStr">
        <is>
          <t>EQ</t>
        </is>
      </c>
      <c r="K946" s="102" t="n"/>
      <c r="L946" s="102" t="n"/>
      <c r="M946" s="85">
        <f>IF(OR(Y946="估算法",Y946="算法类",Y946="无法识别"),"",IF(W946="",IF(OR(J946="EI",J946="EO",J946="EQ"),0,""),LEN(W946)-LEN(SUBSTITUTE(W946,"、",""))+1))</f>
        <v/>
      </c>
      <c r="N946" s="85">
        <f>IF(OR(Y946="估算法",Y946="算法类",Y946="无法识别"),"",IF(X946="",IF(OR(J946="ILF",J946="EIF"),0,""),LEN(X946)-LEN(SUBSTITUTE(X946,"、",""))+1))</f>
        <v/>
      </c>
      <c r="O946" s="85">
        <f>IF(OR(Y946="估算法",Y946="算法类",Y946="无法识别"),"",IF(Y946="",IF(OR(J946="ILF",J946="EIF",J946="EI",J946="EO",J946="EQ"),0,""),LEN(Y946)-LEN(SUBSTITUTE(SUBSTITUTE(SUBSTITUTE(SUBSTITUTE(SUBSTITUTE(Y946,"|}","--"),"{|","--"),CHAR(10),""),"、",""),"|",""))+IF(AND(OR(J946="EI",J946="EO",J946="EQ"),$AE$1="NESMA"),2,1)))</f>
        <v/>
      </c>
      <c r="P946" s="86">
        <f>IF(J946="EI",IF(OR(Y946="估算法",Y946="算法类"),"中",IF(Y946="无法识别","低",IF(M946&lt;2,IF(O946&lt;16,"低","中"),IF(M946&lt;3,IF(O946&lt;5,"低",IF(O946&lt;16,"中","高")),IF(O946&lt;5,"中","高"))))),IF(OR(J946="EO",J946="EQ"),IF(OR(Y946="估算法",Y946="算法类"),"中",IF(Y946="无法识别","低",IF(M946&lt;2,IF(O946&lt;20,"低","中"),IF(M946&lt;4,IF(O946&lt;6,"低",IF(O946&lt;20,"中","高")),IF(O946&lt;6,"中","高"))))),IF(OR(J946="ILF",J946="EIF"),IF(OR(Y946="估算法",Y946="算法类",Y946="无法识别"),"低",IF(N946&lt;2,IF(O946&lt;51,"低","中"),IF(N946&lt;6,IF(O946&lt;20,"低",IF(O946&lt;51,"中","高")),IF(O946&lt;20,"中","高")))),"不计算")))</f>
        <v/>
      </c>
      <c r="Q946" s="172">
        <f>IFERROR(IF(J946="EI",IF(P946="低",3,IF(P946="中",4,6)),IF(J946="EO",IF(P946="低",4,IF(P946="中",5,7)),IF(J946="EQ",IF(P946="低",3,IF(P946="中",4,6)),IF(J946="ILF",IF(P946="低",7,IF(P946="中",10,15)),IF(J946="EIF",IF(P946="低",5,IF(P946="中",7,10)),"不计算")))))*R946,"不计算")</f>
        <v/>
      </c>
      <c r="R946" s="172" t="n">
        <v>1</v>
      </c>
      <c r="S946" s="173">
        <f>调整因子!$F$13</f>
        <v/>
      </c>
      <c r="T946" s="93" t="n">
        <v>1</v>
      </c>
      <c r="U946" s="174">
        <f>IFERROR(Q946*S946,0)</f>
        <v/>
      </c>
      <c r="V946" s="178">
        <f>U946*T946</f>
        <v/>
      </c>
      <c r="W946" s="103" t="inlineStr">
        <is>
          <t>通报模板表、任务统计数据表、考核指标配置表、推送配置表、扫描盲区记录表</t>
        </is>
      </c>
      <c r="X946" s="103" t="inlineStr"/>
      <c r="Y946" s="97" t="inlineStr">
        <is>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is>
      </c>
      <c r="Z946" s="90" t="n"/>
      <c r="AA946" s="90" t="n"/>
    </row>
    <row r="947" s="112">
      <c r="A947" s="72">
        <f>ROW()-1</f>
        <v/>
      </c>
      <c r="B947" s="175" t="n"/>
      <c r="C947" s="124" t="n">
        <v>2026</v>
      </c>
      <c r="D947" s="125" t="n"/>
      <c r="E947" s="103" t="n"/>
      <c r="F947" s="175" t="n"/>
      <c r="G947" s="175" t="n"/>
      <c r="H947" s="97" t="inlineStr">
        <is>
          <t>标签定义管理</t>
        </is>
      </c>
      <c r="I947" s="103" t="inlineStr">
        <is>
          <t>标签定义表</t>
        </is>
      </c>
      <c r="J947" s="93" t="inlineStr">
        <is>
          <t>ILF</t>
        </is>
      </c>
      <c r="K947" s="102" t="n"/>
      <c r="L947" s="102" t="n"/>
      <c r="M947" s="85">
        <f>IF(OR(Y947="估算法",Y947="算法类",Y947="无法识别"),"",IF(W947="",IF(OR(J947="EI",J947="EO",J947="EQ"),0,""),LEN(W947)-LEN(SUBSTITUTE(W947,"、",""))+1))</f>
        <v/>
      </c>
      <c r="N947" s="85">
        <f>IF(OR(Y947="估算法",Y947="算法类",Y947="无法识别"),"",IF(X947="",IF(OR(J947="ILF",J947="EIF"),0,""),LEN(X947)-LEN(SUBSTITUTE(X947,"、",""))+1))</f>
        <v/>
      </c>
      <c r="O947" s="85">
        <f>IF(OR(Y947="估算法",Y947="算法类",Y947="无法识别"),"",IF(Y947="",IF(OR(J947="ILF",J947="EIF",J947="EI",J947="EO",J947="EQ"),0,""),LEN(Y947)-LEN(SUBSTITUTE(SUBSTITUTE(SUBSTITUTE(SUBSTITUTE(SUBSTITUTE(Y947,"|}","--"),"{|","--"),CHAR(10),""),"、",""),"|",""))+IF(AND(OR(J947="EI",J947="EO",J947="EQ"),$AE$1="NESMA"),2,1)))</f>
        <v/>
      </c>
      <c r="P947" s="86">
        <f>IF(J947="EI",IF(OR(Y947="估算法",Y947="算法类"),"中",IF(Y947="无法识别","低",IF(M947&lt;2,IF(O947&lt;16,"低","中"),IF(M947&lt;3,IF(O947&lt;5,"低",IF(O947&lt;16,"中","高")),IF(O947&lt;5,"中","高"))))),IF(OR(J947="EO",J947="EQ"),IF(OR(Y947="估算法",Y947="算法类"),"中",IF(Y947="无法识别","低",IF(M947&lt;2,IF(O947&lt;20,"低","中"),IF(M947&lt;4,IF(O947&lt;6,"低",IF(O947&lt;20,"中","高")),IF(O947&lt;6,"中","高"))))),IF(OR(J947="ILF",J947="EIF"),IF(OR(Y947="估算法",Y947="算法类",Y947="无法识别"),"低",IF(N947&lt;2,IF(O947&lt;51,"低","中"),IF(N947&lt;6,IF(O947&lt;20,"低",IF(O947&lt;51,"中","高")),IF(O947&lt;20,"中","高")))),"不计算")))</f>
        <v/>
      </c>
      <c r="Q947" s="172">
        <f>IFERROR(IF(J947="EI",IF(P947="低",3,IF(P947="中",4,6)),IF(J947="EO",IF(P947="低",4,IF(P947="中",5,7)),IF(J947="EQ",IF(P947="低",3,IF(P947="中",4,6)),IF(J947="ILF",IF(P947="低",7,IF(P947="中",10,15)),IF(J947="EIF",IF(P947="低",5,IF(P947="中",7,10)),"不计算")))))*R947,"不计算")</f>
        <v/>
      </c>
      <c r="R947" s="172" t="n">
        <v>1</v>
      </c>
      <c r="S947" s="173">
        <f>调整因子!$F$13</f>
        <v/>
      </c>
      <c r="T947" s="92" t="n">
        <v>1</v>
      </c>
      <c r="U947" s="174">
        <f>IFERROR(Q947*S947,0)</f>
        <v/>
      </c>
      <c r="V947" s="178">
        <f>U947*T947</f>
        <v/>
      </c>
      <c r="W947" s="103" t="inlineStr"/>
      <c r="X947" s="103" t="inlineStr">
        <is>
          <t>数据记录</t>
        </is>
      </c>
      <c r="Y947" s="97" t="inlineStr">
        <is>
          <t>标签定义表{ID、名称、类型|ID、名称、类型、状态、创建时间、更新时间}</t>
        </is>
      </c>
      <c r="Z947" s="90">
        <f>IF(COUNTIFS(W:W,"*"&amp;I947&amp;"*")&gt;0,"存在","不存在")</f>
        <v/>
      </c>
      <c r="AA947" s="90">
        <f>IF(COUNTIFS(AB:AB,"*"&amp;I947&amp;"*")&gt;0,"存在","不存在")</f>
        <v/>
      </c>
    </row>
    <row r="948" s="112">
      <c r="A948" s="72">
        <f>ROW()-1</f>
        <v/>
      </c>
      <c r="B948" s="175" t="n"/>
      <c r="C948" s="124" t="n">
        <v>2026</v>
      </c>
      <c r="D948" s="125" t="n"/>
      <c r="E948" s="103" t="n"/>
      <c r="F948" s="175" t="n"/>
      <c r="G948" s="175" t="n"/>
      <c r="H948" s="175" t="n"/>
      <c r="I948" s="103" t="inlineStr">
        <is>
          <t>新增标签</t>
        </is>
      </c>
      <c r="J948" s="93" t="inlineStr">
        <is>
          <t>EI</t>
        </is>
      </c>
      <c r="K948" s="102" t="n"/>
      <c r="L948" s="102" t="n"/>
      <c r="M948" s="85">
        <f>IF(OR(Y948="估算法",Y948="算法类",Y948="无法识别"),"",IF(W948="",IF(OR(J948="EI",J948="EO",J948="EQ"),0,""),LEN(W948)-LEN(SUBSTITUTE(W948,"、",""))+1))</f>
        <v/>
      </c>
      <c r="N948" s="85">
        <f>IF(OR(Y948="估算法",Y948="算法类",Y948="无法识别"),"",IF(X948="",IF(OR(J948="ILF",J948="EIF"),0,""),LEN(X948)-LEN(SUBSTITUTE(X948,"、",""))+1))</f>
        <v/>
      </c>
      <c r="O948" s="85">
        <f>IF(OR(Y948="估算法",Y948="算法类",Y948="无法识别"),"",IF(Y948="",IF(OR(J948="ILF",J948="EIF",J948="EI",J948="EO",J948="EQ"),0,""),LEN(Y948)-LEN(SUBSTITUTE(SUBSTITUTE(SUBSTITUTE(SUBSTITUTE(SUBSTITUTE(Y948,"|}","--"),"{|","--"),CHAR(10),""),"、",""),"|",""))+IF(AND(OR(J948="EI",J948="EO",J948="EQ"),$AE$1="NESMA"),2,1)))</f>
        <v/>
      </c>
      <c r="P948" s="86">
        <f>IF(J948="EI",IF(OR(Y948="估算法",Y948="算法类"),"中",IF(Y948="无法识别","低",IF(M948&lt;2,IF(O948&lt;16,"低","中"),IF(M948&lt;3,IF(O948&lt;5,"低",IF(O948&lt;16,"中","高")),IF(O948&lt;5,"中","高"))))),IF(OR(J948="EO",J948="EQ"),IF(OR(Y948="估算法",Y948="算法类"),"中",IF(Y948="无法识别","低",IF(M948&lt;2,IF(O948&lt;20,"低","中"),IF(M948&lt;4,IF(O948&lt;6,"低",IF(O948&lt;20,"中","高")),IF(O948&lt;6,"中","高"))))),IF(OR(J948="ILF",J948="EIF"),IF(OR(Y948="估算法",Y948="算法类",Y948="无法识别"),"低",IF(N948&lt;2,IF(O948&lt;51,"低","中"),IF(N948&lt;6,IF(O948&lt;20,"低",IF(O948&lt;51,"中","高")),IF(O948&lt;20,"中","高")))),"不计算")))</f>
        <v/>
      </c>
      <c r="Q948" s="172">
        <f>IFERROR(IF(J948="EI",IF(P948="低",3,IF(P948="中",4,6)),IF(J948="EO",IF(P948="低",4,IF(P948="中",5,7)),IF(J948="EQ",IF(P948="低",3,IF(P948="中",4,6)),IF(J948="ILF",IF(P948="低",7,IF(P948="中",10,15)),IF(J948="EIF",IF(P948="低",5,IF(P948="中",7,10)),"不计算")))))*R948,"不计算")</f>
        <v/>
      </c>
      <c r="R948" s="172" t="n">
        <v>1</v>
      </c>
      <c r="S948" s="173">
        <f>调整因子!$F$13</f>
        <v/>
      </c>
      <c r="T948" s="92" t="n">
        <v>1</v>
      </c>
      <c r="U948" s="174">
        <f>IFERROR(Q948*S948,0)</f>
        <v/>
      </c>
      <c r="V948" s="178">
        <f>U948*T948</f>
        <v/>
      </c>
      <c r="W948" s="103" t="inlineStr">
        <is>
          <t>漏洞统计数据表、通报配置表、任务优先级配置表、验证任务表</t>
        </is>
      </c>
      <c r="X948" s="103" t="inlineStr"/>
      <c r="Y948" s="97" t="inlineStr">
        <is>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is>
      </c>
      <c r="Z948" s="90" t="n"/>
      <c r="AA948" s="90" t="n"/>
    </row>
    <row r="949" s="112">
      <c r="A949" s="72">
        <f>ROW()-1</f>
        <v/>
      </c>
      <c r="B949" s="175" t="n"/>
      <c r="C949" s="124" t="n">
        <v>2026</v>
      </c>
      <c r="D949" s="125" t="n"/>
      <c r="E949" s="103" t="n"/>
      <c r="F949" s="175" t="n"/>
      <c r="G949" s="175" t="n"/>
      <c r="H949" s="175" t="n"/>
      <c r="I949" s="103" t="inlineStr">
        <is>
          <t>编辑标签</t>
        </is>
      </c>
      <c r="J949" s="93" t="inlineStr">
        <is>
          <t>EI</t>
        </is>
      </c>
      <c r="K949" s="102" t="n"/>
      <c r="L949" s="102" t="n"/>
      <c r="M949" s="85">
        <f>IF(OR(Y949="估算法",Y949="算法类",Y949="无法识别"),"",IF(W949="",IF(OR(J949="EI",J949="EO",J949="EQ"),0,""),LEN(W949)-LEN(SUBSTITUTE(W949,"、",""))+1))</f>
        <v/>
      </c>
      <c r="N949" s="85">
        <f>IF(OR(Y949="估算法",Y949="算法类",Y949="无法识别"),"",IF(X949="",IF(OR(J949="ILF",J949="EIF"),0,""),LEN(X949)-LEN(SUBSTITUTE(X949,"、",""))+1))</f>
        <v/>
      </c>
      <c r="O949" s="85">
        <f>IF(OR(Y949="估算法",Y949="算法类",Y949="无法识别"),"",IF(Y949="",IF(OR(J949="ILF",J949="EIF",J949="EI",J949="EO",J949="EQ"),0,""),LEN(Y949)-LEN(SUBSTITUTE(SUBSTITUTE(SUBSTITUTE(SUBSTITUTE(SUBSTITUTE(Y949,"|}","--"),"{|","--"),CHAR(10),""),"、",""),"|",""))+IF(AND(OR(J949="EI",J949="EO",J949="EQ"),$AE$1="NESMA"),2,1)))</f>
        <v/>
      </c>
      <c r="P949" s="86">
        <f>IF(J949="EI",IF(OR(Y949="估算法",Y949="算法类"),"中",IF(Y949="无法识别","低",IF(M949&lt;2,IF(O949&lt;16,"低","中"),IF(M949&lt;3,IF(O949&lt;5,"低",IF(O949&lt;16,"中","高")),IF(O949&lt;5,"中","高"))))),IF(OR(J949="EO",J949="EQ"),IF(OR(Y949="估算法",Y949="算法类"),"中",IF(Y949="无法识别","低",IF(M949&lt;2,IF(O949&lt;20,"低","中"),IF(M949&lt;4,IF(O949&lt;6,"低",IF(O949&lt;20,"中","高")),IF(O949&lt;6,"中","高"))))),IF(OR(J949="ILF",J949="EIF"),IF(OR(Y949="估算法",Y949="算法类",Y949="无法识别"),"低",IF(N949&lt;2,IF(O949&lt;51,"低","中"),IF(N949&lt;6,IF(O949&lt;20,"低",IF(O949&lt;51,"中","高")),IF(O949&lt;20,"中","高")))),"不计算")))</f>
        <v/>
      </c>
      <c r="Q949" s="172">
        <f>IFERROR(IF(J949="EI",IF(P949="低",3,IF(P949="中",4,6)),IF(J949="EO",IF(P949="低",4,IF(P949="中",5,7)),IF(J949="EQ",IF(P949="低",3,IF(P949="中",4,6)),IF(J949="ILF",IF(P949="低",7,IF(P949="中",10,15)),IF(J949="EIF",IF(P949="低",5,IF(P949="中",7,10)),"不计算")))))*R949,"不计算")</f>
        <v/>
      </c>
      <c r="R949" s="172" t="n">
        <v>1</v>
      </c>
      <c r="S949" s="173">
        <f>调整因子!$F$13</f>
        <v/>
      </c>
      <c r="T949" s="93" t="n">
        <v>1</v>
      </c>
      <c r="U949" s="174">
        <f>IFERROR(Q949*S949,0)</f>
        <v/>
      </c>
      <c r="V949" s="178">
        <f>U949*T949</f>
        <v/>
      </c>
      <c r="W949" s="103" t="inlineStr">
        <is>
          <t>推送任务表、数据清洗任务表、脱敏规则表、通报模板表</t>
        </is>
      </c>
      <c r="X949" s="103" t="inlineStr"/>
      <c r="Y949" s="97" t="inlineStr">
        <is>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is>
      </c>
      <c r="Z949" s="90" t="n"/>
      <c r="AA949" s="90" t="n"/>
    </row>
    <row r="950" s="112">
      <c r="A950" s="72">
        <f>ROW()-1</f>
        <v/>
      </c>
      <c r="B950" s="175" t="n"/>
      <c r="C950" s="124" t="n">
        <v>2026</v>
      </c>
      <c r="D950" s="125" t="n"/>
      <c r="E950" s="103" t="n"/>
      <c r="F950" s="175" t="n"/>
      <c r="G950" s="175" t="n"/>
      <c r="H950" s="175" t="n"/>
      <c r="I950" s="103" t="inlineStr">
        <is>
          <t>删除标签</t>
        </is>
      </c>
      <c r="J950" s="93" t="inlineStr">
        <is>
          <t>EI</t>
        </is>
      </c>
      <c r="K950" s="102" t="n"/>
      <c r="L950" s="102" t="n"/>
      <c r="M950" s="85">
        <f>IF(OR(Y950="估算法",Y950="算法类",Y950="无法识别"),"",IF(W950="",IF(OR(J950="EI",J950="EO",J950="EQ"),0,""),LEN(W950)-LEN(SUBSTITUTE(W950,"、",""))+1))</f>
        <v/>
      </c>
      <c r="N950" s="85">
        <f>IF(OR(Y950="估算法",Y950="算法类",Y950="无法识别"),"",IF(X950="",IF(OR(J950="ILF",J950="EIF"),0,""),LEN(X950)-LEN(SUBSTITUTE(X950,"、",""))+1))</f>
        <v/>
      </c>
      <c r="O950" s="85">
        <f>IF(OR(Y950="估算法",Y950="算法类",Y950="无法识别"),"",IF(Y950="",IF(OR(J950="ILF",J950="EIF",J950="EI",J950="EO",J950="EQ"),0,""),LEN(Y950)-LEN(SUBSTITUTE(SUBSTITUTE(SUBSTITUTE(SUBSTITUTE(SUBSTITUTE(Y950,"|}","--"),"{|","--"),CHAR(10),""),"、",""),"|",""))+IF(AND(OR(J950="EI",J950="EO",J950="EQ"),$AE$1="NESMA"),2,1)))</f>
        <v/>
      </c>
      <c r="P950" s="86">
        <f>IF(J950="EI",IF(OR(Y950="估算法",Y950="算法类"),"中",IF(Y950="无法识别","低",IF(M950&lt;2,IF(O950&lt;16,"低","中"),IF(M950&lt;3,IF(O950&lt;5,"低",IF(O950&lt;16,"中","高")),IF(O950&lt;5,"中","高"))))),IF(OR(J950="EO",J950="EQ"),IF(OR(Y950="估算法",Y950="算法类"),"中",IF(Y950="无法识别","低",IF(M950&lt;2,IF(O950&lt;20,"低","中"),IF(M950&lt;4,IF(O950&lt;6,"低",IF(O950&lt;20,"中","高")),IF(O950&lt;6,"中","高"))))),IF(OR(J950="ILF",J950="EIF"),IF(OR(Y950="估算法",Y950="算法类",Y950="无法识别"),"低",IF(N950&lt;2,IF(O950&lt;51,"低","中"),IF(N950&lt;6,IF(O950&lt;20,"低",IF(O950&lt;51,"中","高")),IF(O950&lt;20,"中","高")))),"不计算")))</f>
        <v/>
      </c>
      <c r="Q950" s="172">
        <f>IFERROR(IF(J950="EI",IF(P950="低",3,IF(P950="中",4,6)),IF(J950="EO",IF(P950="低",4,IF(P950="中",5,7)),IF(J950="EQ",IF(P950="低",3,IF(P950="中",4,6)),IF(J950="ILF",IF(P950="低",7,IF(P950="中",10,15)),IF(J950="EIF",IF(P950="低",5,IF(P950="中",7,10)),"不计算")))))*R950,"不计算")</f>
        <v/>
      </c>
      <c r="R950" s="172" t="n">
        <v>0.333333333333333</v>
      </c>
      <c r="S950" s="173">
        <f>调整因子!$F$13</f>
        <v/>
      </c>
      <c r="T950" s="93" t="n">
        <v>1</v>
      </c>
      <c r="U950" s="174">
        <f>IFERROR(Q950*S950,0)</f>
        <v/>
      </c>
      <c r="V950" s="178">
        <f>U950*T950</f>
        <v/>
      </c>
      <c r="W950" s="103" t="inlineStr">
        <is>
          <t>推送日志表、加密策略表、资产扫描覆盖表</t>
        </is>
      </c>
      <c r="X950" s="103" t="inlineStr"/>
      <c r="Y950" s="97" t="inlineStr">
        <is>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is>
      </c>
      <c r="Z950" s="90" t="n"/>
      <c r="AA950" s="90" t="n"/>
    </row>
    <row r="951" s="112">
      <c r="A951" s="72">
        <f>ROW()-1</f>
        <v/>
      </c>
      <c r="B951" s="175" t="n"/>
      <c r="C951" s="124" t="n">
        <v>2026</v>
      </c>
      <c r="D951" s="125" t="n"/>
      <c r="E951" s="103" t="n"/>
      <c r="F951" s="175" t="n"/>
      <c r="G951" s="175" t="n"/>
      <c r="H951" s="175" t="n"/>
      <c r="I951" s="103" t="inlineStr">
        <is>
          <t>启用标签</t>
        </is>
      </c>
      <c r="J951" s="93" t="inlineStr">
        <is>
          <t>EI</t>
        </is>
      </c>
      <c r="K951" s="102" t="n"/>
      <c r="L951" s="102" t="n"/>
      <c r="M951" s="85">
        <f>IF(OR(Y951="估算法",Y951="算法类",Y951="无法识别"),"",IF(W951="",IF(OR(J951="EI",J951="EO",J951="EQ"),0,""),LEN(W951)-LEN(SUBSTITUTE(W951,"、",""))+1))</f>
        <v/>
      </c>
      <c r="N951" s="85">
        <f>IF(OR(Y951="估算法",Y951="算法类",Y951="无法识别"),"",IF(X951="",IF(OR(J951="ILF",J951="EIF"),0,""),LEN(X951)-LEN(SUBSTITUTE(X951,"、",""))+1))</f>
        <v/>
      </c>
      <c r="O951" s="85">
        <f>IF(OR(Y951="估算法",Y951="算法类",Y951="无法识别"),"",IF(Y951="",IF(OR(J951="ILF",J951="EIF",J951="EI",J951="EO",J951="EQ"),0,""),LEN(Y951)-LEN(SUBSTITUTE(SUBSTITUTE(SUBSTITUTE(SUBSTITUTE(SUBSTITUTE(Y951,"|}","--"),"{|","--"),CHAR(10),""),"、",""),"|",""))+IF(AND(OR(J951="EI",J951="EO",J951="EQ"),$AE$1="NESMA"),2,1)))</f>
        <v/>
      </c>
      <c r="P951" s="86">
        <f>IF(J951="EI",IF(OR(Y951="估算法",Y951="算法类"),"中",IF(Y951="无法识别","低",IF(M951&lt;2,IF(O951&lt;16,"低","中"),IF(M951&lt;3,IF(O951&lt;5,"低",IF(O951&lt;16,"中","高")),IF(O951&lt;5,"中","高"))))),IF(OR(J951="EO",J951="EQ"),IF(OR(Y951="估算法",Y951="算法类"),"中",IF(Y951="无法识别","低",IF(M951&lt;2,IF(O951&lt;20,"低","中"),IF(M951&lt;4,IF(O951&lt;6,"低",IF(O951&lt;20,"中","高")),IF(O951&lt;6,"中","高"))))),IF(OR(J951="ILF",J951="EIF"),IF(OR(Y951="估算法",Y951="算法类",Y951="无法识别"),"低",IF(N951&lt;2,IF(O951&lt;51,"低","中"),IF(N951&lt;6,IF(O951&lt;20,"低",IF(O951&lt;51,"中","高")),IF(O951&lt;20,"中","高")))),"不计算")))</f>
        <v/>
      </c>
      <c r="Q951" s="172">
        <f>IFERROR(IF(J951="EI",IF(P951="低",3,IF(P951="中",4,6)),IF(J951="EO",IF(P951="低",4,IF(P951="中",5,7)),IF(J951="EQ",IF(P951="低",3,IF(P951="中",4,6)),IF(J951="ILF",IF(P951="低",7,IF(P951="中",10,15)),IF(J951="EIF",IF(P951="低",5,IF(P951="中",7,10)),"不计算")))))*R951,"不计算")</f>
        <v/>
      </c>
      <c r="R951" s="172" t="n">
        <v>1</v>
      </c>
      <c r="S951" s="173">
        <f>调整因子!$F$13</f>
        <v/>
      </c>
      <c r="T951" s="92" t="n">
        <v>1</v>
      </c>
      <c r="U951" s="174">
        <f>IFERROR(Q951*S951,0)</f>
        <v/>
      </c>
      <c r="V951" s="178">
        <f>U951*T951</f>
        <v/>
      </c>
      <c r="W951" s="103" t="inlineStr">
        <is>
          <t>加密规则表、漏洞处置单表、同步任务调度表、分类层级关系表、通报对象表</t>
        </is>
      </c>
      <c r="X951" s="103" t="inlineStr"/>
      <c r="Y951" s="97" t="inlineStr">
        <is>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is>
      </c>
      <c r="Z951" s="90" t="n"/>
      <c r="AA951" s="90" t="n"/>
    </row>
    <row r="952" s="112">
      <c r="A952" s="72">
        <f>ROW()-1</f>
        <v/>
      </c>
      <c r="B952" s="175" t="n"/>
      <c r="C952" s="124" t="n">
        <v>2026</v>
      </c>
      <c r="D952" s="125" t="n"/>
      <c r="E952" s="103" t="n"/>
      <c r="F952" s="175" t="n"/>
      <c r="G952" s="175" t="n"/>
      <c r="H952" s="176" t="n"/>
      <c r="I952" s="103" t="inlineStr">
        <is>
          <t>停用标签</t>
        </is>
      </c>
      <c r="J952" s="93" t="n"/>
      <c r="K952" s="102" t="n"/>
      <c r="L952" s="102" t="inlineStr">
        <is>
          <t>和上行合并，启停为相同功能</t>
        </is>
      </c>
      <c r="M952" s="85">
        <f>IF(OR(Y952="估算法",Y952="算法类",Y952="无法识别"),"",IF(W952="",IF(OR(J952="EI",J952="EO",J952="EQ"),0,""),LEN(W952)-LEN(SUBSTITUTE(W952,"、",""))+1))</f>
        <v/>
      </c>
      <c r="N952" s="85">
        <f>IF(OR(Y952="估算法",Y952="算法类",Y952="无法识别"),"",IF(X952="",IF(OR(J952="ILF",J952="EIF"),0,""),LEN(X952)-LEN(SUBSTITUTE(X952,"、",""))+1))</f>
        <v/>
      </c>
      <c r="O952" s="85">
        <f>IF(OR(Y952="估算法",Y952="算法类",Y952="无法识别"),"",IF(Y952="",IF(OR(J952="ILF",J952="EIF",J952="EI",J952="EO",J952="EQ"),0,""),LEN(Y952)-LEN(SUBSTITUTE(SUBSTITUTE(SUBSTITUTE(SUBSTITUTE(SUBSTITUTE(Y952,"|}","--"),"{|","--"),CHAR(10),""),"、",""),"|",""))+IF(AND(OR(J952="EI",J952="EO",J952="EQ"),$AE$1="NESMA"),2,1)))</f>
        <v/>
      </c>
      <c r="P952" s="86">
        <f>IF(J952="EI",IF(OR(Y952="估算法",Y952="算法类"),"中",IF(Y952="无法识别","低",IF(M952&lt;2,IF(O952&lt;16,"低","中"),IF(M952&lt;3,IF(O952&lt;5,"低",IF(O952&lt;16,"中","高")),IF(O952&lt;5,"中","高"))))),IF(OR(J952="EO",J952="EQ"),IF(OR(Y952="估算法",Y952="算法类"),"中",IF(Y952="无法识别","低",IF(M952&lt;2,IF(O952&lt;20,"低","中"),IF(M952&lt;4,IF(O952&lt;6,"低",IF(O952&lt;20,"中","高")),IF(O952&lt;6,"中","高"))))),IF(OR(J952="ILF",J952="EIF"),IF(OR(Y952="估算法",Y952="算法类",Y952="无法识别"),"低",IF(N952&lt;2,IF(O952&lt;51,"低","中"),IF(N952&lt;6,IF(O952&lt;20,"低",IF(O952&lt;51,"中","高")),IF(O952&lt;20,"中","高")))),"不计算")))</f>
        <v/>
      </c>
      <c r="Q952" s="172">
        <f>IFERROR(IF(J952="EI",IF(P952="低",3,IF(P952="中",4,6)),IF(J952="EO",IF(P952="低",4,IF(P952="中",5,7)),IF(J952="EQ",IF(P952="低",3,IF(P952="中",4,6)),IF(J952="ILF",IF(P952="低",7,IF(P952="中",10,15)),IF(J952="EIF",IF(P952="低",5,IF(P952="中",7,10)),"不计算")))))*R952,"不计算")</f>
        <v/>
      </c>
      <c r="R952" s="172" t="n">
        <v>1</v>
      </c>
      <c r="S952" s="173">
        <f>调整因子!$F$13</f>
        <v/>
      </c>
      <c r="T952" s="92" t="n">
        <v>1</v>
      </c>
      <c r="U952" s="174">
        <f>IFERROR(Q952*S952,0)</f>
        <v/>
      </c>
      <c r="V952" s="178">
        <f>U952*T952</f>
        <v/>
      </c>
      <c r="W952" s="103" t="inlineStr">
        <is>
          <t>复测配置表、修复方案表、验证配置表、接口监控配置表、考核指标配置表</t>
        </is>
      </c>
      <c r="X952" s="103" t="inlineStr"/>
      <c r="Y952" s="97" t="inlineStr">
        <is>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is>
      </c>
      <c r="Z952" s="90" t="n"/>
      <c r="AA952" s="90" t="n"/>
    </row>
    <row r="953" s="112">
      <c r="A953" s="72">
        <f>ROW()-1</f>
        <v/>
      </c>
      <c r="B953" s="175" t="n"/>
      <c r="C953" s="124" t="n">
        <v>2026</v>
      </c>
      <c r="D953" s="125" t="n"/>
      <c r="E953" s="103" t="n"/>
      <c r="F953" s="175" t="n"/>
      <c r="G953" s="175" t="n"/>
      <c r="H953" s="97" t="inlineStr">
        <is>
          <t>资产打标管理</t>
        </is>
      </c>
      <c r="I953" s="103" t="inlineStr">
        <is>
          <t>启用自动打标</t>
        </is>
      </c>
      <c r="J953" s="93" t="inlineStr">
        <is>
          <t>EI</t>
        </is>
      </c>
      <c r="K953" s="102" t="n"/>
      <c r="L953" s="102" t="n"/>
      <c r="M953" s="85">
        <f>IF(OR(Y953="估算法",Y953="算法类",Y953="无法识别"),"",IF(W953="",IF(OR(J953="EI",J953="EO",J953="EQ"),0,""),LEN(W953)-LEN(SUBSTITUTE(W953,"、",""))+1))</f>
        <v/>
      </c>
      <c r="N953" s="85">
        <f>IF(OR(Y953="估算法",Y953="算法类",Y953="无法识别"),"",IF(X953="",IF(OR(J953="ILF",J953="EIF"),0,""),LEN(X953)-LEN(SUBSTITUTE(X953,"、",""))+1))</f>
        <v/>
      </c>
      <c r="O953" s="85">
        <f>IF(OR(Y953="估算法",Y953="算法类",Y953="无法识别"),"",IF(Y953="",IF(OR(J953="ILF",J953="EIF",J953="EI",J953="EO",J953="EQ"),0,""),LEN(Y953)-LEN(SUBSTITUTE(SUBSTITUTE(SUBSTITUTE(SUBSTITUTE(SUBSTITUTE(Y953,"|}","--"),"{|","--"),CHAR(10),""),"、",""),"|",""))+IF(AND(OR(J953="EI",J953="EO",J953="EQ"),$AE$1="NESMA"),2,1)))</f>
        <v/>
      </c>
      <c r="P953" s="86">
        <f>IF(J953="EI",IF(OR(Y953="估算法",Y953="算法类"),"中",IF(Y953="无法识别","低",IF(M953&lt;2,IF(O953&lt;16,"低","中"),IF(M953&lt;3,IF(O953&lt;5,"低",IF(O953&lt;16,"中","高")),IF(O953&lt;5,"中","高"))))),IF(OR(J953="EO",J953="EQ"),IF(OR(Y953="估算法",Y953="算法类"),"中",IF(Y953="无法识别","低",IF(M953&lt;2,IF(O953&lt;20,"低","中"),IF(M953&lt;4,IF(O953&lt;6,"低",IF(O953&lt;20,"中","高")),IF(O953&lt;6,"中","高"))))),IF(OR(J953="ILF",J953="EIF"),IF(OR(Y953="估算法",Y953="算法类",Y953="无法识别"),"低",IF(N953&lt;2,IF(O953&lt;51,"低","中"),IF(N953&lt;6,IF(O953&lt;20,"低",IF(O953&lt;51,"中","高")),IF(O953&lt;20,"中","高")))),"不计算")))</f>
        <v/>
      </c>
      <c r="Q953" s="172">
        <f>IFERROR(IF(J953="EI",IF(P953="低",3,IF(P953="中",4,6)),IF(J953="EO",IF(P953="低",4,IF(P953="中",5,7)),IF(J953="EQ",IF(P953="低",3,IF(P953="中",4,6)),IF(J953="ILF",IF(P953="低",7,IF(P953="中",10,15)),IF(J953="EIF",IF(P953="低",5,IF(P953="中",7,10)),"不计算")))))*R953,"不计算")</f>
        <v/>
      </c>
      <c r="R953" s="172" t="n">
        <v>1</v>
      </c>
      <c r="S953" s="173">
        <f>调整因子!$F$13</f>
        <v/>
      </c>
      <c r="T953" s="93" t="n">
        <v>1</v>
      </c>
      <c r="U953" s="174">
        <f>IFERROR(Q953*S953,0)</f>
        <v/>
      </c>
      <c r="V953" s="178">
        <f>U953*T953</f>
        <v/>
      </c>
      <c r="W953" s="103" t="inlineStr">
        <is>
          <t>复测任务表、推送结果表、报表模板表</t>
        </is>
      </c>
      <c r="X953" s="103" t="inlineStr"/>
      <c r="Y953" s="97" t="inlineStr">
        <is>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is>
      </c>
      <c r="Z953" s="90" t="n"/>
      <c r="AA953" s="90" t="n"/>
    </row>
    <row r="954" s="112">
      <c r="A954" s="72">
        <f>ROW()-1</f>
        <v/>
      </c>
      <c r="B954" s="175" t="n"/>
      <c r="C954" s="124" t="n">
        <v>2026</v>
      </c>
      <c r="D954" s="125" t="n"/>
      <c r="E954" s="103" t="n"/>
      <c r="F954" s="175" t="n"/>
      <c r="G954" s="176" t="n"/>
      <c r="H954" s="176" t="n"/>
      <c r="I954" s="103" t="inlineStr">
        <is>
          <t>停用自动打标</t>
        </is>
      </c>
      <c r="J954" s="93" t="n"/>
      <c r="K954" s="102" t="n"/>
      <c r="L954" s="102" t="inlineStr">
        <is>
          <t>和上行合并，启停为相同功能</t>
        </is>
      </c>
      <c r="M954" s="85">
        <f>IF(OR(Y954="估算法",Y954="算法类",Y954="无法识别"),"",IF(W954="",IF(OR(J954="EI",J954="EO",J954="EQ"),0,""),LEN(W954)-LEN(SUBSTITUTE(W954,"、",""))+1))</f>
        <v/>
      </c>
      <c r="N954" s="85">
        <f>IF(OR(Y954="估算法",Y954="算法类",Y954="无法识别"),"",IF(X954="",IF(OR(J954="ILF",J954="EIF"),0,""),LEN(X954)-LEN(SUBSTITUTE(X954,"、",""))+1))</f>
        <v/>
      </c>
      <c r="O954" s="85">
        <f>IF(OR(Y954="估算法",Y954="算法类",Y954="无法识别"),"",IF(Y954="",IF(OR(J954="ILF",J954="EIF",J954="EI",J954="EO",J954="EQ"),0,""),LEN(Y954)-LEN(SUBSTITUTE(SUBSTITUTE(SUBSTITUTE(SUBSTITUTE(SUBSTITUTE(Y954,"|}","--"),"{|","--"),CHAR(10),""),"、",""),"|",""))+IF(AND(OR(J954="EI",J954="EO",J954="EQ"),$AE$1="NESMA"),2,1)))</f>
        <v/>
      </c>
      <c r="P954" s="86">
        <f>IF(J954="EI",IF(OR(Y954="估算法",Y954="算法类"),"中",IF(Y954="无法识别","低",IF(M954&lt;2,IF(O954&lt;16,"低","中"),IF(M954&lt;3,IF(O954&lt;5,"低",IF(O954&lt;16,"中","高")),IF(O954&lt;5,"中","高"))))),IF(OR(J954="EO",J954="EQ"),IF(OR(Y954="估算法",Y954="算法类"),"中",IF(Y954="无法识别","低",IF(M954&lt;2,IF(O954&lt;20,"低","中"),IF(M954&lt;4,IF(O954&lt;6,"低",IF(O954&lt;20,"中","高")),IF(O954&lt;6,"中","高"))))),IF(OR(J954="ILF",J954="EIF"),IF(OR(Y954="估算法",Y954="算法类",Y954="无法识别"),"低",IF(N954&lt;2,IF(O954&lt;51,"低","中"),IF(N954&lt;6,IF(O954&lt;20,"低",IF(O954&lt;51,"中","高")),IF(O954&lt;20,"中","高")))),"不计算")))</f>
        <v/>
      </c>
      <c r="Q954" s="172">
        <f>IFERROR(IF(J954="EI",IF(P954="低",3,IF(P954="中",4,6)),IF(J954="EO",IF(P954="低",4,IF(P954="中",5,7)),IF(J954="EQ",IF(P954="低",3,IF(P954="中",4,6)),IF(J954="ILF",IF(P954="低",7,IF(P954="中",10,15)),IF(J954="EIF",IF(P954="低",5,IF(P954="中",7,10)),"不计算")))))*R954,"不计算")</f>
        <v/>
      </c>
      <c r="R954" s="172" t="n">
        <v>1</v>
      </c>
      <c r="S954" s="173">
        <f>调整因子!$F$13</f>
        <v/>
      </c>
      <c r="T954" s="92" t="n">
        <v>1</v>
      </c>
      <c r="U954" s="174">
        <f>IFERROR(Q954*S954,0)</f>
        <v/>
      </c>
      <c r="V954" s="178">
        <f>U954*T954</f>
        <v/>
      </c>
      <c r="W954" s="103" t="inlineStr">
        <is>
          <t>推送结果表、修复方案表、通报配置表、接口参数配置表、扫描盲区记录表</t>
        </is>
      </c>
      <c r="X954" s="103" t="inlineStr"/>
      <c r="Y954" s="97" t="inlineStr">
        <is>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is>
      </c>
      <c r="Z954" s="90" t="n"/>
      <c r="AA954" s="90" t="n"/>
    </row>
    <row r="955" s="112">
      <c r="A955" s="72">
        <f>ROW()-1</f>
        <v/>
      </c>
      <c r="B955" s="175" t="n"/>
      <c r="C955" s="124" t="n">
        <v>2026</v>
      </c>
      <c r="D955" s="125" t="n"/>
      <c r="E955" s="103" t="n"/>
      <c r="F955" s="175" t="n"/>
      <c r="G955" s="97" t="inlineStr">
        <is>
          <t>资产分组管理</t>
        </is>
      </c>
      <c r="H955" s="97" t="inlineStr">
        <is>
          <t>分组定义管理</t>
        </is>
      </c>
      <c r="I955" s="103" t="inlineStr">
        <is>
          <t>新增资产分组</t>
        </is>
      </c>
      <c r="J955" s="93" t="inlineStr">
        <is>
          <t>EI</t>
        </is>
      </c>
      <c r="K955" s="102" t="n"/>
      <c r="L955" s="102" t="n"/>
      <c r="M955" s="85">
        <f>IF(OR(Y955="估算法",Y955="算法类",Y955="无法识别"),"",IF(W955="",IF(OR(J955="EI",J955="EO",J955="EQ"),0,""),LEN(W955)-LEN(SUBSTITUTE(W955,"、",""))+1))</f>
        <v/>
      </c>
      <c r="N955" s="85">
        <f>IF(OR(Y955="估算法",Y955="算法类",Y955="无法识别"),"",IF(X955="",IF(OR(J955="ILF",J955="EIF"),0,""),LEN(X955)-LEN(SUBSTITUTE(X955,"、",""))+1))</f>
        <v/>
      </c>
      <c r="O955" s="85">
        <f>IF(OR(Y955="估算法",Y955="算法类",Y955="无法识别"),"",IF(Y955="",IF(OR(J955="ILF",J955="EIF",J955="EI",J955="EO",J955="EQ"),0,""),LEN(Y955)-LEN(SUBSTITUTE(SUBSTITUTE(SUBSTITUTE(SUBSTITUTE(SUBSTITUTE(Y955,"|}","--"),"{|","--"),CHAR(10),""),"、",""),"|",""))+IF(AND(OR(J955="EI",J955="EO",J955="EQ"),$AE$1="NESMA"),2,1)))</f>
        <v/>
      </c>
      <c r="P955" s="86">
        <f>IF(J955="EI",IF(OR(Y955="估算法",Y955="算法类"),"中",IF(Y955="无法识别","低",IF(M955&lt;2,IF(O955&lt;16,"低","中"),IF(M955&lt;3,IF(O955&lt;5,"低",IF(O955&lt;16,"中","高")),IF(O955&lt;5,"中","高"))))),IF(OR(J955="EO",J955="EQ"),IF(OR(Y955="估算法",Y955="算法类"),"中",IF(Y955="无法识别","低",IF(M955&lt;2,IF(O955&lt;20,"低","中"),IF(M955&lt;4,IF(O955&lt;6,"低",IF(O955&lt;20,"中","高")),IF(O955&lt;6,"中","高"))))),IF(OR(J955="ILF",J955="EIF"),IF(OR(Y955="估算法",Y955="算法类",Y955="无法识别"),"低",IF(N955&lt;2,IF(O955&lt;51,"低","中"),IF(N955&lt;6,IF(O955&lt;20,"低",IF(O955&lt;51,"中","高")),IF(O955&lt;20,"中","高")))),"不计算")))</f>
        <v/>
      </c>
      <c r="Q955" s="172">
        <f>IFERROR(IF(J955="EI",IF(P955="低",3,IF(P955="中",4,6)),IF(J955="EO",IF(P955="低",4,IF(P955="中",5,7)),IF(J955="EQ",IF(P955="低",3,IF(P955="中",4,6)),IF(J955="ILF",IF(P955="低",7,IF(P955="中",10,15)),IF(J955="EIF",IF(P955="低",5,IF(P955="中",7,10)),"不计算")))))*R955,"不计算")</f>
        <v/>
      </c>
      <c r="R955" s="172" t="n">
        <v>1</v>
      </c>
      <c r="S955" s="173">
        <f>调整因子!$F$13</f>
        <v/>
      </c>
      <c r="T955" s="92" t="n">
        <v>1</v>
      </c>
      <c r="U955" s="174">
        <f>IFERROR(Q955*S955,0)</f>
        <v/>
      </c>
      <c r="V955" s="178">
        <f>U955*T955</f>
        <v/>
      </c>
      <c r="W955" s="103" t="inlineStr">
        <is>
          <t>资产同步任务表、资产扫描覆盖表、资产查询接口配置表、扫描能力缺口表、任务日志表</t>
        </is>
      </c>
      <c r="X955" s="103" t="inlineStr"/>
      <c r="Y955"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is>
      </c>
      <c r="Z955" s="90" t="n"/>
      <c r="AA955" s="90" t="n"/>
    </row>
    <row r="956" s="112">
      <c r="A956" s="72">
        <f>ROW()-1</f>
        <v/>
      </c>
      <c r="B956" s="175" t="n"/>
      <c r="C956" s="124" t="n">
        <v>2026</v>
      </c>
      <c r="D956" s="125" t="n"/>
      <c r="E956" s="103" t="n"/>
      <c r="F956" s="175" t="n"/>
      <c r="G956" s="175" t="n"/>
      <c r="H956" s="175" t="n"/>
      <c r="I956" s="103" t="inlineStr">
        <is>
          <t>编辑资产分组</t>
        </is>
      </c>
      <c r="J956" s="93" t="inlineStr">
        <is>
          <t>EI</t>
        </is>
      </c>
      <c r="K956" s="102" t="n"/>
      <c r="L956" s="102" t="n"/>
      <c r="M956" s="85">
        <f>IF(OR(Y956="估算法",Y956="算法类",Y956="无法识别"),"",IF(W956="",IF(OR(J956="EI",J956="EO",J956="EQ"),0,""),LEN(W956)-LEN(SUBSTITUTE(W956,"、",""))+1))</f>
        <v/>
      </c>
      <c r="N956" s="85">
        <f>IF(OR(Y956="估算法",Y956="算法类",Y956="无法识别"),"",IF(X956="",IF(OR(J956="ILF",J956="EIF"),0,""),LEN(X956)-LEN(SUBSTITUTE(X956,"、",""))+1))</f>
        <v/>
      </c>
      <c r="O956" s="85">
        <f>IF(OR(Y956="估算法",Y956="算法类",Y956="无法识别"),"",IF(Y956="",IF(OR(J956="ILF",J956="EIF",J956="EI",J956="EO",J956="EQ"),0,""),LEN(Y956)-LEN(SUBSTITUTE(SUBSTITUTE(SUBSTITUTE(SUBSTITUTE(SUBSTITUTE(Y956,"|}","--"),"{|","--"),CHAR(10),""),"、",""),"|",""))+IF(AND(OR(J956="EI",J956="EO",J956="EQ"),$AE$1="NESMA"),2,1)))</f>
        <v/>
      </c>
      <c r="P956" s="86">
        <f>IF(J956="EI",IF(OR(Y956="估算法",Y956="算法类"),"中",IF(Y956="无法识别","低",IF(M956&lt;2,IF(O956&lt;16,"低","中"),IF(M956&lt;3,IF(O956&lt;5,"低",IF(O956&lt;16,"中","高")),IF(O956&lt;5,"中","高"))))),IF(OR(J956="EO",J956="EQ"),IF(OR(Y956="估算法",Y956="算法类"),"中",IF(Y956="无法识别","低",IF(M956&lt;2,IF(O956&lt;20,"低","中"),IF(M956&lt;4,IF(O956&lt;6,"低",IF(O956&lt;20,"中","高")),IF(O956&lt;6,"中","高"))))),IF(OR(J956="ILF",J956="EIF"),IF(OR(Y956="估算法",Y956="算法类",Y956="无法识别"),"低",IF(N956&lt;2,IF(O956&lt;51,"低","中"),IF(N956&lt;6,IF(O956&lt;20,"低",IF(O956&lt;51,"中","高")),IF(O956&lt;20,"中","高")))),"不计算")))</f>
        <v/>
      </c>
      <c r="Q956" s="172">
        <f>IFERROR(IF(J956="EI",IF(P956="低",3,IF(P956="中",4,6)),IF(J956="EO",IF(P956="低",4,IF(P956="中",5,7)),IF(J956="EQ",IF(P956="低",3,IF(P956="中",4,6)),IF(J956="ILF",IF(P956="低",7,IF(P956="中",10,15)),IF(J956="EIF",IF(P956="低",5,IF(P956="中",7,10)),"不计算")))))*R956,"不计算")</f>
        <v/>
      </c>
      <c r="R956" s="172" t="n">
        <v>1</v>
      </c>
      <c r="S956" s="173">
        <f>调整因子!$F$13</f>
        <v/>
      </c>
      <c r="T956" s="93" t="n">
        <v>1</v>
      </c>
      <c r="U956" s="174">
        <f>IFERROR(Q956*S956,0)</f>
        <v/>
      </c>
      <c r="V956" s="178">
        <f>U956*T956</f>
        <v/>
      </c>
      <c r="W956" s="103" t="inlineStr">
        <is>
          <t>资产同步任务表、资产扫描覆盖表、资产查询接口配置表、故障诊断结果表、报告导入记录表</t>
        </is>
      </c>
      <c r="X956" s="103" t="inlineStr"/>
      <c r="Y956"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is>
      </c>
      <c r="Z956" s="90" t="n"/>
      <c r="AA956" s="90" t="n"/>
    </row>
    <row r="957" s="112">
      <c r="A957" s="72">
        <f>ROW()-1</f>
        <v/>
      </c>
      <c r="B957" s="175" t="n"/>
      <c r="C957" s="124" t="n">
        <v>2026</v>
      </c>
      <c r="D957" s="125" t="n"/>
      <c r="E957" s="103" t="n"/>
      <c r="F957" s="175" t="n"/>
      <c r="G957" s="175" t="n"/>
      <c r="H957" s="175" t="n"/>
      <c r="I957" s="103" t="inlineStr">
        <is>
          <t>删除资产分组</t>
        </is>
      </c>
      <c r="J957" s="93" t="inlineStr">
        <is>
          <t>EI</t>
        </is>
      </c>
      <c r="K957" s="102" t="n"/>
      <c r="L957" s="102" t="n"/>
      <c r="M957" s="85">
        <f>IF(OR(Y957="估算法",Y957="算法类",Y957="无法识别"),"",IF(W957="",IF(OR(J957="EI",J957="EO",J957="EQ"),0,""),LEN(W957)-LEN(SUBSTITUTE(W957,"、",""))+1))</f>
        <v/>
      </c>
      <c r="N957" s="85">
        <f>IF(OR(Y957="估算法",Y957="算法类",Y957="无法识别"),"",IF(X957="",IF(OR(J957="ILF",J957="EIF"),0,""),LEN(X957)-LEN(SUBSTITUTE(X957,"、",""))+1))</f>
        <v/>
      </c>
      <c r="O957" s="85">
        <f>IF(OR(Y957="估算法",Y957="算法类",Y957="无法识别"),"",IF(Y957="",IF(OR(J957="ILF",J957="EIF",J957="EI",J957="EO",J957="EQ"),0,""),LEN(Y957)-LEN(SUBSTITUTE(SUBSTITUTE(SUBSTITUTE(SUBSTITUTE(SUBSTITUTE(Y957,"|}","--"),"{|","--"),CHAR(10),""),"、",""),"|",""))+IF(AND(OR(J957="EI",J957="EO",J957="EQ"),$AE$1="NESMA"),2,1)))</f>
        <v/>
      </c>
      <c r="P957" s="86">
        <f>IF(J957="EI",IF(OR(Y957="估算法",Y957="算法类"),"中",IF(Y957="无法识别","低",IF(M957&lt;2,IF(O957&lt;16,"低","中"),IF(M957&lt;3,IF(O957&lt;5,"低",IF(O957&lt;16,"中","高")),IF(O957&lt;5,"中","高"))))),IF(OR(J957="EO",J957="EQ"),IF(OR(Y957="估算法",Y957="算法类"),"中",IF(Y957="无法识别","低",IF(M957&lt;2,IF(O957&lt;20,"低","中"),IF(M957&lt;4,IF(O957&lt;6,"低",IF(O957&lt;20,"中","高")),IF(O957&lt;6,"中","高"))))),IF(OR(J957="ILF",J957="EIF"),IF(OR(Y957="估算法",Y957="算法类",Y957="无法识别"),"低",IF(N957&lt;2,IF(O957&lt;51,"低","中"),IF(N957&lt;6,IF(O957&lt;20,"低",IF(O957&lt;51,"中","高")),IF(O957&lt;20,"中","高")))),"不计算")))</f>
        <v/>
      </c>
      <c r="Q957" s="172">
        <f>IFERROR(IF(J957="EI",IF(P957="低",3,IF(P957="中",4,6)),IF(J957="EO",IF(P957="低",4,IF(P957="中",5,7)),IF(J957="EQ",IF(P957="低",3,IF(P957="中",4,6)),IF(J957="ILF",IF(P957="低",7,IF(P957="中",10,15)),IF(J957="EIF",IF(P957="低",5,IF(P957="中",7,10)),"不计算")))))*R957,"不计算")</f>
        <v/>
      </c>
      <c r="R957" s="172" t="n">
        <v>0.333333333333333</v>
      </c>
      <c r="S957" s="173">
        <f>调整因子!$F$13</f>
        <v/>
      </c>
      <c r="T957" s="93" t="n">
        <v>1</v>
      </c>
      <c r="U957" s="174">
        <f>IFERROR(Q957*S957,0)</f>
        <v/>
      </c>
      <c r="V957" s="178">
        <f>U957*T957</f>
        <v/>
      </c>
      <c r="W957" s="103" t="inlineStr">
        <is>
          <t>资产同步任务表、资产扫描覆盖表、资产查询接口配置表</t>
        </is>
      </c>
      <c r="X957" s="103" t="inlineStr"/>
      <c r="Y957"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is>
      </c>
      <c r="Z957" s="90" t="n"/>
      <c r="AA957" s="90" t="n"/>
    </row>
    <row r="958" s="112">
      <c r="A958" s="72">
        <f>ROW()-1</f>
        <v/>
      </c>
      <c r="B958" s="175" t="n"/>
      <c r="C958" s="124" t="n">
        <v>2026</v>
      </c>
      <c r="D958" s="125" t="n"/>
      <c r="E958" s="103" t="n"/>
      <c r="F958" s="175" t="n"/>
      <c r="G958" s="175" t="n"/>
      <c r="H958" s="175" t="n"/>
      <c r="I958" s="103" t="inlineStr">
        <is>
          <t>启用资产分组</t>
        </is>
      </c>
      <c r="J958" s="93" t="inlineStr">
        <is>
          <t>EI</t>
        </is>
      </c>
      <c r="K958" s="102" t="n"/>
      <c r="L958" s="102" t="n"/>
      <c r="M958" s="85">
        <f>IF(OR(Y958="估算法",Y958="算法类",Y958="无法识别"),"",IF(W958="",IF(OR(J958="EI",J958="EO",J958="EQ"),0,""),LEN(W958)-LEN(SUBSTITUTE(W958,"、",""))+1))</f>
        <v/>
      </c>
      <c r="N958" s="85">
        <f>IF(OR(Y958="估算法",Y958="算法类",Y958="无法识别"),"",IF(X958="",IF(OR(J958="ILF",J958="EIF"),0,""),LEN(X958)-LEN(SUBSTITUTE(X958,"、",""))+1))</f>
        <v/>
      </c>
      <c r="O958" s="85">
        <f>IF(OR(Y958="估算法",Y958="算法类",Y958="无法识别"),"",IF(Y958="",IF(OR(J958="ILF",J958="EIF",J958="EI",J958="EO",J958="EQ"),0,""),LEN(Y958)-LEN(SUBSTITUTE(SUBSTITUTE(SUBSTITUTE(SUBSTITUTE(SUBSTITUTE(Y958,"|}","--"),"{|","--"),CHAR(10),""),"、",""),"|",""))+IF(AND(OR(J958="EI",J958="EO",J958="EQ"),$AE$1="NESMA"),2,1)))</f>
        <v/>
      </c>
      <c r="P958" s="86">
        <f>IF(J958="EI",IF(OR(Y958="估算法",Y958="算法类"),"中",IF(Y958="无法识别","低",IF(M958&lt;2,IF(O958&lt;16,"低","中"),IF(M958&lt;3,IF(O958&lt;5,"低",IF(O958&lt;16,"中","高")),IF(O958&lt;5,"中","高"))))),IF(OR(J958="EO",J958="EQ"),IF(OR(Y958="估算法",Y958="算法类"),"中",IF(Y958="无法识别","低",IF(M958&lt;2,IF(O958&lt;20,"低","中"),IF(M958&lt;4,IF(O958&lt;6,"低",IF(O958&lt;20,"中","高")),IF(O958&lt;6,"中","高"))))),IF(OR(J958="ILF",J958="EIF"),IF(OR(Y958="估算法",Y958="算法类",Y958="无法识别"),"低",IF(N958&lt;2,IF(O958&lt;51,"低","中"),IF(N958&lt;6,IF(O958&lt;20,"低",IF(O958&lt;51,"中","高")),IF(O958&lt;20,"中","高")))),"不计算")))</f>
        <v/>
      </c>
      <c r="Q958" s="172">
        <f>IFERROR(IF(J958="EI",IF(P958="低",3,IF(P958="中",4,6)),IF(J958="EO",IF(P958="低",4,IF(P958="中",5,7)),IF(J958="EQ",IF(P958="低",3,IF(P958="中",4,6)),IF(J958="ILF",IF(P958="低",7,IF(P958="中",10,15)),IF(J958="EIF",IF(P958="低",5,IF(P958="中",7,10)),"不计算")))))*R958,"不计算")</f>
        <v/>
      </c>
      <c r="R958" s="172" t="n">
        <v>1</v>
      </c>
      <c r="S958" s="173">
        <f>调整因子!$F$13</f>
        <v/>
      </c>
      <c r="T958" s="92" t="n">
        <v>1</v>
      </c>
      <c r="U958" s="174">
        <f>IFERROR(Q958*S958,0)</f>
        <v/>
      </c>
      <c r="V958" s="178">
        <f>U958*T958</f>
        <v/>
      </c>
      <c r="W958" s="103" t="inlineStr">
        <is>
          <t>资产同步任务表、资产扫描覆盖表、资产查询接口配置表、资产查询接口配置表、任务优先级配置表</t>
        </is>
      </c>
      <c r="X958" s="103" t="inlineStr"/>
      <c r="Y958"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is>
      </c>
      <c r="Z958" s="90" t="n"/>
      <c r="AA958" s="90" t="n"/>
    </row>
    <row r="959" s="112">
      <c r="A959" s="72">
        <f>ROW()-1</f>
        <v/>
      </c>
      <c r="B959" s="175" t="n"/>
      <c r="C959" s="124" t="n">
        <v>2026</v>
      </c>
      <c r="D959" s="125" t="n"/>
      <c r="E959" s="103" t="n"/>
      <c r="F959" s="175" t="n"/>
      <c r="G959" s="175" t="n"/>
      <c r="H959" s="175" t="n"/>
      <c r="I959" s="103" t="inlineStr">
        <is>
          <t>停用资产分组</t>
        </is>
      </c>
      <c r="J959" s="93" t="n"/>
      <c r="K959" s="102" t="n"/>
      <c r="L959" s="102" t="inlineStr">
        <is>
          <t>和上行合并，启停为相同功能</t>
        </is>
      </c>
      <c r="M959" s="85">
        <f>IF(OR(Y959="估算法",Y959="算法类",Y959="无法识别"),"",IF(W959="",IF(OR(J959="EI",J959="EO",J959="EQ"),0,""),LEN(W959)-LEN(SUBSTITUTE(W959,"、",""))+1))</f>
        <v/>
      </c>
      <c r="N959" s="85">
        <f>IF(OR(Y959="估算法",Y959="算法类",Y959="无法识别"),"",IF(X959="",IF(OR(J959="ILF",J959="EIF"),0,""),LEN(X959)-LEN(SUBSTITUTE(X959,"、",""))+1))</f>
        <v/>
      </c>
      <c r="O959" s="85">
        <f>IF(OR(Y959="估算法",Y959="算法类",Y959="无法识别"),"",IF(Y959="",IF(OR(J959="ILF",J959="EIF",J959="EI",J959="EO",J959="EQ"),0,""),LEN(Y959)-LEN(SUBSTITUTE(SUBSTITUTE(SUBSTITUTE(SUBSTITUTE(SUBSTITUTE(Y959,"|}","--"),"{|","--"),CHAR(10),""),"、",""),"|",""))+IF(AND(OR(J959="EI",J959="EO",J959="EQ"),$AE$1="NESMA"),2,1)))</f>
        <v/>
      </c>
      <c r="P959" s="86">
        <f>IF(J959="EI",IF(OR(Y959="估算法",Y959="算法类"),"中",IF(Y959="无法识别","低",IF(M959&lt;2,IF(O959&lt;16,"低","中"),IF(M959&lt;3,IF(O959&lt;5,"低",IF(O959&lt;16,"中","高")),IF(O959&lt;5,"中","高"))))),IF(OR(J959="EO",J959="EQ"),IF(OR(Y959="估算法",Y959="算法类"),"中",IF(Y959="无法识别","低",IF(M959&lt;2,IF(O959&lt;20,"低","中"),IF(M959&lt;4,IF(O959&lt;6,"低",IF(O959&lt;20,"中","高")),IF(O959&lt;6,"中","高"))))),IF(OR(J959="ILF",J959="EIF"),IF(OR(Y959="估算法",Y959="算法类",Y959="无法识别"),"低",IF(N959&lt;2,IF(O959&lt;51,"低","中"),IF(N959&lt;6,IF(O959&lt;20,"低",IF(O959&lt;51,"中","高")),IF(O959&lt;20,"中","高")))),"不计算")))</f>
        <v/>
      </c>
      <c r="Q959" s="172">
        <f>IFERROR(IF(J959="EI",IF(P959="低",3,IF(P959="中",4,6)),IF(J959="EO",IF(P959="低",4,IF(P959="中",5,7)),IF(J959="EQ",IF(P959="低",3,IF(P959="中",4,6)),IF(J959="ILF",IF(P959="低",7,IF(P959="中",10,15)),IF(J959="EIF",IF(P959="低",5,IF(P959="中",7,10)),"不计算")))))*R959,"不计算")</f>
        <v/>
      </c>
      <c r="R959" s="172" t="n">
        <v>1</v>
      </c>
      <c r="S959" s="173">
        <f>调整因子!$F$13</f>
        <v/>
      </c>
      <c r="T959" s="92" t="n">
        <v>1</v>
      </c>
      <c r="U959" s="174">
        <f>IFERROR(Q959*S959,0)</f>
        <v/>
      </c>
      <c r="V959" s="178">
        <f>U959*T959</f>
        <v/>
      </c>
      <c r="W959" s="103" t="inlineStr">
        <is>
          <t>资产同步任务表、资产扫描覆盖表、资产查询接口配置表、同步任务调度表</t>
        </is>
      </c>
      <c r="X959" s="103" t="inlineStr"/>
      <c r="Y959"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is>
      </c>
      <c r="Z959" s="90" t="n"/>
      <c r="AA959" s="90" t="n"/>
    </row>
    <row r="960" s="112">
      <c r="A960" s="72">
        <f>ROW()-1</f>
        <v/>
      </c>
      <c r="B960" s="175" t="n"/>
      <c r="C960" s="124" t="n">
        <v>2026</v>
      </c>
      <c r="D960" s="125" t="n"/>
      <c r="E960" s="103" t="n"/>
      <c r="F960" s="175" t="n"/>
      <c r="G960" s="175" t="n"/>
      <c r="H960" s="175" t="n"/>
      <c r="I960" s="103" t="inlineStr">
        <is>
          <t>导出分组配置</t>
        </is>
      </c>
      <c r="J960" s="93" t="inlineStr">
        <is>
          <t>EO</t>
        </is>
      </c>
      <c r="K960" s="102" t="n"/>
      <c r="L960" s="102" t="n"/>
      <c r="M960" s="85">
        <f>IF(OR(Y960="估算法",Y960="算法类",Y960="无法识别"),"",IF(W960="",IF(OR(J960="EI",J960="EO",J960="EQ"),0,""),LEN(W960)-LEN(SUBSTITUTE(W960,"、",""))+1))</f>
        <v/>
      </c>
      <c r="N960" s="85">
        <f>IF(OR(Y960="估算法",Y960="算法类",Y960="无法识别"),"",IF(X960="",IF(OR(J960="ILF",J960="EIF"),0,""),LEN(X960)-LEN(SUBSTITUTE(X960,"、",""))+1))</f>
        <v/>
      </c>
      <c r="O960" s="85">
        <f>IF(OR(Y960="估算法",Y960="算法类",Y960="无法识别"),"",IF(Y960="",IF(OR(J960="ILF",J960="EIF",J960="EI",J960="EO",J960="EQ"),0,""),LEN(Y960)-LEN(SUBSTITUTE(SUBSTITUTE(SUBSTITUTE(SUBSTITUTE(SUBSTITUTE(Y960,"|}","--"),"{|","--"),CHAR(10),""),"、",""),"|",""))+IF(AND(OR(J960="EI",J960="EO",J960="EQ"),$AE$1="NESMA"),2,1)))</f>
        <v/>
      </c>
      <c r="P960" s="86">
        <f>IF(J960="EI",IF(OR(Y960="估算法",Y960="算法类"),"中",IF(Y960="无法识别","低",IF(M960&lt;2,IF(O960&lt;16,"低","中"),IF(M960&lt;3,IF(O960&lt;5,"低",IF(O960&lt;16,"中","高")),IF(O960&lt;5,"中","高"))))),IF(OR(J960="EO",J960="EQ"),IF(OR(Y960="估算法",Y960="算法类"),"中",IF(Y960="无法识别","低",IF(M960&lt;2,IF(O960&lt;20,"低","中"),IF(M960&lt;4,IF(O960&lt;6,"低",IF(O960&lt;20,"中","高")),IF(O960&lt;6,"中","高"))))),IF(OR(J960="ILF",J960="EIF"),IF(OR(Y960="估算法",Y960="算法类",Y960="无法识别"),"低",IF(N960&lt;2,IF(O960&lt;51,"低","中"),IF(N960&lt;6,IF(O960&lt;20,"低",IF(O960&lt;51,"中","高")),IF(O960&lt;20,"中","高")))),"不计算")))</f>
        <v/>
      </c>
      <c r="Q960" s="172">
        <f>IFERROR(IF(J960="EI",IF(P960="低",3,IF(P960="中",4,6)),IF(J960="EO",IF(P960="低",4,IF(P960="中",5,7)),IF(J960="EQ",IF(P960="低",3,IF(P960="中",4,6)),IF(J960="ILF",IF(P960="低",7,IF(P960="中",10,15)),IF(J960="EIF",IF(P960="低",5,IF(P960="中",7,10)),"不计算")))))*R960,"不计算")</f>
        <v/>
      </c>
      <c r="R960" s="172" t="n">
        <v>1</v>
      </c>
      <c r="S960" s="173">
        <f>调整因子!$F$13</f>
        <v/>
      </c>
      <c r="T960" s="93" t="n">
        <v>1</v>
      </c>
      <c r="U960" s="174">
        <f>IFERROR(Q960*S960,0)</f>
        <v/>
      </c>
      <c r="V960" s="178">
        <f>U960*T960</f>
        <v/>
      </c>
      <c r="W960" s="103" t="inlineStr">
        <is>
          <t>任务优先级配置表、模板参数配置表、处置单配置表</t>
        </is>
      </c>
      <c r="X960" s="103" t="inlineStr"/>
      <c r="Y960"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960" s="90" t="n"/>
      <c r="AA960" s="90" t="n"/>
    </row>
    <row r="961" s="112">
      <c r="A961" s="72">
        <f>ROW()-1</f>
        <v/>
      </c>
      <c r="B961" s="175" t="n"/>
      <c r="C961" s="124" t="n">
        <v>2026</v>
      </c>
      <c r="D961" s="125" t="n"/>
      <c r="E961" s="103" t="n"/>
      <c r="F961" s="175" t="n"/>
      <c r="G961" s="175" t="n"/>
      <c r="H961" s="175" t="n"/>
      <c r="I961" s="103" t="inlineStr">
        <is>
          <t>查询分组列表</t>
        </is>
      </c>
      <c r="J961" s="93" t="inlineStr">
        <is>
          <t>EQ</t>
        </is>
      </c>
      <c r="K961" s="102" t="n"/>
      <c r="L961" s="102" t="n"/>
      <c r="M961" s="85">
        <f>IF(OR(Y961="估算法",Y961="算法类",Y961="无法识别"),"",IF(W961="",IF(OR(J961="EI",J961="EO",J961="EQ"),0,""),LEN(W961)-LEN(SUBSTITUTE(W961,"、",""))+1))</f>
        <v/>
      </c>
      <c r="N961" s="85">
        <f>IF(OR(Y961="估算法",Y961="算法类",Y961="无法识别"),"",IF(X961="",IF(OR(J961="ILF",J961="EIF"),0,""),LEN(X961)-LEN(SUBSTITUTE(X961,"、",""))+1))</f>
        <v/>
      </c>
      <c r="O961" s="85">
        <f>IF(OR(Y961="估算法",Y961="算法类",Y961="无法识别"),"",IF(Y961="",IF(OR(J961="ILF",J961="EIF",J961="EI",J961="EO",J961="EQ"),0,""),LEN(Y961)-LEN(SUBSTITUTE(SUBSTITUTE(SUBSTITUTE(SUBSTITUTE(SUBSTITUTE(Y961,"|}","--"),"{|","--"),CHAR(10),""),"、",""),"|",""))+IF(AND(OR(J961="EI",J961="EO",J961="EQ"),$AE$1="NESMA"),2,1)))</f>
        <v/>
      </c>
      <c r="P961" s="86">
        <f>IF(J961="EI",IF(OR(Y961="估算法",Y961="算法类"),"中",IF(Y961="无法识别","低",IF(M961&lt;2,IF(O961&lt;16,"低","中"),IF(M961&lt;3,IF(O961&lt;5,"低",IF(O961&lt;16,"中","高")),IF(O961&lt;5,"中","高"))))),IF(OR(J961="EO",J961="EQ"),IF(OR(Y961="估算法",Y961="算法类"),"中",IF(Y961="无法识别","低",IF(M961&lt;2,IF(O961&lt;20,"低","中"),IF(M961&lt;4,IF(O961&lt;6,"低",IF(O961&lt;20,"中","高")),IF(O961&lt;6,"中","高"))))),IF(OR(J961="ILF",J961="EIF"),IF(OR(Y961="估算法",Y961="算法类",Y961="无法识别"),"低",IF(N961&lt;2,IF(O961&lt;51,"低","中"),IF(N961&lt;6,IF(O961&lt;20,"低",IF(O961&lt;51,"中","高")),IF(O961&lt;20,"中","高")))),"不计算")))</f>
        <v/>
      </c>
      <c r="Q961" s="172">
        <f>IFERROR(IF(J961="EI",IF(P961="低",3,IF(P961="中",4,6)),IF(J961="EO",IF(P961="低",4,IF(P961="中",5,7)),IF(J961="EQ",IF(P961="低",3,IF(P961="中",4,6)),IF(J961="ILF",IF(P961="低",7,IF(P961="中",10,15)),IF(J961="EIF",IF(P961="低",5,IF(P961="中",7,10)),"不计算")))))*R961,"不计算")</f>
        <v/>
      </c>
      <c r="R961" s="172" t="n">
        <v>1</v>
      </c>
      <c r="S961" s="173">
        <f>调整因子!$F$13</f>
        <v/>
      </c>
      <c r="T961" s="92" t="n">
        <v>1</v>
      </c>
      <c r="U961" s="174">
        <f>IFERROR(Q961*S961,0)</f>
        <v/>
      </c>
      <c r="V961" s="178">
        <f>U961*T961</f>
        <v/>
      </c>
      <c r="W961" s="103" t="inlineStr">
        <is>
          <t>推送日志表、资产同步任务表、通报模板表</t>
        </is>
      </c>
      <c r="X961" s="103" t="inlineStr"/>
      <c r="Y961" s="97" t="inlineStr">
        <is>
          <t>推送日志表{日志ID、操作人|日志ID、操作人、操作类型、操作时间、操作内容}
资产同步任务表{资产ID、资产名称|资产ID、资产名称、IP地址、资产类型、资产状态、创建时间、更新时间}
通报模板表{ID、名称|ID、名称、类型、状态、创建时间、更新时间}</t>
        </is>
      </c>
      <c r="Z961" s="90" t="n"/>
      <c r="AA961" s="90" t="n"/>
    </row>
    <row r="962" s="112">
      <c r="A962" s="72">
        <f>ROW()-1</f>
        <v/>
      </c>
      <c r="B962" s="175" t="n"/>
      <c r="C962" s="124" t="n">
        <v>2026</v>
      </c>
      <c r="D962" s="125" t="n"/>
      <c r="E962" s="103" t="n"/>
      <c r="F962" s="175" t="n"/>
      <c r="G962" s="175" t="n"/>
      <c r="H962" s="176" t="n"/>
      <c r="I962" s="103" t="inlineStr">
        <is>
          <t>查看分组详情</t>
        </is>
      </c>
      <c r="J962" s="93" t="inlineStr">
        <is>
          <t>EQ</t>
        </is>
      </c>
      <c r="K962" s="102" t="n"/>
      <c r="L962" s="102" t="n"/>
      <c r="M962" s="85">
        <f>IF(OR(Y962="估算法",Y962="算法类",Y962="无法识别"),"",IF(W962="",IF(OR(J962="EI",J962="EO",J962="EQ"),0,""),LEN(W962)-LEN(SUBSTITUTE(W962,"、",""))+1))</f>
        <v/>
      </c>
      <c r="N962" s="85">
        <f>IF(OR(Y962="估算法",Y962="算法类",Y962="无法识别"),"",IF(X962="",IF(OR(J962="ILF",J962="EIF"),0,""),LEN(X962)-LEN(SUBSTITUTE(X962,"、",""))+1))</f>
        <v/>
      </c>
      <c r="O962" s="85">
        <f>IF(OR(Y962="估算法",Y962="算法类",Y962="无法识别"),"",IF(Y962="",IF(OR(J962="ILF",J962="EIF",J962="EI",J962="EO",J962="EQ"),0,""),LEN(Y962)-LEN(SUBSTITUTE(SUBSTITUTE(SUBSTITUTE(SUBSTITUTE(SUBSTITUTE(Y962,"|}","--"),"{|","--"),CHAR(10),""),"、",""),"|",""))+IF(AND(OR(J962="EI",J962="EO",J962="EQ"),$AE$1="NESMA"),2,1)))</f>
        <v/>
      </c>
      <c r="P962" s="86">
        <f>IF(J962="EI",IF(OR(Y962="估算法",Y962="算法类"),"中",IF(Y962="无法识别","低",IF(M962&lt;2,IF(O962&lt;16,"低","中"),IF(M962&lt;3,IF(O962&lt;5,"低",IF(O962&lt;16,"中","高")),IF(O962&lt;5,"中","高"))))),IF(OR(J962="EO",J962="EQ"),IF(OR(Y962="估算法",Y962="算法类"),"中",IF(Y962="无法识别","低",IF(M962&lt;2,IF(O962&lt;20,"低","中"),IF(M962&lt;4,IF(O962&lt;6,"低",IF(O962&lt;20,"中","高")),IF(O962&lt;6,"中","高"))))),IF(OR(J962="ILF",J962="EIF"),IF(OR(Y962="估算法",Y962="算法类",Y962="无法识别"),"低",IF(N962&lt;2,IF(O962&lt;51,"低","中"),IF(N962&lt;6,IF(O962&lt;20,"低",IF(O962&lt;51,"中","高")),IF(O962&lt;20,"中","高")))),"不计算")))</f>
        <v/>
      </c>
      <c r="Q962" s="172">
        <f>IFERROR(IF(J962="EI",IF(P962="低",3,IF(P962="中",4,6)),IF(J962="EO",IF(P962="低",4,IF(P962="中",5,7)),IF(J962="EQ",IF(P962="低",3,IF(P962="中",4,6)),IF(J962="ILF",IF(P962="低",7,IF(P962="中",10,15)),IF(J962="EIF",IF(P962="低",5,IF(P962="中",7,10)),"不计算")))))*R962,"不计算")</f>
        <v/>
      </c>
      <c r="R962" s="172" t="n">
        <v>1</v>
      </c>
      <c r="S962" s="173">
        <f>调整因子!$F$13</f>
        <v/>
      </c>
      <c r="T962" s="92" t="n">
        <v>1</v>
      </c>
      <c r="U962" s="174">
        <f>IFERROR(Q962*S962,0)</f>
        <v/>
      </c>
      <c r="V962" s="178">
        <f>U962*T962</f>
        <v/>
      </c>
      <c r="W962" s="103" t="inlineStr">
        <is>
          <t>标签分类表、资产扫描覆盖表、通报对象表、漏洞查询接口配置表、资产同步任务表</t>
        </is>
      </c>
      <c r="X962" s="103" t="inlineStr"/>
      <c r="Y962" s="97" t="inlineStr">
        <is>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is>
      </c>
      <c r="Z962" s="90" t="n"/>
      <c r="AA962" s="90" t="n"/>
    </row>
    <row r="963" s="112">
      <c r="A963" s="72">
        <f>ROW()-1</f>
        <v/>
      </c>
      <c r="B963" s="175" t="n"/>
      <c r="C963" s="124" t="n">
        <v>2026</v>
      </c>
      <c r="D963" s="125" t="n"/>
      <c r="E963" s="103" t="n"/>
      <c r="F963" s="175" t="n"/>
      <c r="G963" s="175" t="n"/>
      <c r="H963" s="97" t="inlineStr">
        <is>
          <t>分组规则配置</t>
        </is>
      </c>
      <c r="I963" s="103" t="inlineStr">
        <is>
          <t>新增分组规则</t>
        </is>
      </c>
      <c r="J963" s="93" t="inlineStr">
        <is>
          <t>EI</t>
        </is>
      </c>
      <c r="K963" s="102" t="n"/>
      <c r="L963" s="102" t="n"/>
      <c r="M963" s="85">
        <f>IF(OR(Y963="估算法",Y963="算法类",Y963="无法识别"),"",IF(W963="",IF(OR(J963="EI",J963="EO",J963="EQ"),0,""),LEN(W963)-LEN(SUBSTITUTE(W963,"、",""))+1))</f>
        <v/>
      </c>
      <c r="N963" s="85">
        <f>IF(OR(Y963="估算法",Y963="算法类",Y963="无法识别"),"",IF(X963="",IF(OR(J963="ILF",J963="EIF"),0,""),LEN(X963)-LEN(SUBSTITUTE(X963,"、",""))+1))</f>
        <v/>
      </c>
      <c r="O963" s="85">
        <f>IF(OR(Y963="估算法",Y963="算法类",Y963="无法识别"),"",IF(Y963="",IF(OR(J963="ILF",J963="EIF",J963="EI",J963="EO",J963="EQ"),0,""),LEN(Y963)-LEN(SUBSTITUTE(SUBSTITUTE(SUBSTITUTE(SUBSTITUTE(SUBSTITUTE(Y963,"|}","--"),"{|","--"),CHAR(10),""),"、",""),"|",""))+IF(AND(OR(J963="EI",J963="EO",J963="EQ"),$AE$1="NESMA"),2,1)))</f>
        <v/>
      </c>
      <c r="P963" s="86">
        <f>IF(J963="EI",IF(OR(Y963="估算法",Y963="算法类"),"中",IF(Y963="无法识别","低",IF(M963&lt;2,IF(O963&lt;16,"低","中"),IF(M963&lt;3,IF(O963&lt;5,"低",IF(O963&lt;16,"中","高")),IF(O963&lt;5,"中","高"))))),IF(OR(J963="EO",J963="EQ"),IF(OR(Y963="估算法",Y963="算法类"),"中",IF(Y963="无法识别","低",IF(M963&lt;2,IF(O963&lt;20,"低","中"),IF(M963&lt;4,IF(O963&lt;6,"低",IF(O963&lt;20,"中","高")),IF(O963&lt;6,"中","高"))))),IF(OR(J963="ILF",J963="EIF"),IF(OR(Y963="估算法",Y963="算法类",Y963="无法识别"),"低",IF(N963&lt;2,IF(O963&lt;51,"低","中"),IF(N963&lt;6,IF(O963&lt;20,"低",IF(O963&lt;51,"中","高")),IF(O963&lt;20,"中","高")))),"不计算")))</f>
        <v/>
      </c>
      <c r="Q963" s="172">
        <f>IFERROR(IF(J963="EI",IF(P963="低",3,IF(P963="中",4,6)),IF(J963="EO",IF(P963="低",4,IF(P963="中",5,7)),IF(J963="EQ",IF(P963="低",3,IF(P963="中",4,6)),IF(J963="ILF",IF(P963="低",7,IF(P963="中",10,15)),IF(J963="EIF",IF(P963="低",5,IF(P963="中",7,10)),"不计算")))))*R963,"不计算")</f>
        <v/>
      </c>
      <c r="R963" s="172" t="n">
        <v>0.333333333333333</v>
      </c>
      <c r="S963" s="173">
        <f>调整因子!$F$13</f>
        <v/>
      </c>
      <c r="T963" s="93" t="n">
        <v>1</v>
      </c>
      <c r="U963" s="174">
        <f>IFERROR(Q963*S963,0)</f>
        <v/>
      </c>
      <c r="V963" s="178">
        <f>U963*T963</f>
        <v/>
      </c>
      <c r="W963" s="103" t="inlineStr">
        <is>
          <t>推送规则表、提醒规则表、脱敏规则表</t>
        </is>
      </c>
      <c r="X963" s="103" t="inlineStr"/>
      <c r="Y96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963" s="90" t="n"/>
      <c r="AA963" s="90" t="n"/>
    </row>
    <row r="964" s="112">
      <c r="A964" s="72">
        <f>ROW()-1</f>
        <v/>
      </c>
      <c r="B964" s="175" t="n"/>
      <c r="C964" s="124" t="n">
        <v>2026</v>
      </c>
      <c r="D964" s="125" t="n"/>
      <c r="E964" s="103" t="n"/>
      <c r="F964" s="175" t="n"/>
      <c r="G964" s="175" t="n"/>
      <c r="H964" s="175" t="n"/>
      <c r="I964" s="103" t="inlineStr">
        <is>
          <t>编辑分组规则</t>
        </is>
      </c>
      <c r="J964" s="93" t="inlineStr">
        <is>
          <t>EI</t>
        </is>
      </c>
      <c r="K964" s="102" t="n"/>
      <c r="L964" s="102" t="n"/>
      <c r="M964" s="85">
        <f>IF(OR(Y964="估算法",Y964="算法类",Y964="无法识别"),"",IF(W964="",IF(OR(J964="EI",J964="EO",J964="EQ"),0,""),LEN(W964)-LEN(SUBSTITUTE(W964,"、",""))+1))</f>
        <v/>
      </c>
      <c r="N964" s="85">
        <f>IF(OR(Y964="估算法",Y964="算法类",Y964="无法识别"),"",IF(X964="",IF(OR(J964="ILF",J964="EIF"),0,""),LEN(X964)-LEN(SUBSTITUTE(X964,"、",""))+1))</f>
        <v/>
      </c>
      <c r="O964" s="85">
        <f>IF(OR(Y964="估算法",Y964="算法类",Y964="无法识别"),"",IF(Y964="",IF(OR(J964="ILF",J964="EIF",J964="EI",J964="EO",J964="EQ"),0,""),LEN(Y964)-LEN(SUBSTITUTE(SUBSTITUTE(SUBSTITUTE(SUBSTITUTE(SUBSTITUTE(Y964,"|}","--"),"{|","--"),CHAR(10),""),"、",""),"|",""))+IF(AND(OR(J964="EI",J964="EO",J964="EQ"),$AE$1="NESMA"),2,1)))</f>
        <v/>
      </c>
      <c r="P964" s="86">
        <f>IF(J964="EI",IF(OR(Y964="估算法",Y964="算法类"),"中",IF(Y964="无法识别","低",IF(M964&lt;2,IF(O964&lt;16,"低","中"),IF(M964&lt;3,IF(O964&lt;5,"低",IF(O964&lt;16,"中","高")),IF(O964&lt;5,"中","高"))))),IF(OR(J964="EO",J964="EQ"),IF(OR(Y964="估算法",Y964="算法类"),"中",IF(Y964="无法识别","低",IF(M964&lt;2,IF(O964&lt;20,"低","中"),IF(M964&lt;4,IF(O964&lt;6,"低",IF(O964&lt;20,"中","高")),IF(O964&lt;6,"中","高"))))),IF(OR(J964="ILF",J964="EIF"),IF(OR(Y964="估算法",Y964="算法类",Y964="无法识别"),"低",IF(N964&lt;2,IF(O964&lt;51,"低","中"),IF(N964&lt;6,IF(O964&lt;20,"低",IF(O964&lt;51,"中","高")),IF(O964&lt;20,"中","高")))),"不计算")))</f>
        <v/>
      </c>
      <c r="Q964" s="172">
        <f>IFERROR(IF(J964="EI",IF(P964="低",3,IF(P964="中",4,6)),IF(J964="EO",IF(P964="低",4,IF(P964="中",5,7)),IF(J964="EQ",IF(P964="低",3,IF(P964="中",4,6)),IF(J964="ILF",IF(P964="低",7,IF(P964="中",10,15)),IF(J964="EIF",IF(P964="低",5,IF(P964="中",7,10)),"不计算")))))*R964,"不计算")</f>
        <v/>
      </c>
      <c r="R964" s="172" t="n">
        <v>0.333333333333333</v>
      </c>
      <c r="S964" s="173">
        <f>调整因子!$F$13</f>
        <v/>
      </c>
      <c r="T964" s="93" t="n">
        <v>1</v>
      </c>
      <c r="U964" s="174">
        <f>IFERROR(Q964*S964,0)</f>
        <v/>
      </c>
      <c r="V964" s="178">
        <f>U964*T964</f>
        <v/>
      </c>
      <c r="W964" s="103" t="inlineStr">
        <is>
          <t>推送规则表、提醒规则表、脱敏规则表、加密规则表、考核指标配置表</t>
        </is>
      </c>
      <c r="X964" s="103" t="inlineStr"/>
      <c r="Y96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is>
      </c>
      <c r="Z964" s="90" t="n"/>
      <c r="AA964" s="90" t="n"/>
    </row>
    <row r="965" s="112">
      <c r="A965" s="72">
        <f>ROW()-1</f>
        <v/>
      </c>
      <c r="B965" s="175" t="n"/>
      <c r="C965" s="124" t="n">
        <v>2026</v>
      </c>
      <c r="D965" s="125" t="n"/>
      <c r="E965" s="103" t="n"/>
      <c r="F965" s="175" t="n"/>
      <c r="G965" s="175" t="n"/>
      <c r="H965" s="175" t="n"/>
      <c r="I965" s="103" t="inlineStr">
        <is>
          <t>删除分组规则</t>
        </is>
      </c>
      <c r="J965" s="93" t="inlineStr">
        <is>
          <t>EI</t>
        </is>
      </c>
      <c r="K965" s="102" t="n"/>
      <c r="L965" s="102" t="n"/>
      <c r="M965" s="85">
        <f>IF(OR(Y965="估算法",Y965="算法类",Y965="无法识别"),"",IF(W965="",IF(OR(J965="EI",J965="EO",J965="EQ"),0,""),LEN(W965)-LEN(SUBSTITUTE(W965,"、",""))+1))</f>
        <v/>
      </c>
      <c r="N965" s="85">
        <f>IF(OR(Y965="估算法",Y965="算法类",Y965="无法识别"),"",IF(X965="",IF(OR(J965="ILF",J965="EIF"),0,""),LEN(X965)-LEN(SUBSTITUTE(X965,"、",""))+1))</f>
        <v/>
      </c>
      <c r="O965" s="85">
        <f>IF(OR(Y965="估算法",Y965="算法类",Y965="无法识别"),"",IF(Y965="",IF(OR(J965="ILF",J965="EIF",J965="EI",J965="EO",J965="EQ"),0,""),LEN(Y965)-LEN(SUBSTITUTE(SUBSTITUTE(SUBSTITUTE(SUBSTITUTE(SUBSTITUTE(Y965,"|}","--"),"{|","--"),CHAR(10),""),"、",""),"|",""))+IF(AND(OR(J965="EI",J965="EO",J965="EQ"),$AE$1="NESMA"),2,1)))</f>
        <v/>
      </c>
      <c r="P965" s="86">
        <f>IF(J965="EI",IF(OR(Y965="估算法",Y965="算法类"),"中",IF(Y965="无法识别","低",IF(M965&lt;2,IF(O965&lt;16,"低","中"),IF(M965&lt;3,IF(O965&lt;5,"低",IF(O965&lt;16,"中","高")),IF(O965&lt;5,"中","高"))))),IF(OR(J965="EO",J965="EQ"),IF(OR(Y965="估算法",Y965="算法类"),"中",IF(Y965="无法识别","低",IF(M965&lt;2,IF(O965&lt;20,"低","中"),IF(M965&lt;4,IF(O965&lt;6,"低",IF(O965&lt;20,"中","高")),IF(O965&lt;6,"中","高"))))),IF(OR(J965="ILF",J965="EIF"),IF(OR(Y965="估算法",Y965="算法类",Y965="无法识别"),"低",IF(N965&lt;2,IF(O965&lt;51,"低","中"),IF(N965&lt;6,IF(O965&lt;20,"低",IF(O965&lt;51,"中","高")),IF(O965&lt;20,"中","高")))),"不计算")))</f>
        <v/>
      </c>
      <c r="Q965" s="172">
        <f>IFERROR(IF(J965="EI",IF(P965="低",3,IF(P965="中",4,6)),IF(J965="EO",IF(P965="低",4,IF(P965="中",5,7)),IF(J965="EQ",IF(P965="低",3,IF(P965="中",4,6)),IF(J965="ILF",IF(P965="低",7,IF(P965="中",10,15)),IF(J965="EIF",IF(P965="低",5,IF(P965="中",7,10)),"不计算")))))*R965,"不计算")</f>
        <v/>
      </c>
      <c r="R965" s="172" t="n">
        <v>0.333333333333333</v>
      </c>
      <c r="S965" s="173">
        <f>调整因子!$F$13</f>
        <v/>
      </c>
      <c r="T965" s="92" t="n">
        <v>1</v>
      </c>
      <c r="U965" s="174">
        <f>IFERROR(Q965*S965,0)</f>
        <v/>
      </c>
      <c r="V965" s="178">
        <f>U965*T965</f>
        <v/>
      </c>
      <c r="W965" s="103" t="inlineStr">
        <is>
          <t>推送规则表、提醒规则表、脱敏规则表、加密规则表</t>
        </is>
      </c>
      <c r="X965" s="103" t="inlineStr"/>
      <c r="Y965"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65" s="90" t="n"/>
      <c r="AA965" s="90" t="n"/>
    </row>
    <row r="966" s="112">
      <c r="A966" s="72">
        <f>ROW()-1</f>
        <v/>
      </c>
      <c r="B966" s="175" t="n"/>
      <c r="C966" s="124" t="n">
        <v>2026</v>
      </c>
      <c r="D966" s="125" t="n"/>
      <c r="E966" s="103" t="n"/>
      <c r="F966" s="175" t="n"/>
      <c r="G966" s="175" t="n"/>
      <c r="H966" s="175" t="n"/>
      <c r="I966" s="103" t="inlineStr">
        <is>
          <t>启用分组规则</t>
        </is>
      </c>
      <c r="J966" s="93" t="inlineStr">
        <is>
          <t>EI</t>
        </is>
      </c>
      <c r="K966" s="102" t="n"/>
      <c r="L966" s="102" t="n"/>
      <c r="M966" s="85">
        <f>IF(OR(Y966="估算法",Y966="算法类",Y966="无法识别"),"",IF(W966="",IF(OR(J966="EI",J966="EO",J966="EQ"),0,""),LEN(W966)-LEN(SUBSTITUTE(W966,"、",""))+1))</f>
        <v/>
      </c>
      <c r="N966" s="85">
        <f>IF(OR(Y966="估算法",Y966="算法类",Y966="无法识别"),"",IF(X966="",IF(OR(J966="ILF",J966="EIF"),0,""),LEN(X966)-LEN(SUBSTITUTE(X966,"、",""))+1))</f>
        <v/>
      </c>
      <c r="O966" s="85">
        <f>IF(OR(Y966="估算法",Y966="算法类",Y966="无法识别"),"",IF(Y966="",IF(OR(J966="ILF",J966="EIF",J966="EI",J966="EO",J966="EQ"),0,""),LEN(Y966)-LEN(SUBSTITUTE(SUBSTITUTE(SUBSTITUTE(SUBSTITUTE(SUBSTITUTE(Y966,"|}","--"),"{|","--"),CHAR(10),""),"、",""),"|",""))+IF(AND(OR(J966="EI",J966="EO",J966="EQ"),$AE$1="NESMA"),2,1)))</f>
        <v/>
      </c>
      <c r="P966" s="86">
        <f>IF(J966="EI",IF(OR(Y966="估算法",Y966="算法类"),"中",IF(Y966="无法识别","低",IF(M966&lt;2,IF(O966&lt;16,"低","中"),IF(M966&lt;3,IF(O966&lt;5,"低",IF(O966&lt;16,"中","高")),IF(O966&lt;5,"中","高"))))),IF(OR(J966="EO",J966="EQ"),IF(OR(Y966="估算法",Y966="算法类"),"中",IF(Y966="无法识别","低",IF(M966&lt;2,IF(O966&lt;20,"低","中"),IF(M966&lt;4,IF(O966&lt;6,"低",IF(O966&lt;20,"中","高")),IF(O966&lt;6,"中","高"))))),IF(OR(J966="ILF",J966="EIF"),IF(OR(Y966="估算法",Y966="算法类",Y966="无法识别"),"低",IF(N966&lt;2,IF(O966&lt;51,"低","中"),IF(N966&lt;6,IF(O966&lt;20,"低",IF(O966&lt;51,"中","高")),IF(O966&lt;20,"中","高")))),"不计算")))</f>
        <v/>
      </c>
      <c r="Q966" s="172">
        <f>IFERROR(IF(J966="EI",IF(P966="低",3,IF(P966="中",4,6)),IF(J966="EO",IF(P966="低",4,IF(P966="中",5,7)),IF(J966="EQ",IF(P966="低",3,IF(P966="中",4,6)),IF(J966="ILF",IF(P966="低",7,IF(P966="中",10,15)),IF(J966="EIF",IF(P966="低",5,IF(P966="中",7,10)),"不计算")))))*R966,"不计算")</f>
        <v/>
      </c>
      <c r="R966" s="172" t="n">
        <v>0.333333333333333</v>
      </c>
      <c r="S966" s="173">
        <f>调整因子!$F$13</f>
        <v/>
      </c>
      <c r="T966" s="92" t="n">
        <v>1</v>
      </c>
      <c r="U966" s="174">
        <f>IFERROR(Q966*S966,0)</f>
        <v/>
      </c>
      <c r="V966" s="178">
        <f>U966*T966</f>
        <v/>
      </c>
      <c r="W966" s="103" t="inlineStr">
        <is>
          <t>推送规则表、提醒规则表、脱敏规则表、加密规则表</t>
        </is>
      </c>
      <c r="X966" s="103" t="inlineStr"/>
      <c r="Y966"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966" s="90" t="n"/>
      <c r="AA966" s="90" t="n"/>
    </row>
    <row r="967" s="112">
      <c r="A967" s="72">
        <f>ROW()-1</f>
        <v/>
      </c>
      <c r="B967" s="175" t="n"/>
      <c r="C967" s="124" t="n">
        <v>2026</v>
      </c>
      <c r="D967" s="125" t="n"/>
      <c r="E967" s="103" t="n"/>
      <c r="F967" s="175" t="n"/>
      <c r="G967" s="175" t="n"/>
      <c r="H967" s="175" t="n"/>
      <c r="I967" s="103" t="inlineStr">
        <is>
          <t>停用分组规则</t>
        </is>
      </c>
      <c r="J967" s="93" t="n"/>
      <c r="K967" s="102" t="n"/>
      <c r="L967" s="102" t="inlineStr">
        <is>
          <t>和上行合并，启停为相同功能</t>
        </is>
      </c>
      <c r="M967" s="85">
        <f>IF(OR(Y967="估算法",Y967="算法类",Y967="无法识别"),"",IF(W967="",IF(OR(J967="EI",J967="EO",J967="EQ"),0,""),LEN(W967)-LEN(SUBSTITUTE(W967,"、",""))+1))</f>
        <v/>
      </c>
      <c r="N967" s="85">
        <f>IF(OR(Y967="估算法",Y967="算法类",Y967="无法识别"),"",IF(X967="",IF(OR(J967="ILF",J967="EIF"),0,""),LEN(X967)-LEN(SUBSTITUTE(X967,"、",""))+1))</f>
        <v/>
      </c>
      <c r="O967" s="85">
        <f>IF(OR(Y967="估算法",Y967="算法类",Y967="无法识别"),"",IF(Y967="",IF(OR(J967="ILF",J967="EIF",J967="EI",J967="EO",J967="EQ"),0,""),LEN(Y967)-LEN(SUBSTITUTE(SUBSTITUTE(SUBSTITUTE(SUBSTITUTE(SUBSTITUTE(Y967,"|}","--"),"{|","--"),CHAR(10),""),"、",""),"|",""))+IF(AND(OR(J967="EI",J967="EO",J967="EQ"),$AE$1="NESMA"),2,1)))</f>
        <v/>
      </c>
      <c r="P967" s="86">
        <f>IF(J967="EI",IF(OR(Y967="估算法",Y967="算法类"),"中",IF(Y967="无法识别","低",IF(M967&lt;2,IF(O967&lt;16,"低","中"),IF(M967&lt;3,IF(O967&lt;5,"低",IF(O967&lt;16,"中","高")),IF(O967&lt;5,"中","高"))))),IF(OR(J967="EO",J967="EQ"),IF(OR(Y967="估算法",Y967="算法类"),"中",IF(Y967="无法识别","低",IF(M967&lt;2,IF(O967&lt;20,"低","中"),IF(M967&lt;4,IF(O967&lt;6,"低",IF(O967&lt;20,"中","高")),IF(O967&lt;6,"中","高"))))),IF(OR(J967="ILF",J967="EIF"),IF(OR(Y967="估算法",Y967="算法类",Y967="无法识别"),"低",IF(N967&lt;2,IF(O967&lt;51,"低","中"),IF(N967&lt;6,IF(O967&lt;20,"低",IF(O967&lt;51,"中","高")),IF(O967&lt;20,"中","高")))),"不计算")))</f>
        <v/>
      </c>
      <c r="Q967" s="172">
        <f>IFERROR(IF(J967="EI",IF(P967="低",3,IF(P967="中",4,6)),IF(J967="EO",IF(P967="低",4,IF(P967="中",5,7)),IF(J967="EQ",IF(P967="低",3,IF(P967="中",4,6)),IF(J967="ILF",IF(P967="低",7,IF(P967="中",10,15)),IF(J967="EIF",IF(P967="低",5,IF(P967="中",7,10)),"不计算")))))*R967,"不计算")</f>
        <v/>
      </c>
      <c r="R967" s="172" t="n">
        <v>0.333333333333333</v>
      </c>
      <c r="S967" s="173">
        <f>调整因子!$F$13</f>
        <v/>
      </c>
      <c r="T967" s="93" t="n">
        <v>1</v>
      </c>
      <c r="U967" s="174">
        <f>IFERROR(Q967*S967,0)</f>
        <v/>
      </c>
      <c r="V967" s="178">
        <f>U967*T967</f>
        <v/>
      </c>
      <c r="W967" s="103" t="inlineStr">
        <is>
          <t>推送规则表、提醒规则表、脱敏规则表、加密规则表、修复步骤表</t>
        </is>
      </c>
      <c r="X967" s="103" t="inlineStr"/>
      <c r="Y967"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is>
      </c>
      <c r="Z967" s="90" t="n"/>
      <c r="AA967" s="90" t="n"/>
    </row>
    <row r="968" s="112">
      <c r="A968" s="72">
        <f>ROW()-1</f>
        <v/>
      </c>
      <c r="B968" s="175" t="n"/>
      <c r="C968" s="124" t="n">
        <v>2026</v>
      </c>
      <c r="D968" s="125" t="n"/>
      <c r="E968" s="103" t="n"/>
      <c r="F968" s="175" t="n"/>
      <c r="G968" s="175" t="n"/>
      <c r="H968" s="175" t="n"/>
      <c r="I968" s="103" t="inlineStr">
        <is>
          <t>导出分组规则</t>
        </is>
      </c>
      <c r="J968" s="93" t="inlineStr">
        <is>
          <t>EO</t>
        </is>
      </c>
      <c r="K968" s="102" t="n"/>
      <c r="L968" s="102" t="n"/>
      <c r="M968" s="85">
        <f>IF(OR(Y968="估算法",Y968="算法类",Y968="无法识别"),"",IF(W968="",IF(OR(J968="EI",J968="EO",J968="EQ"),0,""),LEN(W968)-LEN(SUBSTITUTE(W968,"、",""))+1))</f>
        <v/>
      </c>
      <c r="N968" s="85">
        <f>IF(OR(Y968="估算法",Y968="算法类",Y968="无法识别"),"",IF(X968="",IF(OR(J968="ILF",J968="EIF"),0,""),LEN(X968)-LEN(SUBSTITUTE(X968,"、",""))+1))</f>
        <v/>
      </c>
      <c r="O968" s="85">
        <f>IF(OR(Y968="估算法",Y968="算法类",Y968="无法识别"),"",IF(Y968="",IF(OR(J968="ILF",J968="EIF",J968="EI",J968="EO",J968="EQ"),0,""),LEN(Y968)-LEN(SUBSTITUTE(SUBSTITUTE(SUBSTITUTE(SUBSTITUTE(SUBSTITUTE(Y968,"|}","--"),"{|","--"),CHAR(10),""),"、",""),"|",""))+IF(AND(OR(J968="EI",J968="EO",J968="EQ"),$AE$1="NESMA"),2,1)))</f>
        <v/>
      </c>
      <c r="P968" s="86">
        <f>IF(J968="EI",IF(OR(Y968="估算法",Y968="算法类"),"中",IF(Y968="无法识别","低",IF(M968&lt;2,IF(O968&lt;16,"低","中"),IF(M968&lt;3,IF(O968&lt;5,"低",IF(O968&lt;16,"中","高")),IF(O968&lt;5,"中","高"))))),IF(OR(J968="EO",J968="EQ"),IF(OR(Y968="估算法",Y968="算法类"),"中",IF(Y968="无法识别","低",IF(M968&lt;2,IF(O968&lt;20,"低","中"),IF(M968&lt;4,IF(O968&lt;6,"低",IF(O968&lt;20,"中","高")),IF(O968&lt;6,"中","高"))))),IF(OR(J968="ILF",J968="EIF"),IF(OR(Y968="估算法",Y968="算法类",Y968="无法识别"),"低",IF(N968&lt;2,IF(O968&lt;51,"低","中"),IF(N968&lt;6,IF(O968&lt;20,"低",IF(O968&lt;51,"中","高")),IF(O968&lt;20,"中","高")))),"不计算")))</f>
        <v/>
      </c>
      <c r="Q968" s="172">
        <f>IFERROR(IF(J968="EI",IF(P968="低",3,IF(P968="中",4,6)),IF(J968="EO",IF(P968="低",4,IF(P968="中",5,7)),IF(J968="EQ",IF(P968="低",3,IF(P968="中",4,6)),IF(J968="ILF",IF(P968="低",7,IF(P968="中",10,15)),IF(J968="EIF",IF(P968="低",5,IF(P968="中",7,10)),"不计算")))))*R968,"不计算")</f>
        <v/>
      </c>
      <c r="R968" s="172" t="n">
        <v>0.333333333333333</v>
      </c>
      <c r="S968" s="173">
        <f>调整因子!$F$13</f>
        <v/>
      </c>
      <c r="T968" s="92" t="n">
        <v>1</v>
      </c>
      <c r="U968" s="174">
        <f>IFERROR(Q968*S968,0)</f>
        <v/>
      </c>
      <c r="V968" s="178">
        <f>U968*T968</f>
        <v/>
      </c>
      <c r="W968" s="103" t="inlineStr">
        <is>
          <t>推送规则表、提醒规则表、脱敏规则表、加密规则表、模板分类表</t>
        </is>
      </c>
      <c r="X968" s="103" t="inlineStr"/>
      <c r="Y968"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is>
      </c>
      <c r="Z968" s="90" t="n"/>
      <c r="AA968" s="90" t="n"/>
    </row>
    <row r="969" s="112">
      <c r="A969" s="72">
        <f>ROW()-1</f>
        <v/>
      </c>
      <c r="B969" s="175" t="n"/>
      <c r="C969" s="124" t="n">
        <v>2026</v>
      </c>
      <c r="D969" s="125" t="n"/>
      <c r="E969" s="103" t="n"/>
      <c r="F969" s="175" t="n"/>
      <c r="G969" s="175" t="n"/>
      <c r="H969" s="175" t="n"/>
      <c r="I969" s="103" t="inlineStr">
        <is>
          <t>查询分组规则</t>
        </is>
      </c>
      <c r="J969" s="93" t="inlineStr">
        <is>
          <t>EQ</t>
        </is>
      </c>
      <c r="K969" s="102" t="n"/>
      <c r="L969" s="102" t="n"/>
      <c r="M969" s="85">
        <f>IF(OR(Y969="估算法",Y969="算法类",Y969="无法识别"),"",IF(W969="",IF(OR(J969="EI",J969="EO",J969="EQ"),0,""),LEN(W969)-LEN(SUBSTITUTE(W969,"、",""))+1))</f>
        <v/>
      </c>
      <c r="N969" s="85">
        <f>IF(OR(Y969="估算法",Y969="算法类",Y969="无法识别"),"",IF(X969="",IF(OR(J969="ILF",J969="EIF"),0,""),LEN(X969)-LEN(SUBSTITUTE(X969,"、",""))+1))</f>
        <v/>
      </c>
      <c r="O969" s="85">
        <f>IF(OR(Y969="估算法",Y969="算法类",Y969="无法识别"),"",IF(Y969="",IF(OR(J969="ILF",J969="EIF",J969="EI",J969="EO",J969="EQ"),0,""),LEN(Y969)-LEN(SUBSTITUTE(SUBSTITUTE(SUBSTITUTE(SUBSTITUTE(SUBSTITUTE(Y969,"|}","--"),"{|","--"),CHAR(10),""),"、",""),"|",""))+IF(AND(OR(J969="EI",J969="EO",J969="EQ"),$AE$1="NESMA"),2,1)))</f>
        <v/>
      </c>
      <c r="P969" s="86">
        <f>IF(J969="EI",IF(OR(Y969="估算法",Y969="算法类"),"中",IF(Y969="无法识别","低",IF(M969&lt;2,IF(O969&lt;16,"低","中"),IF(M969&lt;3,IF(O969&lt;5,"低",IF(O969&lt;16,"中","高")),IF(O969&lt;5,"中","高"))))),IF(OR(J969="EO",J969="EQ"),IF(OR(Y969="估算法",Y969="算法类"),"中",IF(Y969="无法识别","低",IF(M969&lt;2,IF(O969&lt;20,"低","中"),IF(M969&lt;4,IF(O969&lt;6,"低",IF(O969&lt;20,"中","高")),IF(O969&lt;6,"中","高"))))),IF(OR(J969="ILF",J969="EIF"),IF(OR(Y969="估算法",Y969="算法类",Y969="无法识别"),"低",IF(N969&lt;2,IF(O969&lt;51,"低","中"),IF(N969&lt;6,IF(O969&lt;20,"低",IF(O969&lt;51,"中","高")),IF(O969&lt;20,"中","高")))),"不计算")))</f>
        <v/>
      </c>
      <c r="Q969" s="172">
        <f>IFERROR(IF(J969="EI",IF(P969="低",3,IF(P969="中",4,6)),IF(J969="EO",IF(P969="低",4,IF(P969="中",5,7)),IF(J969="EQ",IF(P969="低",3,IF(P969="中",4,6)),IF(J969="ILF",IF(P969="低",7,IF(P969="中",10,15)),IF(J969="EIF",IF(P969="低",5,IF(P969="中",7,10)),"不计算")))))*R969,"不计算")</f>
        <v/>
      </c>
      <c r="R969" s="172" t="n">
        <v>0.333333333333333</v>
      </c>
      <c r="S969" s="173">
        <f>调整因子!$F$13</f>
        <v/>
      </c>
      <c r="T969" s="92" t="n">
        <v>1</v>
      </c>
      <c r="U969" s="174">
        <f>IFERROR(Q969*S969,0)</f>
        <v/>
      </c>
      <c r="V969" s="178">
        <f>U969*T969</f>
        <v/>
      </c>
      <c r="W969" s="103" t="inlineStr">
        <is>
          <t>推送规则表、提醒规则表、脱敏规则表、加密规则表</t>
        </is>
      </c>
      <c r="X969" s="103" t="inlineStr"/>
      <c r="Y969"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969" s="90" t="n"/>
      <c r="AA969" s="90" t="n"/>
    </row>
    <row r="970" s="112">
      <c r="A970" s="72">
        <f>ROW()-1</f>
        <v/>
      </c>
      <c r="B970" s="175" t="n"/>
      <c r="C970" s="124" t="n">
        <v>2026</v>
      </c>
      <c r="D970" s="125" t="n"/>
      <c r="E970" s="103" t="n"/>
      <c r="F970" s="175" t="n"/>
      <c r="G970" s="175" t="n"/>
      <c r="H970" s="176" t="n"/>
      <c r="I970" s="103" t="inlineStr">
        <is>
          <t>查看规则详情</t>
        </is>
      </c>
      <c r="J970" s="93" t="inlineStr">
        <is>
          <t>EQ</t>
        </is>
      </c>
      <c r="K970" s="102" t="n"/>
      <c r="L970" s="102" t="n"/>
      <c r="M970" s="85">
        <f>IF(OR(Y970="估算法",Y970="算法类",Y970="无法识别"),"",IF(W970="",IF(OR(J970="EI",J970="EO",J970="EQ"),0,""),LEN(W970)-LEN(SUBSTITUTE(W970,"、",""))+1))</f>
        <v/>
      </c>
      <c r="N970" s="85">
        <f>IF(OR(Y970="估算法",Y970="算法类",Y970="无法识别"),"",IF(X970="",IF(OR(J970="ILF",J970="EIF"),0,""),LEN(X970)-LEN(SUBSTITUTE(X970,"、",""))+1))</f>
        <v/>
      </c>
      <c r="O970" s="85">
        <f>IF(OR(Y970="估算法",Y970="算法类",Y970="无法识别"),"",IF(Y970="",IF(OR(J970="ILF",J970="EIF",J970="EI",J970="EO",J970="EQ"),0,""),LEN(Y970)-LEN(SUBSTITUTE(SUBSTITUTE(SUBSTITUTE(SUBSTITUTE(SUBSTITUTE(Y970,"|}","--"),"{|","--"),CHAR(10),""),"、",""),"|",""))+IF(AND(OR(J970="EI",J970="EO",J970="EQ"),$AE$1="NESMA"),2,1)))</f>
        <v/>
      </c>
      <c r="P970" s="86">
        <f>IF(J970="EI",IF(OR(Y970="估算法",Y970="算法类"),"中",IF(Y970="无法识别","低",IF(M970&lt;2,IF(O970&lt;16,"低","中"),IF(M970&lt;3,IF(O970&lt;5,"低",IF(O970&lt;16,"中","高")),IF(O970&lt;5,"中","高"))))),IF(OR(J970="EO",J970="EQ"),IF(OR(Y970="估算法",Y970="算法类"),"中",IF(Y970="无法识别","低",IF(M970&lt;2,IF(O970&lt;20,"低","中"),IF(M970&lt;4,IF(O970&lt;6,"低",IF(O970&lt;20,"中","高")),IF(O970&lt;6,"中","高"))))),IF(OR(J970="ILF",J970="EIF"),IF(OR(Y970="估算法",Y970="算法类",Y970="无法识别"),"低",IF(N970&lt;2,IF(O970&lt;51,"低","中"),IF(N970&lt;6,IF(O970&lt;20,"低",IF(O970&lt;51,"中","高")),IF(O970&lt;20,"中","高")))),"不计算")))</f>
        <v/>
      </c>
      <c r="Q970" s="172">
        <f>IFERROR(IF(J970="EI",IF(P970="低",3,IF(P970="中",4,6)),IF(J970="EO",IF(P970="低",4,IF(P970="中",5,7)),IF(J970="EQ",IF(P970="低",3,IF(P970="中",4,6)),IF(J970="ILF",IF(P970="低",7,IF(P970="中",10,15)),IF(J970="EIF",IF(P970="低",5,IF(P970="中",7,10)),"不计算")))))*R970,"不计算")</f>
        <v/>
      </c>
      <c r="R970" s="172" t="n">
        <v>0.333333333333333</v>
      </c>
      <c r="S970" s="173">
        <f>调整因子!$F$13</f>
        <v/>
      </c>
      <c r="T970" s="93" t="n">
        <v>1</v>
      </c>
      <c r="U970" s="174">
        <f>IFERROR(Q970*S970,0)</f>
        <v/>
      </c>
      <c r="V970" s="178">
        <f>U970*T970</f>
        <v/>
      </c>
      <c r="W970" s="103" t="inlineStr">
        <is>
          <t>推送规则表、提醒规则表、脱敏规则表</t>
        </is>
      </c>
      <c r="X970" s="103" t="inlineStr"/>
      <c r="Y970"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70" s="90" t="n"/>
      <c r="AA970" s="90" t="n"/>
    </row>
    <row r="971" s="112">
      <c r="A971" s="72">
        <f>ROW()-1</f>
        <v/>
      </c>
      <c r="B971" s="175" t="n"/>
      <c r="C971" s="124" t="n">
        <v>2026</v>
      </c>
      <c r="D971" s="125" t="n"/>
      <c r="E971" s="103" t="n"/>
      <c r="F971" s="175" t="n"/>
      <c r="G971" s="175" t="n"/>
      <c r="H971" s="97" t="inlineStr">
        <is>
          <t>分组权限管理</t>
        </is>
      </c>
      <c r="I971" s="103" t="inlineStr">
        <is>
          <t>删除分组权限</t>
        </is>
      </c>
      <c r="J971" s="93" t="inlineStr">
        <is>
          <t>EI</t>
        </is>
      </c>
      <c r="K971" s="102" t="n"/>
      <c r="L971" s="102" t="n"/>
      <c r="M971" s="85">
        <f>IF(OR(Y971="估算法",Y971="算法类",Y971="无法识别"),"",IF(W971="",IF(OR(J971="EI",J971="EO",J971="EQ"),0,""),LEN(W971)-LEN(SUBSTITUTE(W971,"、",""))+1))</f>
        <v/>
      </c>
      <c r="N971" s="85">
        <f>IF(OR(Y971="估算法",Y971="算法类",Y971="无法识别"),"",IF(X971="",IF(OR(J971="ILF",J971="EIF"),0,""),LEN(X971)-LEN(SUBSTITUTE(X971,"、",""))+1))</f>
        <v/>
      </c>
      <c r="O971" s="85">
        <f>IF(OR(Y971="估算法",Y971="算法类",Y971="无法识别"),"",IF(Y971="",IF(OR(J971="ILF",J971="EIF",J971="EI",J971="EO",J971="EQ"),0,""),LEN(Y971)-LEN(SUBSTITUTE(SUBSTITUTE(SUBSTITUTE(SUBSTITUTE(SUBSTITUTE(Y971,"|}","--"),"{|","--"),CHAR(10),""),"、",""),"|",""))+IF(AND(OR(J971="EI",J971="EO",J971="EQ"),$AE$1="NESMA"),2,1)))</f>
        <v/>
      </c>
      <c r="P971" s="86">
        <f>IF(J971="EI",IF(OR(Y971="估算法",Y971="算法类"),"中",IF(Y971="无法识别","低",IF(M971&lt;2,IF(O971&lt;16,"低","中"),IF(M971&lt;3,IF(O971&lt;5,"低",IF(O971&lt;16,"中","高")),IF(O971&lt;5,"中","高"))))),IF(OR(J971="EO",J971="EQ"),IF(OR(Y971="估算法",Y971="算法类"),"中",IF(Y971="无法识别","低",IF(M971&lt;2,IF(O971&lt;20,"低","中"),IF(M971&lt;4,IF(O971&lt;6,"低",IF(O971&lt;20,"中","高")),IF(O971&lt;6,"中","高"))))),IF(OR(J971="ILF",J971="EIF"),IF(OR(Y971="估算法",Y971="算法类",Y971="无法识别"),"低",IF(N971&lt;2,IF(O971&lt;51,"低","中"),IF(N971&lt;6,IF(O971&lt;20,"低",IF(O971&lt;51,"中","高")),IF(O971&lt;20,"中","高")))),"不计算")))</f>
        <v/>
      </c>
      <c r="Q971" s="172">
        <f>IFERROR(IF(J971="EI",IF(P971="低",3,IF(P971="中",4,6)),IF(J971="EO",IF(P971="低",4,IF(P971="中",5,7)),IF(J971="EQ",IF(P971="低",3,IF(P971="中",4,6)),IF(J971="ILF",IF(P971="低",7,IF(P971="中",10,15)),IF(J971="EIF",IF(P971="低",5,IF(P971="中",7,10)),"不计算")))))*R971,"不计算")</f>
        <v/>
      </c>
      <c r="R971" s="172" t="n">
        <v>0.333333333333333</v>
      </c>
      <c r="S971" s="173">
        <f>调整因子!$F$13</f>
        <v/>
      </c>
      <c r="T971" s="93" t="n">
        <v>1</v>
      </c>
      <c r="U971" s="174">
        <f>IFERROR(Q971*S971,0)</f>
        <v/>
      </c>
      <c r="V971" s="178">
        <f>U971*T971</f>
        <v/>
      </c>
      <c r="W971" s="103" t="inlineStr">
        <is>
          <t>验证记录表、同步任务调度表、任务故障记录表</t>
        </is>
      </c>
      <c r="X971" s="103" t="inlineStr"/>
      <c r="Y971" s="97" t="inlineStr">
        <is>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is>
      </c>
      <c r="Z971" s="90" t="n"/>
      <c r="AA971" s="90" t="n"/>
    </row>
    <row r="972" s="112">
      <c r="A972" s="72">
        <f>ROW()-1</f>
        <v/>
      </c>
      <c r="B972" s="175" t="n"/>
      <c r="C972" s="124" t="n">
        <v>2026</v>
      </c>
      <c r="D972" s="125" t="n"/>
      <c r="E972" s="103" t="n"/>
      <c r="F972" s="175" t="n"/>
      <c r="G972" s="176" t="n"/>
      <c r="H972" s="176" t="n"/>
      <c r="I972" s="103" t="inlineStr">
        <is>
          <t>查看权限详情</t>
        </is>
      </c>
      <c r="J972" s="93" t="inlineStr">
        <is>
          <t>EQ</t>
        </is>
      </c>
      <c r="K972" s="102" t="n"/>
      <c r="L972" s="102" t="n"/>
      <c r="M972" s="85">
        <f>IF(OR(Y972="估算法",Y972="算法类",Y972="无法识别"),"",IF(W972="",IF(OR(J972="EI",J972="EO",J972="EQ"),0,""),LEN(W972)-LEN(SUBSTITUTE(W972,"、",""))+1))</f>
        <v/>
      </c>
      <c r="N972" s="85">
        <f>IF(OR(Y972="估算法",Y972="算法类",Y972="无法识别"),"",IF(X972="",IF(OR(J972="ILF",J972="EIF"),0,""),LEN(X972)-LEN(SUBSTITUTE(X972,"、",""))+1))</f>
        <v/>
      </c>
      <c r="O972" s="85">
        <f>IF(OR(Y972="估算法",Y972="算法类",Y972="无法识别"),"",IF(Y972="",IF(OR(J972="ILF",J972="EIF",J972="EI",J972="EO",J972="EQ"),0,""),LEN(Y972)-LEN(SUBSTITUTE(SUBSTITUTE(SUBSTITUTE(SUBSTITUTE(SUBSTITUTE(Y972,"|}","--"),"{|","--"),CHAR(10),""),"、",""),"|",""))+IF(AND(OR(J972="EI",J972="EO",J972="EQ"),$AE$1="NESMA"),2,1)))</f>
        <v/>
      </c>
      <c r="P972" s="86">
        <f>IF(J972="EI",IF(OR(Y972="估算法",Y972="算法类"),"中",IF(Y972="无法识别","低",IF(M972&lt;2,IF(O972&lt;16,"低","中"),IF(M972&lt;3,IF(O972&lt;5,"低",IF(O972&lt;16,"中","高")),IF(O972&lt;5,"中","高"))))),IF(OR(J972="EO",J972="EQ"),IF(OR(Y972="估算法",Y972="算法类"),"中",IF(Y972="无法识别","低",IF(M972&lt;2,IF(O972&lt;20,"低","中"),IF(M972&lt;4,IF(O972&lt;6,"低",IF(O972&lt;20,"中","高")),IF(O972&lt;6,"中","高"))))),IF(OR(J972="ILF",J972="EIF"),IF(OR(Y972="估算法",Y972="算法类",Y972="无法识别"),"低",IF(N972&lt;2,IF(O972&lt;51,"低","中"),IF(N972&lt;6,IF(O972&lt;20,"低",IF(O972&lt;51,"中","高")),IF(O972&lt;20,"中","高")))),"不计算")))</f>
        <v/>
      </c>
      <c r="Q972" s="172">
        <f>IFERROR(IF(J972="EI",IF(P972="低",3,IF(P972="中",4,6)),IF(J972="EO",IF(P972="低",4,IF(P972="中",5,7)),IF(J972="EQ",IF(P972="低",3,IF(P972="中",4,6)),IF(J972="ILF",IF(P972="低",7,IF(P972="中",10,15)),IF(J972="EIF",IF(P972="低",5,IF(P972="中",7,10)),"不计算")))))*R972,"不计算")</f>
        <v/>
      </c>
      <c r="R972" s="172" t="n">
        <v>1</v>
      </c>
      <c r="S972" s="173">
        <f>调整因子!$F$13</f>
        <v/>
      </c>
      <c r="T972" s="92" t="n">
        <v>1</v>
      </c>
      <c r="U972" s="174">
        <f>IFERROR(Q972*S972,0)</f>
        <v/>
      </c>
      <c r="V972" s="178">
        <f>U972*T972</f>
        <v/>
      </c>
      <c r="W972" s="103" t="inlineStr">
        <is>
          <t>推送规则表、报告解析结果表、性能数据表</t>
        </is>
      </c>
      <c r="X972" s="103" t="inlineStr"/>
      <c r="Y972" s="97" t="inlineStr">
        <is>
          <t>推送规则表{规则ID、规则名称|规则ID、规则名称、规则类型、规则条件、创建时间}
报告解析结果表{ID、名称|ID、名称、类型、状态、创建时间、更新时间}
性能数据表{ID、名称|ID、名称、类型、状态、创建时间、更新时间}</t>
        </is>
      </c>
      <c r="Z972" s="90" t="n"/>
      <c r="AA972" s="90" t="n"/>
    </row>
    <row r="973" s="112">
      <c r="A973" s="72">
        <f>ROW()-1</f>
        <v/>
      </c>
      <c r="B973" s="175" t="n"/>
      <c r="C973" s="124" t="n">
        <v>2026</v>
      </c>
      <c r="D973" s="125" t="n"/>
      <c r="E973" s="103" t="n"/>
      <c r="F973" s="175" t="n"/>
      <c r="G973" s="97" t="inlineStr">
        <is>
          <t>资产同步历史与审计</t>
        </is>
      </c>
      <c r="H973" s="97" t="inlineStr">
        <is>
          <t>同步任务管理</t>
        </is>
      </c>
      <c r="I973" s="103" t="inlineStr">
        <is>
          <t>资产同步任务表</t>
        </is>
      </c>
      <c r="J973" s="93" t="inlineStr">
        <is>
          <t>ILF</t>
        </is>
      </c>
      <c r="K973" s="102" t="n"/>
      <c r="L973" s="102" t="n"/>
      <c r="M973" s="85">
        <f>IF(OR(Y973="估算法",Y973="算法类",Y973="无法识别"),"",IF(W973="",IF(OR(J973="EI",J973="EO",J973="EQ"),0,""),LEN(W973)-LEN(SUBSTITUTE(W973,"、",""))+1))</f>
        <v/>
      </c>
      <c r="N973" s="85">
        <f>IF(OR(Y973="估算法",Y973="算法类",Y973="无法识别"),"",IF(X973="",IF(OR(J973="ILF",J973="EIF"),0,""),LEN(X973)-LEN(SUBSTITUTE(X973,"、",""))+1))</f>
        <v/>
      </c>
      <c r="O973" s="85">
        <f>IF(OR(Y973="估算法",Y973="算法类",Y973="无法识别"),"",IF(Y973="",IF(OR(J973="ILF",J973="EIF",J973="EI",J973="EO",J973="EQ"),0,""),LEN(Y973)-LEN(SUBSTITUTE(SUBSTITUTE(SUBSTITUTE(SUBSTITUTE(SUBSTITUTE(Y973,"|}","--"),"{|","--"),CHAR(10),""),"、",""),"|",""))+IF(AND(OR(J973="EI",J973="EO",J973="EQ"),$AE$1="NESMA"),2,1)))</f>
        <v/>
      </c>
      <c r="P973" s="86">
        <f>IF(J973="EI",IF(OR(Y973="估算法",Y973="算法类"),"中",IF(Y973="无法识别","低",IF(M973&lt;2,IF(O973&lt;16,"低","中"),IF(M973&lt;3,IF(O973&lt;5,"低",IF(O973&lt;16,"中","高")),IF(O973&lt;5,"中","高"))))),IF(OR(J973="EO",J973="EQ"),IF(OR(Y973="估算法",Y973="算法类"),"中",IF(Y973="无法识别","低",IF(M973&lt;2,IF(O973&lt;20,"低","中"),IF(M973&lt;4,IF(O973&lt;6,"低",IF(O973&lt;20,"中","高")),IF(O973&lt;6,"中","高"))))),IF(OR(J973="ILF",J973="EIF"),IF(OR(Y973="估算法",Y973="算法类",Y973="无法识别"),"低",IF(N973&lt;2,IF(O973&lt;51,"低","中"),IF(N973&lt;6,IF(O973&lt;20,"低",IF(O973&lt;51,"中","高")),IF(O973&lt;20,"中","高")))),"不计算")))</f>
        <v/>
      </c>
      <c r="Q973" s="172">
        <f>IFERROR(IF(J973="EI",IF(P973="低",3,IF(P973="中",4,6)),IF(J973="EO",IF(P973="低",4,IF(P973="中",5,7)),IF(J973="EQ",IF(P973="低",3,IF(P973="中",4,6)),IF(J973="ILF",IF(P973="低",7,IF(P973="中",10,15)),IF(J973="EIF",IF(P973="低",5,IF(P973="中",7,10)),"不计算")))))*R973,"不计算")</f>
        <v/>
      </c>
      <c r="R973" s="172" t="n">
        <v>1</v>
      </c>
      <c r="S973" s="173">
        <f>调整因子!$F$13</f>
        <v/>
      </c>
      <c r="T973" s="92" t="n">
        <v>1</v>
      </c>
      <c r="U973" s="174">
        <f>IFERROR(Q973*S973,0)</f>
        <v/>
      </c>
      <c r="V973" s="178">
        <f>U973*T973</f>
        <v/>
      </c>
      <c r="W973" s="103" t="inlineStr"/>
      <c r="X973" s="103" t="inlineStr">
        <is>
          <t>主机资产、网站资产、业务系统资产</t>
        </is>
      </c>
      <c r="Y973" s="97" t="inlineStr">
        <is>
          <t>资产同步任务表{资产ID、资产名称、IP地址|资产ID、资产名称、IP地址、资产类型、资产状态、创建时间、更新时间}</t>
        </is>
      </c>
      <c r="Z973" s="90">
        <f>IF(COUNTIFS(W:W,"*"&amp;I973&amp;"*")&gt;0,"存在","不存在")</f>
        <v/>
      </c>
      <c r="AA973" s="90">
        <f>IF(COUNTIFS(AB:AB,"*"&amp;I973&amp;"*")&gt;0,"存在","不存在")</f>
        <v/>
      </c>
    </row>
    <row r="974" s="112">
      <c r="A974" s="72">
        <f>ROW()-1</f>
        <v/>
      </c>
      <c r="B974" s="175" t="n"/>
      <c r="C974" s="124" t="n">
        <v>2026</v>
      </c>
      <c r="D974" s="125" t="n"/>
      <c r="E974" s="103" t="n"/>
      <c r="F974" s="175" t="n"/>
      <c r="G974" s="175" t="n"/>
      <c r="H974" s="175" t="n"/>
      <c r="I974" s="103" t="inlineStr">
        <is>
          <t>同步任务调度表</t>
        </is>
      </c>
      <c r="J974" s="93" t="inlineStr">
        <is>
          <t>ILF</t>
        </is>
      </c>
      <c r="K974" s="102" t="n"/>
      <c r="L974" s="102" t="n"/>
      <c r="M974" s="85">
        <f>IF(OR(Y974="估算法",Y974="算法类",Y974="无法识别"),"",IF(W974="",IF(OR(J974="EI",J974="EO",J974="EQ"),0,""),LEN(W974)-LEN(SUBSTITUTE(W974,"、",""))+1))</f>
        <v/>
      </c>
      <c r="N974" s="85">
        <f>IF(OR(Y974="估算法",Y974="算法类",Y974="无法识别"),"",IF(X974="",IF(OR(J974="ILF",J974="EIF"),0,""),LEN(X974)-LEN(SUBSTITUTE(X974,"、",""))+1))</f>
        <v/>
      </c>
      <c r="O974" s="85">
        <f>IF(OR(Y974="估算法",Y974="算法类",Y974="无法识别"),"",IF(Y974="",IF(OR(J974="ILF",J974="EIF",J974="EI",J974="EO",J974="EQ"),0,""),LEN(Y974)-LEN(SUBSTITUTE(SUBSTITUTE(SUBSTITUTE(SUBSTITUTE(SUBSTITUTE(Y974,"|}","--"),"{|","--"),CHAR(10),""),"、",""),"|",""))+IF(AND(OR(J974="EI",J974="EO",J974="EQ"),$AE$1="NESMA"),2,1)))</f>
        <v/>
      </c>
      <c r="P974" s="86">
        <f>IF(J974="EI",IF(OR(Y974="估算法",Y974="算法类"),"中",IF(Y974="无法识别","低",IF(M974&lt;2,IF(O974&lt;16,"低","中"),IF(M974&lt;3,IF(O974&lt;5,"低",IF(O974&lt;16,"中","高")),IF(O974&lt;5,"中","高"))))),IF(OR(J974="EO",J974="EQ"),IF(OR(Y974="估算法",Y974="算法类"),"中",IF(Y974="无法识别","低",IF(M974&lt;2,IF(O974&lt;20,"低","中"),IF(M974&lt;4,IF(O974&lt;6,"低",IF(O974&lt;20,"中","高")),IF(O974&lt;6,"中","高"))))),IF(OR(J974="ILF",J974="EIF"),IF(OR(Y974="估算法",Y974="算法类",Y974="无法识别"),"低",IF(N974&lt;2,IF(O974&lt;51,"低","中"),IF(N974&lt;6,IF(O974&lt;20,"低",IF(O974&lt;51,"中","高")),IF(O974&lt;20,"中","高")))),"不计算")))</f>
        <v/>
      </c>
      <c r="Q974" s="172">
        <f>IFERROR(IF(J974="EI",IF(P974="低",3,IF(P974="中",4,6)),IF(J974="EO",IF(P974="低",4,IF(P974="中",5,7)),IF(J974="EQ",IF(P974="低",3,IF(P974="中",4,6)),IF(J974="ILF",IF(P974="低",7,IF(P974="中",10,15)),IF(J974="EIF",IF(P974="低",5,IF(P974="中",7,10)),"不计算")))))*R974,"不计算")</f>
        <v/>
      </c>
      <c r="R974" s="172" t="n">
        <v>1</v>
      </c>
      <c r="S974" s="173">
        <f>调整因子!$F$13</f>
        <v/>
      </c>
      <c r="T974" s="93" t="n">
        <v>1</v>
      </c>
      <c r="U974" s="174">
        <f>IFERROR(Q974*S974,0)</f>
        <v/>
      </c>
      <c r="V974" s="178">
        <f>U974*T974</f>
        <v/>
      </c>
      <c r="W974" s="103" t="inlineStr"/>
      <c r="X974" s="103" t="inlineStr">
        <is>
          <t>扫描任务、发现任务、口令猜测任务</t>
        </is>
      </c>
      <c r="Y974" s="97" t="inlineStr">
        <is>
          <t>同步任务调度表{任务ID、任务名称、任务类型|任务ID、任务名称、任务类型、任务状态、创建时间、执行时间}</t>
        </is>
      </c>
      <c r="Z974" s="90">
        <f>IF(COUNTIFS(W:W,"*"&amp;I974&amp;"*")&gt;0,"存在","不存在")</f>
        <v/>
      </c>
      <c r="AA974" s="90">
        <f>IF(COUNTIFS(AB:AB,"*"&amp;I974&amp;"*")&gt;0,"存在","不存在")</f>
        <v/>
      </c>
    </row>
    <row r="975" s="112">
      <c r="A975" s="72">
        <f>ROW()-1</f>
        <v/>
      </c>
      <c r="B975" s="175" t="n"/>
      <c r="C975" s="124" t="n">
        <v>2026</v>
      </c>
      <c r="D975" s="125" t="n"/>
      <c r="E975" s="103" t="n"/>
      <c r="F975" s="175" t="n"/>
      <c r="G975" s="175" t="n"/>
      <c r="H975" s="175" t="n"/>
      <c r="I975" s="103" t="inlineStr">
        <is>
          <t>同步失败重试记录表</t>
        </is>
      </c>
      <c r="J975" s="93" t="inlineStr">
        <is>
          <t>ILF</t>
        </is>
      </c>
      <c r="K975" s="102" t="n"/>
      <c r="L975" s="102" t="n"/>
      <c r="M975" s="85">
        <f>IF(OR(Y975="估算法",Y975="算法类",Y975="无法识别"),"",IF(W975="",IF(OR(J975="EI",J975="EO",J975="EQ"),0,""),LEN(W975)-LEN(SUBSTITUTE(W975,"、",""))+1))</f>
        <v/>
      </c>
      <c r="N975" s="85">
        <f>IF(OR(Y975="估算法",Y975="算法类",Y975="无法识别"),"",IF(X975="",IF(OR(J975="ILF",J975="EIF"),0,""),LEN(X975)-LEN(SUBSTITUTE(X975,"、",""))+1))</f>
        <v/>
      </c>
      <c r="O975" s="85">
        <f>IF(OR(Y975="估算法",Y975="算法类",Y975="无法识别"),"",IF(Y975="",IF(OR(J975="ILF",J975="EIF",J975="EI",J975="EO",J975="EQ"),0,""),LEN(Y975)-LEN(SUBSTITUTE(SUBSTITUTE(SUBSTITUTE(SUBSTITUTE(SUBSTITUTE(Y975,"|}","--"),"{|","--"),CHAR(10),""),"、",""),"|",""))+IF(AND(OR(J975="EI",J975="EO",J975="EQ"),$AE$1="NESMA"),2,1)))</f>
        <v/>
      </c>
      <c r="P975" s="86">
        <f>IF(J975="EI",IF(OR(Y975="估算法",Y975="算法类"),"中",IF(Y975="无法识别","低",IF(M975&lt;2,IF(O975&lt;16,"低","中"),IF(M975&lt;3,IF(O975&lt;5,"低",IF(O975&lt;16,"中","高")),IF(O975&lt;5,"中","高"))))),IF(OR(J975="EO",J975="EQ"),IF(OR(Y975="估算法",Y975="算法类"),"中",IF(Y975="无法识别","低",IF(M975&lt;2,IF(O975&lt;20,"低","中"),IF(M975&lt;4,IF(O975&lt;6,"低",IF(O975&lt;20,"中","高")),IF(O975&lt;6,"中","高"))))),IF(OR(J975="ILF",J975="EIF"),IF(OR(Y975="估算法",Y975="算法类",Y975="无法识别"),"低",IF(N975&lt;2,IF(O975&lt;51,"低","中"),IF(N975&lt;6,IF(O975&lt;20,"低",IF(O975&lt;51,"中","高")),IF(O975&lt;20,"中","高")))),"不计算")))</f>
        <v/>
      </c>
      <c r="Q975" s="172">
        <f>IFERROR(IF(J975="EI",IF(P975="低",3,IF(P975="中",4,6)),IF(J975="EO",IF(P975="低",4,IF(P975="中",5,7)),IF(J975="EQ",IF(P975="低",3,IF(P975="中",4,6)),IF(J975="ILF",IF(P975="低",7,IF(P975="中",10,15)),IF(J975="EIF",IF(P975="低",5,IF(P975="中",7,10)),"不计算")))))*R975,"不计算")</f>
        <v/>
      </c>
      <c r="R975" s="172" t="n">
        <v>1</v>
      </c>
      <c r="S975" s="173">
        <f>调整因子!$F$13</f>
        <v/>
      </c>
      <c r="T975" s="92" t="n">
        <v>1</v>
      </c>
      <c r="U975" s="174">
        <f>IFERROR(Q975*S975,0)</f>
        <v/>
      </c>
      <c r="V975" s="178">
        <f>U975*T975</f>
        <v/>
      </c>
      <c r="W975" s="103" t="inlineStr"/>
      <c r="X975" s="103" t="inlineStr">
        <is>
          <t>数据记录</t>
        </is>
      </c>
      <c r="Y975" s="97" t="inlineStr">
        <is>
          <t>同步失败重试记录表{ID、名称、类型|ID、名称、类型、状态、创建时间、更新时间}</t>
        </is>
      </c>
      <c r="Z975" s="90">
        <f>IF(COUNTIFS(W:W,"*"&amp;I975&amp;"*")&gt;0,"存在","不存在")</f>
        <v/>
      </c>
      <c r="AA975" s="90">
        <f>IF(COUNTIFS(AB:AB,"*"&amp;I975&amp;"*")&gt;0,"存在","不存在")</f>
        <v/>
      </c>
    </row>
    <row r="976" s="112">
      <c r="A976" s="72">
        <f>ROW()-1</f>
        <v/>
      </c>
      <c r="B976" s="175" t="n"/>
      <c r="C976" s="124" t="n">
        <v>2026</v>
      </c>
      <c r="D976" s="125" t="n"/>
      <c r="E976" s="103" t="n"/>
      <c r="F976" s="175" t="n"/>
      <c r="G976" s="175" t="n"/>
      <c r="H976" s="175" t="n"/>
      <c r="I976" s="103" t="inlineStr">
        <is>
          <t>创建同步任务</t>
        </is>
      </c>
      <c r="J976" s="93" t="inlineStr">
        <is>
          <t>EI</t>
        </is>
      </c>
      <c r="K976" s="102" t="n"/>
      <c r="L976" s="102" t="n"/>
      <c r="M976" s="85">
        <f>IF(OR(Y976="估算法",Y976="算法类",Y976="无法识别"),"",IF(W976="",IF(OR(J976="EI",J976="EO",J976="EQ"),0,""),LEN(W976)-LEN(SUBSTITUTE(W976,"、",""))+1))</f>
        <v/>
      </c>
      <c r="N976" s="85">
        <f>IF(OR(Y976="估算法",Y976="算法类",Y976="无法识别"),"",IF(X976="",IF(OR(J976="ILF",J976="EIF"),0,""),LEN(X976)-LEN(SUBSTITUTE(X976,"、",""))+1))</f>
        <v/>
      </c>
      <c r="O976" s="85">
        <f>IF(OR(Y976="估算法",Y976="算法类",Y976="无法识别"),"",IF(Y976="",IF(OR(J976="ILF",J976="EIF",J976="EI",J976="EO",J976="EQ"),0,""),LEN(Y976)-LEN(SUBSTITUTE(SUBSTITUTE(SUBSTITUTE(SUBSTITUTE(SUBSTITUTE(Y976,"|}","--"),"{|","--"),CHAR(10),""),"、",""),"|",""))+IF(AND(OR(J976="EI",J976="EO",J976="EQ"),$AE$1="NESMA"),2,1)))</f>
        <v/>
      </c>
      <c r="P976" s="86">
        <f>IF(J976="EI",IF(OR(Y976="估算法",Y976="算法类"),"中",IF(Y976="无法识别","低",IF(M976&lt;2,IF(O976&lt;16,"低","中"),IF(M976&lt;3,IF(O976&lt;5,"低",IF(O976&lt;16,"中","高")),IF(O976&lt;5,"中","高"))))),IF(OR(J976="EO",J976="EQ"),IF(OR(Y976="估算法",Y976="算法类"),"中",IF(Y976="无法识别","低",IF(M976&lt;2,IF(O976&lt;20,"低","中"),IF(M976&lt;4,IF(O976&lt;6,"低",IF(O976&lt;20,"中","高")),IF(O976&lt;6,"中","高"))))),IF(OR(J976="ILF",J976="EIF"),IF(OR(Y976="估算法",Y976="算法类",Y976="无法识别"),"低",IF(N976&lt;2,IF(O976&lt;51,"低","中"),IF(N976&lt;6,IF(O976&lt;20,"低",IF(O976&lt;51,"中","高")),IF(O976&lt;20,"中","高")))),"不计算")))</f>
        <v/>
      </c>
      <c r="Q976" s="172">
        <f>IFERROR(IF(J976="EI",IF(P976="低",3,IF(P976="中",4,6)),IF(J976="EO",IF(P976="低",4,IF(P976="中",5,7)),IF(J976="EQ",IF(P976="低",3,IF(P976="中",4,6)),IF(J976="ILF",IF(P976="低",7,IF(P976="中",10,15)),IF(J976="EIF",IF(P976="低",5,IF(P976="中",7,10)),"不计算")))))*R976,"不计算")</f>
        <v/>
      </c>
      <c r="R976" s="172" t="n">
        <v>1</v>
      </c>
      <c r="S976" s="173">
        <f>调整因子!$F$13</f>
        <v/>
      </c>
      <c r="T976" s="92" t="n">
        <v>1</v>
      </c>
      <c r="U976" s="174">
        <f>IFERROR(Q976*S976,0)</f>
        <v/>
      </c>
      <c r="V976" s="178">
        <f>U976*T976</f>
        <v/>
      </c>
      <c r="W976" s="103" t="inlineStr">
        <is>
          <t>数据清洗任务表、资产同步任务表、同步任务调度表</t>
        </is>
      </c>
      <c r="X976" s="103" t="inlineStr"/>
      <c r="Y97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976" s="90" t="n"/>
      <c r="AA976" s="90" t="n"/>
    </row>
    <row r="977" s="112">
      <c r="A977" s="72">
        <f>ROW()-1</f>
        <v/>
      </c>
      <c r="B977" s="175" t="n"/>
      <c r="C977" s="124" t="n">
        <v>2026</v>
      </c>
      <c r="D977" s="125" t="n"/>
      <c r="E977" s="103" t="n"/>
      <c r="F977" s="175" t="n"/>
      <c r="G977" s="175" t="n"/>
      <c r="H977" s="175" t="n"/>
      <c r="I977" s="103" t="inlineStr">
        <is>
          <t>编辑同步任务</t>
        </is>
      </c>
      <c r="J977" s="93" t="inlineStr">
        <is>
          <t>EI</t>
        </is>
      </c>
      <c r="K977" s="102" t="n"/>
      <c r="L977" s="102" t="n"/>
      <c r="M977" s="85">
        <f>IF(OR(Y977="估算法",Y977="算法类",Y977="无法识别"),"",IF(W977="",IF(OR(J977="EI",J977="EO",J977="EQ"),0,""),LEN(W977)-LEN(SUBSTITUTE(W977,"、",""))+1))</f>
        <v/>
      </c>
      <c r="N977" s="85">
        <f>IF(OR(Y977="估算法",Y977="算法类",Y977="无法识别"),"",IF(X977="",IF(OR(J977="ILF",J977="EIF"),0,""),LEN(X977)-LEN(SUBSTITUTE(X977,"、",""))+1))</f>
        <v/>
      </c>
      <c r="O977" s="85">
        <f>IF(OR(Y977="估算法",Y977="算法类",Y977="无法识别"),"",IF(Y977="",IF(OR(J977="ILF",J977="EIF",J977="EI",J977="EO",J977="EQ"),0,""),LEN(Y977)-LEN(SUBSTITUTE(SUBSTITUTE(SUBSTITUTE(SUBSTITUTE(SUBSTITUTE(Y977,"|}","--"),"{|","--"),CHAR(10),""),"、",""),"|",""))+IF(AND(OR(J977="EI",J977="EO",J977="EQ"),$AE$1="NESMA"),2,1)))</f>
        <v/>
      </c>
      <c r="P977" s="86">
        <f>IF(J977="EI",IF(OR(Y977="估算法",Y977="算法类"),"中",IF(Y977="无法识别","低",IF(M977&lt;2,IF(O977&lt;16,"低","中"),IF(M977&lt;3,IF(O977&lt;5,"低",IF(O977&lt;16,"中","高")),IF(O977&lt;5,"中","高"))))),IF(OR(J977="EO",J977="EQ"),IF(OR(Y977="估算法",Y977="算法类"),"中",IF(Y977="无法识别","低",IF(M977&lt;2,IF(O977&lt;20,"低","中"),IF(M977&lt;4,IF(O977&lt;6,"低",IF(O977&lt;20,"中","高")),IF(O977&lt;6,"中","高"))))),IF(OR(J977="ILF",J977="EIF"),IF(OR(Y977="估算法",Y977="算法类",Y977="无法识别"),"低",IF(N977&lt;2,IF(O977&lt;51,"低","中"),IF(N977&lt;6,IF(O977&lt;20,"低",IF(O977&lt;51,"中","高")),IF(O977&lt;20,"中","高")))),"不计算")))</f>
        <v/>
      </c>
      <c r="Q977" s="172">
        <f>IFERROR(IF(J977="EI",IF(P977="低",3,IF(P977="中",4,6)),IF(J977="EO",IF(P977="低",4,IF(P977="中",5,7)),IF(J977="EQ",IF(P977="低",3,IF(P977="中",4,6)),IF(J977="ILF",IF(P977="低",7,IF(P977="中",10,15)),IF(J977="EIF",IF(P977="低",5,IF(P977="中",7,10)),"不计算")))))*R977,"不计算")</f>
        <v/>
      </c>
      <c r="R977" s="172" t="n">
        <v>1</v>
      </c>
      <c r="S977" s="173">
        <f>调整因子!$F$13</f>
        <v/>
      </c>
      <c r="T977" s="93" t="n">
        <v>1</v>
      </c>
      <c r="U977" s="174">
        <f>IFERROR(Q977*S977,0)</f>
        <v/>
      </c>
      <c r="V977" s="178">
        <f>U977*T977</f>
        <v/>
      </c>
      <c r="W977" s="103" t="inlineStr">
        <is>
          <t>数据清洗任务表、资产同步任务表、同步任务调度表、任务统计数据表、任务趋势分析表</t>
        </is>
      </c>
      <c r="X977" s="103" t="inlineStr"/>
      <c r="Y97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is>
      </c>
      <c r="Z977" s="90" t="n"/>
      <c r="AA977" s="90" t="n"/>
    </row>
    <row r="978" s="112">
      <c r="A978" s="72">
        <f>ROW()-1</f>
        <v/>
      </c>
      <c r="B978" s="175" t="n"/>
      <c r="C978" s="124" t="n">
        <v>2026</v>
      </c>
      <c r="D978" s="125" t="n"/>
      <c r="E978" s="103" t="n"/>
      <c r="F978" s="175" t="n"/>
      <c r="G978" s="175" t="n"/>
      <c r="H978" s="175" t="n"/>
      <c r="I978" s="103" t="inlineStr">
        <is>
          <t>删除同步任务</t>
        </is>
      </c>
      <c r="J978" s="93" t="inlineStr">
        <is>
          <t>EI</t>
        </is>
      </c>
      <c r="K978" s="102" t="n"/>
      <c r="L978" s="102" t="n"/>
      <c r="M978" s="85">
        <f>IF(OR(Y978="估算法",Y978="算法类",Y978="无法识别"),"",IF(W978="",IF(OR(J978="EI",J978="EO",J978="EQ"),0,""),LEN(W978)-LEN(SUBSTITUTE(W978,"、",""))+1))</f>
        <v/>
      </c>
      <c r="N978" s="85">
        <f>IF(OR(Y978="估算法",Y978="算法类",Y978="无法识别"),"",IF(X978="",IF(OR(J978="ILF",J978="EIF"),0,""),LEN(X978)-LEN(SUBSTITUTE(X978,"、",""))+1))</f>
        <v/>
      </c>
      <c r="O978" s="85">
        <f>IF(OR(Y978="估算法",Y978="算法类",Y978="无法识别"),"",IF(Y978="",IF(OR(J978="ILF",J978="EIF",J978="EI",J978="EO",J978="EQ"),0,""),LEN(Y978)-LEN(SUBSTITUTE(SUBSTITUTE(SUBSTITUTE(SUBSTITUTE(SUBSTITUTE(Y978,"|}","--"),"{|","--"),CHAR(10),""),"、",""),"|",""))+IF(AND(OR(J978="EI",J978="EO",J978="EQ"),$AE$1="NESMA"),2,1)))</f>
        <v/>
      </c>
      <c r="P978" s="86">
        <f>IF(J978="EI",IF(OR(Y978="估算法",Y978="算法类"),"中",IF(Y978="无法识别","低",IF(M978&lt;2,IF(O978&lt;16,"低","中"),IF(M978&lt;3,IF(O978&lt;5,"低",IF(O978&lt;16,"中","高")),IF(O978&lt;5,"中","高"))))),IF(OR(J978="EO",J978="EQ"),IF(OR(Y978="估算法",Y978="算法类"),"中",IF(Y978="无法识别","低",IF(M978&lt;2,IF(O978&lt;20,"低","中"),IF(M978&lt;4,IF(O978&lt;6,"低",IF(O978&lt;20,"中","高")),IF(O978&lt;6,"中","高"))))),IF(OR(J978="ILF",J978="EIF"),IF(OR(Y978="估算法",Y978="算法类",Y978="无法识别"),"低",IF(N978&lt;2,IF(O978&lt;51,"低","中"),IF(N978&lt;6,IF(O978&lt;20,"低",IF(O978&lt;51,"中","高")),IF(O978&lt;20,"中","高")))),"不计算")))</f>
        <v/>
      </c>
      <c r="Q978" s="172">
        <f>IFERROR(IF(J978="EI",IF(P978="低",3,IF(P978="中",4,6)),IF(J978="EO",IF(P978="低",4,IF(P978="中",5,7)),IF(J978="EQ",IF(P978="低",3,IF(P978="中",4,6)),IF(J978="ILF",IF(P978="低",7,IF(P978="中",10,15)),IF(J978="EIF",IF(P978="低",5,IF(P978="中",7,10)),"不计算")))))*R978,"不计算")</f>
        <v/>
      </c>
      <c r="R978" s="172" t="n">
        <v>0.333333333333333</v>
      </c>
      <c r="S978" s="173">
        <f>调整因子!$F$13</f>
        <v/>
      </c>
      <c r="T978" s="93" t="n">
        <v>1</v>
      </c>
      <c r="U978" s="174">
        <f>IFERROR(Q978*S978,0)</f>
        <v/>
      </c>
      <c r="V978" s="178">
        <f>U978*T978</f>
        <v/>
      </c>
      <c r="W978" s="103" t="inlineStr">
        <is>
          <t>数据清洗任务表、资产同步任务表、同步任务调度表、任务统计数据表</t>
        </is>
      </c>
      <c r="X978" s="103" t="inlineStr"/>
      <c r="Y97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978" s="90" t="n"/>
      <c r="AA978" s="90" t="n"/>
    </row>
    <row r="979" s="112">
      <c r="A979" s="72">
        <f>ROW()-1</f>
        <v/>
      </c>
      <c r="B979" s="175" t="n"/>
      <c r="C979" s="124" t="n">
        <v>2026</v>
      </c>
      <c r="D979" s="125" t="n"/>
      <c r="E979" s="103" t="n"/>
      <c r="F979" s="175" t="n"/>
      <c r="G979" s="175" t="n"/>
      <c r="H979" s="175" t="n"/>
      <c r="I979" s="103" t="inlineStr">
        <is>
          <t>导出同步任务</t>
        </is>
      </c>
      <c r="J979" s="93" t="inlineStr">
        <is>
          <t>EO</t>
        </is>
      </c>
      <c r="K979" s="102" t="n"/>
      <c r="L979" s="102" t="n"/>
      <c r="M979" s="85">
        <f>IF(OR(Y979="估算法",Y979="算法类",Y979="无法识别"),"",IF(W979="",IF(OR(J979="EI",J979="EO",J979="EQ"),0,""),LEN(W979)-LEN(SUBSTITUTE(W979,"、",""))+1))</f>
        <v/>
      </c>
      <c r="N979" s="85">
        <f>IF(OR(Y979="估算法",Y979="算法类",Y979="无法识别"),"",IF(X979="",IF(OR(J979="ILF",J979="EIF"),0,""),LEN(X979)-LEN(SUBSTITUTE(X979,"、",""))+1))</f>
        <v/>
      </c>
      <c r="O979" s="85">
        <f>IF(OR(Y979="估算法",Y979="算法类",Y979="无法识别"),"",IF(Y979="",IF(OR(J979="ILF",J979="EIF",J979="EI",J979="EO",J979="EQ"),0,""),LEN(Y979)-LEN(SUBSTITUTE(SUBSTITUTE(SUBSTITUTE(SUBSTITUTE(SUBSTITUTE(Y979,"|}","--"),"{|","--"),CHAR(10),""),"、",""),"|",""))+IF(AND(OR(J979="EI",J979="EO",J979="EQ"),$AE$1="NESMA"),2,1)))</f>
        <v/>
      </c>
      <c r="P979" s="86">
        <f>IF(J979="EI",IF(OR(Y979="估算法",Y979="算法类"),"中",IF(Y979="无法识别","低",IF(M979&lt;2,IF(O979&lt;16,"低","中"),IF(M979&lt;3,IF(O979&lt;5,"低",IF(O979&lt;16,"中","高")),IF(O979&lt;5,"中","高"))))),IF(OR(J979="EO",J979="EQ"),IF(OR(Y979="估算法",Y979="算法类"),"中",IF(Y979="无法识别","低",IF(M979&lt;2,IF(O979&lt;20,"低","中"),IF(M979&lt;4,IF(O979&lt;6,"低",IF(O979&lt;20,"中","高")),IF(O979&lt;6,"中","高"))))),IF(OR(J979="ILF",J979="EIF"),IF(OR(Y979="估算法",Y979="算法类",Y979="无法识别"),"低",IF(N979&lt;2,IF(O979&lt;51,"低","中"),IF(N979&lt;6,IF(O979&lt;20,"低",IF(O979&lt;51,"中","高")),IF(O979&lt;20,"中","高")))),"不计算")))</f>
        <v/>
      </c>
      <c r="Q979" s="172">
        <f>IFERROR(IF(J979="EI",IF(P979="低",3,IF(P979="中",4,6)),IF(J979="EO",IF(P979="低",4,IF(P979="中",5,7)),IF(J979="EQ",IF(P979="低",3,IF(P979="中",4,6)),IF(J979="ILF",IF(P979="低",7,IF(P979="中",10,15)),IF(J979="EIF",IF(P979="低",5,IF(P979="中",7,10)),"不计算")))))*R979,"不计算")</f>
        <v/>
      </c>
      <c r="R979" s="172" t="n">
        <v>1</v>
      </c>
      <c r="S979" s="173">
        <f>调整因子!$F$13</f>
        <v/>
      </c>
      <c r="T979" s="92" t="n">
        <v>1</v>
      </c>
      <c r="U979" s="174">
        <f>IFERROR(Q979*S979,0)</f>
        <v/>
      </c>
      <c r="V979" s="178">
        <f>U979*T979</f>
        <v/>
      </c>
      <c r="W979" s="103" t="inlineStr">
        <is>
          <t>数据清洗任务表、资产同步任务表、同步任务调度表</t>
        </is>
      </c>
      <c r="X979" s="103" t="inlineStr"/>
      <c r="Y979"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979" s="90" t="n"/>
      <c r="AA979" s="90" t="n"/>
    </row>
    <row r="980" s="112">
      <c r="A980" s="72">
        <f>ROW()-1</f>
        <v/>
      </c>
      <c r="B980" s="175" t="n"/>
      <c r="C980" s="124" t="n">
        <v>2026</v>
      </c>
      <c r="D980" s="125" t="n"/>
      <c r="E980" s="103" t="n"/>
      <c r="F980" s="175" t="n"/>
      <c r="G980" s="175" t="n"/>
      <c r="H980" s="175" t="n"/>
      <c r="I980" s="103" t="inlineStr">
        <is>
          <t>查询同步任务</t>
        </is>
      </c>
      <c r="J980" s="93" t="inlineStr">
        <is>
          <t>EQ</t>
        </is>
      </c>
      <c r="K980" s="102" t="n"/>
      <c r="L980" s="102" t="n"/>
      <c r="M980" s="85">
        <f>IF(OR(Y980="估算法",Y980="算法类",Y980="无法识别"),"",IF(W980="",IF(OR(J980="EI",J980="EO",J980="EQ"),0,""),LEN(W980)-LEN(SUBSTITUTE(W980,"、",""))+1))</f>
        <v/>
      </c>
      <c r="N980" s="85">
        <f>IF(OR(Y980="估算法",Y980="算法类",Y980="无法识别"),"",IF(X980="",IF(OR(J980="ILF",J980="EIF"),0,""),LEN(X980)-LEN(SUBSTITUTE(X980,"、",""))+1))</f>
        <v/>
      </c>
      <c r="O980" s="85">
        <f>IF(OR(Y980="估算法",Y980="算法类",Y980="无法识别"),"",IF(Y980="",IF(OR(J980="ILF",J980="EIF",J980="EI",J980="EO",J980="EQ"),0,""),LEN(Y980)-LEN(SUBSTITUTE(SUBSTITUTE(SUBSTITUTE(SUBSTITUTE(SUBSTITUTE(Y980,"|}","--"),"{|","--"),CHAR(10),""),"、",""),"|",""))+IF(AND(OR(J980="EI",J980="EO",J980="EQ"),$AE$1="NESMA"),2,1)))</f>
        <v/>
      </c>
      <c r="P980" s="86">
        <f>IF(J980="EI",IF(OR(Y980="估算法",Y980="算法类"),"中",IF(Y980="无法识别","低",IF(M980&lt;2,IF(O980&lt;16,"低","中"),IF(M980&lt;3,IF(O980&lt;5,"低",IF(O980&lt;16,"中","高")),IF(O980&lt;5,"中","高"))))),IF(OR(J980="EO",J980="EQ"),IF(OR(Y980="估算法",Y980="算法类"),"中",IF(Y980="无法识别","低",IF(M980&lt;2,IF(O980&lt;20,"低","中"),IF(M980&lt;4,IF(O980&lt;6,"低",IF(O980&lt;20,"中","高")),IF(O980&lt;6,"中","高"))))),IF(OR(J980="ILF",J980="EIF"),IF(OR(Y980="估算法",Y980="算法类",Y980="无法识别"),"低",IF(N980&lt;2,IF(O980&lt;51,"低","中"),IF(N980&lt;6,IF(O980&lt;20,"低",IF(O980&lt;51,"中","高")),IF(O980&lt;20,"中","高")))),"不计算")))</f>
        <v/>
      </c>
      <c r="Q980" s="172">
        <f>IFERROR(IF(J980="EI",IF(P980="低",3,IF(P980="中",4,6)),IF(J980="EO",IF(P980="低",4,IF(P980="中",5,7)),IF(J980="EQ",IF(P980="低",3,IF(P980="中",4,6)),IF(J980="ILF",IF(P980="低",7,IF(P980="中",10,15)),IF(J980="EIF",IF(P980="低",5,IF(P980="中",7,10)),"不计算")))))*R980,"不计算")</f>
        <v/>
      </c>
      <c r="R980" s="172" t="n">
        <v>1</v>
      </c>
      <c r="S980" s="173">
        <f>调整因子!$F$13</f>
        <v/>
      </c>
      <c r="T980" s="92" t="n">
        <v>1</v>
      </c>
      <c r="U980" s="174">
        <f>IFERROR(Q980*S980,0)</f>
        <v/>
      </c>
      <c r="V980" s="178">
        <f>U980*T980</f>
        <v/>
      </c>
      <c r="W980" s="103" t="inlineStr">
        <is>
          <t>数据清洗任务表、资产同步任务表、同步任务调度表</t>
        </is>
      </c>
      <c r="X980" s="103" t="inlineStr"/>
      <c r="Y98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980" s="90" t="n"/>
      <c r="AA980" s="90" t="n"/>
    </row>
    <row r="981" s="112">
      <c r="A981" s="72">
        <f>ROW()-1</f>
        <v/>
      </c>
      <c r="B981" s="175" t="n"/>
      <c r="C981" s="124" t="n">
        <v>2026</v>
      </c>
      <c r="D981" s="125" t="n"/>
      <c r="E981" s="103" t="n"/>
      <c r="F981" s="175" t="n"/>
      <c r="G981" s="175" t="n"/>
      <c r="H981" s="176" t="n"/>
      <c r="I981" s="103" t="inlineStr">
        <is>
          <t>查看同步任务详情</t>
        </is>
      </c>
      <c r="J981" s="93" t="inlineStr">
        <is>
          <t>EQ</t>
        </is>
      </c>
      <c r="K981" s="102" t="n"/>
      <c r="L981" s="102" t="inlineStr">
        <is>
          <t>处理流程和上行基本一致，为查询功能，未体现详情功能</t>
        </is>
      </c>
      <c r="M981" s="85">
        <f>IF(OR(Y981="估算法",Y981="算法类",Y981="无法识别"),"",IF(W981="",IF(OR(J981="EI",J981="EO",J981="EQ"),0,""),LEN(W981)-LEN(SUBSTITUTE(W981,"、",""))+1))</f>
        <v/>
      </c>
      <c r="N981" s="85">
        <f>IF(OR(Y981="估算法",Y981="算法类",Y981="无法识别"),"",IF(X981="",IF(OR(J981="ILF",J981="EIF"),0,""),LEN(X981)-LEN(SUBSTITUTE(X981,"、",""))+1))</f>
        <v/>
      </c>
      <c r="O981" s="85">
        <f>IF(OR(Y981="估算法",Y981="算法类",Y981="无法识别"),"",IF(Y981="",IF(OR(J981="ILF",J981="EIF",J981="EI",J981="EO",J981="EQ"),0,""),LEN(Y981)-LEN(SUBSTITUTE(SUBSTITUTE(SUBSTITUTE(SUBSTITUTE(SUBSTITUTE(Y981,"|}","--"),"{|","--"),CHAR(10),""),"、",""),"|",""))+IF(AND(OR(J981="EI",J981="EO",J981="EQ"),$AE$1="NESMA"),2,1)))</f>
        <v/>
      </c>
      <c r="P981" s="86">
        <f>IF(J981="EI",IF(OR(Y981="估算法",Y981="算法类"),"中",IF(Y981="无法识别","低",IF(M981&lt;2,IF(O981&lt;16,"低","中"),IF(M981&lt;3,IF(O981&lt;5,"低",IF(O981&lt;16,"中","高")),IF(O981&lt;5,"中","高"))))),IF(OR(J981="EO",J981="EQ"),IF(OR(Y981="估算法",Y981="算法类"),"中",IF(Y981="无法识别","低",IF(M981&lt;2,IF(O981&lt;20,"低","中"),IF(M981&lt;4,IF(O981&lt;6,"低",IF(O981&lt;20,"中","高")),IF(O981&lt;6,"中","高"))))),IF(OR(J981="ILF",J981="EIF"),IF(OR(Y981="估算法",Y981="算法类",Y981="无法识别"),"低",IF(N981&lt;2,IF(O981&lt;51,"低","中"),IF(N981&lt;6,IF(O981&lt;20,"低",IF(O981&lt;51,"中","高")),IF(O981&lt;20,"中","高")))),"不计算")))</f>
        <v/>
      </c>
      <c r="Q981" s="172">
        <f>IFERROR(IF(J981="EI",IF(P981="低",3,IF(P981="中",4,6)),IF(J981="EO",IF(P981="低",4,IF(P981="中",5,7)),IF(J981="EQ",IF(P981="低",3,IF(P981="中",4,6)),IF(J981="ILF",IF(P981="低",7,IF(P981="中",10,15)),IF(J981="EIF",IF(P981="低",5,IF(P981="中",7,10)),"不计算")))))*R981,"不计算")</f>
        <v/>
      </c>
      <c r="R981" s="172" t="n">
        <v>0.333333333333333</v>
      </c>
      <c r="S981" s="173">
        <f>调整因子!$F$13</f>
        <v/>
      </c>
      <c r="T981" s="93" t="n">
        <v>1</v>
      </c>
      <c r="U981" s="174">
        <f>IFERROR(Q981*S981,0)</f>
        <v/>
      </c>
      <c r="V981" s="178">
        <f>U981*T981</f>
        <v/>
      </c>
      <c r="W981" s="103" t="inlineStr">
        <is>
          <t>数据清洗任务表、资产同步任务表、同步任务调度表、任务统计数据表、任务趋势分析表</t>
        </is>
      </c>
      <c r="X981" s="103" t="inlineStr"/>
      <c r="Y981"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981" s="90" t="n"/>
      <c r="AA981" s="90" t="n"/>
    </row>
    <row r="982" s="112">
      <c r="A982" s="72">
        <f>ROW()-1</f>
        <v/>
      </c>
      <c r="B982" s="175" t="n"/>
      <c r="C982" s="124" t="n">
        <v>2026</v>
      </c>
      <c r="D982" s="125" t="n"/>
      <c r="E982" s="103" t="n"/>
      <c r="F982" s="175" t="n"/>
      <c r="G982" s="175" t="n"/>
      <c r="H982" s="97" t="inlineStr">
        <is>
          <t>同步历史查看</t>
        </is>
      </c>
      <c r="I982" s="103" t="inlineStr">
        <is>
          <t>导出同步历史</t>
        </is>
      </c>
      <c r="J982" s="93" t="inlineStr">
        <is>
          <t>EO</t>
        </is>
      </c>
      <c r="K982" s="102" t="n"/>
      <c r="L982" s="102" t="n"/>
      <c r="M982" s="85">
        <f>IF(OR(Y982="估算法",Y982="算法类",Y982="无法识别"),"",IF(W982="",IF(OR(J982="EI",J982="EO",J982="EQ"),0,""),LEN(W982)-LEN(SUBSTITUTE(W982,"、",""))+1))</f>
        <v/>
      </c>
      <c r="N982" s="85">
        <f>IF(OR(Y982="估算法",Y982="算法类",Y982="无法识别"),"",IF(X982="",IF(OR(J982="ILF",J982="EIF"),0,""),LEN(X982)-LEN(SUBSTITUTE(X982,"、",""))+1))</f>
        <v/>
      </c>
      <c r="O982" s="85">
        <f>IF(OR(Y982="估算法",Y982="算法类",Y982="无法识别"),"",IF(Y982="",IF(OR(J982="ILF",J982="EIF",J982="EI",J982="EO",J982="EQ"),0,""),LEN(Y982)-LEN(SUBSTITUTE(SUBSTITUTE(SUBSTITUTE(SUBSTITUTE(SUBSTITUTE(Y982,"|}","--"),"{|","--"),CHAR(10),""),"、",""),"|",""))+IF(AND(OR(J982="EI",J982="EO",J982="EQ"),$AE$1="NESMA"),2,1)))</f>
        <v/>
      </c>
      <c r="P982" s="86">
        <f>IF(J982="EI",IF(OR(Y982="估算法",Y982="算法类"),"中",IF(Y982="无法识别","低",IF(M982&lt;2,IF(O982&lt;16,"低","中"),IF(M982&lt;3,IF(O982&lt;5,"低",IF(O982&lt;16,"中","高")),IF(O982&lt;5,"中","高"))))),IF(OR(J982="EO",J982="EQ"),IF(OR(Y982="估算法",Y982="算法类"),"中",IF(Y982="无法识别","低",IF(M982&lt;2,IF(O982&lt;20,"低","中"),IF(M982&lt;4,IF(O982&lt;6,"低",IF(O982&lt;20,"中","高")),IF(O982&lt;6,"中","高"))))),IF(OR(J982="ILF",J982="EIF"),IF(OR(Y982="估算法",Y982="算法类",Y982="无法识别"),"低",IF(N982&lt;2,IF(O982&lt;51,"低","中"),IF(N982&lt;6,IF(O982&lt;20,"低",IF(O982&lt;51,"中","高")),IF(O982&lt;20,"中","高")))),"不计算")))</f>
        <v/>
      </c>
      <c r="Q982" s="172">
        <f>IFERROR(IF(J982="EI",IF(P982="低",3,IF(P982="中",4,6)),IF(J982="EO",IF(P982="低",4,IF(P982="中",5,7)),IF(J982="EQ",IF(P982="低",3,IF(P982="中",4,6)),IF(J982="ILF",IF(P982="低",7,IF(P982="中",10,15)),IF(J982="EIF",IF(P982="低",5,IF(P982="中",7,10)),"不计算")))))*R982,"不计算")</f>
        <v/>
      </c>
      <c r="R982" s="172" t="n">
        <v>1</v>
      </c>
      <c r="S982" s="173">
        <f>调整因子!$F$13</f>
        <v/>
      </c>
      <c r="T982" s="92" t="n">
        <v>1</v>
      </c>
      <c r="U982" s="174">
        <f>IFERROR(Q982*S982,0)</f>
        <v/>
      </c>
      <c r="V982" s="178">
        <f>U982*T982</f>
        <v/>
      </c>
      <c r="W982" s="103" t="inlineStr">
        <is>
          <t>任务故障记录表、任务趋势分析表、复测任务表、报告模板表、加密算法表</t>
        </is>
      </c>
      <c r="X982" s="103" t="inlineStr"/>
      <c r="Y982" s="97" t="inlineStr">
        <is>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is>
      </c>
      <c r="Z982" s="90" t="n"/>
      <c r="AA982" s="90" t="n"/>
    </row>
    <row r="983" s="112">
      <c r="A983" s="72">
        <f>ROW()-1</f>
        <v/>
      </c>
      <c r="B983" s="175" t="n"/>
      <c r="C983" s="124" t="n">
        <v>2026</v>
      </c>
      <c r="D983" s="125" t="n"/>
      <c r="E983" s="103" t="n"/>
      <c r="F983" s="175" t="n"/>
      <c r="G983" s="175" t="n"/>
      <c r="H983" s="175" t="n"/>
      <c r="I983" s="103" t="inlineStr">
        <is>
          <t>下载变更报告</t>
        </is>
      </c>
      <c r="J983" s="93" t="inlineStr">
        <is>
          <t>EO</t>
        </is>
      </c>
      <c r="K983" s="102" t="n"/>
      <c r="L983" s="102" t="n"/>
      <c r="M983" s="85">
        <f>IF(OR(Y983="估算法",Y983="算法类",Y983="无法识别"),"",IF(W983="",IF(OR(J983="EI",J983="EO",J983="EQ"),0,""),LEN(W983)-LEN(SUBSTITUTE(W983,"、",""))+1))</f>
        <v/>
      </c>
      <c r="N983" s="85">
        <f>IF(OR(Y983="估算法",Y983="算法类",Y983="无法识别"),"",IF(X983="",IF(OR(J983="ILF",J983="EIF"),0,""),LEN(X983)-LEN(SUBSTITUTE(X983,"、",""))+1))</f>
        <v/>
      </c>
      <c r="O983" s="85">
        <f>IF(OR(Y983="估算法",Y983="算法类",Y983="无法识别"),"",IF(Y983="",IF(OR(J983="ILF",J983="EIF",J983="EI",J983="EO",J983="EQ"),0,""),LEN(Y983)-LEN(SUBSTITUTE(SUBSTITUTE(SUBSTITUTE(SUBSTITUTE(SUBSTITUTE(Y983,"|}","--"),"{|","--"),CHAR(10),""),"、",""),"|",""))+IF(AND(OR(J983="EI",J983="EO",J983="EQ"),$AE$1="NESMA"),2,1)))</f>
        <v/>
      </c>
      <c r="P983" s="86">
        <f>IF(J983="EI",IF(OR(Y983="估算法",Y983="算法类"),"中",IF(Y983="无法识别","低",IF(M983&lt;2,IF(O983&lt;16,"低","中"),IF(M983&lt;3,IF(O983&lt;5,"低",IF(O983&lt;16,"中","高")),IF(O983&lt;5,"中","高"))))),IF(OR(J983="EO",J983="EQ"),IF(OR(Y983="估算法",Y983="算法类"),"中",IF(Y983="无法识别","低",IF(M983&lt;2,IF(O983&lt;20,"低","中"),IF(M983&lt;4,IF(O983&lt;6,"低",IF(O983&lt;20,"中","高")),IF(O983&lt;6,"中","高"))))),IF(OR(J983="ILF",J983="EIF"),IF(OR(Y983="估算法",Y983="算法类",Y983="无法识别"),"低",IF(N983&lt;2,IF(O983&lt;51,"低","中"),IF(N983&lt;6,IF(O983&lt;20,"低",IF(O983&lt;51,"中","高")),IF(O983&lt;20,"中","高")))),"不计算")))</f>
        <v/>
      </c>
      <c r="Q983" s="172">
        <f>IFERROR(IF(J983="EI",IF(P983="低",3,IF(P983="中",4,6)),IF(J983="EO",IF(P983="低",4,IF(P983="中",5,7)),IF(J983="EQ",IF(P983="低",3,IF(P983="中",4,6)),IF(J983="ILF",IF(P983="低",7,IF(P983="中",10,15)),IF(J983="EIF",IF(P983="低",5,IF(P983="中",7,10)),"不计算")))))*R983,"不计算")</f>
        <v/>
      </c>
      <c r="R983" s="172" t="n">
        <v>1</v>
      </c>
      <c r="S983" s="173">
        <f>调整因子!$F$13</f>
        <v/>
      </c>
      <c r="T983" s="92" t="n">
        <v>1</v>
      </c>
      <c r="U983" s="174">
        <f>IFERROR(Q983*S983,0)</f>
        <v/>
      </c>
      <c r="V983" s="178">
        <f>U983*T983</f>
        <v/>
      </c>
      <c r="W983" s="103" t="inlineStr">
        <is>
          <t>提醒策略配置表、接口监控配置表、推送配置表</t>
        </is>
      </c>
      <c r="X983" s="103" t="inlineStr"/>
      <c r="Y983" s="97" t="inlineStr">
        <is>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is>
      </c>
      <c r="Z983" s="90" t="n"/>
      <c r="AA983" s="90" t="n"/>
    </row>
    <row r="984" s="112">
      <c r="A984" s="72">
        <f>ROW()-1</f>
        <v/>
      </c>
      <c r="B984" s="175" t="n"/>
      <c r="C984" s="124" t="n">
        <v>2026</v>
      </c>
      <c r="D984" s="125" t="n"/>
      <c r="E984" s="103" t="n"/>
      <c r="F984" s="175" t="n"/>
      <c r="G984" s="175" t="n"/>
      <c r="H984" s="175" t="n"/>
      <c r="I984" s="103" t="inlineStr">
        <is>
          <t>查询同步历史</t>
        </is>
      </c>
      <c r="J984" s="93" t="inlineStr">
        <is>
          <t>EQ</t>
        </is>
      </c>
      <c r="K984" s="102" t="n"/>
      <c r="L984" s="102" t="n"/>
      <c r="M984" s="85">
        <f>IF(OR(Y984="估算法",Y984="算法类",Y984="无法识别"),"",IF(W984="",IF(OR(J984="EI",J984="EO",J984="EQ"),0,""),LEN(W984)-LEN(SUBSTITUTE(W984,"、",""))+1))</f>
        <v/>
      </c>
      <c r="N984" s="85">
        <f>IF(OR(Y984="估算法",Y984="算法类",Y984="无法识别"),"",IF(X984="",IF(OR(J984="ILF",J984="EIF"),0,""),LEN(X984)-LEN(SUBSTITUTE(X984,"、",""))+1))</f>
        <v/>
      </c>
      <c r="O984" s="85">
        <f>IF(OR(Y984="估算法",Y984="算法类",Y984="无法识别"),"",IF(Y984="",IF(OR(J984="ILF",J984="EIF",J984="EI",J984="EO",J984="EQ"),0,""),LEN(Y984)-LEN(SUBSTITUTE(SUBSTITUTE(SUBSTITUTE(SUBSTITUTE(SUBSTITUTE(Y984,"|}","--"),"{|","--"),CHAR(10),""),"、",""),"|",""))+IF(AND(OR(J984="EI",J984="EO",J984="EQ"),$AE$1="NESMA"),2,1)))</f>
        <v/>
      </c>
      <c r="P984" s="86">
        <f>IF(J984="EI",IF(OR(Y984="估算法",Y984="算法类"),"中",IF(Y984="无法识别","低",IF(M984&lt;2,IF(O984&lt;16,"低","中"),IF(M984&lt;3,IF(O984&lt;5,"低",IF(O984&lt;16,"中","高")),IF(O984&lt;5,"中","高"))))),IF(OR(J984="EO",J984="EQ"),IF(OR(Y984="估算法",Y984="算法类"),"中",IF(Y984="无法识别","低",IF(M984&lt;2,IF(O984&lt;20,"低","中"),IF(M984&lt;4,IF(O984&lt;6,"低",IF(O984&lt;20,"中","高")),IF(O984&lt;6,"中","高"))))),IF(OR(J984="ILF",J984="EIF"),IF(OR(Y984="估算法",Y984="算法类",Y984="无法识别"),"低",IF(N984&lt;2,IF(O984&lt;51,"低","中"),IF(N984&lt;6,IF(O984&lt;20,"低",IF(O984&lt;51,"中","高")),IF(O984&lt;20,"中","高")))),"不计算")))</f>
        <v/>
      </c>
      <c r="Q984" s="172">
        <f>IFERROR(IF(J984="EI",IF(P984="低",3,IF(P984="中",4,6)),IF(J984="EO",IF(P984="低",4,IF(P984="中",5,7)),IF(J984="EQ",IF(P984="低",3,IF(P984="中",4,6)),IF(J984="ILF",IF(P984="低",7,IF(P984="中",10,15)),IF(J984="EIF",IF(P984="低",5,IF(P984="中",7,10)),"不计算")))))*R984,"不计算")</f>
        <v/>
      </c>
      <c r="R984" s="172" t="n">
        <v>1</v>
      </c>
      <c r="S984" s="173">
        <f>调整因子!$F$13</f>
        <v/>
      </c>
      <c r="T984" s="93" t="n">
        <v>1</v>
      </c>
      <c r="U984" s="174">
        <f>IFERROR(Q984*S984,0)</f>
        <v/>
      </c>
      <c r="V984" s="178">
        <f>U984*T984</f>
        <v/>
      </c>
      <c r="W984" s="103" t="inlineStr">
        <is>
          <t>复测任务表、推送对象表、处置单关联表、接口参数配置表、验证任务表</t>
        </is>
      </c>
      <c r="X984" s="103" t="inlineStr"/>
      <c r="Y984" s="97" t="inlineStr">
        <is>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is>
      </c>
      <c r="Z984" s="90" t="n"/>
      <c r="AA984" s="90" t="n"/>
    </row>
    <row r="985" s="112">
      <c r="A985" s="72">
        <f>ROW()-1</f>
        <v/>
      </c>
      <c r="B985" s="175" t="n"/>
      <c r="C985" s="124" t="n">
        <v>2026</v>
      </c>
      <c r="D985" s="125" t="n"/>
      <c r="E985" s="103" t="n"/>
      <c r="F985" s="175" t="n"/>
      <c r="G985" s="175" t="n"/>
      <c r="H985" s="175" t="n"/>
      <c r="I985" s="103" t="inlineStr">
        <is>
          <t>查看变更详情</t>
        </is>
      </c>
      <c r="J985" s="93" t="inlineStr">
        <is>
          <t>EQ</t>
        </is>
      </c>
      <c r="K985" s="102" t="n"/>
      <c r="L985" s="102" t="inlineStr">
        <is>
          <t>处理流程和上行基本一致，为查询功能，未体现详情功能</t>
        </is>
      </c>
      <c r="M985" s="85">
        <f>IF(OR(Y985="估算法",Y985="算法类",Y985="无法识别"),"",IF(W985="",IF(OR(J985="EI",J985="EO",J985="EQ"),0,""),LEN(W985)-LEN(SUBSTITUTE(W985,"、",""))+1))</f>
        <v/>
      </c>
      <c r="N985" s="85">
        <f>IF(OR(Y985="估算法",Y985="算法类",Y985="无法识别"),"",IF(X985="",IF(OR(J985="ILF",J985="EIF"),0,""),LEN(X985)-LEN(SUBSTITUTE(X985,"、",""))+1))</f>
        <v/>
      </c>
      <c r="O985" s="85">
        <f>IF(OR(Y985="估算法",Y985="算法类",Y985="无法识别"),"",IF(Y985="",IF(OR(J985="ILF",J985="EIF",J985="EI",J985="EO",J985="EQ"),0,""),LEN(Y985)-LEN(SUBSTITUTE(SUBSTITUTE(SUBSTITUTE(SUBSTITUTE(SUBSTITUTE(Y985,"|}","--"),"{|","--"),CHAR(10),""),"、",""),"|",""))+IF(AND(OR(J985="EI",J985="EO",J985="EQ"),$AE$1="NESMA"),2,1)))</f>
        <v/>
      </c>
      <c r="P985" s="86">
        <f>IF(J985="EI",IF(OR(Y985="估算法",Y985="算法类"),"中",IF(Y985="无法识别","低",IF(M985&lt;2,IF(O985&lt;16,"低","中"),IF(M985&lt;3,IF(O985&lt;5,"低",IF(O985&lt;16,"中","高")),IF(O985&lt;5,"中","高"))))),IF(OR(J985="EO",J985="EQ"),IF(OR(Y985="估算法",Y985="算法类"),"中",IF(Y985="无法识别","低",IF(M985&lt;2,IF(O985&lt;20,"低","中"),IF(M985&lt;4,IF(O985&lt;6,"低",IF(O985&lt;20,"中","高")),IF(O985&lt;6,"中","高"))))),IF(OR(J985="ILF",J985="EIF"),IF(OR(Y985="估算法",Y985="算法类",Y985="无法识别"),"低",IF(N985&lt;2,IF(O985&lt;51,"低","中"),IF(N985&lt;6,IF(O985&lt;20,"低",IF(O985&lt;51,"中","高")),IF(O985&lt;20,"中","高")))),"不计算")))</f>
        <v/>
      </c>
      <c r="Q985" s="172">
        <f>IFERROR(IF(J985="EI",IF(P985="低",3,IF(P985="中",4,6)),IF(J985="EO",IF(P985="低",4,IF(P985="中",5,7)),IF(J985="EQ",IF(P985="低",3,IF(P985="中",4,6)),IF(J985="ILF",IF(P985="低",7,IF(P985="中",10,15)),IF(J985="EIF",IF(P985="低",5,IF(P985="中",7,10)),"不计算")))))*R985,"不计算")</f>
        <v/>
      </c>
      <c r="R985" s="172" t="n">
        <v>0.333333333333333</v>
      </c>
      <c r="S985" s="173">
        <f>调整因子!$F$13</f>
        <v/>
      </c>
      <c r="T985" s="93" t="n">
        <v>1</v>
      </c>
      <c r="U985" s="174">
        <f>IFERROR(Q985*S985,0)</f>
        <v/>
      </c>
      <c r="V985" s="178">
        <f>U985*T985</f>
        <v/>
      </c>
      <c r="W985" s="103" t="inlineStr">
        <is>
          <t>通报配置表、离线扫描报告表、同步失败重试记录表</t>
        </is>
      </c>
      <c r="X985" s="103" t="inlineStr"/>
      <c r="Y985" s="97" t="inlineStr">
        <is>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is>
      </c>
      <c r="Z985" s="90" t="n"/>
      <c r="AA985" s="90" t="n"/>
    </row>
    <row r="986" s="112">
      <c r="A986" s="72">
        <f>ROW()-1</f>
        <v/>
      </c>
      <c r="B986" s="175" t="n"/>
      <c r="C986" s="124" t="n">
        <v>2026</v>
      </c>
      <c r="D986" s="125" t="n"/>
      <c r="E986" s="103" t="n"/>
      <c r="F986" s="175" t="n"/>
      <c r="G986" s="175" t="n"/>
      <c r="H986" s="176" t="n"/>
      <c r="I986" s="103" t="inlineStr">
        <is>
          <t>查看版本对比</t>
        </is>
      </c>
      <c r="J986" s="93" t="inlineStr">
        <is>
          <t>EQ</t>
        </is>
      </c>
      <c r="K986" s="102" t="n"/>
      <c r="L986" s="102" t="inlineStr">
        <is>
          <t>处理流程和上行基本一致，为查询功能，未体现详情功能</t>
        </is>
      </c>
      <c r="M986" s="85">
        <f>IF(OR(Y986="估算法",Y986="算法类",Y986="无法识别"),"",IF(W986="",IF(OR(J986="EI",J986="EO",J986="EQ"),0,""),LEN(W986)-LEN(SUBSTITUTE(W986,"、",""))+1))</f>
        <v/>
      </c>
      <c r="N986" s="85">
        <f>IF(OR(Y986="估算法",Y986="算法类",Y986="无法识别"),"",IF(X986="",IF(OR(J986="ILF",J986="EIF"),0,""),LEN(X986)-LEN(SUBSTITUTE(X986,"、",""))+1))</f>
        <v/>
      </c>
      <c r="O986" s="85">
        <f>IF(OR(Y986="估算法",Y986="算法类",Y986="无法识别"),"",IF(Y986="",IF(OR(J986="ILF",J986="EIF",J986="EI",J986="EO",J986="EQ"),0,""),LEN(Y986)-LEN(SUBSTITUTE(SUBSTITUTE(SUBSTITUTE(SUBSTITUTE(SUBSTITUTE(Y986,"|}","--"),"{|","--"),CHAR(10),""),"、",""),"|",""))+IF(AND(OR(J986="EI",J986="EO",J986="EQ"),$AE$1="NESMA"),2,1)))</f>
        <v/>
      </c>
      <c r="P986" s="86">
        <f>IF(J986="EI",IF(OR(Y986="估算法",Y986="算法类"),"中",IF(Y986="无法识别","低",IF(M986&lt;2,IF(O986&lt;16,"低","中"),IF(M986&lt;3,IF(O986&lt;5,"低",IF(O986&lt;16,"中","高")),IF(O986&lt;5,"中","高"))))),IF(OR(J986="EO",J986="EQ"),IF(OR(Y986="估算法",Y986="算法类"),"中",IF(Y986="无法识别","低",IF(M986&lt;2,IF(O986&lt;20,"低","中"),IF(M986&lt;4,IF(O986&lt;6,"低",IF(O986&lt;20,"中","高")),IF(O986&lt;6,"中","高"))))),IF(OR(J986="ILF",J986="EIF"),IF(OR(Y986="估算法",Y986="算法类",Y986="无法识别"),"低",IF(N986&lt;2,IF(O986&lt;51,"低","中"),IF(N986&lt;6,IF(O986&lt;20,"低",IF(O986&lt;51,"中","高")),IF(O986&lt;20,"中","高")))),"不计算")))</f>
        <v/>
      </c>
      <c r="Q986" s="172">
        <f>IFERROR(IF(J986="EI",IF(P986="低",3,IF(P986="中",4,6)),IF(J986="EO",IF(P986="低",4,IF(P986="中",5,7)),IF(J986="EQ",IF(P986="低",3,IF(P986="中",4,6)),IF(J986="ILF",IF(P986="低",7,IF(P986="中",10,15)),IF(J986="EIF",IF(P986="低",5,IF(P986="中",7,10)),"不计算")))))*R986,"不计算")</f>
        <v/>
      </c>
      <c r="R986" s="172" t="n">
        <v>0.333333333333333</v>
      </c>
      <c r="S986" s="173">
        <f>调整因子!$F$13</f>
        <v/>
      </c>
      <c r="T986" s="92" t="n">
        <v>1</v>
      </c>
      <c r="U986" s="174">
        <f>IFERROR(Q986*S986,0)</f>
        <v/>
      </c>
      <c r="V986" s="178">
        <f>U986*T986</f>
        <v/>
      </c>
      <c r="W986" s="103" t="inlineStr">
        <is>
          <t>通报对象表、验证记录表、考核指标配置表、加密规则表</t>
        </is>
      </c>
      <c r="X986" s="103" t="inlineStr"/>
      <c r="Y986" s="97" t="inlineStr">
        <is>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is>
      </c>
      <c r="Z986" s="90" t="n"/>
      <c r="AA986" s="90" t="n"/>
    </row>
    <row r="987" s="112">
      <c r="A987" s="72">
        <f>ROW()-1</f>
        <v/>
      </c>
      <c r="B987" s="175" t="n"/>
      <c r="C987" s="124" t="n">
        <v>2026</v>
      </c>
      <c r="D987" s="125" t="n"/>
      <c r="E987" s="103" t="n"/>
      <c r="F987" s="175" t="n"/>
      <c r="G987" s="175" t="n"/>
      <c r="H987" s="97" t="inlineStr">
        <is>
          <t>同步监控管理</t>
        </is>
      </c>
      <c r="I987" s="103" t="inlineStr">
        <is>
          <t>启用同步监控</t>
        </is>
      </c>
      <c r="J987" s="93" t="inlineStr">
        <is>
          <t>EI</t>
        </is>
      </c>
      <c r="K987" s="102" t="n"/>
      <c r="L987" s="102" t="n"/>
      <c r="M987" s="85">
        <f>IF(OR(Y987="估算法",Y987="算法类",Y987="无法识别"),"",IF(W987="",IF(OR(J987="EI",J987="EO",J987="EQ"),0,""),LEN(W987)-LEN(SUBSTITUTE(W987,"、",""))+1))</f>
        <v/>
      </c>
      <c r="N987" s="85">
        <f>IF(OR(Y987="估算法",Y987="算法类",Y987="无法识别"),"",IF(X987="",IF(OR(J987="ILF",J987="EIF"),0,""),LEN(X987)-LEN(SUBSTITUTE(X987,"、",""))+1))</f>
        <v/>
      </c>
      <c r="O987" s="85">
        <f>IF(OR(Y987="估算法",Y987="算法类",Y987="无法识别"),"",IF(Y987="",IF(OR(J987="ILF",J987="EIF",J987="EI",J987="EO",J987="EQ"),0,""),LEN(Y987)-LEN(SUBSTITUTE(SUBSTITUTE(SUBSTITUTE(SUBSTITUTE(SUBSTITUTE(Y987,"|}","--"),"{|","--"),CHAR(10),""),"、",""),"|",""))+IF(AND(OR(J987="EI",J987="EO",J987="EQ"),$AE$1="NESMA"),2,1)))</f>
        <v/>
      </c>
      <c r="P987" s="86">
        <f>IF(J987="EI",IF(OR(Y987="估算法",Y987="算法类"),"中",IF(Y987="无法识别","低",IF(M987&lt;2,IF(O987&lt;16,"低","中"),IF(M987&lt;3,IF(O987&lt;5,"低",IF(O987&lt;16,"中","高")),IF(O987&lt;5,"中","高"))))),IF(OR(J987="EO",J987="EQ"),IF(OR(Y987="估算法",Y987="算法类"),"中",IF(Y987="无法识别","低",IF(M987&lt;2,IF(O987&lt;20,"低","中"),IF(M987&lt;4,IF(O987&lt;6,"低",IF(O987&lt;20,"中","高")),IF(O987&lt;6,"中","高"))))),IF(OR(J987="ILF",J987="EIF"),IF(OR(Y987="估算法",Y987="算法类",Y987="无法识别"),"低",IF(N987&lt;2,IF(O987&lt;51,"低","中"),IF(N987&lt;6,IF(O987&lt;20,"低",IF(O987&lt;51,"中","高")),IF(O987&lt;20,"中","高")))),"不计算")))</f>
        <v/>
      </c>
      <c r="Q987" s="172">
        <f>IFERROR(IF(J987="EI",IF(P987="低",3,IF(P987="中",4,6)),IF(J987="EO",IF(P987="低",4,IF(P987="中",5,7)),IF(J987="EQ",IF(P987="低",3,IF(P987="中",4,6)),IF(J987="ILF",IF(P987="低",7,IF(P987="中",10,15)),IF(J987="EIF",IF(P987="低",5,IF(P987="中",7,10)),"不计算")))))*R987,"不计算")</f>
        <v/>
      </c>
      <c r="R987" s="172" t="n">
        <v>1</v>
      </c>
      <c r="S987" s="173">
        <f>调整因子!$F$13</f>
        <v/>
      </c>
      <c r="T987" s="92" t="n">
        <v>1</v>
      </c>
      <c r="U987" s="174">
        <f>IFERROR(Q987*S987,0)</f>
        <v/>
      </c>
      <c r="V987" s="178">
        <f>U987*T987</f>
        <v/>
      </c>
      <c r="W987" s="103" t="inlineStr">
        <is>
          <t>通报模板表、离线扫描报告表、日志采集配置表、漏洞处置单表、任务趋势分析表</t>
        </is>
      </c>
      <c r="X987" s="103" t="inlineStr"/>
      <c r="Y987" s="97" t="inlineStr">
        <is>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is>
      </c>
      <c r="Z987" s="90" t="n"/>
      <c r="AA987" s="90" t="n"/>
    </row>
    <row r="988" s="112">
      <c r="A988" s="72">
        <f>ROW()-1</f>
        <v/>
      </c>
      <c r="B988" s="175" t="n"/>
      <c r="C988" s="124" t="n">
        <v>2026</v>
      </c>
      <c r="D988" s="125" t="n"/>
      <c r="E988" s="103" t="n"/>
      <c r="F988" s="175" t="n"/>
      <c r="G988" s="176" t="n"/>
      <c r="H988" s="176" t="n"/>
      <c r="I988" s="103" t="inlineStr">
        <is>
          <t>停用同步监控</t>
        </is>
      </c>
      <c r="J988" s="93" t="n"/>
      <c r="K988" s="102" t="n"/>
      <c r="L988" s="102" t="inlineStr">
        <is>
          <t>和上行合并，启停为相同功能</t>
        </is>
      </c>
      <c r="M988" s="85">
        <f>IF(OR(Y988="估算法",Y988="算法类",Y988="无法识别"),"",IF(W988="",IF(OR(J988="EI",J988="EO",J988="EQ"),0,""),LEN(W988)-LEN(SUBSTITUTE(W988,"、",""))+1))</f>
        <v/>
      </c>
      <c r="N988" s="85">
        <f>IF(OR(Y988="估算法",Y988="算法类",Y988="无法识别"),"",IF(X988="",IF(OR(J988="ILF",J988="EIF"),0,""),LEN(X988)-LEN(SUBSTITUTE(X988,"、",""))+1))</f>
        <v/>
      </c>
      <c r="O988" s="85">
        <f>IF(OR(Y988="估算法",Y988="算法类",Y988="无法识别"),"",IF(Y988="",IF(OR(J988="ILF",J988="EIF",J988="EI",J988="EO",J988="EQ"),0,""),LEN(Y988)-LEN(SUBSTITUTE(SUBSTITUTE(SUBSTITUTE(SUBSTITUTE(SUBSTITUTE(Y988,"|}","--"),"{|","--"),CHAR(10),""),"、",""),"|",""))+IF(AND(OR(J988="EI",J988="EO",J988="EQ"),$AE$1="NESMA"),2,1)))</f>
        <v/>
      </c>
      <c r="P988" s="86">
        <f>IF(J988="EI",IF(OR(Y988="估算法",Y988="算法类"),"中",IF(Y988="无法识别","低",IF(M988&lt;2,IF(O988&lt;16,"低","中"),IF(M988&lt;3,IF(O988&lt;5,"低",IF(O988&lt;16,"中","高")),IF(O988&lt;5,"中","高"))))),IF(OR(J988="EO",J988="EQ"),IF(OR(Y988="估算法",Y988="算法类"),"中",IF(Y988="无法识别","低",IF(M988&lt;2,IF(O988&lt;20,"低","中"),IF(M988&lt;4,IF(O988&lt;6,"低",IF(O988&lt;20,"中","高")),IF(O988&lt;6,"中","高"))))),IF(OR(J988="ILF",J988="EIF"),IF(OR(Y988="估算法",Y988="算法类",Y988="无法识别"),"低",IF(N988&lt;2,IF(O988&lt;51,"低","中"),IF(N988&lt;6,IF(O988&lt;20,"低",IF(O988&lt;51,"中","高")),IF(O988&lt;20,"中","高")))),"不计算")))</f>
        <v/>
      </c>
      <c r="Q988" s="172">
        <f>IFERROR(IF(J988="EI",IF(P988="低",3,IF(P988="中",4,6)),IF(J988="EO",IF(P988="低",4,IF(P988="中",5,7)),IF(J988="EQ",IF(P988="低",3,IF(P988="中",4,6)),IF(J988="ILF",IF(P988="低",7,IF(P988="中",10,15)),IF(J988="EIF",IF(P988="低",5,IF(P988="中",7,10)),"不计算")))))*R988,"不计算")</f>
        <v/>
      </c>
      <c r="R988" s="172" t="n">
        <v>1</v>
      </c>
      <c r="S988" s="173">
        <f>调整因子!$F$13</f>
        <v/>
      </c>
      <c r="T988" s="93" t="n">
        <v>1</v>
      </c>
      <c r="U988" s="174">
        <f>IFERROR(Q988*S988,0)</f>
        <v/>
      </c>
      <c r="V988" s="178">
        <f>U988*T988</f>
        <v/>
      </c>
      <c r="W988" s="103" t="inlineStr">
        <is>
          <t>任务优先级配置表、验证任务表、模板分类表</t>
        </is>
      </c>
      <c r="X988" s="103" t="inlineStr"/>
      <c r="Y988" s="97" t="inlineStr">
        <is>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is>
      </c>
      <c r="Z988" s="90" t="n"/>
      <c r="AA988" s="90" t="n"/>
    </row>
    <row r="989" s="112">
      <c r="A989" s="72">
        <f>ROW()-1</f>
        <v/>
      </c>
      <c r="B989" s="175" t="n"/>
      <c r="C989" s="124" t="n">
        <v>2026</v>
      </c>
      <c r="D989" s="125" t="n"/>
      <c r="E989" s="103" t="n"/>
      <c r="F989" s="175" t="n"/>
      <c r="G989" s="97" t="inlineStr">
        <is>
          <t>自动化扫描配置</t>
        </is>
      </c>
      <c r="H989" s="97" t="inlineStr">
        <is>
          <t>自动扫描策略配置</t>
        </is>
      </c>
      <c r="I989" s="103" t="inlineStr">
        <is>
          <t>编辑自动扫描策略</t>
        </is>
      </c>
      <c r="J989" s="93" t="inlineStr">
        <is>
          <t>EI</t>
        </is>
      </c>
      <c r="K989" s="102" t="n"/>
      <c r="L989" s="102" t="n"/>
      <c r="M989" s="85">
        <f>IF(OR(Y989="估算法",Y989="算法类",Y989="无法识别"),"",IF(W989="",IF(OR(J989="EI",J989="EO",J989="EQ"),0,""),LEN(W989)-LEN(SUBSTITUTE(W989,"、",""))+1))</f>
        <v/>
      </c>
      <c r="N989" s="85">
        <f>IF(OR(Y989="估算法",Y989="算法类",Y989="无法识别"),"",IF(X989="",IF(OR(J989="ILF",J989="EIF"),0,""),LEN(X989)-LEN(SUBSTITUTE(X989,"、",""))+1))</f>
        <v/>
      </c>
      <c r="O989" s="85">
        <f>IF(OR(Y989="估算法",Y989="算法类",Y989="无法识别"),"",IF(Y989="",IF(OR(J989="ILF",J989="EIF",J989="EI",J989="EO",J989="EQ"),0,""),LEN(Y989)-LEN(SUBSTITUTE(SUBSTITUTE(SUBSTITUTE(SUBSTITUTE(SUBSTITUTE(Y989,"|}","--"),"{|","--"),CHAR(10),""),"、",""),"|",""))+IF(AND(OR(J989="EI",J989="EO",J989="EQ"),$AE$1="NESMA"),2,1)))</f>
        <v/>
      </c>
      <c r="P989" s="86">
        <f>IF(J989="EI",IF(OR(Y989="估算法",Y989="算法类"),"中",IF(Y989="无法识别","低",IF(M989&lt;2,IF(O989&lt;16,"低","中"),IF(M989&lt;3,IF(O989&lt;5,"低",IF(O989&lt;16,"中","高")),IF(O989&lt;5,"中","高"))))),IF(OR(J989="EO",J989="EQ"),IF(OR(Y989="估算法",Y989="算法类"),"中",IF(Y989="无法识别","低",IF(M989&lt;2,IF(O989&lt;20,"低","中"),IF(M989&lt;4,IF(O989&lt;6,"低",IF(O989&lt;20,"中","高")),IF(O989&lt;6,"中","高"))))),IF(OR(J989="ILF",J989="EIF"),IF(OR(Y989="估算法",Y989="算法类",Y989="无法识别"),"低",IF(N989&lt;2,IF(O989&lt;51,"低","中"),IF(N989&lt;6,IF(O989&lt;20,"低",IF(O989&lt;51,"中","高")),IF(O989&lt;20,"中","高")))),"不计算")))</f>
        <v/>
      </c>
      <c r="Q989" s="172">
        <f>IFERROR(IF(J989="EI",IF(P989="低",3,IF(P989="中",4,6)),IF(J989="EO",IF(P989="低",4,IF(P989="中",5,7)),IF(J989="EQ",IF(P989="低",3,IF(P989="中",4,6)),IF(J989="ILF",IF(P989="低",7,IF(P989="中",10,15)),IF(J989="EIF",IF(P989="低",5,IF(P989="中",7,10)),"不计算")))))*R989,"不计算")</f>
        <v/>
      </c>
      <c r="R989" s="172" t="n">
        <v>1</v>
      </c>
      <c r="S989" s="173">
        <f>调整因子!$F$13</f>
        <v/>
      </c>
      <c r="T989" s="92" t="n">
        <v>1</v>
      </c>
      <c r="U989" s="174">
        <f>IFERROR(Q989*S989,0)</f>
        <v/>
      </c>
      <c r="V989" s="178">
        <f>U989*T989</f>
        <v/>
      </c>
      <c r="W989" s="103" t="inlineStr">
        <is>
          <t>资产扫描覆盖表、扫描盲区记录表、扫描能力缺口表、离线扫描报告表</t>
        </is>
      </c>
      <c r="X989" s="103" t="inlineStr"/>
      <c r="Y989"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989" s="90" t="n"/>
      <c r="AA989" s="90" t="n"/>
    </row>
    <row r="990" s="112">
      <c r="A990" s="72">
        <f>ROW()-1</f>
        <v/>
      </c>
      <c r="B990" s="175" t="n"/>
      <c r="C990" s="124" t="n">
        <v>2026</v>
      </c>
      <c r="D990" s="125" t="n"/>
      <c r="E990" s="103" t="n"/>
      <c r="F990" s="175" t="n"/>
      <c r="G990" s="175" t="n"/>
      <c r="H990" s="175" t="n"/>
      <c r="I990" s="103" t="inlineStr">
        <is>
          <t>删除自动扫描策略</t>
        </is>
      </c>
      <c r="J990" s="93" t="inlineStr">
        <is>
          <t>EI</t>
        </is>
      </c>
      <c r="K990" s="102" t="n"/>
      <c r="L990" s="102" t="n"/>
      <c r="M990" s="85">
        <f>IF(OR(Y990="估算法",Y990="算法类",Y990="无法识别"),"",IF(W990="",IF(OR(J990="EI",J990="EO",J990="EQ"),0,""),LEN(W990)-LEN(SUBSTITUTE(W990,"、",""))+1))</f>
        <v/>
      </c>
      <c r="N990" s="85">
        <f>IF(OR(Y990="估算法",Y990="算法类",Y990="无法识别"),"",IF(X990="",IF(OR(J990="ILF",J990="EIF"),0,""),LEN(X990)-LEN(SUBSTITUTE(X990,"、",""))+1))</f>
        <v/>
      </c>
      <c r="O990" s="85">
        <f>IF(OR(Y990="估算法",Y990="算法类",Y990="无法识别"),"",IF(Y990="",IF(OR(J990="ILF",J990="EIF",J990="EI",J990="EO",J990="EQ"),0,""),LEN(Y990)-LEN(SUBSTITUTE(SUBSTITUTE(SUBSTITUTE(SUBSTITUTE(SUBSTITUTE(Y990,"|}","--"),"{|","--"),CHAR(10),""),"、",""),"|",""))+IF(AND(OR(J990="EI",J990="EO",J990="EQ"),$AE$1="NESMA"),2,1)))</f>
        <v/>
      </c>
      <c r="P990" s="86">
        <f>IF(J990="EI",IF(OR(Y990="估算法",Y990="算法类"),"中",IF(Y990="无法识别","低",IF(M990&lt;2,IF(O990&lt;16,"低","中"),IF(M990&lt;3,IF(O990&lt;5,"低",IF(O990&lt;16,"中","高")),IF(O990&lt;5,"中","高"))))),IF(OR(J990="EO",J990="EQ"),IF(OR(Y990="估算法",Y990="算法类"),"中",IF(Y990="无法识别","低",IF(M990&lt;2,IF(O990&lt;20,"低","中"),IF(M990&lt;4,IF(O990&lt;6,"低",IF(O990&lt;20,"中","高")),IF(O990&lt;6,"中","高"))))),IF(OR(J990="ILF",J990="EIF"),IF(OR(Y990="估算法",Y990="算法类",Y990="无法识别"),"低",IF(N990&lt;2,IF(O990&lt;51,"低","中"),IF(N990&lt;6,IF(O990&lt;20,"低",IF(O990&lt;51,"中","高")),IF(O990&lt;20,"中","高")))),"不计算")))</f>
        <v/>
      </c>
      <c r="Q990" s="172">
        <f>IFERROR(IF(J990="EI",IF(P990="低",3,IF(P990="中",4,6)),IF(J990="EO",IF(P990="低",4,IF(P990="中",5,7)),IF(J990="EQ",IF(P990="低",3,IF(P990="中",4,6)),IF(J990="ILF",IF(P990="低",7,IF(P990="中",10,15)),IF(J990="EIF",IF(P990="低",5,IF(P990="中",7,10)),"不计算")))))*R990,"不计算")</f>
        <v/>
      </c>
      <c r="R990" s="172" t="n">
        <v>0.333333333333333</v>
      </c>
      <c r="S990" s="173">
        <f>调整因子!$F$13</f>
        <v/>
      </c>
      <c r="T990" s="92" t="n">
        <v>1</v>
      </c>
      <c r="U990" s="174">
        <f>IFERROR(Q990*S990,0)</f>
        <v/>
      </c>
      <c r="V990" s="178">
        <f>U990*T990</f>
        <v/>
      </c>
      <c r="W990" s="103" t="inlineStr">
        <is>
          <t>资产扫描覆盖表、扫描盲区记录表、扫描能力缺口表、离线扫描报告表</t>
        </is>
      </c>
      <c r="X990" s="103" t="inlineStr"/>
      <c r="Y990"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990" s="90" t="n"/>
      <c r="AA990" s="90" t="n"/>
    </row>
    <row r="991" s="112">
      <c r="A991" s="72">
        <f>ROW()-1</f>
        <v/>
      </c>
      <c r="B991" s="175" t="n"/>
      <c r="C991" s="124" t="n">
        <v>2026</v>
      </c>
      <c r="D991" s="125" t="n"/>
      <c r="E991" s="103" t="n"/>
      <c r="F991" s="175" t="n"/>
      <c r="G991" s="175" t="n"/>
      <c r="H991" s="175" t="n"/>
      <c r="I991" s="103" t="inlineStr">
        <is>
          <t>启用自动扫描策略</t>
        </is>
      </c>
      <c r="J991" s="93" t="inlineStr">
        <is>
          <t>EI</t>
        </is>
      </c>
      <c r="K991" s="102" t="n"/>
      <c r="L991" s="102" t="n"/>
      <c r="M991" s="85">
        <f>IF(OR(Y991="估算法",Y991="算法类",Y991="无法识别"),"",IF(W991="",IF(OR(J991="EI",J991="EO",J991="EQ"),0,""),LEN(W991)-LEN(SUBSTITUTE(W991,"、",""))+1))</f>
        <v/>
      </c>
      <c r="N991" s="85">
        <f>IF(OR(Y991="估算法",Y991="算法类",Y991="无法识别"),"",IF(X991="",IF(OR(J991="ILF",J991="EIF"),0,""),LEN(X991)-LEN(SUBSTITUTE(X991,"、",""))+1))</f>
        <v/>
      </c>
      <c r="O991" s="85">
        <f>IF(OR(Y991="估算法",Y991="算法类",Y991="无法识别"),"",IF(Y991="",IF(OR(J991="ILF",J991="EIF",J991="EI",J991="EO",J991="EQ"),0,""),LEN(Y991)-LEN(SUBSTITUTE(SUBSTITUTE(SUBSTITUTE(SUBSTITUTE(SUBSTITUTE(Y991,"|}","--"),"{|","--"),CHAR(10),""),"、",""),"|",""))+IF(AND(OR(J991="EI",J991="EO",J991="EQ"),$AE$1="NESMA"),2,1)))</f>
        <v/>
      </c>
      <c r="P991" s="86">
        <f>IF(J991="EI",IF(OR(Y991="估算法",Y991="算法类"),"中",IF(Y991="无法识别","低",IF(M991&lt;2,IF(O991&lt;16,"低","中"),IF(M991&lt;3,IF(O991&lt;5,"低",IF(O991&lt;16,"中","高")),IF(O991&lt;5,"中","高"))))),IF(OR(J991="EO",J991="EQ"),IF(OR(Y991="估算法",Y991="算法类"),"中",IF(Y991="无法识别","低",IF(M991&lt;2,IF(O991&lt;20,"低","中"),IF(M991&lt;4,IF(O991&lt;6,"低",IF(O991&lt;20,"中","高")),IF(O991&lt;6,"中","高"))))),IF(OR(J991="ILF",J991="EIF"),IF(OR(Y991="估算法",Y991="算法类",Y991="无法识别"),"低",IF(N991&lt;2,IF(O991&lt;51,"低","中"),IF(N991&lt;6,IF(O991&lt;20,"低",IF(O991&lt;51,"中","高")),IF(O991&lt;20,"中","高")))),"不计算")))</f>
        <v/>
      </c>
      <c r="Q991" s="172">
        <f>IFERROR(IF(J991="EI",IF(P991="低",3,IF(P991="中",4,6)),IF(J991="EO",IF(P991="低",4,IF(P991="中",5,7)),IF(J991="EQ",IF(P991="低",3,IF(P991="中",4,6)),IF(J991="ILF",IF(P991="低",7,IF(P991="中",10,15)),IF(J991="EIF",IF(P991="低",5,IF(P991="中",7,10)),"不计算")))))*R991,"不计算")</f>
        <v/>
      </c>
      <c r="R991" s="172" t="n">
        <v>1</v>
      </c>
      <c r="S991" s="173">
        <f>调整因子!$F$13</f>
        <v/>
      </c>
      <c r="T991" s="93" t="n">
        <v>1</v>
      </c>
      <c r="U991" s="174">
        <f>IFERROR(Q991*S991,0)</f>
        <v/>
      </c>
      <c r="V991" s="178">
        <f>U991*T991</f>
        <v/>
      </c>
      <c r="W991" s="103" t="inlineStr">
        <is>
          <t>资产扫描覆盖表、扫描盲区记录表、扫描能力缺口表</t>
        </is>
      </c>
      <c r="X991" s="103" t="inlineStr"/>
      <c r="Y991"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991" s="90" t="n"/>
      <c r="AA991" s="90" t="n"/>
    </row>
    <row r="992" s="112">
      <c r="A992" s="72">
        <f>ROW()-1</f>
        <v/>
      </c>
      <c r="B992" s="175" t="n"/>
      <c r="C992" s="124" t="n">
        <v>2026</v>
      </c>
      <c r="D992" s="125" t="n"/>
      <c r="E992" s="103" t="n"/>
      <c r="F992" s="175" t="n"/>
      <c r="G992" s="175" t="n"/>
      <c r="H992" s="176" t="n"/>
      <c r="I992" s="103" t="inlineStr">
        <is>
          <t>停用自动扫描策略</t>
        </is>
      </c>
      <c r="J992" s="93" t="n"/>
      <c r="K992" s="102" t="n"/>
      <c r="L992" s="102" t="inlineStr">
        <is>
          <t>和上行合并，启停为相同功能</t>
        </is>
      </c>
      <c r="M992" s="85">
        <f>IF(OR(Y992="估算法",Y992="算法类",Y992="无法识别"),"",IF(W992="",IF(OR(J992="EI",J992="EO",J992="EQ"),0,""),LEN(W992)-LEN(SUBSTITUTE(W992,"、",""))+1))</f>
        <v/>
      </c>
      <c r="N992" s="85">
        <f>IF(OR(Y992="估算法",Y992="算法类",Y992="无法识别"),"",IF(X992="",IF(OR(J992="ILF",J992="EIF"),0,""),LEN(X992)-LEN(SUBSTITUTE(X992,"、",""))+1))</f>
        <v/>
      </c>
      <c r="O992" s="85">
        <f>IF(OR(Y992="估算法",Y992="算法类",Y992="无法识别"),"",IF(Y992="",IF(OR(J992="ILF",J992="EIF",J992="EI",J992="EO",J992="EQ"),0,""),LEN(Y992)-LEN(SUBSTITUTE(SUBSTITUTE(SUBSTITUTE(SUBSTITUTE(SUBSTITUTE(Y992,"|}","--"),"{|","--"),CHAR(10),""),"、",""),"|",""))+IF(AND(OR(J992="EI",J992="EO",J992="EQ"),$AE$1="NESMA"),2,1)))</f>
        <v/>
      </c>
      <c r="P992" s="86">
        <f>IF(J992="EI",IF(OR(Y992="估算法",Y992="算法类"),"中",IF(Y992="无法识别","低",IF(M992&lt;2,IF(O992&lt;16,"低","中"),IF(M992&lt;3,IF(O992&lt;5,"低",IF(O992&lt;16,"中","高")),IF(O992&lt;5,"中","高"))))),IF(OR(J992="EO",J992="EQ"),IF(OR(Y992="估算法",Y992="算法类"),"中",IF(Y992="无法识别","低",IF(M992&lt;2,IF(O992&lt;20,"低","中"),IF(M992&lt;4,IF(O992&lt;6,"低",IF(O992&lt;20,"中","高")),IF(O992&lt;6,"中","高"))))),IF(OR(J992="ILF",J992="EIF"),IF(OR(Y992="估算法",Y992="算法类",Y992="无法识别"),"低",IF(N992&lt;2,IF(O992&lt;51,"低","中"),IF(N992&lt;6,IF(O992&lt;20,"低",IF(O992&lt;51,"中","高")),IF(O992&lt;20,"中","高")))),"不计算")))</f>
        <v/>
      </c>
      <c r="Q992" s="172">
        <f>IFERROR(IF(J992="EI",IF(P992="低",3,IF(P992="中",4,6)),IF(J992="EO",IF(P992="低",4,IF(P992="中",5,7)),IF(J992="EQ",IF(P992="低",3,IF(P992="中",4,6)),IF(J992="ILF",IF(P992="低",7,IF(P992="中",10,15)),IF(J992="EIF",IF(P992="低",5,IF(P992="中",7,10)),"不计算")))))*R992,"不计算")</f>
        <v/>
      </c>
      <c r="R992" s="172" t="n">
        <v>1</v>
      </c>
      <c r="S992" s="173">
        <f>调整因子!$F$13</f>
        <v/>
      </c>
      <c r="T992" s="93" t="n">
        <v>1</v>
      </c>
      <c r="U992" s="174">
        <f>IFERROR(Q992*S992,0)</f>
        <v/>
      </c>
      <c r="V992" s="178">
        <f>U992*T992</f>
        <v/>
      </c>
      <c r="W992" s="103" t="inlineStr">
        <is>
          <t>资产扫描覆盖表、扫描盲区记录表、扫描能力缺口表、离线扫描报告表、扫描策略模板表</t>
        </is>
      </c>
      <c r="X992" s="103" t="inlineStr"/>
      <c r="Y992"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992" s="90" t="n"/>
      <c r="AA992" s="90" t="n"/>
    </row>
    <row r="993" s="112">
      <c r="A993" s="72">
        <f>ROW()-1</f>
        <v/>
      </c>
      <c r="B993" s="175" t="n"/>
      <c r="C993" s="124" t="n">
        <v>2026</v>
      </c>
      <c r="D993" s="125" t="n"/>
      <c r="E993" s="103" t="n"/>
      <c r="F993" s="175" t="n"/>
      <c r="G993" s="175" t="n"/>
      <c r="H993" s="97" t="inlineStr">
        <is>
          <t>资产变更触发配置</t>
        </is>
      </c>
      <c r="I993" s="103" t="inlineStr">
        <is>
          <t>编辑变更触发规则</t>
        </is>
      </c>
      <c r="J993" s="93" t="inlineStr">
        <is>
          <t>EI</t>
        </is>
      </c>
      <c r="K993" s="102" t="n"/>
      <c r="L993" s="102" t="n"/>
      <c r="M993" s="85">
        <f>IF(OR(Y993="估算法",Y993="算法类",Y993="无法识别"),"",IF(W993="",IF(OR(J993="EI",J993="EO",J993="EQ"),0,""),LEN(W993)-LEN(SUBSTITUTE(W993,"、",""))+1))</f>
        <v/>
      </c>
      <c r="N993" s="85">
        <f>IF(OR(Y993="估算法",Y993="算法类",Y993="无法识别"),"",IF(X993="",IF(OR(J993="ILF",J993="EIF"),0,""),LEN(X993)-LEN(SUBSTITUTE(X993,"、",""))+1))</f>
        <v/>
      </c>
      <c r="O993" s="85">
        <f>IF(OR(Y993="估算法",Y993="算法类",Y993="无法识别"),"",IF(Y993="",IF(OR(J993="ILF",J993="EIF",J993="EI",J993="EO",J993="EQ"),0,""),LEN(Y993)-LEN(SUBSTITUTE(SUBSTITUTE(SUBSTITUTE(SUBSTITUTE(SUBSTITUTE(Y993,"|}","--"),"{|","--"),CHAR(10),""),"、",""),"|",""))+IF(AND(OR(J993="EI",J993="EO",J993="EQ"),$AE$1="NESMA"),2,1)))</f>
        <v/>
      </c>
      <c r="P993" s="86">
        <f>IF(J993="EI",IF(OR(Y993="估算法",Y993="算法类"),"中",IF(Y993="无法识别","低",IF(M993&lt;2,IF(O993&lt;16,"低","中"),IF(M993&lt;3,IF(O993&lt;5,"低",IF(O993&lt;16,"中","高")),IF(O993&lt;5,"中","高"))))),IF(OR(J993="EO",J993="EQ"),IF(OR(Y993="估算法",Y993="算法类"),"中",IF(Y993="无法识别","低",IF(M993&lt;2,IF(O993&lt;20,"低","中"),IF(M993&lt;4,IF(O993&lt;6,"低",IF(O993&lt;20,"中","高")),IF(O993&lt;6,"中","高"))))),IF(OR(J993="ILF",J993="EIF"),IF(OR(Y993="估算法",Y993="算法类",Y993="无法识别"),"低",IF(N993&lt;2,IF(O993&lt;51,"低","中"),IF(N993&lt;6,IF(O993&lt;20,"低",IF(O993&lt;51,"中","高")),IF(O993&lt;20,"中","高")))),"不计算")))</f>
        <v/>
      </c>
      <c r="Q993" s="172">
        <f>IFERROR(IF(J993="EI",IF(P993="低",3,IF(P993="中",4,6)),IF(J993="EO",IF(P993="低",4,IF(P993="中",5,7)),IF(J993="EQ",IF(P993="低",3,IF(P993="中",4,6)),IF(J993="ILF",IF(P993="低",7,IF(P993="中",10,15)),IF(J993="EIF",IF(P993="低",5,IF(P993="中",7,10)),"不计算")))))*R993,"不计算")</f>
        <v/>
      </c>
      <c r="R993" s="172" t="n">
        <v>1</v>
      </c>
      <c r="S993" s="173">
        <f>调整因子!$F$13</f>
        <v/>
      </c>
      <c r="T993" s="92" t="n">
        <v>1</v>
      </c>
      <c r="U993" s="174">
        <f>IFERROR(Q993*S993,0)</f>
        <v/>
      </c>
      <c r="V993" s="178">
        <f>U993*T993</f>
        <v/>
      </c>
      <c r="W993" s="103" t="inlineStr">
        <is>
          <t>推送规则表、提醒规则表、脱敏规则表、加密规则表、接口参数表</t>
        </is>
      </c>
      <c r="X993" s="103" t="inlineStr"/>
      <c r="Y99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is>
      </c>
      <c r="Z993" s="90" t="n"/>
      <c r="AA993" s="90" t="n"/>
    </row>
    <row r="994" s="112">
      <c r="A994" s="72">
        <f>ROW()-1</f>
        <v/>
      </c>
      <c r="B994" s="175" t="n"/>
      <c r="C994" s="124" t="n">
        <v>2026</v>
      </c>
      <c r="D994" s="125" t="n"/>
      <c r="E994" s="103" t="n"/>
      <c r="F994" s="175" t="n"/>
      <c r="G994" s="175" t="n"/>
      <c r="H994" s="175" t="n"/>
      <c r="I994" s="103" t="inlineStr">
        <is>
          <t>删除变更触发规则</t>
        </is>
      </c>
      <c r="J994" s="93" t="inlineStr">
        <is>
          <t>EI</t>
        </is>
      </c>
      <c r="K994" s="102" t="n"/>
      <c r="L994" s="102" t="n"/>
      <c r="M994" s="85">
        <f>IF(OR(Y994="估算法",Y994="算法类",Y994="无法识别"),"",IF(W994="",IF(OR(J994="EI",J994="EO",J994="EQ"),0,""),LEN(W994)-LEN(SUBSTITUTE(W994,"、",""))+1))</f>
        <v/>
      </c>
      <c r="N994" s="85">
        <f>IF(OR(Y994="估算法",Y994="算法类",Y994="无法识别"),"",IF(X994="",IF(OR(J994="ILF",J994="EIF"),0,""),LEN(X994)-LEN(SUBSTITUTE(X994,"、",""))+1))</f>
        <v/>
      </c>
      <c r="O994" s="85">
        <f>IF(OR(Y994="估算法",Y994="算法类",Y994="无法识别"),"",IF(Y994="",IF(OR(J994="ILF",J994="EIF",J994="EI",J994="EO",J994="EQ"),0,""),LEN(Y994)-LEN(SUBSTITUTE(SUBSTITUTE(SUBSTITUTE(SUBSTITUTE(SUBSTITUTE(Y994,"|}","--"),"{|","--"),CHAR(10),""),"、",""),"|",""))+IF(AND(OR(J994="EI",J994="EO",J994="EQ"),$AE$1="NESMA"),2,1)))</f>
        <v/>
      </c>
      <c r="P994" s="86">
        <f>IF(J994="EI",IF(OR(Y994="估算法",Y994="算法类"),"中",IF(Y994="无法识别","低",IF(M994&lt;2,IF(O994&lt;16,"低","中"),IF(M994&lt;3,IF(O994&lt;5,"低",IF(O994&lt;16,"中","高")),IF(O994&lt;5,"中","高"))))),IF(OR(J994="EO",J994="EQ"),IF(OR(Y994="估算法",Y994="算法类"),"中",IF(Y994="无法识别","低",IF(M994&lt;2,IF(O994&lt;20,"低","中"),IF(M994&lt;4,IF(O994&lt;6,"低",IF(O994&lt;20,"中","高")),IF(O994&lt;6,"中","高"))))),IF(OR(J994="ILF",J994="EIF"),IF(OR(Y994="估算法",Y994="算法类",Y994="无法识别"),"低",IF(N994&lt;2,IF(O994&lt;51,"低","中"),IF(N994&lt;6,IF(O994&lt;20,"低",IF(O994&lt;51,"中","高")),IF(O994&lt;20,"中","高")))),"不计算")))</f>
        <v/>
      </c>
      <c r="Q994" s="172">
        <f>IFERROR(IF(J994="EI",IF(P994="低",3,IF(P994="中",4,6)),IF(J994="EO",IF(P994="低",4,IF(P994="中",5,7)),IF(J994="EQ",IF(P994="低",3,IF(P994="中",4,6)),IF(J994="ILF",IF(P994="低",7,IF(P994="中",10,15)),IF(J994="EIF",IF(P994="低",5,IF(P994="中",7,10)),"不计算")))))*R994,"不计算")</f>
        <v/>
      </c>
      <c r="R994" s="172" t="n">
        <v>0.333333333333333</v>
      </c>
      <c r="S994" s="173">
        <f>调整因子!$F$13</f>
        <v/>
      </c>
      <c r="T994" s="92" t="n">
        <v>1</v>
      </c>
      <c r="U994" s="174">
        <f>IFERROR(Q994*S994,0)</f>
        <v/>
      </c>
      <c r="V994" s="178">
        <f>U994*T994</f>
        <v/>
      </c>
      <c r="W994" s="103" t="inlineStr">
        <is>
          <t>推送规则表、提醒规则表、脱敏规则表、加密规则表、任务日志表</t>
        </is>
      </c>
      <c r="X994" s="103" t="inlineStr"/>
      <c r="Y99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is>
      </c>
      <c r="Z994" s="90" t="n"/>
      <c r="AA994" s="90" t="n"/>
    </row>
    <row r="995" s="112">
      <c r="A995" s="72">
        <f>ROW()-1</f>
        <v/>
      </c>
      <c r="B995" s="175" t="n"/>
      <c r="C995" s="124" t="n">
        <v>2026</v>
      </c>
      <c r="D995" s="125" t="n"/>
      <c r="E995" s="103" t="n"/>
      <c r="F995" s="175" t="n"/>
      <c r="G995" s="175" t="n"/>
      <c r="H995" s="175" t="n"/>
      <c r="I995" s="103" t="inlineStr">
        <is>
          <t>启用变更触发</t>
        </is>
      </c>
      <c r="J995" s="93" t="inlineStr">
        <is>
          <t>EI</t>
        </is>
      </c>
      <c r="K995" s="102" t="n"/>
      <c r="L995" s="102" t="n"/>
      <c r="M995" s="85">
        <f>IF(OR(Y995="估算法",Y995="算法类",Y995="无法识别"),"",IF(W995="",IF(OR(J995="EI",J995="EO",J995="EQ"),0,""),LEN(W995)-LEN(SUBSTITUTE(W995,"、",""))+1))</f>
        <v/>
      </c>
      <c r="N995" s="85">
        <f>IF(OR(Y995="估算法",Y995="算法类",Y995="无法识别"),"",IF(X995="",IF(OR(J995="ILF",J995="EIF"),0,""),LEN(X995)-LEN(SUBSTITUTE(X995,"、",""))+1))</f>
        <v/>
      </c>
      <c r="O995" s="85">
        <f>IF(OR(Y995="估算法",Y995="算法类",Y995="无法识别"),"",IF(Y995="",IF(OR(J995="ILF",J995="EIF",J995="EI",J995="EO",J995="EQ"),0,""),LEN(Y995)-LEN(SUBSTITUTE(SUBSTITUTE(SUBSTITUTE(SUBSTITUTE(SUBSTITUTE(Y995,"|}","--"),"{|","--"),CHAR(10),""),"、",""),"|",""))+IF(AND(OR(J995="EI",J995="EO",J995="EQ"),$AE$1="NESMA"),2,1)))</f>
        <v/>
      </c>
      <c r="P995" s="86">
        <f>IF(J995="EI",IF(OR(Y995="估算法",Y995="算法类"),"中",IF(Y995="无法识别","低",IF(M995&lt;2,IF(O995&lt;16,"低","中"),IF(M995&lt;3,IF(O995&lt;5,"低",IF(O995&lt;16,"中","高")),IF(O995&lt;5,"中","高"))))),IF(OR(J995="EO",J995="EQ"),IF(OR(Y995="估算法",Y995="算法类"),"中",IF(Y995="无法识别","低",IF(M995&lt;2,IF(O995&lt;20,"低","中"),IF(M995&lt;4,IF(O995&lt;6,"低",IF(O995&lt;20,"中","高")),IF(O995&lt;6,"中","高"))))),IF(OR(J995="ILF",J995="EIF"),IF(OR(Y995="估算法",Y995="算法类",Y995="无法识别"),"低",IF(N995&lt;2,IF(O995&lt;51,"低","中"),IF(N995&lt;6,IF(O995&lt;20,"低",IF(O995&lt;51,"中","高")),IF(O995&lt;20,"中","高")))),"不计算")))</f>
        <v/>
      </c>
      <c r="Q995" s="172">
        <f>IFERROR(IF(J995="EI",IF(P995="低",3,IF(P995="中",4,6)),IF(J995="EO",IF(P995="低",4,IF(P995="中",5,7)),IF(J995="EQ",IF(P995="低",3,IF(P995="中",4,6)),IF(J995="ILF",IF(P995="低",7,IF(P995="中",10,15)),IF(J995="EIF",IF(P995="低",5,IF(P995="中",7,10)),"不计算")))))*R995,"不计算")</f>
        <v/>
      </c>
      <c r="R995" s="172" t="n">
        <v>1</v>
      </c>
      <c r="S995" s="173">
        <f>调整因子!$F$13</f>
        <v/>
      </c>
      <c r="T995" s="93" t="n">
        <v>1</v>
      </c>
      <c r="U995" s="174">
        <f>IFERROR(Q995*S995,0)</f>
        <v/>
      </c>
      <c r="V995" s="178">
        <f>U995*T995</f>
        <v/>
      </c>
      <c r="W995" s="103" t="inlineStr">
        <is>
          <t>日志采集配置表、推送配置表、接口参数配置表、指标阈值表</t>
        </is>
      </c>
      <c r="X995" s="103" t="inlineStr"/>
      <c r="Y995" s="97" t="inlineStr">
        <is>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is>
      </c>
      <c r="Z995" s="90" t="n"/>
      <c r="AA995" s="90" t="n"/>
    </row>
    <row r="996" s="112">
      <c r="A996" s="72">
        <f>ROW()-1</f>
        <v/>
      </c>
      <c r="B996" s="175" t="n"/>
      <c r="C996" s="124" t="n">
        <v>2026</v>
      </c>
      <c r="D996" s="125" t="n"/>
      <c r="E996" s="103" t="n"/>
      <c r="F996" s="175" t="n"/>
      <c r="G996" s="175" t="n"/>
      <c r="H996" s="175" t="n"/>
      <c r="I996" s="103" t="inlineStr">
        <is>
          <t>停用变更触发</t>
        </is>
      </c>
      <c r="J996" s="93" t="n"/>
      <c r="K996" s="102" t="n"/>
      <c r="L996" s="102" t="inlineStr">
        <is>
          <t>和上行合并，启停为相同功能</t>
        </is>
      </c>
      <c r="M996" s="85">
        <f>IF(OR(Y996="估算法",Y996="算法类",Y996="无法识别"),"",IF(W996="",IF(OR(J996="EI",J996="EO",J996="EQ"),0,""),LEN(W996)-LEN(SUBSTITUTE(W996,"、",""))+1))</f>
        <v/>
      </c>
      <c r="N996" s="85">
        <f>IF(OR(Y996="估算法",Y996="算法类",Y996="无法识别"),"",IF(X996="",IF(OR(J996="ILF",J996="EIF"),0,""),LEN(X996)-LEN(SUBSTITUTE(X996,"、",""))+1))</f>
        <v/>
      </c>
      <c r="O996" s="85">
        <f>IF(OR(Y996="估算法",Y996="算法类",Y996="无法识别"),"",IF(Y996="",IF(OR(J996="ILF",J996="EIF",J996="EI",J996="EO",J996="EQ"),0,""),LEN(Y996)-LEN(SUBSTITUTE(SUBSTITUTE(SUBSTITUTE(SUBSTITUTE(SUBSTITUTE(Y996,"|}","--"),"{|","--"),CHAR(10),""),"、",""),"|",""))+IF(AND(OR(J996="EI",J996="EO",J996="EQ"),$AE$1="NESMA"),2,1)))</f>
        <v/>
      </c>
      <c r="P996" s="86">
        <f>IF(J996="EI",IF(OR(Y996="估算法",Y996="算法类"),"中",IF(Y996="无法识别","低",IF(M996&lt;2,IF(O996&lt;16,"低","中"),IF(M996&lt;3,IF(O996&lt;5,"低",IF(O996&lt;16,"中","高")),IF(O996&lt;5,"中","高"))))),IF(OR(J996="EO",J996="EQ"),IF(OR(Y996="估算法",Y996="算法类"),"中",IF(Y996="无法识别","低",IF(M996&lt;2,IF(O996&lt;20,"低","中"),IF(M996&lt;4,IF(O996&lt;6,"低",IF(O996&lt;20,"中","高")),IF(O996&lt;6,"中","高"))))),IF(OR(J996="ILF",J996="EIF"),IF(OR(Y996="估算法",Y996="算法类",Y996="无法识别"),"低",IF(N996&lt;2,IF(O996&lt;51,"低","中"),IF(N996&lt;6,IF(O996&lt;20,"低",IF(O996&lt;51,"中","高")),IF(O996&lt;20,"中","高")))),"不计算")))</f>
        <v/>
      </c>
      <c r="Q996" s="172">
        <f>IFERROR(IF(J996="EI",IF(P996="低",3,IF(P996="中",4,6)),IF(J996="EO",IF(P996="低",4,IF(P996="中",5,7)),IF(J996="EQ",IF(P996="低",3,IF(P996="中",4,6)),IF(J996="ILF",IF(P996="低",7,IF(P996="中",10,15)),IF(J996="EIF",IF(P996="低",5,IF(P996="中",7,10)),"不计算")))))*R996,"不计算")</f>
        <v/>
      </c>
      <c r="R996" s="172" t="n">
        <v>1</v>
      </c>
      <c r="S996" s="173">
        <f>调整因子!$F$13</f>
        <v/>
      </c>
      <c r="T996" s="92" t="n">
        <v>1</v>
      </c>
      <c r="U996" s="174">
        <f>IFERROR(Q996*S996,0)</f>
        <v/>
      </c>
      <c r="V996" s="178">
        <f>U996*T996</f>
        <v/>
      </c>
      <c r="W996" s="103" t="inlineStr">
        <is>
          <t>验证任务表、日志加密配置表、推送任务表、通报对象表、采集记录表</t>
        </is>
      </c>
      <c r="X996" s="103" t="inlineStr"/>
      <c r="Y996" s="97" t="inlineStr">
        <is>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is>
      </c>
      <c r="Z996" s="90" t="n"/>
      <c r="AA996" s="90" t="n"/>
    </row>
    <row r="997" s="112">
      <c r="A997" s="72">
        <f>ROW()-1</f>
        <v/>
      </c>
      <c r="B997" s="175" t="n"/>
      <c r="C997" s="124" t="n">
        <v>2026</v>
      </c>
      <c r="D997" s="125" t="n"/>
      <c r="E997" s="103" t="n"/>
      <c r="F997" s="175" t="n"/>
      <c r="G997" s="175" t="n"/>
      <c r="H997" s="175" t="n"/>
      <c r="I997" s="103" t="inlineStr">
        <is>
          <t>导出触发配置</t>
        </is>
      </c>
      <c r="J997" s="93" t="inlineStr">
        <is>
          <t>EO</t>
        </is>
      </c>
      <c r="K997" s="102" t="n"/>
      <c r="L997" s="102" t="n"/>
      <c r="M997" s="85">
        <f>IF(OR(Y997="估算法",Y997="算法类",Y997="无法识别"),"",IF(W997="",IF(OR(J997="EI",J997="EO",J997="EQ"),0,""),LEN(W997)-LEN(SUBSTITUTE(W997,"、",""))+1))</f>
        <v/>
      </c>
      <c r="N997" s="85">
        <f>IF(OR(Y997="估算法",Y997="算法类",Y997="无法识别"),"",IF(X997="",IF(OR(J997="ILF",J997="EIF"),0,""),LEN(X997)-LEN(SUBSTITUTE(X997,"、",""))+1))</f>
        <v/>
      </c>
      <c r="O997" s="85">
        <f>IF(OR(Y997="估算法",Y997="算法类",Y997="无法识别"),"",IF(Y997="",IF(OR(J997="ILF",J997="EIF",J997="EI",J997="EO",J997="EQ"),0,""),LEN(Y997)-LEN(SUBSTITUTE(SUBSTITUTE(SUBSTITUTE(SUBSTITUTE(SUBSTITUTE(Y997,"|}","--"),"{|","--"),CHAR(10),""),"、",""),"|",""))+IF(AND(OR(J997="EI",J997="EO",J997="EQ"),$AE$1="NESMA"),2,1)))</f>
        <v/>
      </c>
      <c r="P997" s="86">
        <f>IF(J997="EI",IF(OR(Y997="估算法",Y997="算法类"),"中",IF(Y997="无法识别","低",IF(M997&lt;2,IF(O997&lt;16,"低","中"),IF(M997&lt;3,IF(O997&lt;5,"低",IF(O997&lt;16,"中","高")),IF(O997&lt;5,"中","高"))))),IF(OR(J997="EO",J997="EQ"),IF(OR(Y997="估算法",Y997="算法类"),"中",IF(Y997="无法识别","低",IF(M997&lt;2,IF(O997&lt;20,"低","中"),IF(M997&lt;4,IF(O997&lt;6,"低",IF(O997&lt;20,"中","高")),IF(O997&lt;6,"中","高"))))),IF(OR(J997="ILF",J997="EIF"),IF(OR(Y997="估算法",Y997="算法类",Y997="无法识别"),"低",IF(N997&lt;2,IF(O997&lt;51,"低","中"),IF(N997&lt;6,IF(O997&lt;20,"低",IF(O997&lt;51,"中","高")),IF(O997&lt;20,"中","高")))),"不计算")))</f>
        <v/>
      </c>
      <c r="Q997" s="172">
        <f>IFERROR(IF(J997="EI",IF(P997="低",3,IF(P997="中",4,6)),IF(J997="EO",IF(P997="低",4,IF(P997="中",5,7)),IF(J997="EQ",IF(P997="低",3,IF(P997="中",4,6)),IF(J997="ILF",IF(P997="低",7,IF(P997="中",10,15)),IF(J997="EIF",IF(P997="低",5,IF(P997="中",7,10)),"不计算")))))*R997,"不计算")</f>
        <v/>
      </c>
      <c r="R997" s="172" t="n">
        <v>1</v>
      </c>
      <c r="S997" s="173">
        <f>调整因子!$F$13</f>
        <v/>
      </c>
      <c r="T997" s="92" t="n">
        <v>1</v>
      </c>
      <c r="U997" s="174">
        <f>IFERROR(Q997*S997,0)</f>
        <v/>
      </c>
      <c r="V997" s="178">
        <f>U997*T997</f>
        <v/>
      </c>
      <c r="W997" s="103" t="inlineStr">
        <is>
          <t>任务优先级配置表、模板参数配置表、处置单配置表</t>
        </is>
      </c>
      <c r="X997" s="103" t="inlineStr"/>
      <c r="Y997"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997" s="90" t="n"/>
      <c r="AA997" s="90" t="n"/>
    </row>
    <row r="998" s="112">
      <c r="A998" s="72">
        <f>ROW()-1</f>
        <v/>
      </c>
      <c r="B998" s="175" t="n"/>
      <c r="C998" s="124" t="n">
        <v>2026</v>
      </c>
      <c r="D998" s="125" t="n"/>
      <c r="E998" s="103" t="n"/>
      <c r="F998" s="175" t="n"/>
      <c r="G998" s="175" t="n"/>
      <c r="H998" s="175" t="n"/>
      <c r="I998" s="103" t="inlineStr">
        <is>
          <t>查询触发规则</t>
        </is>
      </c>
      <c r="J998" s="93" t="inlineStr">
        <is>
          <t>EQ</t>
        </is>
      </c>
      <c r="K998" s="102" t="n"/>
      <c r="L998" s="102" t="n"/>
      <c r="M998" s="85">
        <f>IF(OR(Y998="估算法",Y998="算法类",Y998="无法识别"),"",IF(W998="",IF(OR(J998="EI",J998="EO",J998="EQ"),0,""),LEN(W998)-LEN(SUBSTITUTE(W998,"、",""))+1))</f>
        <v/>
      </c>
      <c r="N998" s="85">
        <f>IF(OR(Y998="估算法",Y998="算法类",Y998="无法识别"),"",IF(X998="",IF(OR(J998="ILF",J998="EIF"),0,""),LEN(X998)-LEN(SUBSTITUTE(X998,"、",""))+1))</f>
        <v/>
      </c>
      <c r="O998" s="85">
        <f>IF(OR(Y998="估算法",Y998="算法类",Y998="无法识别"),"",IF(Y998="",IF(OR(J998="ILF",J998="EIF",J998="EI",J998="EO",J998="EQ"),0,""),LEN(Y998)-LEN(SUBSTITUTE(SUBSTITUTE(SUBSTITUTE(SUBSTITUTE(SUBSTITUTE(Y998,"|}","--"),"{|","--"),CHAR(10),""),"、",""),"|",""))+IF(AND(OR(J998="EI",J998="EO",J998="EQ"),$AE$1="NESMA"),2,1)))</f>
        <v/>
      </c>
      <c r="P998" s="86">
        <f>IF(J998="EI",IF(OR(Y998="估算法",Y998="算法类"),"中",IF(Y998="无法识别","低",IF(M998&lt;2,IF(O998&lt;16,"低","中"),IF(M998&lt;3,IF(O998&lt;5,"低",IF(O998&lt;16,"中","高")),IF(O998&lt;5,"中","高"))))),IF(OR(J998="EO",J998="EQ"),IF(OR(Y998="估算法",Y998="算法类"),"中",IF(Y998="无法识别","低",IF(M998&lt;2,IF(O998&lt;20,"低","中"),IF(M998&lt;4,IF(O998&lt;6,"低",IF(O998&lt;20,"中","高")),IF(O998&lt;6,"中","高"))))),IF(OR(J998="ILF",J998="EIF"),IF(OR(Y998="估算法",Y998="算法类",Y998="无法识别"),"低",IF(N998&lt;2,IF(O998&lt;51,"低","中"),IF(N998&lt;6,IF(O998&lt;20,"低",IF(O998&lt;51,"中","高")),IF(O998&lt;20,"中","高")))),"不计算")))</f>
        <v/>
      </c>
      <c r="Q998" s="172">
        <f>IFERROR(IF(J998="EI",IF(P998="低",3,IF(P998="中",4,6)),IF(J998="EO",IF(P998="低",4,IF(P998="中",5,7)),IF(J998="EQ",IF(P998="低",3,IF(P998="中",4,6)),IF(J998="ILF",IF(P998="低",7,IF(P998="中",10,15)),IF(J998="EIF",IF(P998="低",5,IF(P998="中",7,10)),"不计算")))))*R998,"不计算")</f>
        <v/>
      </c>
      <c r="R998" s="172" t="n">
        <v>1</v>
      </c>
      <c r="S998" s="173">
        <f>调整因子!$F$13</f>
        <v/>
      </c>
      <c r="T998" s="93" t="n">
        <v>1</v>
      </c>
      <c r="U998" s="174">
        <f>IFERROR(Q998*S998,0)</f>
        <v/>
      </c>
      <c r="V998" s="178">
        <f>U998*T998</f>
        <v/>
      </c>
      <c r="W998" s="103" t="inlineStr">
        <is>
          <t>推送规则表、提醒规则表、脱敏规则表</t>
        </is>
      </c>
      <c r="X998" s="103" t="inlineStr"/>
      <c r="Y998"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t>
        </is>
      </c>
      <c r="Z998" s="90" t="n"/>
      <c r="AA998" s="90" t="n"/>
    </row>
    <row r="999" s="112">
      <c r="A999" s="72">
        <f>ROW()-1</f>
        <v/>
      </c>
      <c r="B999" s="175" t="n"/>
      <c r="C999" s="124" t="n">
        <v>2026</v>
      </c>
      <c r="D999" s="125" t="n"/>
      <c r="E999" s="103" t="n"/>
      <c r="F999" s="175" t="n"/>
      <c r="G999" s="175" t="n"/>
      <c r="H999" s="176" t="n"/>
      <c r="I999" s="103" t="inlineStr">
        <is>
          <t>查看触发历史</t>
        </is>
      </c>
      <c r="J999" s="93" t="inlineStr">
        <is>
          <t>EQ</t>
        </is>
      </c>
      <c r="K999" s="102" t="n"/>
      <c r="L999" s="102" t="inlineStr">
        <is>
          <t>处理流程和上行基本一致，为查询功能，未体现详情功能</t>
        </is>
      </c>
      <c r="M999" s="85">
        <f>IF(OR(Y999="估算法",Y999="算法类",Y999="无法识别"),"",IF(W999="",IF(OR(J999="EI",J999="EO",J999="EQ"),0,""),LEN(W999)-LEN(SUBSTITUTE(W999,"、",""))+1))</f>
        <v/>
      </c>
      <c r="N999" s="85">
        <f>IF(OR(Y999="估算法",Y999="算法类",Y999="无法识别"),"",IF(X999="",IF(OR(J999="ILF",J999="EIF"),0,""),LEN(X999)-LEN(SUBSTITUTE(X999,"、",""))+1))</f>
        <v/>
      </c>
      <c r="O999" s="85">
        <f>IF(OR(Y999="估算法",Y999="算法类",Y999="无法识别"),"",IF(Y999="",IF(OR(J999="ILF",J999="EIF",J999="EI",J999="EO",J999="EQ"),0,""),LEN(Y999)-LEN(SUBSTITUTE(SUBSTITUTE(SUBSTITUTE(SUBSTITUTE(SUBSTITUTE(Y999,"|}","--"),"{|","--"),CHAR(10),""),"、",""),"|",""))+IF(AND(OR(J999="EI",J999="EO",J999="EQ"),$AE$1="NESMA"),2,1)))</f>
        <v/>
      </c>
      <c r="P999" s="86">
        <f>IF(J999="EI",IF(OR(Y999="估算法",Y999="算法类"),"中",IF(Y999="无法识别","低",IF(M999&lt;2,IF(O999&lt;16,"低","中"),IF(M999&lt;3,IF(O999&lt;5,"低",IF(O999&lt;16,"中","高")),IF(O999&lt;5,"中","高"))))),IF(OR(J999="EO",J999="EQ"),IF(OR(Y999="估算法",Y999="算法类"),"中",IF(Y999="无法识别","低",IF(M999&lt;2,IF(O999&lt;20,"低","中"),IF(M999&lt;4,IF(O999&lt;6,"低",IF(O999&lt;20,"中","高")),IF(O999&lt;6,"中","高"))))),IF(OR(J999="ILF",J999="EIF"),IF(OR(Y999="估算法",Y999="算法类",Y999="无法识别"),"低",IF(N999&lt;2,IF(O999&lt;51,"低","中"),IF(N999&lt;6,IF(O999&lt;20,"低",IF(O999&lt;51,"中","高")),IF(O999&lt;20,"中","高")))),"不计算")))</f>
        <v/>
      </c>
      <c r="Q999" s="172">
        <f>IFERROR(IF(J999="EI",IF(P999="低",3,IF(P999="中",4,6)),IF(J999="EO",IF(P999="低",4,IF(P999="中",5,7)),IF(J999="EQ",IF(P999="低",3,IF(P999="中",4,6)),IF(J999="ILF",IF(P999="低",7,IF(P999="中",10,15)),IF(J999="EIF",IF(P999="低",5,IF(P999="中",7,10)),"不计算")))))*R999,"不计算")</f>
        <v/>
      </c>
      <c r="R999" s="172" t="n">
        <v>0.333333333333333</v>
      </c>
      <c r="S999" s="173">
        <f>调整因子!$F$13</f>
        <v/>
      </c>
      <c r="T999" s="93" t="n">
        <v>1</v>
      </c>
      <c r="U999" s="174">
        <f>IFERROR(Q999*S999,0)</f>
        <v/>
      </c>
      <c r="V999" s="178">
        <f>U999*T999</f>
        <v/>
      </c>
      <c r="W999" s="103" t="inlineStr">
        <is>
          <t>提醒规则表、指标权重表、分类层级关系表、漏洞趋势数据表、漏洞处置推送接口配置表</t>
        </is>
      </c>
      <c r="X999" s="103" t="inlineStr"/>
      <c r="Y999" s="97" t="inlineStr">
        <is>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is>
      </c>
      <c r="Z999" s="90" t="n"/>
      <c r="AA999" s="90" t="n"/>
    </row>
    <row r="1000" s="112">
      <c r="A1000" s="72">
        <f>ROW()-1</f>
        <v/>
      </c>
      <c r="B1000" s="175" t="n"/>
      <c r="C1000" s="124" t="n">
        <v>2026</v>
      </c>
      <c r="D1000" s="125" t="n"/>
      <c r="E1000" s="103" t="n"/>
      <c r="F1000" s="175" t="n"/>
      <c r="G1000" s="175" t="n"/>
      <c r="H1000" s="97" t="inlineStr">
        <is>
          <t>自动预警配置</t>
        </is>
      </c>
      <c r="I1000" s="103" t="inlineStr">
        <is>
          <t>编辑预警规则</t>
        </is>
      </c>
      <c r="J1000" s="93" t="inlineStr">
        <is>
          <t>EI</t>
        </is>
      </c>
      <c r="K1000" s="102" t="n"/>
      <c r="L1000" s="102" t="n"/>
      <c r="M1000" s="85">
        <f>IF(OR(Y1000="估算法",Y1000="算法类",Y1000="无法识别"),"",IF(W1000="",IF(OR(J1000="EI",J1000="EO",J1000="EQ"),0,""),LEN(W1000)-LEN(SUBSTITUTE(W1000,"、",""))+1))</f>
        <v/>
      </c>
      <c r="N1000" s="85">
        <f>IF(OR(Y1000="估算法",Y1000="算法类",Y1000="无法识别"),"",IF(X1000="",IF(OR(J1000="ILF",J1000="EIF"),0,""),LEN(X1000)-LEN(SUBSTITUTE(X1000,"、",""))+1))</f>
        <v/>
      </c>
      <c r="O1000" s="85">
        <f>IF(OR(Y1000="估算法",Y1000="算法类",Y1000="无法识别"),"",IF(Y1000="",IF(OR(J1000="ILF",J1000="EIF",J1000="EI",J1000="EO",J1000="EQ"),0,""),LEN(Y1000)-LEN(SUBSTITUTE(SUBSTITUTE(SUBSTITUTE(SUBSTITUTE(SUBSTITUTE(Y1000,"|}","--"),"{|","--"),CHAR(10),""),"、",""),"|",""))+IF(AND(OR(J1000="EI",J1000="EO",J1000="EQ"),$AE$1="NESMA"),2,1)))</f>
        <v/>
      </c>
      <c r="P1000" s="86">
        <f>IF(J1000="EI",IF(OR(Y1000="估算法",Y1000="算法类"),"中",IF(Y1000="无法识别","低",IF(M1000&lt;2,IF(O1000&lt;16,"低","中"),IF(M1000&lt;3,IF(O1000&lt;5,"低",IF(O1000&lt;16,"中","高")),IF(O1000&lt;5,"中","高"))))),IF(OR(J1000="EO",J1000="EQ"),IF(OR(Y1000="估算法",Y1000="算法类"),"中",IF(Y1000="无法识别","低",IF(M1000&lt;2,IF(O1000&lt;20,"低","中"),IF(M1000&lt;4,IF(O1000&lt;6,"低",IF(O1000&lt;20,"中","高")),IF(O1000&lt;6,"中","高"))))),IF(OR(J1000="ILF",J1000="EIF"),IF(OR(Y1000="估算法",Y1000="算法类",Y1000="无法识别"),"低",IF(N1000&lt;2,IF(O1000&lt;51,"低","中"),IF(N1000&lt;6,IF(O1000&lt;20,"低",IF(O1000&lt;51,"中","高")),IF(O1000&lt;20,"中","高")))),"不计算")))</f>
        <v/>
      </c>
      <c r="Q1000" s="172">
        <f>IFERROR(IF(J1000="EI",IF(P1000="低",3,IF(P1000="中",4,6)),IF(J1000="EO",IF(P1000="低",4,IF(P1000="中",5,7)),IF(J1000="EQ",IF(P1000="低",3,IF(P1000="中",4,6)),IF(J1000="ILF",IF(P1000="低",7,IF(P1000="中",10,15)),IF(J1000="EIF",IF(P1000="低",5,IF(P1000="中",7,10)),"不计算")))))*R1000,"不计算")</f>
        <v/>
      </c>
      <c r="R1000" s="172" t="n">
        <v>1</v>
      </c>
      <c r="S1000" s="173">
        <f>调整因子!$F$13</f>
        <v/>
      </c>
      <c r="T1000" s="92" t="n">
        <v>1</v>
      </c>
      <c r="U1000" s="174">
        <f>IFERROR(Q1000*S1000,0)</f>
        <v/>
      </c>
      <c r="V1000" s="178">
        <f>U1000*T1000</f>
        <v/>
      </c>
      <c r="W1000" s="103" t="inlineStr">
        <is>
          <t>推送规则表、提醒规则表、脱敏规则表、加密规则表、资产扫描覆盖表</t>
        </is>
      </c>
      <c r="X1000" s="103" t="inlineStr"/>
      <c r="Y100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is>
      </c>
      <c r="Z1000" s="90" t="n"/>
      <c r="AA1000" s="90" t="n"/>
    </row>
    <row r="1001" s="112">
      <c r="A1001" s="72">
        <f>ROW()-1</f>
        <v/>
      </c>
      <c r="B1001" s="175" t="n"/>
      <c r="C1001" s="124" t="n">
        <v>2026</v>
      </c>
      <c r="D1001" s="125" t="n"/>
      <c r="E1001" s="103" t="n"/>
      <c r="F1001" s="175" t="n"/>
      <c r="G1001" s="175" t="n"/>
      <c r="H1001" s="175" t="n"/>
      <c r="I1001" s="103" t="inlineStr">
        <is>
          <t>删除预警规则</t>
        </is>
      </c>
      <c r="J1001" s="93" t="inlineStr">
        <is>
          <t>EI</t>
        </is>
      </c>
      <c r="K1001" s="102" t="n"/>
      <c r="L1001" s="102" t="n"/>
      <c r="M1001" s="85">
        <f>IF(OR(Y1001="估算法",Y1001="算法类",Y1001="无法识别"),"",IF(W1001="",IF(OR(J1001="EI",J1001="EO",J1001="EQ"),0,""),LEN(W1001)-LEN(SUBSTITUTE(W1001,"、",""))+1))</f>
        <v/>
      </c>
      <c r="N1001" s="85">
        <f>IF(OR(Y1001="估算法",Y1001="算法类",Y1001="无法识别"),"",IF(X1001="",IF(OR(J1001="ILF",J1001="EIF"),0,""),LEN(X1001)-LEN(SUBSTITUTE(X1001,"、",""))+1))</f>
        <v/>
      </c>
      <c r="O1001" s="85">
        <f>IF(OR(Y1001="估算法",Y1001="算法类",Y1001="无法识别"),"",IF(Y1001="",IF(OR(J1001="ILF",J1001="EIF",J1001="EI",J1001="EO",J1001="EQ"),0,""),LEN(Y1001)-LEN(SUBSTITUTE(SUBSTITUTE(SUBSTITUTE(SUBSTITUTE(SUBSTITUTE(Y1001,"|}","--"),"{|","--"),CHAR(10),""),"、",""),"|",""))+IF(AND(OR(J1001="EI",J1001="EO",J1001="EQ"),$AE$1="NESMA"),2,1)))</f>
        <v/>
      </c>
      <c r="P1001" s="86">
        <f>IF(J1001="EI",IF(OR(Y1001="估算法",Y1001="算法类"),"中",IF(Y1001="无法识别","低",IF(M1001&lt;2,IF(O1001&lt;16,"低","中"),IF(M1001&lt;3,IF(O1001&lt;5,"低",IF(O1001&lt;16,"中","高")),IF(O1001&lt;5,"中","高"))))),IF(OR(J1001="EO",J1001="EQ"),IF(OR(Y1001="估算法",Y1001="算法类"),"中",IF(Y1001="无法识别","低",IF(M1001&lt;2,IF(O1001&lt;20,"低","中"),IF(M1001&lt;4,IF(O1001&lt;6,"低",IF(O1001&lt;20,"中","高")),IF(O1001&lt;6,"中","高"))))),IF(OR(J1001="ILF",J1001="EIF"),IF(OR(Y1001="估算法",Y1001="算法类",Y1001="无法识别"),"低",IF(N1001&lt;2,IF(O1001&lt;51,"低","中"),IF(N1001&lt;6,IF(O1001&lt;20,"低",IF(O1001&lt;51,"中","高")),IF(O1001&lt;20,"中","高")))),"不计算")))</f>
        <v/>
      </c>
      <c r="Q1001" s="172">
        <f>IFERROR(IF(J1001="EI",IF(P1001="低",3,IF(P1001="中",4,6)),IF(J1001="EO",IF(P1001="低",4,IF(P1001="中",5,7)),IF(J1001="EQ",IF(P1001="低",3,IF(P1001="中",4,6)),IF(J1001="ILF",IF(P1001="低",7,IF(P1001="中",10,15)),IF(J1001="EIF",IF(P1001="低",5,IF(P1001="中",7,10)),"不计算")))))*R1001,"不计算")</f>
        <v/>
      </c>
      <c r="R1001" s="172" t="n">
        <v>0.333333333333333</v>
      </c>
      <c r="S1001" s="173">
        <f>调整因子!$F$13</f>
        <v/>
      </c>
      <c r="T1001" s="92" t="n">
        <v>1</v>
      </c>
      <c r="U1001" s="174">
        <f>IFERROR(Q1001*S1001,0)</f>
        <v/>
      </c>
      <c r="V1001" s="178">
        <f>U1001*T1001</f>
        <v/>
      </c>
      <c r="W1001" s="103" t="inlineStr">
        <is>
          <t>推送规则表、提醒规则表、脱敏规则表</t>
        </is>
      </c>
      <c r="X1001" s="103" t="inlineStr"/>
      <c r="Y1001"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001" s="90" t="n"/>
      <c r="AA1001" s="90" t="n"/>
    </row>
    <row r="1002" s="112">
      <c r="A1002" s="72">
        <f>ROW()-1</f>
        <v/>
      </c>
      <c r="B1002" s="175" t="n"/>
      <c r="C1002" s="124" t="n">
        <v>2026</v>
      </c>
      <c r="D1002" s="125" t="n"/>
      <c r="E1002" s="103" t="n"/>
      <c r="F1002" s="175" t="n"/>
      <c r="G1002" s="175" t="n"/>
      <c r="H1002" s="175" t="n"/>
      <c r="I1002" s="103" t="inlineStr">
        <is>
          <t>启用预警规则</t>
        </is>
      </c>
      <c r="J1002" s="93" t="inlineStr">
        <is>
          <t>EI</t>
        </is>
      </c>
      <c r="K1002" s="102" t="n"/>
      <c r="L1002" s="102" t="n"/>
      <c r="M1002" s="85">
        <f>IF(OR(Y1002="估算法",Y1002="算法类",Y1002="无法识别"),"",IF(W1002="",IF(OR(J1002="EI",J1002="EO",J1002="EQ"),0,""),LEN(W1002)-LEN(SUBSTITUTE(W1002,"、",""))+1))</f>
        <v/>
      </c>
      <c r="N1002" s="85">
        <f>IF(OR(Y1002="估算法",Y1002="算法类",Y1002="无法识别"),"",IF(X1002="",IF(OR(J1002="ILF",J1002="EIF"),0,""),LEN(X1002)-LEN(SUBSTITUTE(X1002,"、",""))+1))</f>
        <v/>
      </c>
      <c r="O1002" s="85">
        <f>IF(OR(Y1002="估算法",Y1002="算法类",Y1002="无法识别"),"",IF(Y1002="",IF(OR(J1002="ILF",J1002="EIF",J1002="EI",J1002="EO",J1002="EQ"),0,""),LEN(Y1002)-LEN(SUBSTITUTE(SUBSTITUTE(SUBSTITUTE(SUBSTITUTE(SUBSTITUTE(Y1002,"|}","--"),"{|","--"),CHAR(10),""),"、",""),"|",""))+IF(AND(OR(J1002="EI",J1002="EO",J1002="EQ"),$AE$1="NESMA"),2,1)))</f>
        <v/>
      </c>
      <c r="P1002" s="86">
        <f>IF(J1002="EI",IF(OR(Y1002="估算法",Y1002="算法类"),"中",IF(Y1002="无法识别","低",IF(M1002&lt;2,IF(O1002&lt;16,"低","中"),IF(M1002&lt;3,IF(O1002&lt;5,"低",IF(O1002&lt;16,"中","高")),IF(O1002&lt;5,"中","高"))))),IF(OR(J1002="EO",J1002="EQ"),IF(OR(Y1002="估算法",Y1002="算法类"),"中",IF(Y1002="无法识别","低",IF(M1002&lt;2,IF(O1002&lt;20,"低","中"),IF(M1002&lt;4,IF(O1002&lt;6,"低",IF(O1002&lt;20,"中","高")),IF(O1002&lt;6,"中","高"))))),IF(OR(J1002="ILF",J1002="EIF"),IF(OR(Y1002="估算法",Y1002="算法类",Y1002="无法识别"),"低",IF(N1002&lt;2,IF(O1002&lt;51,"低","中"),IF(N1002&lt;6,IF(O1002&lt;20,"低",IF(O1002&lt;51,"中","高")),IF(O1002&lt;20,"中","高")))),"不计算")))</f>
        <v/>
      </c>
      <c r="Q1002" s="172">
        <f>IFERROR(IF(J1002="EI",IF(P1002="低",3,IF(P1002="中",4,6)),IF(J1002="EO",IF(P1002="低",4,IF(P1002="中",5,7)),IF(J1002="EQ",IF(P1002="低",3,IF(P1002="中",4,6)),IF(J1002="ILF",IF(P1002="低",7,IF(P1002="中",10,15)),IF(J1002="EIF",IF(P1002="低",5,IF(P1002="中",7,10)),"不计算")))))*R1002,"不计算")</f>
        <v/>
      </c>
      <c r="R1002" s="172" t="n">
        <v>1</v>
      </c>
      <c r="S1002" s="173">
        <f>调整因子!$F$13</f>
        <v/>
      </c>
      <c r="T1002" s="93" t="n">
        <v>1</v>
      </c>
      <c r="U1002" s="174">
        <f>IFERROR(Q1002*S1002,0)</f>
        <v/>
      </c>
      <c r="V1002" s="178">
        <f>U1002*T1002</f>
        <v/>
      </c>
      <c r="W1002" s="103" t="inlineStr">
        <is>
          <t>推送规则表、提醒规则表、脱敏规则表、加密规则表</t>
        </is>
      </c>
      <c r="X1002" s="103" t="inlineStr"/>
      <c r="Y1002"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1002" s="90" t="n"/>
      <c r="AA1002" s="90" t="n"/>
    </row>
    <row r="1003" s="112">
      <c r="A1003" s="72">
        <f>ROW()-1</f>
        <v/>
      </c>
      <c r="B1003" s="175" t="n"/>
      <c r="C1003" s="124" t="n">
        <v>2026</v>
      </c>
      <c r="D1003" s="125" t="n"/>
      <c r="E1003" s="103" t="n"/>
      <c r="F1003" s="175" t="n"/>
      <c r="G1003" s="175" t="n"/>
      <c r="H1003" s="175" t="n"/>
      <c r="I1003" s="103" t="inlineStr">
        <is>
          <t>停用预警规则</t>
        </is>
      </c>
      <c r="J1003" s="93" t="n"/>
      <c r="K1003" s="102" t="n"/>
      <c r="L1003" s="102" t="inlineStr">
        <is>
          <t>和上行合并，启停为相同功能</t>
        </is>
      </c>
      <c r="M1003" s="85">
        <f>IF(OR(Y1003="估算法",Y1003="算法类",Y1003="无法识别"),"",IF(W1003="",IF(OR(J1003="EI",J1003="EO",J1003="EQ"),0,""),LEN(W1003)-LEN(SUBSTITUTE(W1003,"、",""))+1))</f>
        <v/>
      </c>
      <c r="N1003" s="85">
        <f>IF(OR(Y1003="估算法",Y1003="算法类",Y1003="无法识别"),"",IF(X1003="",IF(OR(J1003="ILF",J1003="EIF"),0,""),LEN(X1003)-LEN(SUBSTITUTE(X1003,"、",""))+1))</f>
        <v/>
      </c>
      <c r="O1003" s="85">
        <f>IF(OR(Y1003="估算法",Y1003="算法类",Y1003="无法识别"),"",IF(Y1003="",IF(OR(J1003="ILF",J1003="EIF",J1003="EI",J1003="EO",J1003="EQ"),0,""),LEN(Y1003)-LEN(SUBSTITUTE(SUBSTITUTE(SUBSTITUTE(SUBSTITUTE(SUBSTITUTE(Y1003,"|}","--"),"{|","--"),CHAR(10),""),"、",""),"|",""))+IF(AND(OR(J1003="EI",J1003="EO",J1003="EQ"),$AE$1="NESMA"),2,1)))</f>
        <v/>
      </c>
      <c r="P1003" s="86">
        <f>IF(J1003="EI",IF(OR(Y1003="估算法",Y1003="算法类"),"中",IF(Y1003="无法识别","低",IF(M1003&lt;2,IF(O1003&lt;16,"低","中"),IF(M1003&lt;3,IF(O1003&lt;5,"低",IF(O1003&lt;16,"中","高")),IF(O1003&lt;5,"中","高"))))),IF(OR(J1003="EO",J1003="EQ"),IF(OR(Y1003="估算法",Y1003="算法类"),"中",IF(Y1003="无法识别","低",IF(M1003&lt;2,IF(O1003&lt;20,"低","中"),IF(M1003&lt;4,IF(O1003&lt;6,"低",IF(O1003&lt;20,"中","高")),IF(O1003&lt;6,"中","高"))))),IF(OR(J1003="ILF",J1003="EIF"),IF(OR(Y1003="估算法",Y1003="算法类",Y1003="无法识别"),"低",IF(N1003&lt;2,IF(O1003&lt;51,"低","中"),IF(N1003&lt;6,IF(O1003&lt;20,"低",IF(O1003&lt;51,"中","高")),IF(O1003&lt;20,"中","高")))),"不计算")))</f>
        <v/>
      </c>
      <c r="Q1003" s="172">
        <f>IFERROR(IF(J1003="EI",IF(P1003="低",3,IF(P1003="中",4,6)),IF(J1003="EO",IF(P1003="低",4,IF(P1003="中",5,7)),IF(J1003="EQ",IF(P1003="低",3,IF(P1003="中",4,6)),IF(J1003="ILF",IF(P1003="低",7,IF(P1003="中",10,15)),IF(J1003="EIF",IF(P1003="低",5,IF(P1003="中",7,10)),"不计算")))))*R1003,"不计算")</f>
        <v/>
      </c>
      <c r="R1003" s="172" t="n">
        <v>1</v>
      </c>
      <c r="S1003" s="173">
        <f>调整因子!$F$13</f>
        <v/>
      </c>
      <c r="T1003" s="92" t="n">
        <v>1</v>
      </c>
      <c r="U1003" s="174">
        <f>IFERROR(Q1003*S1003,0)</f>
        <v/>
      </c>
      <c r="V1003" s="178">
        <f>U1003*T1003</f>
        <v/>
      </c>
      <c r="W1003" s="103" t="inlineStr">
        <is>
          <t>推送规则表、提醒规则表、脱敏规则表、加密规则表、同步任务调度表</t>
        </is>
      </c>
      <c r="X1003" s="103" t="inlineStr"/>
      <c r="Y1003"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Z1003" s="90" t="n"/>
      <c r="AA1003" s="90" t="n"/>
    </row>
    <row r="1004" s="112">
      <c r="A1004" s="72">
        <f>ROW()-1</f>
        <v/>
      </c>
      <c r="B1004" s="175" t="n"/>
      <c r="C1004" s="124" t="n">
        <v>2026</v>
      </c>
      <c r="D1004" s="125" t="n"/>
      <c r="E1004" s="103" t="n"/>
      <c r="F1004" s="175" t="n"/>
      <c r="G1004" s="175" t="n"/>
      <c r="H1004" s="175" t="n"/>
      <c r="I1004" s="103" t="inlineStr">
        <is>
          <t>导出预警配置</t>
        </is>
      </c>
      <c r="J1004" s="93" t="inlineStr">
        <is>
          <t>EO</t>
        </is>
      </c>
      <c r="K1004" s="102" t="n"/>
      <c r="L1004" s="102" t="n"/>
      <c r="M1004" s="85">
        <f>IF(OR(Y1004="估算法",Y1004="算法类",Y1004="无法识别"),"",IF(W1004="",IF(OR(J1004="EI",J1004="EO",J1004="EQ"),0,""),LEN(W1004)-LEN(SUBSTITUTE(W1004,"、",""))+1))</f>
        <v/>
      </c>
      <c r="N1004" s="85">
        <f>IF(OR(Y1004="估算法",Y1004="算法类",Y1004="无法识别"),"",IF(X1004="",IF(OR(J1004="ILF",J1004="EIF"),0,""),LEN(X1004)-LEN(SUBSTITUTE(X1004,"、",""))+1))</f>
        <v/>
      </c>
      <c r="O1004" s="85">
        <f>IF(OR(Y1004="估算法",Y1004="算法类",Y1004="无法识别"),"",IF(Y1004="",IF(OR(J1004="ILF",J1004="EIF",J1004="EI",J1004="EO",J1004="EQ"),0,""),LEN(Y1004)-LEN(SUBSTITUTE(SUBSTITUTE(SUBSTITUTE(SUBSTITUTE(SUBSTITUTE(Y1004,"|}","--"),"{|","--"),CHAR(10),""),"、",""),"|",""))+IF(AND(OR(J1004="EI",J1004="EO",J1004="EQ"),$AE$1="NESMA"),2,1)))</f>
        <v/>
      </c>
      <c r="P1004" s="86">
        <f>IF(J1004="EI",IF(OR(Y1004="估算法",Y1004="算法类"),"中",IF(Y1004="无法识别","低",IF(M1004&lt;2,IF(O1004&lt;16,"低","中"),IF(M1004&lt;3,IF(O1004&lt;5,"低",IF(O1004&lt;16,"中","高")),IF(O1004&lt;5,"中","高"))))),IF(OR(J1004="EO",J1004="EQ"),IF(OR(Y1004="估算法",Y1004="算法类"),"中",IF(Y1004="无法识别","低",IF(M1004&lt;2,IF(O1004&lt;20,"低","中"),IF(M1004&lt;4,IF(O1004&lt;6,"低",IF(O1004&lt;20,"中","高")),IF(O1004&lt;6,"中","高"))))),IF(OR(J1004="ILF",J1004="EIF"),IF(OR(Y1004="估算法",Y1004="算法类",Y1004="无法识别"),"低",IF(N1004&lt;2,IF(O1004&lt;51,"低","中"),IF(N1004&lt;6,IF(O1004&lt;20,"低",IF(O1004&lt;51,"中","高")),IF(O1004&lt;20,"中","高")))),"不计算")))</f>
        <v/>
      </c>
      <c r="Q1004" s="172">
        <f>IFERROR(IF(J1004="EI",IF(P1004="低",3,IF(P1004="中",4,6)),IF(J1004="EO",IF(P1004="低",4,IF(P1004="中",5,7)),IF(J1004="EQ",IF(P1004="低",3,IF(P1004="中",4,6)),IF(J1004="ILF",IF(P1004="低",7,IF(P1004="中",10,15)),IF(J1004="EIF",IF(P1004="低",5,IF(P1004="中",7,10)),"不计算")))))*R1004,"不计算")</f>
        <v/>
      </c>
      <c r="R1004" s="172" t="n">
        <v>1</v>
      </c>
      <c r="S1004" s="173">
        <f>调整因子!$F$13</f>
        <v/>
      </c>
      <c r="T1004" s="92" t="n">
        <v>1</v>
      </c>
      <c r="U1004" s="174">
        <f>IFERROR(Q1004*S1004,0)</f>
        <v/>
      </c>
      <c r="V1004" s="178">
        <f>U1004*T1004</f>
        <v/>
      </c>
      <c r="W1004" s="103" t="inlineStr">
        <is>
          <t>任务优先级配置表、模板参数配置表、处置单配置表、验证配置表</t>
        </is>
      </c>
      <c r="X1004" s="103" t="inlineStr"/>
      <c r="Y1004"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04" s="90" t="n"/>
      <c r="AA1004" s="90" t="n"/>
    </row>
    <row r="1005" s="112">
      <c r="A1005" s="72">
        <f>ROW()-1</f>
        <v/>
      </c>
      <c r="B1005" s="175" t="n"/>
      <c r="C1005" s="124" t="n">
        <v>2026</v>
      </c>
      <c r="D1005" s="125" t="n"/>
      <c r="E1005" s="103" t="n"/>
      <c r="F1005" s="175" t="n"/>
      <c r="G1005" s="175" t="n"/>
      <c r="H1005" s="175" t="n"/>
      <c r="I1005" s="103" t="inlineStr">
        <is>
          <t>推送预警通知</t>
        </is>
      </c>
      <c r="J1005" s="93" t="inlineStr">
        <is>
          <t>EO</t>
        </is>
      </c>
      <c r="K1005" s="102" t="n"/>
      <c r="L1005" s="102" t="inlineStr">
        <is>
          <t>描述为查询功能</t>
        </is>
      </c>
      <c r="M1005" s="85">
        <f>IF(OR(Y1005="估算法",Y1005="算法类",Y1005="无法识别"),"",IF(W1005="",IF(OR(J1005="EI",J1005="EO",J1005="EQ"),0,""),LEN(W1005)-LEN(SUBSTITUTE(W1005,"、",""))+1))</f>
        <v/>
      </c>
      <c r="N1005" s="85">
        <f>IF(OR(Y1005="估算法",Y1005="算法类",Y1005="无法识别"),"",IF(X1005="",IF(OR(J1005="ILF",J1005="EIF"),0,""),LEN(X1005)-LEN(SUBSTITUTE(X1005,"、",""))+1))</f>
        <v/>
      </c>
      <c r="O1005" s="85">
        <f>IF(OR(Y1005="估算法",Y1005="算法类",Y1005="无法识别"),"",IF(Y1005="",IF(OR(J1005="ILF",J1005="EIF",J1005="EI",J1005="EO",J1005="EQ"),0,""),LEN(Y1005)-LEN(SUBSTITUTE(SUBSTITUTE(SUBSTITUTE(SUBSTITUTE(SUBSTITUTE(Y1005,"|}","--"),"{|","--"),CHAR(10),""),"、",""),"|",""))+IF(AND(OR(J1005="EI",J1005="EO",J1005="EQ"),$AE$1="NESMA"),2,1)))</f>
        <v/>
      </c>
      <c r="P1005" s="86">
        <f>IF(J1005="EI",IF(OR(Y1005="估算法",Y1005="算法类"),"中",IF(Y1005="无法识别","低",IF(M1005&lt;2,IF(O1005&lt;16,"低","中"),IF(M1005&lt;3,IF(O1005&lt;5,"低",IF(O1005&lt;16,"中","高")),IF(O1005&lt;5,"中","高"))))),IF(OR(J1005="EO",J1005="EQ"),IF(OR(Y1005="估算法",Y1005="算法类"),"中",IF(Y1005="无法识别","低",IF(M1005&lt;2,IF(O1005&lt;20,"低","中"),IF(M1005&lt;4,IF(O1005&lt;6,"低",IF(O1005&lt;20,"中","高")),IF(O1005&lt;6,"中","高"))))),IF(OR(J1005="ILF",J1005="EIF"),IF(OR(Y1005="估算法",Y1005="算法类",Y1005="无法识别"),"低",IF(N1005&lt;2,IF(O1005&lt;51,"低","中"),IF(N1005&lt;6,IF(O1005&lt;20,"低",IF(O1005&lt;51,"中","高")),IF(O1005&lt;20,"中","高")))),"不计算")))</f>
        <v/>
      </c>
      <c r="Q1005" s="172">
        <f>IFERROR(IF(J1005="EI",IF(P1005="低",3,IF(P1005="中",4,6)),IF(J1005="EO",IF(P1005="低",4,IF(P1005="中",5,7)),IF(J1005="EQ",IF(P1005="低",3,IF(P1005="中",4,6)),IF(J1005="ILF",IF(P1005="低",7,IF(P1005="中",10,15)),IF(J1005="EIF",IF(P1005="低",5,IF(P1005="中",7,10)),"不计算")))))*R1005,"不计算")</f>
        <v/>
      </c>
      <c r="R1005" s="172" t="n">
        <v>0.333333333333333</v>
      </c>
      <c r="S1005" s="173">
        <f>调整因子!$F$13</f>
        <v/>
      </c>
      <c r="T1005" s="93" t="n">
        <v>1</v>
      </c>
      <c r="U1005" s="174">
        <f>IFERROR(Q1005*S1005,0)</f>
        <v/>
      </c>
      <c r="V1005" s="178">
        <f>U1005*T1005</f>
        <v/>
      </c>
      <c r="W1005" s="103" t="inlineStr">
        <is>
          <t>任务优先级配置表、报告导入记录表、分类层级关系表、任务趋势分析表、复测配置表</t>
        </is>
      </c>
      <c r="X1005" s="103" t="inlineStr"/>
      <c r="Y1005" s="97" t="inlineStr">
        <is>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is>
      </c>
      <c r="Z1005" s="90" t="n"/>
      <c r="AA1005" s="90" t="n"/>
    </row>
    <row r="1006" s="112">
      <c r="A1006" s="72">
        <f>ROW()-1</f>
        <v/>
      </c>
      <c r="B1006" s="175" t="n"/>
      <c r="C1006" s="124" t="n">
        <v>2026</v>
      </c>
      <c r="D1006" s="125" t="n"/>
      <c r="E1006" s="103" t="n"/>
      <c r="F1006" s="175" t="n"/>
      <c r="G1006" s="175" t="n"/>
      <c r="H1006" s="175" t="n"/>
      <c r="I1006" s="103" t="inlineStr">
        <is>
          <t>查询预警规则</t>
        </is>
      </c>
      <c r="J1006" s="93" t="inlineStr">
        <is>
          <t>EQ</t>
        </is>
      </c>
      <c r="K1006" s="102" t="n"/>
      <c r="L1006" s="102" t="n"/>
      <c r="M1006" s="85">
        <f>IF(OR(Y1006="估算法",Y1006="算法类",Y1006="无法识别"),"",IF(W1006="",IF(OR(J1006="EI",J1006="EO",J1006="EQ"),0,""),LEN(W1006)-LEN(SUBSTITUTE(W1006,"、",""))+1))</f>
        <v/>
      </c>
      <c r="N1006" s="85">
        <f>IF(OR(Y1006="估算法",Y1006="算法类",Y1006="无法识别"),"",IF(X1006="",IF(OR(J1006="ILF",J1006="EIF"),0,""),LEN(X1006)-LEN(SUBSTITUTE(X1006,"、",""))+1))</f>
        <v/>
      </c>
      <c r="O1006" s="85">
        <f>IF(OR(Y1006="估算法",Y1006="算法类",Y1006="无法识别"),"",IF(Y1006="",IF(OR(J1006="ILF",J1006="EIF",J1006="EI",J1006="EO",J1006="EQ"),0,""),LEN(Y1006)-LEN(SUBSTITUTE(SUBSTITUTE(SUBSTITUTE(SUBSTITUTE(SUBSTITUTE(Y1006,"|}","--"),"{|","--"),CHAR(10),""),"、",""),"|",""))+IF(AND(OR(J1006="EI",J1006="EO",J1006="EQ"),$AE$1="NESMA"),2,1)))</f>
        <v/>
      </c>
      <c r="P1006" s="86">
        <f>IF(J1006="EI",IF(OR(Y1006="估算法",Y1006="算法类"),"中",IF(Y1006="无法识别","低",IF(M1006&lt;2,IF(O1006&lt;16,"低","中"),IF(M1006&lt;3,IF(O1006&lt;5,"低",IF(O1006&lt;16,"中","高")),IF(O1006&lt;5,"中","高"))))),IF(OR(J1006="EO",J1006="EQ"),IF(OR(Y1006="估算法",Y1006="算法类"),"中",IF(Y1006="无法识别","低",IF(M1006&lt;2,IF(O1006&lt;20,"低","中"),IF(M1006&lt;4,IF(O1006&lt;6,"低",IF(O1006&lt;20,"中","高")),IF(O1006&lt;6,"中","高"))))),IF(OR(J1006="ILF",J1006="EIF"),IF(OR(Y1006="估算法",Y1006="算法类",Y1006="无法识别"),"低",IF(N1006&lt;2,IF(O1006&lt;51,"低","中"),IF(N1006&lt;6,IF(O1006&lt;20,"低",IF(O1006&lt;51,"中","高")),IF(O1006&lt;20,"中","高")))),"不计算")))</f>
        <v/>
      </c>
      <c r="Q1006" s="172">
        <f>IFERROR(IF(J1006="EI",IF(P1006="低",3,IF(P1006="中",4,6)),IF(J1006="EO",IF(P1006="低",4,IF(P1006="中",5,7)),IF(J1006="EQ",IF(P1006="低",3,IF(P1006="中",4,6)),IF(J1006="ILF",IF(P1006="低",7,IF(P1006="中",10,15)),IF(J1006="EIF",IF(P1006="低",5,IF(P1006="中",7,10)),"不计算")))))*R1006,"不计算")</f>
        <v/>
      </c>
      <c r="R1006" s="172" t="n">
        <v>1</v>
      </c>
      <c r="S1006" s="173">
        <f>调整因子!$F$13</f>
        <v/>
      </c>
      <c r="T1006" s="93" t="n">
        <v>1</v>
      </c>
      <c r="U1006" s="174">
        <f>IFERROR(Q1006*S1006,0)</f>
        <v/>
      </c>
      <c r="V1006" s="178">
        <f>U1006*T1006</f>
        <v/>
      </c>
      <c r="W1006" s="103" t="inlineStr">
        <is>
          <t>推送规则表、提醒规则表、脱敏规则表、加密规则表</t>
        </is>
      </c>
      <c r="X1006" s="103" t="inlineStr"/>
      <c r="Y1006"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1006" s="90" t="n"/>
      <c r="AA1006" s="90" t="n"/>
    </row>
    <row r="1007" s="112">
      <c r="A1007" s="72">
        <f>ROW()-1</f>
        <v/>
      </c>
      <c r="B1007" s="175" t="n"/>
      <c r="C1007" s="124" t="n">
        <v>2026</v>
      </c>
      <c r="D1007" s="125" t="n"/>
      <c r="E1007" s="103" t="n"/>
      <c r="F1007" s="175" t="n"/>
      <c r="G1007" s="176" t="n"/>
      <c r="H1007" s="176" t="n"/>
      <c r="I1007" s="103" t="inlineStr">
        <is>
          <t>查看预警历史</t>
        </is>
      </c>
      <c r="J1007" s="93" t="inlineStr">
        <is>
          <t>EQ</t>
        </is>
      </c>
      <c r="K1007" s="102" t="n"/>
      <c r="L1007" s="102" t="inlineStr">
        <is>
          <t>处理流程和上行基本一致，为查询功能，未体现详情功能</t>
        </is>
      </c>
      <c r="M1007" s="85">
        <f>IF(OR(Y1007="估算法",Y1007="算法类",Y1007="无法识别"),"",IF(W1007="",IF(OR(J1007="EI",J1007="EO",J1007="EQ"),0,""),LEN(W1007)-LEN(SUBSTITUTE(W1007,"、",""))+1))</f>
        <v/>
      </c>
      <c r="N1007" s="85">
        <f>IF(OR(Y1007="估算法",Y1007="算法类",Y1007="无法识别"),"",IF(X1007="",IF(OR(J1007="ILF",J1007="EIF"),0,""),LEN(X1007)-LEN(SUBSTITUTE(X1007,"、",""))+1))</f>
        <v/>
      </c>
      <c r="O1007" s="85">
        <f>IF(OR(Y1007="估算法",Y1007="算法类",Y1007="无法识别"),"",IF(Y1007="",IF(OR(J1007="ILF",J1007="EIF",J1007="EI",J1007="EO",J1007="EQ"),0,""),LEN(Y1007)-LEN(SUBSTITUTE(SUBSTITUTE(SUBSTITUTE(SUBSTITUTE(SUBSTITUTE(Y1007,"|}","--"),"{|","--"),CHAR(10),""),"、",""),"|",""))+IF(AND(OR(J1007="EI",J1007="EO",J1007="EQ"),$AE$1="NESMA"),2,1)))</f>
        <v/>
      </c>
      <c r="P1007" s="86">
        <f>IF(J1007="EI",IF(OR(Y1007="估算法",Y1007="算法类"),"中",IF(Y1007="无法识别","低",IF(M1007&lt;2,IF(O1007&lt;16,"低","中"),IF(M1007&lt;3,IF(O1007&lt;5,"低",IF(O1007&lt;16,"中","高")),IF(O1007&lt;5,"中","高"))))),IF(OR(J1007="EO",J1007="EQ"),IF(OR(Y1007="估算法",Y1007="算法类"),"中",IF(Y1007="无法识别","低",IF(M1007&lt;2,IF(O1007&lt;20,"低","中"),IF(M1007&lt;4,IF(O1007&lt;6,"低",IF(O1007&lt;20,"中","高")),IF(O1007&lt;6,"中","高"))))),IF(OR(J1007="ILF",J1007="EIF"),IF(OR(Y1007="估算法",Y1007="算法类",Y1007="无法识别"),"低",IF(N1007&lt;2,IF(O1007&lt;51,"低","中"),IF(N1007&lt;6,IF(O1007&lt;20,"低",IF(O1007&lt;51,"中","高")),IF(O1007&lt;20,"中","高")))),"不计算")))</f>
        <v/>
      </c>
      <c r="Q1007" s="172">
        <f>IFERROR(IF(J1007="EI",IF(P1007="低",3,IF(P1007="中",4,6)),IF(J1007="EO",IF(P1007="低",4,IF(P1007="中",5,7)),IF(J1007="EQ",IF(P1007="低",3,IF(P1007="中",4,6)),IF(J1007="ILF",IF(P1007="低",7,IF(P1007="中",10,15)),IF(J1007="EIF",IF(P1007="低",5,IF(P1007="中",7,10)),"不计算")))))*R1007,"不计算")</f>
        <v/>
      </c>
      <c r="R1007" s="172" t="n">
        <v>0.333333333333333</v>
      </c>
      <c r="S1007" s="173">
        <f>调整因子!$F$13</f>
        <v/>
      </c>
      <c r="T1007" s="92" t="n">
        <v>1</v>
      </c>
      <c r="U1007" s="174">
        <f>IFERROR(Q1007*S1007,0)</f>
        <v/>
      </c>
      <c r="V1007" s="178">
        <f>U1007*T1007</f>
        <v/>
      </c>
      <c r="W1007" s="103" t="inlineStr">
        <is>
          <t>处置流程定义表、日志加密配置表、提醒策略配置表、分类层级关系表、资产扫描覆盖表</t>
        </is>
      </c>
      <c r="X1007" s="103" t="inlineStr"/>
      <c r="Y1007" s="97" t="inlineStr">
        <is>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is>
      </c>
      <c r="Z1007" s="90" t="n"/>
      <c r="AA1007" s="90" t="n"/>
    </row>
    <row r="1008" s="112">
      <c r="A1008" s="72">
        <f>ROW()-1</f>
        <v/>
      </c>
      <c r="B1008" s="175" t="n"/>
      <c r="C1008" s="124" t="n">
        <v>2026</v>
      </c>
      <c r="D1008" s="125" t="n"/>
      <c r="E1008" s="103" t="n"/>
      <c r="F1008" s="175" t="n"/>
      <c r="G1008" s="97" t="inlineStr">
        <is>
          <t>可检测扫描设备标识</t>
        </is>
      </c>
      <c r="H1008" s="97" t="inlineStr">
        <is>
          <t>扫描覆盖分析</t>
        </is>
      </c>
      <c r="I1008" s="103" t="inlineStr">
        <is>
          <t>资产扫描覆盖表</t>
        </is>
      </c>
      <c r="J1008" s="93" t="inlineStr">
        <is>
          <t>ILF</t>
        </is>
      </c>
      <c r="K1008" s="102" t="n"/>
      <c r="L1008" s="102" t="n"/>
      <c r="M1008" s="85">
        <f>IF(OR(Y1008="估算法",Y1008="算法类",Y1008="无法识别"),"",IF(W1008="",IF(OR(J1008="EI",J1008="EO",J1008="EQ"),0,""),LEN(W1008)-LEN(SUBSTITUTE(W1008,"、",""))+1))</f>
        <v/>
      </c>
      <c r="N1008" s="85">
        <f>IF(OR(Y1008="估算法",Y1008="算法类",Y1008="无法识别"),"",IF(X1008="",IF(OR(J1008="ILF",J1008="EIF"),0,""),LEN(X1008)-LEN(SUBSTITUTE(X1008,"、",""))+1))</f>
        <v/>
      </c>
      <c r="O1008" s="85">
        <f>IF(OR(Y1008="估算法",Y1008="算法类",Y1008="无法识别"),"",IF(Y1008="",IF(OR(J1008="ILF",J1008="EIF",J1008="EI",J1008="EO",J1008="EQ"),0,""),LEN(Y1008)-LEN(SUBSTITUTE(SUBSTITUTE(SUBSTITUTE(SUBSTITUTE(SUBSTITUTE(Y1008,"|}","--"),"{|","--"),CHAR(10),""),"、",""),"|",""))+IF(AND(OR(J1008="EI",J1008="EO",J1008="EQ"),$AE$1="NESMA"),2,1)))</f>
        <v/>
      </c>
      <c r="P1008" s="86">
        <f>IF(J1008="EI",IF(OR(Y1008="估算法",Y1008="算法类"),"中",IF(Y1008="无法识别","低",IF(M1008&lt;2,IF(O1008&lt;16,"低","中"),IF(M1008&lt;3,IF(O1008&lt;5,"低",IF(O1008&lt;16,"中","高")),IF(O1008&lt;5,"中","高"))))),IF(OR(J1008="EO",J1008="EQ"),IF(OR(Y1008="估算法",Y1008="算法类"),"中",IF(Y1008="无法识别","低",IF(M1008&lt;2,IF(O1008&lt;20,"低","中"),IF(M1008&lt;4,IF(O1008&lt;6,"低",IF(O1008&lt;20,"中","高")),IF(O1008&lt;6,"中","高"))))),IF(OR(J1008="ILF",J1008="EIF"),IF(OR(Y1008="估算法",Y1008="算法类",Y1008="无法识别"),"低",IF(N1008&lt;2,IF(O1008&lt;51,"低","中"),IF(N1008&lt;6,IF(O1008&lt;20,"低",IF(O1008&lt;51,"中","高")),IF(O1008&lt;20,"中","高")))),"不计算")))</f>
        <v/>
      </c>
      <c r="Q1008" s="172">
        <f>IFERROR(IF(J1008="EI",IF(P1008="低",3,IF(P1008="中",4,6)),IF(J1008="EO",IF(P1008="低",4,IF(P1008="中",5,7)),IF(J1008="EQ",IF(P1008="低",3,IF(P1008="中",4,6)),IF(J1008="ILF",IF(P1008="低",7,IF(P1008="中",10,15)),IF(J1008="EIF",IF(P1008="低",5,IF(P1008="中",7,10)),"不计算")))))*R1008,"不计算")</f>
        <v/>
      </c>
      <c r="R1008" s="172" t="n">
        <v>1</v>
      </c>
      <c r="S1008" s="173">
        <f>调整因子!$F$13</f>
        <v/>
      </c>
      <c r="T1008" s="92" t="n">
        <v>1</v>
      </c>
      <c r="U1008" s="174">
        <f>IFERROR(Q1008*S1008,0)</f>
        <v/>
      </c>
      <c r="V1008" s="178">
        <f>U1008*T1008</f>
        <v/>
      </c>
      <c r="W1008" s="103" t="inlineStr"/>
      <c r="X1008" s="103" t="inlineStr">
        <is>
          <t>主机资产、网站资产、业务系统资产</t>
        </is>
      </c>
      <c r="Y1008" s="97" t="inlineStr">
        <is>
          <t>资产扫描覆盖表{资产ID、资产名称、IP地址|资产ID、资产名称、IP地址、资产类型、资产状态、创建时间、更新时间}</t>
        </is>
      </c>
      <c r="Z1008" s="90">
        <f>IF(COUNTIFS(W:W,"*"&amp;I1008&amp;"*")&gt;0,"存在","不存在")</f>
        <v/>
      </c>
      <c r="AA1008" s="90">
        <f>IF(COUNTIFS(AB:AB,"*"&amp;I1008&amp;"*")&gt;0,"存在","不存在")</f>
        <v/>
      </c>
    </row>
    <row r="1009" s="112">
      <c r="A1009" s="72">
        <f>ROW()-1</f>
        <v/>
      </c>
      <c r="B1009" s="175" t="n"/>
      <c r="C1009" s="124" t="n">
        <v>2026</v>
      </c>
      <c r="D1009" s="125" t="n"/>
      <c r="E1009" s="103" t="n"/>
      <c r="F1009" s="175" t="n"/>
      <c r="G1009" s="175" t="n"/>
      <c r="H1009" s="175" t="n"/>
      <c r="I1009" s="103" t="inlineStr">
        <is>
          <t>扫描盲区记录表</t>
        </is>
      </c>
      <c r="J1009" s="93" t="inlineStr">
        <is>
          <t>ILF</t>
        </is>
      </c>
      <c r="K1009" s="102" t="n"/>
      <c r="L1009" s="102" t="n"/>
      <c r="M1009" s="85">
        <f>IF(OR(Y1009="估算法",Y1009="算法类",Y1009="无法识别"),"",IF(W1009="",IF(OR(J1009="EI",J1009="EO",J1009="EQ"),0,""),LEN(W1009)-LEN(SUBSTITUTE(W1009,"、",""))+1))</f>
        <v/>
      </c>
      <c r="N1009" s="85">
        <f>IF(OR(Y1009="估算法",Y1009="算法类",Y1009="无法识别"),"",IF(X1009="",IF(OR(J1009="ILF",J1009="EIF"),0,""),LEN(X1009)-LEN(SUBSTITUTE(X1009,"、",""))+1))</f>
        <v/>
      </c>
      <c r="O1009" s="85">
        <f>IF(OR(Y1009="估算法",Y1009="算法类",Y1009="无法识别"),"",IF(Y1009="",IF(OR(J1009="ILF",J1009="EIF",J1009="EI",J1009="EO",J1009="EQ"),0,""),LEN(Y1009)-LEN(SUBSTITUTE(SUBSTITUTE(SUBSTITUTE(SUBSTITUTE(SUBSTITUTE(Y1009,"|}","--"),"{|","--"),CHAR(10),""),"、",""),"|",""))+IF(AND(OR(J1009="EI",J1009="EO",J1009="EQ"),$AE$1="NESMA"),2,1)))</f>
        <v/>
      </c>
      <c r="P1009" s="86">
        <f>IF(J1009="EI",IF(OR(Y1009="估算法",Y1009="算法类"),"中",IF(Y1009="无法识别","低",IF(M1009&lt;2,IF(O1009&lt;16,"低","中"),IF(M1009&lt;3,IF(O1009&lt;5,"低",IF(O1009&lt;16,"中","高")),IF(O1009&lt;5,"中","高"))))),IF(OR(J1009="EO",J1009="EQ"),IF(OR(Y1009="估算法",Y1009="算法类"),"中",IF(Y1009="无法识别","低",IF(M1009&lt;2,IF(O1009&lt;20,"低","中"),IF(M1009&lt;4,IF(O1009&lt;6,"低",IF(O1009&lt;20,"中","高")),IF(O1009&lt;6,"中","高"))))),IF(OR(J1009="ILF",J1009="EIF"),IF(OR(Y1009="估算法",Y1009="算法类",Y1009="无法识别"),"低",IF(N1009&lt;2,IF(O1009&lt;51,"低","中"),IF(N1009&lt;6,IF(O1009&lt;20,"低",IF(O1009&lt;51,"中","高")),IF(O1009&lt;20,"中","高")))),"不计算")))</f>
        <v/>
      </c>
      <c r="Q1009" s="172">
        <f>IFERROR(IF(J1009="EI",IF(P1009="低",3,IF(P1009="中",4,6)),IF(J1009="EO",IF(P1009="低",4,IF(P1009="中",5,7)),IF(J1009="EQ",IF(P1009="低",3,IF(P1009="中",4,6)),IF(J1009="ILF",IF(P1009="低",7,IF(P1009="中",10,15)),IF(J1009="EIF",IF(P1009="低",5,IF(P1009="中",7,10)),"不计算")))))*R1009,"不计算")</f>
        <v/>
      </c>
      <c r="R1009" s="172" t="n">
        <v>1</v>
      </c>
      <c r="S1009" s="173">
        <f>调整因子!$F$13</f>
        <v/>
      </c>
      <c r="T1009" s="93" t="n">
        <v>1</v>
      </c>
      <c r="U1009" s="174">
        <f>IFERROR(Q1009*S1009,0)</f>
        <v/>
      </c>
      <c r="V1009" s="178">
        <f>U1009*T1009</f>
        <v/>
      </c>
      <c r="W1009" s="103" t="inlineStr"/>
      <c r="X1009" s="103" t="inlineStr">
        <is>
          <t>扫描任务、发现任务</t>
        </is>
      </c>
      <c r="Y1009" s="97" t="inlineStr">
        <is>
          <t>扫描盲区记录表{任务ID、任务名称、任务状态|任务ID、任务名称、任务状态、扫描器类型、开始时间、结束时间、扫描结果}</t>
        </is>
      </c>
      <c r="Z1009" s="90">
        <f>IF(COUNTIFS(W:W,"*"&amp;I1009&amp;"*")&gt;0,"存在","不存在")</f>
        <v/>
      </c>
      <c r="AA1009" s="90">
        <f>IF(COUNTIFS(AB:AB,"*"&amp;I1009&amp;"*")&gt;0,"存在","不存在")</f>
        <v/>
      </c>
    </row>
    <row r="1010" s="112">
      <c r="A1010" s="72">
        <f>ROW()-1</f>
        <v/>
      </c>
      <c r="B1010" s="175" t="n"/>
      <c r="C1010" s="124" t="n">
        <v>2026</v>
      </c>
      <c r="D1010" s="125" t="n"/>
      <c r="E1010" s="103" t="n"/>
      <c r="F1010" s="175" t="n"/>
      <c r="G1010" s="175" t="n"/>
      <c r="H1010" s="175" t="n"/>
      <c r="I1010" s="103" t="inlineStr">
        <is>
          <t>扫描能力缺口表</t>
        </is>
      </c>
      <c r="J1010" s="93" t="inlineStr">
        <is>
          <t>ILF</t>
        </is>
      </c>
      <c r="K1010" s="102" t="n"/>
      <c r="L1010" s="102" t="n"/>
      <c r="M1010" s="85">
        <f>IF(OR(Y1010="估算法",Y1010="算法类",Y1010="无法识别"),"",IF(W1010="",IF(OR(J1010="EI",J1010="EO",J1010="EQ"),0,""),LEN(W1010)-LEN(SUBSTITUTE(W1010,"、",""))+1))</f>
        <v/>
      </c>
      <c r="N1010" s="85">
        <f>IF(OR(Y1010="估算法",Y1010="算法类",Y1010="无法识别"),"",IF(X1010="",IF(OR(J1010="ILF",J1010="EIF"),0,""),LEN(X1010)-LEN(SUBSTITUTE(X1010,"、",""))+1))</f>
        <v/>
      </c>
      <c r="O1010" s="85">
        <f>IF(OR(Y1010="估算法",Y1010="算法类",Y1010="无法识别"),"",IF(Y1010="",IF(OR(J1010="ILF",J1010="EIF",J1010="EI",J1010="EO",J1010="EQ"),0,""),LEN(Y1010)-LEN(SUBSTITUTE(SUBSTITUTE(SUBSTITUTE(SUBSTITUTE(SUBSTITUTE(Y1010,"|}","--"),"{|","--"),CHAR(10),""),"、",""),"|",""))+IF(AND(OR(J1010="EI",J1010="EO",J1010="EQ"),$AE$1="NESMA"),2,1)))</f>
        <v/>
      </c>
      <c r="P1010" s="86">
        <f>IF(J1010="EI",IF(OR(Y1010="估算法",Y1010="算法类"),"中",IF(Y1010="无法识别","低",IF(M1010&lt;2,IF(O1010&lt;16,"低","中"),IF(M1010&lt;3,IF(O1010&lt;5,"低",IF(O1010&lt;16,"中","高")),IF(O1010&lt;5,"中","高"))))),IF(OR(J1010="EO",J1010="EQ"),IF(OR(Y1010="估算法",Y1010="算法类"),"中",IF(Y1010="无法识别","低",IF(M1010&lt;2,IF(O1010&lt;20,"低","中"),IF(M1010&lt;4,IF(O1010&lt;6,"低",IF(O1010&lt;20,"中","高")),IF(O1010&lt;6,"中","高"))))),IF(OR(J1010="ILF",J1010="EIF"),IF(OR(Y1010="估算法",Y1010="算法类",Y1010="无法识别"),"低",IF(N1010&lt;2,IF(O1010&lt;51,"低","中"),IF(N1010&lt;6,IF(O1010&lt;20,"低",IF(O1010&lt;51,"中","高")),IF(O1010&lt;20,"中","高")))),"不计算")))</f>
        <v/>
      </c>
      <c r="Q1010" s="172">
        <f>IFERROR(IF(J1010="EI",IF(P1010="低",3,IF(P1010="中",4,6)),IF(J1010="EO",IF(P1010="低",4,IF(P1010="中",5,7)),IF(J1010="EQ",IF(P1010="低",3,IF(P1010="中",4,6)),IF(J1010="ILF",IF(P1010="低",7,IF(P1010="中",10,15)),IF(J1010="EIF",IF(P1010="低",5,IF(P1010="中",7,10)),"不计算")))))*R1010,"不计算")</f>
        <v/>
      </c>
      <c r="R1010" s="172" t="n">
        <v>1</v>
      </c>
      <c r="S1010" s="173">
        <f>调整因子!$F$13</f>
        <v/>
      </c>
      <c r="T1010" s="92" t="n">
        <v>1</v>
      </c>
      <c r="U1010" s="174">
        <f>IFERROR(Q1010*S1010,0)</f>
        <v/>
      </c>
      <c r="V1010" s="178">
        <f>U1010*T1010</f>
        <v/>
      </c>
      <c r="W1010" s="103" t="inlineStr"/>
      <c r="X1010" s="103" t="inlineStr">
        <is>
          <t>扫描任务、发现任务、口令猜测任务</t>
        </is>
      </c>
      <c r="Y1010" s="97" t="inlineStr">
        <is>
          <t>扫描能力缺口表{任务ID、任务名称、任务状态|任务ID、任务名称、任务状态、扫描器类型、开始时间、结束时间、扫描结果}</t>
        </is>
      </c>
      <c r="Z1010" s="90">
        <f>IF(COUNTIFS(W:W,"*"&amp;I1010&amp;"*")&gt;0,"存在","不存在")</f>
        <v/>
      </c>
      <c r="AA1010" s="90">
        <f>IF(COUNTIFS(AB:AB,"*"&amp;I1010&amp;"*")&gt;0,"存在","不存在")</f>
        <v/>
      </c>
    </row>
    <row r="1011" s="112">
      <c r="A1011" s="72">
        <f>ROW()-1</f>
        <v/>
      </c>
      <c r="B1011" s="175" t="n"/>
      <c r="C1011" s="124" t="n">
        <v>2026</v>
      </c>
      <c r="D1011" s="125" t="n"/>
      <c r="E1011" s="103" t="n"/>
      <c r="F1011" s="175" t="n"/>
      <c r="G1011" s="175" t="n"/>
      <c r="H1011" s="175" t="n"/>
      <c r="I1011" s="103" t="inlineStr">
        <is>
          <t>标记可检测设备</t>
        </is>
      </c>
      <c r="J1011" s="93" t="inlineStr">
        <is>
          <t>EI</t>
        </is>
      </c>
      <c r="K1011" s="102" t="n"/>
      <c r="L1011" s="102" t="n"/>
      <c r="M1011" s="85">
        <f>IF(OR(Y1011="估算法",Y1011="算法类",Y1011="无法识别"),"",IF(W1011="",IF(OR(J1011="EI",J1011="EO",J1011="EQ"),0,""),LEN(W1011)-LEN(SUBSTITUTE(W1011,"、",""))+1))</f>
        <v/>
      </c>
      <c r="N1011" s="85">
        <f>IF(OR(Y1011="估算法",Y1011="算法类",Y1011="无法识别"),"",IF(X1011="",IF(OR(J1011="ILF",J1011="EIF"),0,""),LEN(X1011)-LEN(SUBSTITUTE(X1011,"、",""))+1))</f>
        <v/>
      </c>
      <c r="O1011" s="85">
        <f>IF(OR(Y1011="估算法",Y1011="算法类",Y1011="无法识别"),"",IF(Y1011="",IF(OR(J1011="ILF",J1011="EIF",J1011="EI",J1011="EO",J1011="EQ"),0,""),LEN(Y1011)-LEN(SUBSTITUTE(SUBSTITUTE(SUBSTITUTE(SUBSTITUTE(SUBSTITUTE(Y1011,"|}","--"),"{|","--"),CHAR(10),""),"、",""),"|",""))+IF(AND(OR(J1011="EI",J1011="EO",J1011="EQ"),$AE$1="NESMA"),2,1)))</f>
        <v/>
      </c>
      <c r="P1011" s="86">
        <f>IF(J1011="EI",IF(OR(Y1011="估算法",Y1011="算法类"),"中",IF(Y1011="无法识别","低",IF(M1011&lt;2,IF(O1011&lt;16,"低","中"),IF(M1011&lt;3,IF(O1011&lt;5,"低",IF(O1011&lt;16,"中","高")),IF(O1011&lt;5,"中","高"))))),IF(OR(J1011="EO",J1011="EQ"),IF(OR(Y1011="估算法",Y1011="算法类"),"中",IF(Y1011="无法识别","低",IF(M1011&lt;2,IF(O1011&lt;20,"低","中"),IF(M1011&lt;4,IF(O1011&lt;6,"低",IF(O1011&lt;20,"中","高")),IF(O1011&lt;6,"中","高"))))),IF(OR(J1011="ILF",J1011="EIF"),IF(OR(Y1011="估算法",Y1011="算法类",Y1011="无法识别"),"低",IF(N1011&lt;2,IF(O1011&lt;51,"低","中"),IF(N1011&lt;6,IF(O1011&lt;20,"低",IF(O1011&lt;51,"中","高")),IF(O1011&lt;20,"中","高")))),"不计算")))</f>
        <v/>
      </c>
      <c r="Q1011" s="172">
        <f>IFERROR(IF(J1011="EI",IF(P1011="低",3,IF(P1011="中",4,6)),IF(J1011="EO",IF(P1011="低",4,IF(P1011="中",5,7)),IF(J1011="EQ",IF(P1011="低",3,IF(P1011="中",4,6)),IF(J1011="ILF",IF(P1011="低",7,IF(P1011="中",10,15)),IF(J1011="EIF",IF(P1011="低",5,IF(P1011="中",7,10)),"不计算")))))*R1011,"不计算")</f>
        <v/>
      </c>
      <c r="R1011" s="172" t="n">
        <v>1</v>
      </c>
      <c r="S1011" s="173">
        <f>调整因子!$F$13</f>
        <v/>
      </c>
      <c r="T1011" s="92" t="n">
        <v>1</v>
      </c>
      <c r="U1011" s="174">
        <f>IFERROR(Q1011*S1011,0)</f>
        <v/>
      </c>
      <c r="V1011" s="178">
        <f>U1011*T1011</f>
        <v/>
      </c>
      <c r="W1011" s="103" t="inlineStr">
        <is>
          <t>资产查询接口配置表、数据清洗任务表、日志采集配置表</t>
        </is>
      </c>
      <c r="X1011" s="103" t="inlineStr"/>
      <c r="Y1011" s="97" t="inlineStr">
        <is>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is>
      </c>
      <c r="Z1011" s="90" t="n"/>
      <c r="AA1011" s="90" t="n"/>
    </row>
    <row r="1012" s="112">
      <c r="A1012" s="72">
        <f>ROW()-1</f>
        <v/>
      </c>
      <c r="B1012" s="175" t="n"/>
      <c r="C1012" s="124" t="n">
        <v>2026</v>
      </c>
      <c r="D1012" s="125" t="n"/>
      <c r="E1012" s="103" t="n"/>
      <c r="F1012" s="175" t="n"/>
      <c r="G1012" s="175" t="n"/>
      <c r="H1012" s="175" t="n"/>
      <c r="I1012" s="103" t="inlineStr">
        <is>
          <t>更新覆盖状态</t>
        </is>
      </c>
      <c r="J1012" s="93" t="inlineStr">
        <is>
          <t>EI</t>
        </is>
      </c>
      <c r="K1012" s="102" t="n"/>
      <c r="L1012" s="102" t="n"/>
      <c r="M1012" s="85">
        <f>IF(OR(Y1012="估算法",Y1012="算法类",Y1012="无法识别"),"",IF(W1012="",IF(OR(J1012="EI",J1012="EO",J1012="EQ"),0,""),LEN(W1012)-LEN(SUBSTITUTE(W1012,"、",""))+1))</f>
        <v/>
      </c>
      <c r="N1012" s="85">
        <f>IF(OR(Y1012="估算法",Y1012="算法类",Y1012="无法识别"),"",IF(X1012="",IF(OR(J1012="ILF",J1012="EIF"),0,""),LEN(X1012)-LEN(SUBSTITUTE(X1012,"、",""))+1))</f>
        <v/>
      </c>
      <c r="O1012" s="85">
        <f>IF(OR(Y1012="估算法",Y1012="算法类",Y1012="无法识别"),"",IF(Y1012="",IF(OR(J1012="ILF",J1012="EIF",J1012="EI",J1012="EO",J1012="EQ"),0,""),LEN(Y1012)-LEN(SUBSTITUTE(SUBSTITUTE(SUBSTITUTE(SUBSTITUTE(SUBSTITUTE(Y1012,"|}","--"),"{|","--"),CHAR(10),""),"、",""),"|",""))+IF(AND(OR(J1012="EI",J1012="EO",J1012="EQ"),$AE$1="NESMA"),2,1)))</f>
        <v/>
      </c>
      <c r="P1012" s="86">
        <f>IF(J1012="EI",IF(OR(Y1012="估算法",Y1012="算法类"),"中",IF(Y1012="无法识别","低",IF(M1012&lt;2,IF(O1012&lt;16,"低","中"),IF(M1012&lt;3,IF(O1012&lt;5,"低",IF(O1012&lt;16,"中","高")),IF(O1012&lt;5,"中","高"))))),IF(OR(J1012="EO",J1012="EQ"),IF(OR(Y1012="估算法",Y1012="算法类"),"中",IF(Y1012="无法识别","低",IF(M1012&lt;2,IF(O1012&lt;20,"低","中"),IF(M1012&lt;4,IF(O1012&lt;6,"低",IF(O1012&lt;20,"中","高")),IF(O1012&lt;6,"中","高"))))),IF(OR(J1012="ILF",J1012="EIF"),IF(OR(Y1012="估算法",Y1012="算法类",Y1012="无法识别"),"低",IF(N1012&lt;2,IF(O1012&lt;51,"低","中"),IF(N1012&lt;6,IF(O1012&lt;20,"低",IF(O1012&lt;51,"中","高")),IF(O1012&lt;20,"中","高")))),"不计算")))</f>
        <v/>
      </c>
      <c r="Q1012" s="172">
        <f>IFERROR(IF(J1012="EI",IF(P1012="低",3,IF(P1012="中",4,6)),IF(J1012="EO",IF(P1012="低",4,IF(P1012="中",5,7)),IF(J1012="EQ",IF(P1012="低",3,IF(P1012="中",4,6)),IF(J1012="ILF",IF(P1012="低",7,IF(P1012="中",10,15)),IF(J1012="EIF",IF(P1012="低",5,IF(P1012="中",7,10)),"不计算")))))*R1012,"不计算")</f>
        <v/>
      </c>
      <c r="R1012" s="172" t="n">
        <v>1</v>
      </c>
      <c r="S1012" s="173">
        <f>调整因子!$F$13</f>
        <v/>
      </c>
      <c r="T1012" s="93" t="n">
        <v>1</v>
      </c>
      <c r="U1012" s="174">
        <f>IFERROR(Q1012*S1012,0)</f>
        <v/>
      </c>
      <c r="V1012" s="178">
        <f>U1012*T1012</f>
        <v/>
      </c>
      <c r="W1012" s="103" t="inlineStr">
        <is>
          <t>资产扫描覆盖表、处置流程定义表、处置单关联表、报告模板表、漏洞处置推送接口配置表</t>
        </is>
      </c>
      <c r="X1012" s="103" t="inlineStr"/>
      <c r="Y1012" s="97" t="inlineStr">
        <is>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is>
      </c>
      <c r="Z1012" s="90" t="n"/>
      <c r="AA1012" s="90" t="n"/>
    </row>
    <row r="1013" s="112">
      <c r="A1013" s="72">
        <f>ROW()-1</f>
        <v/>
      </c>
      <c r="B1013" s="175" t="n"/>
      <c r="C1013" s="124" t="n">
        <v>2026</v>
      </c>
      <c r="D1013" s="125" t="n"/>
      <c r="E1013" s="103" t="n"/>
      <c r="F1013" s="175" t="n"/>
      <c r="G1013" s="175" t="n"/>
      <c r="H1013" s="175" t="n"/>
      <c r="I1013" s="103" t="inlineStr">
        <is>
          <t>标记盲区资产</t>
        </is>
      </c>
      <c r="J1013" s="93" t="inlineStr">
        <is>
          <t>EI</t>
        </is>
      </c>
      <c r="K1013" s="102" t="n"/>
      <c r="L1013" s="102" t="n"/>
      <c r="M1013" s="85">
        <f>IF(OR(Y1013="估算法",Y1013="算法类",Y1013="无法识别"),"",IF(W1013="",IF(OR(J1013="EI",J1013="EO",J1013="EQ"),0,""),LEN(W1013)-LEN(SUBSTITUTE(W1013,"、",""))+1))</f>
        <v/>
      </c>
      <c r="N1013" s="85">
        <f>IF(OR(Y1013="估算法",Y1013="算法类",Y1013="无法识别"),"",IF(X1013="",IF(OR(J1013="ILF",J1013="EIF"),0,""),LEN(X1013)-LEN(SUBSTITUTE(X1013,"、",""))+1))</f>
        <v/>
      </c>
      <c r="O1013" s="85">
        <f>IF(OR(Y1013="估算法",Y1013="算法类",Y1013="无法识别"),"",IF(Y1013="",IF(OR(J1013="ILF",J1013="EIF",J1013="EI",J1013="EO",J1013="EQ"),0,""),LEN(Y1013)-LEN(SUBSTITUTE(SUBSTITUTE(SUBSTITUTE(SUBSTITUTE(SUBSTITUTE(Y1013,"|}","--"),"{|","--"),CHAR(10),""),"、",""),"|",""))+IF(AND(OR(J1013="EI",J1013="EO",J1013="EQ"),$AE$1="NESMA"),2,1)))</f>
        <v/>
      </c>
      <c r="P1013" s="86">
        <f>IF(J1013="EI",IF(OR(Y1013="估算法",Y1013="算法类"),"中",IF(Y1013="无法识别","低",IF(M1013&lt;2,IF(O1013&lt;16,"低","中"),IF(M1013&lt;3,IF(O1013&lt;5,"低",IF(O1013&lt;16,"中","高")),IF(O1013&lt;5,"中","高"))))),IF(OR(J1013="EO",J1013="EQ"),IF(OR(Y1013="估算法",Y1013="算法类"),"中",IF(Y1013="无法识别","低",IF(M1013&lt;2,IF(O1013&lt;20,"低","中"),IF(M1013&lt;4,IF(O1013&lt;6,"低",IF(O1013&lt;20,"中","高")),IF(O1013&lt;6,"中","高"))))),IF(OR(J1013="ILF",J1013="EIF"),IF(OR(Y1013="估算法",Y1013="算法类",Y1013="无法识别"),"低",IF(N1013&lt;2,IF(O1013&lt;51,"低","中"),IF(N1013&lt;6,IF(O1013&lt;20,"低",IF(O1013&lt;51,"中","高")),IF(O1013&lt;20,"中","高")))),"不计算")))</f>
        <v/>
      </c>
      <c r="Q1013" s="172">
        <f>IFERROR(IF(J1013="EI",IF(P1013="低",3,IF(P1013="中",4,6)),IF(J1013="EO",IF(P1013="低",4,IF(P1013="中",5,7)),IF(J1013="EQ",IF(P1013="低",3,IF(P1013="中",4,6)),IF(J1013="ILF",IF(P1013="低",7,IF(P1013="中",10,15)),IF(J1013="EIF",IF(P1013="低",5,IF(P1013="中",7,10)),"不计算")))))*R1013,"不计算")</f>
        <v/>
      </c>
      <c r="R1013" s="172" t="n">
        <v>1</v>
      </c>
      <c r="S1013" s="173">
        <f>调整因子!$F$13</f>
        <v/>
      </c>
      <c r="T1013" s="93" t="n">
        <v>1</v>
      </c>
      <c r="U1013" s="174">
        <f>IFERROR(Q1013*S1013,0)</f>
        <v/>
      </c>
      <c r="V1013" s="178">
        <f>U1013*T1013</f>
        <v/>
      </c>
      <c r="W1013" s="103" t="inlineStr">
        <is>
          <t>资产同步任务表、资产扫描覆盖表、资产查询接口配置表、任务趋势分析表</t>
        </is>
      </c>
      <c r="X1013" s="103" t="inlineStr"/>
      <c r="Y1013" s="97" t="inlineStr">
        <is>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is>
      </c>
      <c r="Z1013" s="90" t="n"/>
      <c r="AA1013" s="90" t="n"/>
    </row>
    <row r="1014" s="112">
      <c r="A1014" s="72">
        <f>ROW()-1</f>
        <v/>
      </c>
      <c r="B1014" s="175" t="n"/>
      <c r="C1014" s="124" t="n">
        <v>2026</v>
      </c>
      <c r="D1014" s="125" t="n"/>
      <c r="E1014" s="103" t="n"/>
      <c r="F1014" s="175" t="n"/>
      <c r="G1014" s="175" t="n"/>
      <c r="H1014" s="175" t="n"/>
      <c r="I1014" s="103" t="inlineStr">
        <is>
          <t>导出覆盖报告</t>
        </is>
      </c>
      <c r="J1014" s="93" t="inlineStr">
        <is>
          <t>EO</t>
        </is>
      </c>
      <c r="K1014" s="102" t="n"/>
      <c r="L1014" s="102" t="n"/>
      <c r="M1014" s="85">
        <f>IF(OR(Y1014="估算法",Y1014="算法类",Y1014="无法识别"),"",IF(W1014="",IF(OR(J1014="EI",J1014="EO",J1014="EQ"),0,""),LEN(W1014)-LEN(SUBSTITUTE(W1014,"、",""))+1))</f>
        <v/>
      </c>
      <c r="N1014" s="85">
        <f>IF(OR(Y1014="估算法",Y1014="算法类",Y1014="无法识别"),"",IF(X1014="",IF(OR(J1014="ILF",J1014="EIF"),0,""),LEN(X1014)-LEN(SUBSTITUTE(X1014,"、",""))+1))</f>
        <v/>
      </c>
      <c r="O1014" s="85">
        <f>IF(OR(Y1014="估算法",Y1014="算法类",Y1014="无法识别"),"",IF(Y1014="",IF(OR(J1014="ILF",J1014="EIF",J1014="EI",J1014="EO",J1014="EQ"),0,""),LEN(Y1014)-LEN(SUBSTITUTE(SUBSTITUTE(SUBSTITUTE(SUBSTITUTE(SUBSTITUTE(Y1014,"|}","--"),"{|","--"),CHAR(10),""),"、",""),"|",""))+IF(AND(OR(J1014="EI",J1014="EO",J1014="EQ"),$AE$1="NESMA"),2,1)))</f>
        <v/>
      </c>
      <c r="P1014" s="86">
        <f>IF(J1014="EI",IF(OR(Y1014="估算法",Y1014="算法类"),"中",IF(Y1014="无法识别","低",IF(M1014&lt;2,IF(O1014&lt;16,"低","中"),IF(M1014&lt;3,IF(O1014&lt;5,"低",IF(O1014&lt;16,"中","高")),IF(O1014&lt;5,"中","高"))))),IF(OR(J1014="EO",J1014="EQ"),IF(OR(Y1014="估算法",Y1014="算法类"),"中",IF(Y1014="无法识别","低",IF(M1014&lt;2,IF(O1014&lt;20,"低","中"),IF(M1014&lt;4,IF(O1014&lt;6,"低",IF(O1014&lt;20,"中","高")),IF(O1014&lt;6,"中","高"))))),IF(OR(J1014="ILF",J1014="EIF"),IF(OR(Y1014="估算法",Y1014="算法类",Y1014="无法识别"),"低",IF(N1014&lt;2,IF(O1014&lt;51,"低","中"),IF(N1014&lt;6,IF(O1014&lt;20,"低",IF(O1014&lt;51,"中","高")),IF(O1014&lt;20,"中","高")))),"不计算")))</f>
        <v/>
      </c>
      <c r="Q1014" s="172">
        <f>IFERROR(IF(J1014="EI",IF(P1014="低",3,IF(P1014="中",4,6)),IF(J1014="EO",IF(P1014="低",4,IF(P1014="中",5,7)),IF(J1014="EQ",IF(P1014="低",3,IF(P1014="中",4,6)),IF(J1014="ILF",IF(P1014="低",7,IF(P1014="中",10,15)),IF(J1014="EIF",IF(P1014="低",5,IF(P1014="中",7,10)),"不计算")))))*R1014,"不计算")</f>
        <v/>
      </c>
      <c r="R1014" s="172" t="n">
        <v>1</v>
      </c>
      <c r="S1014" s="173">
        <f>调整因子!$F$13</f>
        <v/>
      </c>
      <c r="T1014" s="92" t="n">
        <v>1</v>
      </c>
      <c r="U1014" s="174">
        <f>IFERROR(Q1014*S1014,0)</f>
        <v/>
      </c>
      <c r="V1014" s="178">
        <f>U1014*T1014</f>
        <v/>
      </c>
      <c r="W1014" s="103" t="inlineStr">
        <is>
          <t>修复步骤表、方案审批表、考核指标配置表</t>
        </is>
      </c>
      <c r="X1014" s="103" t="inlineStr"/>
      <c r="Y1014" s="97" t="inlineStr">
        <is>
          <t>修复步骤表{ID、名称|ID、名称、类型、状态、创建时间、更新时间}
方案审批表{ID、名称|ID、名称、类型、状态、创建时间、更新时间}
考核指标配置表{配置ID、配置名称|配置ID、配置名称、配置类型、配置值、创建时间}</t>
        </is>
      </c>
      <c r="Z1014" s="90" t="n"/>
      <c r="AA1014" s="90" t="n"/>
    </row>
    <row r="1015" s="112">
      <c r="A1015" s="72">
        <f>ROW()-1</f>
        <v/>
      </c>
      <c r="B1015" s="175" t="n"/>
      <c r="C1015" s="124" t="n">
        <v>2026</v>
      </c>
      <c r="D1015" s="125" t="n"/>
      <c r="E1015" s="103" t="n"/>
      <c r="F1015" s="175" t="n"/>
      <c r="G1015" s="175" t="n"/>
      <c r="H1015" s="175" t="n"/>
      <c r="I1015" s="103" t="inlineStr">
        <is>
          <t>查询覆盖情况</t>
        </is>
      </c>
      <c r="J1015" s="93" t="inlineStr">
        <is>
          <t>EQ</t>
        </is>
      </c>
      <c r="K1015" s="102" t="n"/>
      <c r="L1015" s="102" t="n"/>
      <c r="M1015" s="85">
        <f>IF(OR(Y1015="估算法",Y1015="算法类",Y1015="无法识别"),"",IF(W1015="",IF(OR(J1015="EI",J1015="EO",J1015="EQ"),0,""),LEN(W1015)-LEN(SUBSTITUTE(W1015,"、",""))+1))</f>
        <v/>
      </c>
      <c r="N1015" s="85">
        <f>IF(OR(Y1015="估算法",Y1015="算法类",Y1015="无法识别"),"",IF(X1015="",IF(OR(J1015="ILF",J1015="EIF"),0,""),LEN(X1015)-LEN(SUBSTITUTE(X1015,"、",""))+1))</f>
        <v/>
      </c>
      <c r="O1015" s="85">
        <f>IF(OR(Y1015="估算法",Y1015="算法类",Y1015="无法识别"),"",IF(Y1015="",IF(OR(J1015="ILF",J1015="EIF",J1015="EI",J1015="EO",J1015="EQ"),0,""),LEN(Y1015)-LEN(SUBSTITUTE(SUBSTITUTE(SUBSTITUTE(SUBSTITUTE(SUBSTITUTE(Y1015,"|}","--"),"{|","--"),CHAR(10),""),"、",""),"|",""))+IF(AND(OR(J1015="EI",J1015="EO",J1015="EQ"),$AE$1="NESMA"),2,1)))</f>
        <v/>
      </c>
      <c r="P1015" s="86">
        <f>IF(J1015="EI",IF(OR(Y1015="估算法",Y1015="算法类"),"中",IF(Y1015="无法识别","低",IF(M1015&lt;2,IF(O1015&lt;16,"低","中"),IF(M1015&lt;3,IF(O1015&lt;5,"低",IF(O1015&lt;16,"中","高")),IF(O1015&lt;5,"中","高"))))),IF(OR(J1015="EO",J1015="EQ"),IF(OR(Y1015="估算法",Y1015="算法类"),"中",IF(Y1015="无法识别","低",IF(M1015&lt;2,IF(O1015&lt;20,"低","中"),IF(M1015&lt;4,IF(O1015&lt;6,"低",IF(O1015&lt;20,"中","高")),IF(O1015&lt;6,"中","高"))))),IF(OR(J1015="ILF",J1015="EIF"),IF(OR(Y1015="估算法",Y1015="算法类",Y1015="无法识别"),"低",IF(N1015&lt;2,IF(O1015&lt;51,"低","中"),IF(N1015&lt;6,IF(O1015&lt;20,"低",IF(O1015&lt;51,"中","高")),IF(O1015&lt;20,"中","高")))),"不计算")))</f>
        <v/>
      </c>
      <c r="Q1015" s="172">
        <f>IFERROR(IF(J1015="EI",IF(P1015="低",3,IF(P1015="中",4,6)),IF(J1015="EO",IF(P1015="低",4,IF(P1015="中",5,7)),IF(J1015="EQ",IF(P1015="低",3,IF(P1015="中",4,6)),IF(J1015="ILF",IF(P1015="低",7,IF(P1015="中",10,15)),IF(J1015="EIF",IF(P1015="低",5,IF(P1015="中",7,10)),"不计算")))))*R1015,"不计算")</f>
        <v/>
      </c>
      <c r="R1015" s="172" t="n">
        <v>1</v>
      </c>
      <c r="S1015" s="173">
        <f>调整因子!$F$13</f>
        <v/>
      </c>
      <c r="T1015" s="92" t="n">
        <v>1</v>
      </c>
      <c r="U1015" s="174">
        <f>IFERROR(Q1015*S1015,0)</f>
        <v/>
      </c>
      <c r="V1015" s="178">
        <f>U1015*T1015</f>
        <v/>
      </c>
      <c r="W1015" s="103" t="inlineStr">
        <is>
          <t>推送失败重试表、审计日志表、扫描盲区记录表</t>
        </is>
      </c>
      <c r="X1015" s="103" t="inlineStr"/>
      <c r="Y1015" s="97" t="inlineStr">
        <is>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is>
      </c>
      <c r="Z1015" s="90" t="n"/>
      <c r="AA1015" s="90" t="n"/>
    </row>
    <row r="1016" s="112">
      <c r="A1016" s="72">
        <f>ROW()-1</f>
        <v/>
      </c>
      <c r="B1016" s="175" t="n"/>
      <c r="C1016" s="124" t="n">
        <v>2026</v>
      </c>
      <c r="D1016" s="125" t="n"/>
      <c r="E1016" s="103" t="n"/>
      <c r="F1016" s="175" t="n"/>
      <c r="G1016" s="175" t="n"/>
      <c r="H1016" s="175" t="n"/>
      <c r="I1016" s="103" t="inlineStr">
        <is>
          <t>查看盲区统计</t>
        </is>
      </c>
      <c r="J1016" s="93" t="n"/>
      <c r="K1016" s="102" t="n"/>
      <c r="L1016" s="102" t="inlineStr">
        <is>
          <t>和上行的功能描述完全一致，错误功能</t>
        </is>
      </c>
      <c r="M1016" s="85">
        <f>IF(OR(Y1016="估算法",Y1016="算法类",Y1016="无法识别"),"",IF(W1016="",IF(OR(J1016="EI",J1016="EO",J1016="EQ"),0,""),LEN(W1016)-LEN(SUBSTITUTE(W1016,"、",""))+1))</f>
        <v/>
      </c>
      <c r="N1016" s="85">
        <f>IF(OR(Y1016="估算法",Y1016="算法类",Y1016="无法识别"),"",IF(X1016="",IF(OR(J1016="ILF",J1016="EIF"),0,""),LEN(X1016)-LEN(SUBSTITUTE(X1016,"、",""))+1))</f>
        <v/>
      </c>
      <c r="O1016" s="85">
        <f>IF(OR(Y1016="估算法",Y1016="算法类",Y1016="无法识别"),"",IF(Y1016="",IF(OR(J1016="ILF",J1016="EIF",J1016="EI",J1016="EO",J1016="EQ"),0,""),LEN(Y1016)-LEN(SUBSTITUTE(SUBSTITUTE(SUBSTITUTE(SUBSTITUTE(SUBSTITUTE(Y1016,"|}","--"),"{|","--"),CHAR(10),""),"、",""),"|",""))+IF(AND(OR(J1016="EI",J1016="EO",J1016="EQ"),$AE$1="NESMA"),2,1)))</f>
        <v/>
      </c>
      <c r="P1016" s="86">
        <f>IF(J1016="EI",IF(OR(Y1016="估算法",Y1016="算法类"),"中",IF(Y1016="无法识别","低",IF(M1016&lt;2,IF(O1016&lt;16,"低","中"),IF(M1016&lt;3,IF(O1016&lt;5,"低",IF(O1016&lt;16,"中","高")),IF(O1016&lt;5,"中","高"))))),IF(OR(J1016="EO",J1016="EQ"),IF(OR(Y1016="估算法",Y1016="算法类"),"中",IF(Y1016="无法识别","低",IF(M1016&lt;2,IF(O1016&lt;20,"低","中"),IF(M1016&lt;4,IF(O1016&lt;6,"低",IF(O1016&lt;20,"中","高")),IF(O1016&lt;6,"中","高"))))),IF(OR(J1016="ILF",J1016="EIF"),IF(OR(Y1016="估算法",Y1016="算法类",Y1016="无法识别"),"低",IF(N1016&lt;2,IF(O1016&lt;51,"低","中"),IF(N1016&lt;6,IF(O1016&lt;20,"低",IF(O1016&lt;51,"中","高")),IF(O1016&lt;20,"中","高")))),"不计算")))</f>
        <v/>
      </c>
      <c r="Q1016" s="172">
        <f>IFERROR(IF(J1016="EI",IF(P1016="低",3,IF(P1016="中",4,6)),IF(J1016="EO",IF(P1016="低",4,IF(P1016="中",5,7)),IF(J1016="EQ",IF(P1016="低",3,IF(P1016="中",4,6)),IF(J1016="ILF",IF(P1016="低",7,IF(P1016="中",10,15)),IF(J1016="EIF",IF(P1016="低",5,IF(P1016="中",7,10)),"不计算")))))*R1016,"不计算")</f>
        <v/>
      </c>
      <c r="R1016" s="172" t="n">
        <v>1</v>
      </c>
      <c r="S1016" s="173">
        <f>调整因子!$F$13</f>
        <v/>
      </c>
      <c r="T1016" s="93" t="n">
        <v>1</v>
      </c>
      <c r="U1016" s="174">
        <f>IFERROR(Q1016*S1016,0)</f>
        <v/>
      </c>
      <c r="V1016" s="178">
        <f>U1016*T1016</f>
        <v/>
      </c>
      <c r="W1016" s="103" t="inlineStr">
        <is>
          <t>任务优先级配置表、漏洞查询接口配置表、审计日志表</t>
        </is>
      </c>
      <c r="X1016" s="103" t="inlineStr"/>
      <c r="Y1016" s="97" t="inlineStr">
        <is>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is>
      </c>
      <c r="Z1016" s="90" t="n"/>
      <c r="AA1016" s="90" t="n"/>
    </row>
    <row r="1017" s="112">
      <c r="A1017" s="72">
        <f>ROW()-1</f>
        <v/>
      </c>
      <c r="B1017" s="175" t="n"/>
      <c r="C1017" s="124" t="n">
        <v>2026</v>
      </c>
      <c r="D1017" s="125" t="n"/>
      <c r="E1017" s="103" t="n"/>
      <c r="F1017" s="176" t="n"/>
      <c r="G1017" s="176" t="n"/>
      <c r="H1017" s="176" t="n"/>
      <c r="I1017" s="103" t="inlineStr">
        <is>
          <t>查看能力缺口</t>
        </is>
      </c>
      <c r="J1017" s="93" t="n"/>
      <c r="K1017" s="102" t="n"/>
      <c r="L1017" s="102" t="inlineStr">
        <is>
          <t>和上行的功能描述完全一致，错误功能</t>
        </is>
      </c>
      <c r="M1017" s="85">
        <f>IF(OR(Y1017="估算法",Y1017="算法类",Y1017="无法识别"),"",IF(W1017="",IF(OR(J1017="EI",J1017="EO",J1017="EQ"),0,""),LEN(W1017)-LEN(SUBSTITUTE(W1017,"、",""))+1))</f>
        <v/>
      </c>
      <c r="N1017" s="85">
        <f>IF(OR(Y1017="估算法",Y1017="算法类",Y1017="无法识别"),"",IF(X1017="",IF(OR(J1017="ILF",J1017="EIF"),0,""),LEN(X1017)-LEN(SUBSTITUTE(X1017,"、",""))+1))</f>
        <v/>
      </c>
      <c r="O1017" s="85">
        <f>IF(OR(Y1017="估算法",Y1017="算法类",Y1017="无法识别"),"",IF(Y1017="",IF(OR(J1017="ILF",J1017="EIF",J1017="EI",J1017="EO",J1017="EQ"),0,""),LEN(Y1017)-LEN(SUBSTITUTE(SUBSTITUTE(SUBSTITUTE(SUBSTITUTE(SUBSTITUTE(Y1017,"|}","--"),"{|","--"),CHAR(10),""),"、",""),"|",""))+IF(AND(OR(J1017="EI",J1017="EO",J1017="EQ"),$AE$1="NESMA"),2,1)))</f>
        <v/>
      </c>
      <c r="P1017" s="86">
        <f>IF(J1017="EI",IF(OR(Y1017="估算法",Y1017="算法类"),"中",IF(Y1017="无法识别","低",IF(M1017&lt;2,IF(O1017&lt;16,"低","中"),IF(M1017&lt;3,IF(O1017&lt;5,"低",IF(O1017&lt;16,"中","高")),IF(O1017&lt;5,"中","高"))))),IF(OR(J1017="EO",J1017="EQ"),IF(OR(Y1017="估算法",Y1017="算法类"),"中",IF(Y1017="无法识别","低",IF(M1017&lt;2,IF(O1017&lt;20,"低","中"),IF(M1017&lt;4,IF(O1017&lt;6,"低",IF(O1017&lt;20,"中","高")),IF(O1017&lt;6,"中","高"))))),IF(OR(J1017="ILF",J1017="EIF"),IF(OR(Y1017="估算法",Y1017="算法类",Y1017="无法识别"),"低",IF(N1017&lt;2,IF(O1017&lt;51,"低","中"),IF(N1017&lt;6,IF(O1017&lt;20,"低",IF(O1017&lt;51,"中","高")),IF(O1017&lt;20,"中","高")))),"不计算")))</f>
        <v/>
      </c>
      <c r="Q1017" s="172">
        <f>IFERROR(IF(J1017="EI",IF(P1017="低",3,IF(P1017="中",4,6)),IF(J1017="EO",IF(P1017="低",4,IF(P1017="中",5,7)),IF(J1017="EQ",IF(P1017="低",3,IF(P1017="中",4,6)),IF(J1017="ILF",IF(P1017="低",7,IF(P1017="中",10,15)),IF(J1017="EIF",IF(P1017="低",5,IF(P1017="中",7,10)),"不计算")))))*R1017,"不计算")</f>
        <v/>
      </c>
      <c r="R1017" s="172" t="n">
        <v>1</v>
      </c>
      <c r="S1017" s="173">
        <f>调整因子!$F$13</f>
        <v/>
      </c>
      <c r="T1017" s="92" t="n">
        <v>1</v>
      </c>
      <c r="U1017" s="174">
        <f>IFERROR(Q1017*S1017,0)</f>
        <v/>
      </c>
      <c r="V1017" s="178">
        <f>U1017*T1017</f>
        <v/>
      </c>
      <c r="W1017" s="103" t="inlineStr">
        <is>
          <t>扫描能力缺口表、分类层级关系表、同步任务调度表、修复步骤表</t>
        </is>
      </c>
      <c r="X1017" s="103" t="inlineStr"/>
      <c r="Y1017" s="97" t="inlineStr">
        <is>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is>
      </c>
      <c r="Z1017" s="90" t="n"/>
      <c r="AA1017" s="90" t="n"/>
    </row>
    <row r="1018" s="112">
      <c r="A1018" s="72">
        <f>ROW()-1</f>
        <v/>
      </c>
      <c r="B1018" s="175" t="n"/>
      <c r="C1018" s="124" t="n">
        <v>2026</v>
      </c>
      <c r="D1018" s="125" t="n"/>
      <c r="E1018" s="103" t="n"/>
      <c r="F1018" s="97" t="inlineStr">
        <is>
          <t>扫描管理</t>
        </is>
      </c>
      <c r="G1018" s="97" t="inlineStr">
        <is>
          <t>扫描任务全生命周期管理</t>
        </is>
      </c>
      <c r="H1018" s="97" t="inlineStr">
        <is>
          <t>扫描任务执行管理</t>
        </is>
      </c>
      <c r="I1018" s="103" t="inlineStr">
        <is>
          <t>导出执行日志</t>
        </is>
      </c>
      <c r="J1018" s="93" t="inlineStr">
        <is>
          <t>EO</t>
        </is>
      </c>
      <c r="K1018" s="102" t="n"/>
      <c r="L1018" s="102" t="n"/>
      <c r="M1018" s="85">
        <f>IF(OR(Y1018="估算法",Y1018="算法类",Y1018="无法识别"),"",IF(W1018="",IF(OR(J1018="EI",J1018="EO",J1018="EQ"),0,""),LEN(W1018)-LEN(SUBSTITUTE(W1018,"、",""))+1))</f>
        <v/>
      </c>
      <c r="N1018" s="85">
        <f>IF(OR(Y1018="估算法",Y1018="算法类",Y1018="无法识别"),"",IF(X1018="",IF(OR(J1018="ILF",J1018="EIF"),0,""),LEN(X1018)-LEN(SUBSTITUTE(X1018,"、",""))+1))</f>
        <v/>
      </c>
      <c r="O1018" s="85">
        <f>IF(OR(Y1018="估算法",Y1018="算法类",Y1018="无法识别"),"",IF(Y1018="",IF(OR(J1018="ILF",J1018="EIF",J1018="EI",J1018="EO",J1018="EQ"),0,""),LEN(Y1018)-LEN(SUBSTITUTE(SUBSTITUTE(SUBSTITUTE(SUBSTITUTE(SUBSTITUTE(Y1018,"|}","--"),"{|","--"),CHAR(10),""),"、",""),"|",""))+IF(AND(OR(J1018="EI",J1018="EO",J1018="EQ"),$AE$1="NESMA"),2,1)))</f>
        <v/>
      </c>
      <c r="P1018" s="86">
        <f>IF(J1018="EI",IF(OR(Y1018="估算法",Y1018="算法类"),"中",IF(Y1018="无法识别","低",IF(M1018&lt;2,IF(O1018&lt;16,"低","中"),IF(M1018&lt;3,IF(O1018&lt;5,"低",IF(O1018&lt;16,"中","高")),IF(O1018&lt;5,"中","高"))))),IF(OR(J1018="EO",J1018="EQ"),IF(OR(Y1018="估算法",Y1018="算法类"),"中",IF(Y1018="无法识别","低",IF(M1018&lt;2,IF(O1018&lt;20,"低","中"),IF(M1018&lt;4,IF(O1018&lt;6,"低",IF(O1018&lt;20,"中","高")),IF(O1018&lt;6,"中","高"))))),IF(OR(J1018="ILF",J1018="EIF"),IF(OR(Y1018="估算法",Y1018="算法类",Y1018="无法识别"),"低",IF(N1018&lt;2,IF(O1018&lt;51,"低","中"),IF(N1018&lt;6,IF(O1018&lt;20,"低",IF(O1018&lt;51,"中","高")),IF(O1018&lt;20,"中","高")))),"不计算")))</f>
        <v/>
      </c>
      <c r="Q1018" s="172">
        <f>IFERROR(IF(J1018="EI",IF(P1018="低",3,IF(P1018="中",4,6)),IF(J1018="EO",IF(P1018="低",4,IF(P1018="中",5,7)),IF(J1018="EQ",IF(P1018="低",3,IF(P1018="中",4,6)),IF(J1018="ILF",IF(P1018="低",7,IF(P1018="中",10,15)),IF(J1018="EIF",IF(P1018="低",5,IF(P1018="中",7,10)),"不计算")))))*R1018,"不计算")</f>
        <v/>
      </c>
      <c r="R1018" s="172" t="n">
        <v>1</v>
      </c>
      <c r="S1018" s="173">
        <f>调整因子!$F$13</f>
        <v/>
      </c>
      <c r="T1018" s="92" t="n">
        <v>1</v>
      </c>
      <c r="U1018" s="174">
        <f>IFERROR(Q1018*S1018,0)</f>
        <v/>
      </c>
      <c r="V1018" s="178">
        <f>U1018*T1018</f>
        <v/>
      </c>
      <c r="W1018" s="103" t="inlineStr">
        <is>
          <t>任务日志表、推送日志表、日志加密配置表、审计日志表</t>
        </is>
      </c>
      <c r="X1018" s="103" t="inlineStr"/>
      <c r="Y1018"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is>
      </c>
      <c r="Z1018" s="90" t="n"/>
      <c r="AA1018" s="90" t="n"/>
    </row>
    <row r="1019" s="112">
      <c r="A1019" s="72">
        <f>ROW()-1</f>
        <v/>
      </c>
      <c r="B1019" s="175" t="n"/>
      <c r="C1019" s="124" t="n">
        <v>2026</v>
      </c>
      <c r="D1019" s="125" t="n"/>
      <c r="E1019" s="103" t="n"/>
      <c r="F1019" s="175" t="n"/>
      <c r="G1019" s="175" t="n"/>
      <c r="H1019" s="175" t="n"/>
      <c r="I1019" s="103" t="inlineStr">
        <is>
          <t>下载执行报告</t>
        </is>
      </c>
      <c r="J1019" s="93" t="inlineStr">
        <is>
          <t>EO</t>
        </is>
      </c>
      <c r="K1019" s="102" t="n"/>
      <c r="L1019" s="102" t="n"/>
      <c r="M1019" s="85">
        <f>IF(OR(Y1019="估算法",Y1019="算法类",Y1019="无法识别"),"",IF(W1019="",IF(OR(J1019="EI",J1019="EO",J1019="EQ"),0,""),LEN(W1019)-LEN(SUBSTITUTE(W1019,"、",""))+1))</f>
        <v/>
      </c>
      <c r="N1019" s="85">
        <f>IF(OR(Y1019="估算法",Y1019="算法类",Y1019="无法识别"),"",IF(X1019="",IF(OR(J1019="ILF",J1019="EIF"),0,""),LEN(X1019)-LEN(SUBSTITUTE(X1019,"、",""))+1))</f>
        <v/>
      </c>
      <c r="O1019" s="85">
        <f>IF(OR(Y1019="估算法",Y1019="算法类",Y1019="无法识别"),"",IF(Y1019="",IF(OR(J1019="ILF",J1019="EIF",J1019="EI",J1019="EO",J1019="EQ"),0,""),LEN(Y1019)-LEN(SUBSTITUTE(SUBSTITUTE(SUBSTITUTE(SUBSTITUTE(SUBSTITUTE(Y1019,"|}","--"),"{|","--"),CHAR(10),""),"、",""),"|",""))+IF(AND(OR(J1019="EI",J1019="EO",J1019="EQ"),$AE$1="NESMA"),2,1)))</f>
        <v/>
      </c>
      <c r="P1019" s="86">
        <f>IF(J1019="EI",IF(OR(Y1019="估算法",Y1019="算法类"),"中",IF(Y1019="无法识别","低",IF(M1019&lt;2,IF(O1019&lt;16,"低","中"),IF(M1019&lt;3,IF(O1019&lt;5,"低",IF(O1019&lt;16,"中","高")),IF(O1019&lt;5,"中","高"))))),IF(OR(J1019="EO",J1019="EQ"),IF(OR(Y1019="估算法",Y1019="算法类"),"中",IF(Y1019="无法识别","低",IF(M1019&lt;2,IF(O1019&lt;20,"低","中"),IF(M1019&lt;4,IF(O1019&lt;6,"低",IF(O1019&lt;20,"中","高")),IF(O1019&lt;6,"中","高"))))),IF(OR(J1019="ILF",J1019="EIF"),IF(OR(Y1019="估算法",Y1019="算法类",Y1019="无法识别"),"低",IF(N1019&lt;2,IF(O1019&lt;51,"低","中"),IF(N1019&lt;6,IF(O1019&lt;20,"低",IF(O1019&lt;51,"中","高")),IF(O1019&lt;20,"中","高")))),"不计算")))</f>
        <v/>
      </c>
      <c r="Q1019" s="172">
        <f>IFERROR(IF(J1019="EI",IF(P1019="低",3,IF(P1019="中",4,6)),IF(J1019="EO",IF(P1019="低",4,IF(P1019="中",5,7)),IF(J1019="EQ",IF(P1019="低",3,IF(P1019="中",4,6)),IF(J1019="ILF",IF(P1019="低",7,IF(P1019="中",10,15)),IF(J1019="EIF",IF(P1019="低",5,IF(P1019="中",7,10)),"不计算")))))*R1019,"不计算")</f>
        <v/>
      </c>
      <c r="R1019" s="172" t="n">
        <v>1</v>
      </c>
      <c r="S1019" s="173">
        <f>调整因子!$F$13</f>
        <v/>
      </c>
      <c r="T1019" s="93" t="n">
        <v>1</v>
      </c>
      <c r="U1019" s="174">
        <f>IFERROR(Q1019*S1019,0)</f>
        <v/>
      </c>
      <c r="V1019" s="178">
        <f>U1019*T1019</f>
        <v/>
      </c>
      <c r="W1019" s="103" t="inlineStr">
        <is>
          <t>脱敏规则表、验证记录表、提醒规则表、任务趋势分析表、采集记录表</t>
        </is>
      </c>
      <c r="X1019" s="103" t="inlineStr"/>
      <c r="Y1019" s="97" t="inlineStr">
        <is>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is>
      </c>
      <c r="Z1019" s="90" t="n"/>
      <c r="AA1019" s="90" t="n"/>
    </row>
    <row r="1020" s="112">
      <c r="A1020" s="72">
        <f>ROW()-1</f>
        <v/>
      </c>
      <c r="B1020" s="175" t="n"/>
      <c r="C1020" s="124" t="n">
        <v>2026</v>
      </c>
      <c r="D1020" s="125" t="n"/>
      <c r="E1020" s="103" t="n"/>
      <c r="F1020" s="175" t="n"/>
      <c r="G1020" s="175" t="n"/>
      <c r="H1020" s="175" t="n"/>
      <c r="I1020" s="103" t="inlineStr">
        <is>
          <t>查询任务执行进度</t>
        </is>
      </c>
      <c r="J1020" s="93" t="inlineStr">
        <is>
          <t>EQ</t>
        </is>
      </c>
      <c r="K1020" s="102" t="n"/>
      <c r="L1020" s="102" t="n"/>
      <c r="M1020" s="85">
        <f>IF(OR(Y1020="估算法",Y1020="算法类",Y1020="无法识别"),"",IF(W1020="",IF(OR(J1020="EI",J1020="EO",J1020="EQ"),0,""),LEN(W1020)-LEN(SUBSTITUTE(W1020,"、",""))+1))</f>
        <v/>
      </c>
      <c r="N1020" s="85">
        <f>IF(OR(Y1020="估算法",Y1020="算法类",Y1020="无法识别"),"",IF(X1020="",IF(OR(J1020="ILF",J1020="EIF"),0,""),LEN(X1020)-LEN(SUBSTITUTE(X1020,"、",""))+1))</f>
        <v/>
      </c>
      <c r="O1020" s="85">
        <f>IF(OR(Y1020="估算法",Y1020="算法类",Y1020="无法识别"),"",IF(Y1020="",IF(OR(J1020="ILF",J1020="EIF",J1020="EI",J1020="EO",J1020="EQ"),0,""),LEN(Y1020)-LEN(SUBSTITUTE(SUBSTITUTE(SUBSTITUTE(SUBSTITUTE(SUBSTITUTE(Y1020,"|}","--"),"{|","--"),CHAR(10),""),"、",""),"|",""))+IF(AND(OR(J1020="EI",J1020="EO",J1020="EQ"),$AE$1="NESMA"),2,1)))</f>
        <v/>
      </c>
      <c r="P1020" s="86">
        <f>IF(J1020="EI",IF(OR(Y1020="估算法",Y1020="算法类"),"中",IF(Y1020="无法识别","低",IF(M1020&lt;2,IF(O1020&lt;16,"低","中"),IF(M1020&lt;3,IF(O1020&lt;5,"低",IF(O1020&lt;16,"中","高")),IF(O1020&lt;5,"中","高"))))),IF(OR(J1020="EO",J1020="EQ"),IF(OR(Y1020="估算法",Y1020="算法类"),"中",IF(Y1020="无法识别","低",IF(M1020&lt;2,IF(O1020&lt;20,"低","中"),IF(M1020&lt;4,IF(O1020&lt;6,"低",IF(O1020&lt;20,"中","高")),IF(O1020&lt;6,"中","高"))))),IF(OR(J1020="ILF",J1020="EIF"),IF(OR(Y1020="估算法",Y1020="算法类",Y1020="无法识别"),"低",IF(N1020&lt;2,IF(O1020&lt;51,"低","中"),IF(N1020&lt;6,IF(O1020&lt;20,"低",IF(O1020&lt;51,"中","高")),IF(O1020&lt;20,"中","高")))),"不计算")))</f>
        <v/>
      </c>
      <c r="Q1020" s="172">
        <f>IFERROR(IF(J1020="EI",IF(P1020="低",3,IF(P1020="中",4,6)),IF(J1020="EO",IF(P1020="低",4,IF(P1020="中",5,7)),IF(J1020="EQ",IF(P1020="低",3,IF(P1020="中",4,6)),IF(J1020="ILF",IF(P1020="低",7,IF(P1020="中",10,15)),IF(J1020="EIF",IF(P1020="低",5,IF(P1020="中",7,10)),"不计算")))))*R1020,"不计算")</f>
        <v/>
      </c>
      <c r="R1020" s="172" t="n">
        <v>1</v>
      </c>
      <c r="S1020" s="173">
        <f>调整因子!$F$13</f>
        <v/>
      </c>
      <c r="T1020" s="93" t="n">
        <v>1</v>
      </c>
      <c r="U1020" s="174">
        <f>IFERROR(Q1020*S1020,0)</f>
        <v/>
      </c>
      <c r="V1020" s="178">
        <f>U1020*T1020</f>
        <v/>
      </c>
      <c r="W1020" s="103" t="inlineStr">
        <is>
          <t>数据清洗任务表、资产同步任务表、同步任务调度表</t>
        </is>
      </c>
      <c r="X1020" s="103" t="inlineStr"/>
      <c r="Y102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20" s="90" t="n"/>
      <c r="AA1020" s="90" t="n"/>
    </row>
    <row r="1021" s="112">
      <c r="A1021" s="72">
        <f>ROW()-1</f>
        <v/>
      </c>
      <c r="B1021" s="175" t="n"/>
      <c r="C1021" s="124" t="n">
        <v>2026</v>
      </c>
      <c r="D1021" s="125" t="n"/>
      <c r="E1021" s="103" t="n"/>
      <c r="F1021" s="175" t="n"/>
      <c r="G1021" s="175" t="n"/>
      <c r="H1021" s="176" t="n"/>
      <c r="I1021" s="103" t="inlineStr">
        <is>
          <t>查看执行日志详情</t>
        </is>
      </c>
      <c r="J1021" s="93" t="inlineStr">
        <is>
          <t>EQ</t>
        </is>
      </c>
      <c r="K1021" s="102" t="n"/>
      <c r="L1021" s="102" t="n"/>
      <c r="M1021" s="85">
        <f>IF(OR(Y1021="估算法",Y1021="算法类",Y1021="无法识别"),"",IF(W1021="",IF(OR(J1021="EI",J1021="EO",J1021="EQ"),0,""),LEN(W1021)-LEN(SUBSTITUTE(W1021,"、",""))+1))</f>
        <v/>
      </c>
      <c r="N1021" s="85">
        <f>IF(OR(Y1021="估算法",Y1021="算法类",Y1021="无法识别"),"",IF(X1021="",IF(OR(J1021="ILF",J1021="EIF"),0,""),LEN(X1021)-LEN(SUBSTITUTE(X1021,"、",""))+1))</f>
        <v/>
      </c>
      <c r="O1021" s="85">
        <f>IF(OR(Y1021="估算法",Y1021="算法类",Y1021="无法识别"),"",IF(Y1021="",IF(OR(J1021="ILF",J1021="EIF",J1021="EI",J1021="EO",J1021="EQ"),0,""),LEN(Y1021)-LEN(SUBSTITUTE(SUBSTITUTE(SUBSTITUTE(SUBSTITUTE(SUBSTITUTE(Y1021,"|}","--"),"{|","--"),CHAR(10),""),"、",""),"|",""))+IF(AND(OR(J1021="EI",J1021="EO",J1021="EQ"),$AE$1="NESMA"),2,1)))</f>
        <v/>
      </c>
      <c r="P1021" s="86">
        <f>IF(J1021="EI",IF(OR(Y1021="估算法",Y1021="算法类"),"中",IF(Y1021="无法识别","低",IF(M1021&lt;2,IF(O1021&lt;16,"低","中"),IF(M1021&lt;3,IF(O1021&lt;5,"低",IF(O1021&lt;16,"中","高")),IF(O1021&lt;5,"中","高"))))),IF(OR(J1021="EO",J1021="EQ"),IF(OR(Y1021="估算法",Y1021="算法类"),"中",IF(Y1021="无法识别","低",IF(M1021&lt;2,IF(O1021&lt;20,"低","中"),IF(M1021&lt;4,IF(O1021&lt;6,"低",IF(O1021&lt;20,"中","高")),IF(O1021&lt;6,"中","高"))))),IF(OR(J1021="ILF",J1021="EIF"),IF(OR(Y1021="估算法",Y1021="算法类",Y1021="无法识别"),"低",IF(N1021&lt;2,IF(O1021&lt;51,"低","中"),IF(N1021&lt;6,IF(O1021&lt;20,"低",IF(O1021&lt;51,"中","高")),IF(O1021&lt;20,"中","高")))),"不计算")))</f>
        <v/>
      </c>
      <c r="Q1021" s="172">
        <f>IFERROR(IF(J1021="EI",IF(P1021="低",3,IF(P1021="中",4,6)),IF(J1021="EO",IF(P1021="低",4,IF(P1021="中",5,7)),IF(J1021="EQ",IF(P1021="低",3,IF(P1021="中",4,6)),IF(J1021="ILF",IF(P1021="低",7,IF(P1021="中",10,15)),IF(J1021="EIF",IF(P1021="低",5,IF(P1021="中",7,10)),"不计算")))))*R1021,"不计算")</f>
        <v/>
      </c>
      <c r="R1021" s="172" t="n">
        <v>1</v>
      </c>
      <c r="S1021" s="173">
        <f>调整因子!$F$13</f>
        <v/>
      </c>
      <c r="T1021" s="92" t="n">
        <v>1</v>
      </c>
      <c r="U1021" s="174">
        <f>IFERROR(Q1021*S1021,0)</f>
        <v/>
      </c>
      <c r="V1021" s="178">
        <f>U1021*T1021</f>
        <v/>
      </c>
      <c r="W1021" s="103" t="inlineStr">
        <is>
          <t>任务日志表、推送日志表、日志加密配置表</t>
        </is>
      </c>
      <c r="X1021" s="103" t="inlineStr"/>
      <c r="Y1021"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is>
      </c>
      <c r="Z1021" s="90" t="n"/>
      <c r="AA1021" s="90" t="n"/>
    </row>
    <row r="1022" s="112">
      <c r="A1022" s="72">
        <f>ROW()-1</f>
        <v/>
      </c>
      <c r="B1022" s="175" t="n"/>
      <c r="C1022" s="124" t="n">
        <v>2026</v>
      </c>
      <c r="D1022" s="125" t="n"/>
      <c r="E1022" s="103" t="n"/>
      <c r="F1022" s="175" t="n"/>
      <c r="G1022" s="175" t="n"/>
      <c r="H1022" s="97" t="inlineStr">
        <is>
          <t>扫描任务审批管理</t>
        </is>
      </c>
      <c r="I1022" s="103" t="inlineStr">
        <is>
          <t>导出审批记录</t>
        </is>
      </c>
      <c r="J1022" s="93" t="inlineStr">
        <is>
          <t>EO</t>
        </is>
      </c>
      <c r="K1022" s="102" t="n"/>
      <c r="L1022" s="102" t="n"/>
      <c r="M1022" s="85">
        <f>IF(OR(Y1022="估算法",Y1022="算法类",Y1022="无法识别"),"",IF(W1022="",IF(OR(J1022="EI",J1022="EO",J1022="EQ"),0,""),LEN(W1022)-LEN(SUBSTITUTE(W1022,"、",""))+1))</f>
        <v/>
      </c>
      <c r="N1022" s="85">
        <f>IF(OR(Y1022="估算法",Y1022="算法类",Y1022="无法识别"),"",IF(X1022="",IF(OR(J1022="ILF",J1022="EIF"),0,""),LEN(X1022)-LEN(SUBSTITUTE(X1022,"、",""))+1))</f>
        <v/>
      </c>
      <c r="O1022" s="85">
        <f>IF(OR(Y1022="估算法",Y1022="算法类",Y1022="无法识别"),"",IF(Y1022="",IF(OR(J1022="ILF",J1022="EIF",J1022="EI",J1022="EO",J1022="EQ"),0,""),LEN(Y1022)-LEN(SUBSTITUTE(SUBSTITUTE(SUBSTITUTE(SUBSTITUTE(SUBSTITUTE(Y1022,"|}","--"),"{|","--"),CHAR(10),""),"、",""),"|",""))+IF(AND(OR(J1022="EI",J1022="EO",J1022="EQ"),$AE$1="NESMA"),2,1)))</f>
        <v/>
      </c>
      <c r="P1022" s="86">
        <f>IF(J1022="EI",IF(OR(Y1022="估算法",Y1022="算法类"),"中",IF(Y1022="无法识别","低",IF(M1022&lt;2,IF(O1022&lt;16,"低","中"),IF(M1022&lt;3,IF(O1022&lt;5,"低",IF(O1022&lt;16,"中","高")),IF(O1022&lt;5,"中","高"))))),IF(OR(J1022="EO",J1022="EQ"),IF(OR(Y1022="估算法",Y1022="算法类"),"中",IF(Y1022="无法识别","低",IF(M1022&lt;2,IF(O1022&lt;20,"低","中"),IF(M1022&lt;4,IF(O1022&lt;6,"低",IF(O1022&lt;20,"中","高")),IF(O1022&lt;6,"中","高"))))),IF(OR(J1022="ILF",J1022="EIF"),IF(OR(Y1022="估算法",Y1022="算法类",Y1022="无法识别"),"低",IF(N1022&lt;2,IF(O1022&lt;51,"低","中"),IF(N1022&lt;6,IF(O1022&lt;20,"低",IF(O1022&lt;51,"中","高")),IF(O1022&lt;20,"中","高")))),"不计算")))</f>
        <v/>
      </c>
      <c r="Q1022" s="172">
        <f>IFERROR(IF(J1022="EI",IF(P1022="低",3,IF(P1022="中",4,6)),IF(J1022="EO",IF(P1022="低",4,IF(P1022="中",5,7)),IF(J1022="EQ",IF(P1022="低",3,IF(P1022="中",4,6)),IF(J1022="ILF",IF(P1022="低",7,IF(P1022="中",10,15)),IF(J1022="EIF",IF(P1022="低",5,IF(P1022="中",7,10)),"不计算")))))*R1022,"不计算")</f>
        <v/>
      </c>
      <c r="R1022" s="172" t="n">
        <v>1</v>
      </c>
      <c r="S1022" s="173">
        <f>调整因子!$F$13</f>
        <v/>
      </c>
      <c r="T1022" s="92" t="n">
        <v>1</v>
      </c>
      <c r="U1022" s="174">
        <f>IFERROR(Q1022*S1022,0)</f>
        <v/>
      </c>
      <c r="V1022" s="178">
        <f>U1022*T1022</f>
        <v/>
      </c>
      <c r="W1022" s="103" t="inlineStr">
        <is>
          <t>报告解析结果表、分类层级关系表、修复方案表、通报配置表、模板配置表</t>
        </is>
      </c>
      <c r="X1022" s="103" t="inlineStr"/>
      <c r="Y1022" s="97" t="inlineStr">
        <is>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is>
      </c>
      <c r="Z1022" s="90" t="n"/>
      <c r="AA1022" s="90" t="n"/>
    </row>
    <row r="1023" s="112">
      <c r="A1023" s="72">
        <f>ROW()-1</f>
        <v/>
      </c>
      <c r="B1023" s="175" t="n"/>
      <c r="C1023" s="124" t="n">
        <v>2026</v>
      </c>
      <c r="D1023" s="125" t="n"/>
      <c r="E1023" s="103" t="n"/>
      <c r="F1023" s="175" t="n"/>
      <c r="G1023" s="175" t="n"/>
      <c r="H1023" s="175" t="n"/>
      <c r="I1023" s="103" t="inlineStr">
        <is>
          <t>查询审批任务列表</t>
        </is>
      </c>
      <c r="J1023" s="93" t="inlineStr">
        <is>
          <t>EQ</t>
        </is>
      </c>
      <c r="K1023" s="102" t="n"/>
      <c r="L1023" s="102" t="n"/>
      <c r="M1023" s="85">
        <f>IF(OR(Y1023="估算法",Y1023="算法类",Y1023="无法识别"),"",IF(W1023="",IF(OR(J1023="EI",J1023="EO",J1023="EQ"),0,""),LEN(W1023)-LEN(SUBSTITUTE(W1023,"、",""))+1))</f>
        <v/>
      </c>
      <c r="N1023" s="85">
        <f>IF(OR(Y1023="估算法",Y1023="算法类",Y1023="无法识别"),"",IF(X1023="",IF(OR(J1023="ILF",J1023="EIF"),0,""),LEN(X1023)-LEN(SUBSTITUTE(X1023,"、",""))+1))</f>
        <v/>
      </c>
      <c r="O1023" s="85">
        <f>IF(OR(Y1023="估算法",Y1023="算法类",Y1023="无法识别"),"",IF(Y1023="",IF(OR(J1023="ILF",J1023="EIF",J1023="EI",J1023="EO",J1023="EQ"),0,""),LEN(Y1023)-LEN(SUBSTITUTE(SUBSTITUTE(SUBSTITUTE(SUBSTITUTE(SUBSTITUTE(Y1023,"|}","--"),"{|","--"),CHAR(10),""),"、",""),"|",""))+IF(AND(OR(J1023="EI",J1023="EO",J1023="EQ"),$AE$1="NESMA"),2,1)))</f>
        <v/>
      </c>
      <c r="P1023" s="86">
        <f>IF(J1023="EI",IF(OR(Y1023="估算法",Y1023="算法类"),"中",IF(Y1023="无法识别","低",IF(M1023&lt;2,IF(O1023&lt;16,"低","中"),IF(M1023&lt;3,IF(O1023&lt;5,"低",IF(O1023&lt;16,"中","高")),IF(O1023&lt;5,"中","高"))))),IF(OR(J1023="EO",J1023="EQ"),IF(OR(Y1023="估算法",Y1023="算法类"),"中",IF(Y1023="无法识别","低",IF(M1023&lt;2,IF(O1023&lt;20,"低","中"),IF(M1023&lt;4,IF(O1023&lt;6,"低",IF(O1023&lt;20,"中","高")),IF(O1023&lt;6,"中","高"))))),IF(OR(J1023="ILF",J1023="EIF"),IF(OR(Y1023="估算法",Y1023="算法类",Y1023="无法识别"),"低",IF(N1023&lt;2,IF(O1023&lt;51,"低","中"),IF(N1023&lt;6,IF(O1023&lt;20,"低",IF(O1023&lt;51,"中","高")),IF(O1023&lt;20,"中","高")))),"不计算")))</f>
        <v/>
      </c>
      <c r="Q1023" s="172">
        <f>IFERROR(IF(J1023="EI",IF(P1023="低",3,IF(P1023="中",4,6)),IF(J1023="EO",IF(P1023="低",4,IF(P1023="中",5,7)),IF(J1023="EQ",IF(P1023="低",3,IF(P1023="中",4,6)),IF(J1023="ILF",IF(P1023="低",7,IF(P1023="中",10,15)),IF(J1023="EIF",IF(P1023="低",5,IF(P1023="中",7,10)),"不计算")))))*R1023,"不计算")</f>
        <v/>
      </c>
      <c r="R1023" s="172" t="n">
        <v>1</v>
      </c>
      <c r="S1023" s="173">
        <f>调整因子!$F$13</f>
        <v/>
      </c>
      <c r="T1023" s="93" t="n">
        <v>1</v>
      </c>
      <c r="U1023" s="174">
        <f>IFERROR(Q1023*S1023,0)</f>
        <v/>
      </c>
      <c r="V1023" s="178">
        <f>U1023*T1023</f>
        <v/>
      </c>
      <c r="W1023" s="103" t="inlineStr">
        <is>
          <t>数据清洗任务表、资产同步任务表、同步任务调度表</t>
        </is>
      </c>
      <c r="X1023" s="103" t="inlineStr"/>
      <c r="Y1023"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23" s="90" t="n"/>
      <c r="AA1023" s="90" t="n"/>
    </row>
    <row r="1024" s="112">
      <c r="A1024" s="72">
        <f>ROW()-1</f>
        <v/>
      </c>
      <c r="B1024" s="175" t="n"/>
      <c r="C1024" s="124" t="n">
        <v>2026</v>
      </c>
      <c r="D1024" s="125" t="n"/>
      <c r="E1024" s="103" t="n"/>
      <c r="F1024" s="175" t="n"/>
      <c r="G1024" s="175" t="n"/>
      <c r="H1024" s="176" t="n"/>
      <c r="I1024" s="103" t="inlineStr">
        <is>
          <t>查看审批历史</t>
        </is>
      </c>
      <c r="J1024" s="93" t="inlineStr">
        <is>
          <t>EQ</t>
        </is>
      </c>
      <c r="K1024" s="102" t="n"/>
      <c r="L1024" s="102" t="n"/>
      <c r="M1024" s="85">
        <f>IF(OR(Y1024="估算法",Y1024="算法类",Y1024="无法识别"),"",IF(W1024="",IF(OR(J1024="EI",J1024="EO",J1024="EQ"),0,""),LEN(W1024)-LEN(SUBSTITUTE(W1024,"、",""))+1))</f>
        <v/>
      </c>
      <c r="N1024" s="85">
        <f>IF(OR(Y1024="估算法",Y1024="算法类",Y1024="无法识别"),"",IF(X1024="",IF(OR(J1024="ILF",J1024="EIF"),0,""),LEN(X1024)-LEN(SUBSTITUTE(X1024,"、",""))+1))</f>
        <v/>
      </c>
      <c r="O1024" s="85">
        <f>IF(OR(Y1024="估算法",Y1024="算法类",Y1024="无法识别"),"",IF(Y1024="",IF(OR(J1024="ILF",J1024="EIF",J1024="EI",J1024="EO",J1024="EQ"),0,""),LEN(Y1024)-LEN(SUBSTITUTE(SUBSTITUTE(SUBSTITUTE(SUBSTITUTE(SUBSTITUTE(Y1024,"|}","--"),"{|","--"),CHAR(10),""),"、",""),"|",""))+IF(AND(OR(J1024="EI",J1024="EO",J1024="EQ"),$AE$1="NESMA"),2,1)))</f>
        <v/>
      </c>
      <c r="P1024" s="86">
        <f>IF(J1024="EI",IF(OR(Y1024="估算法",Y1024="算法类"),"中",IF(Y1024="无法识别","低",IF(M1024&lt;2,IF(O1024&lt;16,"低","中"),IF(M1024&lt;3,IF(O1024&lt;5,"低",IF(O1024&lt;16,"中","高")),IF(O1024&lt;5,"中","高"))))),IF(OR(J1024="EO",J1024="EQ"),IF(OR(Y1024="估算法",Y1024="算法类"),"中",IF(Y1024="无法识别","低",IF(M1024&lt;2,IF(O1024&lt;20,"低","中"),IF(M1024&lt;4,IF(O1024&lt;6,"低",IF(O1024&lt;20,"中","高")),IF(O1024&lt;6,"中","高"))))),IF(OR(J1024="ILF",J1024="EIF"),IF(OR(Y1024="估算法",Y1024="算法类",Y1024="无法识别"),"低",IF(N1024&lt;2,IF(O1024&lt;51,"低","中"),IF(N1024&lt;6,IF(O1024&lt;20,"低",IF(O1024&lt;51,"中","高")),IF(O1024&lt;20,"中","高")))),"不计算")))</f>
        <v/>
      </c>
      <c r="Q1024" s="172">
        <f>IFERROR(IF(J1024="EI",IF(P1024="低",3,IF(P1024="中",4,6)),IF(J1024="EO",IF(P1024="低",4,IF(P1024="中",5,7)),IF(J1024="EQ",IF(P1024="低",3,IF(P1024="中",4,6)),IF(J1024="ILF",IF(P1024="低",7,IF(P1024="中",10,15)),IF(J1024="EIF",IF(P1024="低",5,IF(P1024="中",7,10)),"不计算")))))*R1024,"不计算")</f>
        <v/>
      </c>
      <c r="R1024" s="172" t="n">
        <v>1</v>
      </c>
      <c r="S1024" s="173">
        <f>调整因子!$F$13</f>
        <v/>
      </c>
      <c r="T1024" s="92" t="n">
        <v>1</v>
      </c>
      <c r="U1024" s="174">
        <f>IFERROR(Q1024*S1024,0)</f>
        <v/>
      </c>
      <c r="V1024" s="178">
        <f>U1024*T1024</f>
        <v/>
      </c>
      <c r="W1024" s="103" t="inlineStr">
        <is>
          <t>推送结果表、报告导入记录表、考核指标配置表</t>
        </is>
      </c>
      <c r="X1024" s="103" t="inlineStr"/>
      <c r="Y1024" s="97" t="inlineStr">
        <is>
          <t>推送结果表{ID、名称|ID、名称、类型、状态、创建时间、更新时间}
报告导入记录表{ID、名称|ID、名称、类型、状态、创建时间、更新时间}
考核指标配置表{配置ID、配置名称|配置ID、配置名称、配置类型、配置值、创建时间}</t>
        </is>
      </c>
      <c r="Z1024" s="90" t="n"/>
      <c r="AA1024" s="90" t="n"/>
    </row>
    <row r="1025" s="112">
      <c r="A1025" s="72">
        <f>ROW()-1</f>
        <v/>
      </c>
      <c r="B1025" s="175" t="n"/>
      <c r="C1025" s="124" t="n">
        <v>2026</v>
      </c>
      <c r="D1025" s="125" t="n"/>
      <c r="E1025" s="103" t="n"/>
      <c r="F1025" s="175" t="n"/>
      <c r="G1025" s="175" t="n"/>
      <c r="H1025" s="97" t="inlineStr">
        <is>
          <t>扫描任务依赖管理</t>
        </is>
      </c>
      <c r="I1025" s="103" t="inlineStr">
        <is>
          <t>编辑任务依赖关系</t>
        </is>
      </c>
      <c r="J1025" s="93" t="inlineStr">
        <is>
          <t>EI</t>
        </is>
      </c>
      <c r="K1025" s="102" t="n"/>
      <c r="L1025" s="102" t="n"/>
      <c r="M1025" s="85">
        <f>IF(OR(Y1025="估算法",Y1025="算法类",Y1025="无法识别"),"",IF(W1025="",IF(OR(J1025="EI",J1025="EO",J1025="EQ"),0,""),LEN(W1025)-LEN(SUBSTITUTE(W1025,"、",""))+1))</f>
        <v/>
      </c>
      <c r="N1025" s="85">
        <f>IF(OR(Y1025="估算法",Y1025="算法类",Y1025="无法识别"),"",IF(X1025="",IF(OR(J1025="ILF",J1025="EIF"),0,""),LEN(X1025)-LEN(SUBSTITUTE(X1025,"、",""))+1))</f>
        <v/>
      </c>
      <c r="O1025" s="85">
        <f>IF(OR(Y1025="估算法",Y1025="算法类",Y1025="无法识别"),"",IF(Y1025="",IF(OR(J1025="ILF",J1025="EIF",J1025="EI",J1025="EO",J1025="EQ"),0,""),LEN(Y1025)-LEN(SUBSTITUTE(SUBSTITUTE(SUBSTITUTE(SUBSTITUTE(SUBSTITUTE(Y1025,"|}","--"),"{|","--"),CHAR(10),""),"、",""),"|",""))+IF(AND(OR(J1025="EI",J1025="EO",J1025="EQ"),$AE$1="NESMA"),2,1)))</f>
        <v/>
      </c>
      <c r="P1025" s="86">
        <f>IF(J1025="EI",IF(OR(Y1025="估算法",Y1025="算法类"),"中",IF(Y1025="无法识别","低",IF(M1025&lt;2,IF(O1025&lt;16,"低","中"),IF(M1025&lt;3,IF(O1025&lt;5,"低",IF(O1025&lt;16,"中","高")),IF(O1025&lt;5,"中","高"))))),IF(OR(J1025="EO",J1025="EQ"),IF(OR(Y1025="估算法",Y1025="算法类"),"中",IF(Y1025="无法识别","低",IF(M1025&lt;2,IF(O1025&lt;20,"低","中"),IF(M1025&lt;4,IF(O1025&lt;6,"低",IF(O1025&lt;20,"中","高")),IF(O1025&lt;6,"中","高"))))),IF(OR(J1025="ILF",J1025="EIF"),IF(OR(Y1025="估算法",Y1025="算法类",Y1025="无法识别"),"低",IF(N1025&lt;2,IF(O1025&lt;51,"低","中"),IF(N1025&lt;6,IF(O1025&lt;20,"低",IF(O1025&lt;51,"中","高")),IF(O1025&lt;20,"中","高")))),"不计算")))</f>
        <v/>
      </c>
      <c r="Q1025" s="172">
        <f>IFERROR(IF(J1025="EI",IF(P1025="低",3,IF(P1025="中",4,6)),IF(J1025="EO",IF(P1025="低",4,IF(P1025="中",5,7)),IF(J1025="EQ",IF(P1025="低",3,IF(P1025="中",4,6)),IF(J1025="ILF",IF(P1025="低",7,IF(P1025="中",10,15)),IF(J1025="EIF",IF(P1025="低",5,IF(P1025="中",7,10)),"不计算")))))*R1025,"不计算")</f>
        <v/>
      </c>
      <c r="R1025" s="172" t="n">
        <v>1</v>
      </c>
      <c r="S1025" s="173">
        <f>调整因子!$F$13</f>
        <v/>
      </c>
      <c r="T1025" s="92" t="n">
        <v>1</v>
      </c>
      <c r="U1025" s="174">
        <f>IFERROR(Q1025*S1025,0)</f>
        <v/>
      </c>
      <c r="V1025" s="178">
        <f>U1025*T1025</f>
        <v/>
      </c>
      <c r="W1025" s="103" t="inlineStr">
        <is>
          <t>数据清洗任务表、资产同步任务表、同步任务调度表、任务统计数据表</t>
        </is>
      </c>
      <c r="X1025" s="103" t="inlineStr"/>
      <c r="Y1025"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5" s="90" t="n"/>
      <c r="AA1025" s="90" t="n"/>
    </row>
    <row r="1026" s="112">
      <c r="A1026" s="72">
        <f>ROW()-1</f>
        <v/>
      </c>
      <c r="B1026" s="175" t="n"/>
      <c r="C1026" s="124" t="n">
        <v>2026</v>
      </c>
      <c r="D1026" s="125" t="n"/>
      <c r="E1026" s="103" t="n"/>
      <c r="F1026" s="175" t="n"/>
      <c r="G1026" s="175" t="n"/>
      <c r="H1026" s="175" t="n"/>
      <c r="I1026" s="103" t="inlineStr">
        <is>
          <t>删除任务依赖关系</t>
        </is>
      </c>
      <c r="J1026" s="93" t="inlineStr">
        <is>
          <t>EI</t>
        </is>
      </c>
      <c r="K1026" s="102" t="n"/>
      <c r="L1026" s="102" t="n"/>
      <c r="M1026" s="85">
        <f>IF(OR(Y1026="估算法",Y1026="算法类",Y1026="无法识别"),"",IF(W1026="",IF(OR(J1026="EI",J1026="EO",J1026="EQ"),0,""),LEN(W1026)-LEN(SUBSTITUTE(W1026,"、",""))+1))</f>
        <v/>
      </c>
      <c r="N1026" s="85">
        <f>IF(OR(Y1026="估算法",Y1026="算法类",Y1026="无法识别"),"",IF(X1026="",IF(OR(J1026="ILF",J1026="EIF"),0,""),LEN(X1026)-LEN(SUBSTITUTE(X1026,"、",""))+1))</f>
        <v/>
      </c>
      <c r="O1026" s="85">
        <f>IF(OR(Y1026="估算法",Y1026="算法类",Y1026="无法识别"),"",IF(Y1026="",IF(OR(J1026="ILF",J1026="EIF",J1026="EI",J1026="EO",J1026="EQ"),0,""),LEN(Y1026)-LEN(SUBSTITUTE(SUBSTITUTE(SUBSTITUTE(SUBSTITUTE(SUBSTITUTE(Y1026,"|}","--"),"{|","--"),CHAR(10),""),"、",""),"|",""))+IF(AND(OR(J1026="EI",J1026="EO",J1026="EQ"),$AE$1="NESMA"),2,1)))</f>
        <v/>
      </c>
      <c r="P1026" s="86">
        <f>IF(J1026="EI",IF(OR(Y1026="估算法",Y1026="算法类"),"中",IF(Y1026="无法识别","低",IF(M1026&lt;2,IF(O1026&lt;16,"低","中"),IF(M1026&lt;3,IF(O1026&lt;5,"低",IF(O1026&lt;16,"中","高")),IF(O1026&lt;5,"中","高"))))),IF(OR(J1026="EO",J1026="EQ"),IF(OR(Y1026="估算法",Y1026="算法类"),"中",IF(Y1026="无法识别","低",IF(M1026&lt;2,IF(O1026&lt;20,"低","中"),IF(M1026&lt;4,IF(O1026&lt;6,"低",IF(O1026&lt;20,"中","高")),IF(O1026&lt;6,"中","高"))))),IF(OR(J1026="ILF",J1026="EIF"),IF(OR(Y1026="估算法",Y1026="算法类",Y1026="无法识别"),"低",IF(N1026&lt;2,IF(O1026&lt;51,"低","中"),IF(N1026&lt;6,IF(O1026&lt;20,"低",IF(O1026&lt;51,"中","高")),IF(O1026&lt;20,"中","高")))),"不计算")))</f>
        <v/>
      </c>
      <c r="Q1026" s="172">
        <f>IFERROR(IF(J1026="EI",IF(P1026="低",3,IF(P1026="中",4,6)),IF(J1026="EO",IF(P1026="低",4,IF(P1026="中",5,7)),IF(J1026="EQ",IF(P1026="低",3,IF(P1026="中",4,6)),IF(J1026="ILF",IF(P1026="低",7,IF(P1026="中",10,15)),IF(J1026="EIF",IF(P1026="低",5,IF(P1026="中",7,10)),"不计算")))))*R1026,"不计算")</f>
        <v/>
      </c>
      <c r="R1026" s="172" t="n">
        <v>0.333333333333333</v>
      </c>
      <c r="S1026" s="173">
        <f>调整因子!$F$13</f>
        <v/>
      </c>
      <c r="T1026" s="93" t="n">
        <v>1</v>
      </c>
      <c r="U1026" s="174">
        <f>IFERROR(Q1026*S1026,0)</f>
        <v/>
      </c>
      <c r="V1026" s="178">
        <f>U1026*T1026</f>
        <v/>
      </c>
      <c r="W1026" s="103" t="inlineStr">
        <is>
          <t>数据清洗任务表、资产同步任务表、同步任务调度表、任务统计数据表</t>
        </is>
      </c>
      <c r="X1026" s="103" t="inlineStr"/>
      <c r="Y1026"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6" s="90" t="n"/>
      <c r="AA1026" s="90" t="n"/>
    </row>
    <row r="1027" s="112">
      <c r="A1027" s="72">
        <f>ROW()-1</f>
        <v/>
      </c>
      <c r="B1027" s="175" t="n"/>
      <c r="C1027" s="124" t="n">
        <v>2026</v>
      </c>
      <c r="D1027" s="125" t="n"/>
      <c r="E1027" s="103" t="n"/>
      <c r="F1027" s="175" t="n"/>
      <c r="G1027" s="175" t="n"/>
      <c r="H1027" s="175" t="n"/>
      <c r="I1027" s="103" t="inlineStr">
        <is>
          <t>启用任务依赖</t>
        </is>
      </c>
      <c r="J1027" s="93" t="inlineStr">
        <is>
          <t>EI</t>
        </is>
      </c>
      <c r="K1027" s="102" t="n"/>
      <c r="L1027" s="102" t="n"/>
      <c r="M1027" s="85">
        <f>IF(OR(Y1027="估算法",Y1027="算法类",Y1027="无法识别"),"",IF(W1027="",IF(OR(J1027="EI",J1027="EO",J1027="EQ"),0,""),LEN(W1027)-LEN(SUBSTITUTE(W1027,"、",""))+1))</f>
        <v/>
      </c>
      <c r="N1027" s="85">
        <f>IF(OR(Y1027="估算法",Y1027="算法类",Y1027="无法识别"),"",IF(X1027="",IF(OR(J1027="ILF",J1027="EIF"),0,""),LEN(X1027)-LEN(SUBSTITUTE(X1027,"、",""))+1))</f>
        <v/>
      </c>
      <c r="O1027" s="85">
        <f>IF(OR(Y1027="估算法",Y1027="算法类",Y1027="无法识别"),"",IF(Y1027="",IF(OR(J1027="ILF",J1027="EIF",J1027="EI",J1027="EO",J1027="EQ"),0,""),LEN(Y1027)-LEN(SUBSTITUTE(SUBSTITUTE(SUBSTITUTE(SUBSTITUTE(SUBSTITUTE(Y1027,"|}","--"),"{|","--"),CHAR(10),""),"、",""),"|",""))+IF(AND(OR(J1027="EI",J1027="EO",J1027="EQ"),$AE$1="NESMA"),2,1)))</f>
        <v/>
      </c>
      <c r="P1027" s="86">
        <f>IF(J1027="EI",IF(OR(Y1027="估算法",Y1027="算法类"),"中",IF(Y1027="无法识别","低",IF(M1027&lt;2,IF(O1027&lt;16,"低","中"),IF(M1027&lt;3,IF(O1027&lt;5,"低",IF(O1027&lt;16,"中","高")),IF(O1027&lt;5,"中","高"))))),IF(OR(J1027="EO",J1027="EQ"),IF(OR(Y1027="估算法",Y1027="算法类"),"中",IF(Y1027="无法识别","低",IF(M1027&lt;2,IF(O1027&lt;20,"低","中"),IF(M1027&lt;4,IF(O1027&lt;6,"低",IF(O1027&lt;20,"中","高")),IF(O1027&lt;6,"中","高"))))),IF(OR(J1027="ILF",J1027="EIF"),IF(OR(Y1027="估算法",Y1027="算法类",Y1027="无法识别"),"低",IF(N1027&lt;2,IF(O1027&lt;51,"低","中"),IF(N1027&lt;6,IF(O1027&lt;20,"低",IF(O1027&lt;51,"中","高")),IF(O1027&lt;20,"中","高")))),"不计算")))</f>
        <v/>
      </c>
      <c r="Q1027" s="172">
        <f>IFERROR(IF(J1027="EI",IF(P1027="低",3,IF(P1027="中",4,6)),IF(J1027="EO",IF(P1027="低",4,IF(P1027="中",5,7)),IF(J1027="EQ",IF(P1027="低",3,IF(P1027="中",4,6)),IF(J1027="ILF",IF(P1027="低",7,IF(P1027="中",10,15)),IF(J1027="EIF",IF(P1027="低",5,IF(P1027="中",7,10)),"不计算")))))*R1027,"不计算")</f>
        <v/>
      </c>
      <c r="R1027" s="172" t="n">
        <v>1</v>
      </c>
      <c r="S1027" s="173">
        <f>调整因子!$F$13</f>
        <v/>
      </c>
      <c r="T1027" s="93" t="n">
        <v>1</v>
      </c>
      <c r="U1027" s="174">
        <f>IFERROR(Q1027*S1027,0)</f>
        <v/>
      </c>
      <c r="V1027" s="178">
        <f>U1027*T1027</f>
        <v/>
      </c>
      <c r="W1027" s="103" t="inlineStr">
        <is>
          <t>数据清洗任务表、资产同步任务表、同步任务调度表、任务统计数据表</t>
        </is>
      </c>
      <c r="X1027" s="103" t="inlineStr"/>
      <c r="Y102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027" s="90" t="n"/>
      <c r="AA1027" s="90" t="n"/>
    </row>
    <row r="1028" s="112">
      <c r="A1028" s="72">
        <f>ROW()-1</f>
        <v/>
      </c>
      <c r="B1028" s="175" t="n"/>
      <c r="C1028" s="124" t="n">
        <v>2026</v>
      </c>
      <c r="D1028" s="125" t="n"/>
      <c r="E1028" s="103" t="n"/>
      <c r="F1028" s="175" t="n"/>
      <c r="G1028" s="175" t="n"/>
      <c r="H1028" s="175" t="n"/>
      <c r="I1028" s="103" t="inlineStr">
        <is>
          <t>停用任务依赖</t>
        </is>
      </c>
      <c r="J1028" s="93" t="n"/>
      <c r="K1028" s="102" t="n"/>
      <c r="L1028" s="102" t="inlineStr">
        <is>
          <t>和上行合并，启停为相同功能</t>
        </is>
      </c>
      <c r="M1028" s="85">
        <f>IF(OR(Y1028="估算法",Y1028="算法类",Y1028="无法识别"),"",IF(W1028="",IF(OR(J1028="EI",J1028="EO",J1028="EQ"),0,""),LEN(W1028)-LEN(SUBSTITUTE(W1028,"、",""))+1))</f>
        <v/>
      </c>
      <c r="N1028" s="85">
        <f>IF(OR(Y1028="估算法",Y1028="算法类",Y1028="无法识别"),"",IF(X1028="",IF(OR(J1028="ILF",J1028="EIF"),0,""),LEN(X1028)-LEN(SUBSTITUTE(X1028,"、",""))+1))</f>
        <v/>
      </c>
      <c r="O1028" s="85">
        <f>IF(OR(Y1028="估算法",Y1028="算法类",Y1028="无法识别"),"",IF(Y1028="",IF(OR(J1028="ILF",J1028="EIF",J1028="EI",J1028="EO",J1028="EQ"),0,""),LEN(Y1028)-LEN(SUBSTITUTE(SUBSTITUTE(SUBSTITUTE(SUBSTITUTE(SUBSTITUTE(Y1028,"|}","--"),"{|","--"),CHAR(10),""),"、",""),"|",""))+IF(AND(OR(J1028="EI",J1028="EO",J1028="EQ"),$AE$1="NESMA"),2,1)))</f>
        <v/>
      </c>
      <c r="P1028" s="86">
        <f>IF(J1028="EI",IF(OR(Y1028="估算法",Y1028="算法类"),"中",IF(Y1028="无法识别","低",IF(M1028&lt;2,IF(O1028&lt;16,"低","中"),IF(M1028&lt;3,IF(O1028&lt;5,"低",IF(O1028&lt;16,"中","高")),IF(O1028&lt;5,"中","高"))))),IF(OR(J1028="EO",J1028="EQ"),IF(OR(Y1028="估算法",Y1028="算法类"),"中",IF(Y1028="无法识别","低",IF(M1028&lt;2,IF(O1028&lt;20,"低","中"),IF(M1028&lt;4,IF(O1028&lt;6,"低",IF(O1028&lt;20,"中","高")),IF(O1028&lt;6,"中","高"))))),IF(OR(J1028="ILF",J1028="EIF"),IF(OR(Y1028="估算法",Y1028="算法类",Y1028="无法识别"),"低",IF(N1028&lt;2,IF(O1028&lt;51,"低","中"),IF(N1028&lt;6,IF(O1028&lt;20,"低",IF(O1028&lt;51,"中","高")),IF(O1028&lt;20,"中","高")))),"不计算")))</f>
        <v/>
      </c>
      <c r="Q1028" s="172">
        <f>IFERROR(IF(J1028="EI",IF(P1028="低",3,IF(P1028="中",4,6)),IF(J1028="EO",IF(P1028="低",4,IF(P1028="中",5,7)),IF(J1028="EQ",IF(P1028="低",3,IF(P1028="中",4,6)),IF(J1028="ILF",IF(P1028="低",7,IF(P1028="中",10,15)),IF(J1028="EIF",IF(P1028="低",5,IF(P1028="中",7,10)),"不计算")))))*R1028,"不计算")</f>
        <v/>
      </c>
      <c r="R1028" s="172" t="n">
        <v>1</v>
      </c>
      <c r="S1028" s="173">
        <f>调整因子!$F$13</f>
        <v/>
      </c>
      <c r="T1028" s="92" t="n">
        <v>1</v>
      </c>
      <c r="U1028" s="174">
        <f>IFERROR(Q1028*S1028,0)</f>
        <v/>
      </c>
      <c r="V1028" s="178">
        <f>U1028*T1028</f>
        <v/>
      </c>
      <c r="W1028" s="103" t="inlineStr">
        <is>
          <t>数据清洗任务表、资产同步任务表、同步任务调度表</t>
        </is>
      </c>
      <c r="X1028" s="103" t="inlineStr"/>
      <c r="Y102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1028" s="90" t="n"/>
      <c r="AA1028" s="90" t="n"/>
    </row>
    <row r="1029" s="112">
      <c r="A1029" s="72">
        <f>ROW()-1</f>
        <v/>
      </c>
      <c r="B1029" s="175" t="n"/>
      <c r="C1029" s="124" t="n">
        <v>2026</v>
      </c>
      <c r="D1029" s="125" t="n"/>
      <c r="E1029" s="103" t="n"/>
      <c r="F1029" s="175" t="n"/>
      <c r="G1029" s="175" t="n"/>
      <c r="H1029" s="175" t="n"/>
      <c r="I1029" s="103" t="inlineStr">
        <is>
          <t>导出依赖关系配置</t>
        </is>
      </c>
      <c r="J1029" s="93" t="inlineStr">
        <is>
          <t>EO</t>
        </is>
      </c>
      <c r="K1029" s="102" t="n"/>
      <c r="L1029" s="102" t="n"/>
      <c r="M1029" s="85">
        <f>IF(OR(Y1029="估算法",Y1029="算法类",Y1029="无法识别"),"",IF(W1029="",IF(OR(J1029="EI",J1029="EO",J1029="EQ"),0,""),LEN(W1029)-LEN(SUBSTITUTE(W1029,"、",""))+1))</f>
        <v/>
      </c>
      <c r="N1029" s="85">
        <f>IF(OR(Y1029="估算法",Y1029="算法类",Y1029="无法识别"),"",IF(X1029="",IF(OR(J1029="ILF",J1029="EIF"),0,""),LEN(X1029)-LEN(SUBSTITUTE(X1029,"、",""))+1))</f>
        <v/>
      </c>
      <c r="O1029" s="85">
        <f>IF(OR(Y1029="估算法",Y1029="算法类",Y1029="无法识别"),"",IF(Y1029="",IF(OR(J1029="ILF",J1029="EIF",J1029="EI",J1029="EO",J1029="EQ"),0,""),LEN(Y1029)-LEN(SUBSTITUTE(SUBSTITUTE(SUBSTITUTE(SUBSTITUTE(SUBSTITUTE(Y1029,"|}","--"),"{|","--"),CHAR(10),""),"、",""),"|",""))+IF(AND(OR(J1029="EI",J1029="EO",J1029="EQ"),$AE$1="NESMA"),2,1)))</f>
        <v/>
      </c>
      <c r="P1029" s="86">
        <f>IF(J1029="EI",IF(OR(Y1029="估算法",Y1029="算法类"),"中",IF(Y1029="无法识别","低",IF(M1029&lt;2,IF(O1029&lt;16,"低","中"),IF(M1029&lt;3,IF(O1029&lt;5,"低",IF(O1029&lt;16,"中","高")),IF(O1029&lt;5,"中","高"))))),IF(OR(J1029="EO",J1029="EQ"),IF(OR(Y1029="估算法",Y1029="算法类"),"中",IF(Y1029="无法识别","低",IF(M1029&lt;2,IF(O1029&lt;20,"低","中"),IF(M1029&lt;4,IF(O1029&lt;6,"低",IF(O1029&lt;20,"中","高")),IF(O1029&lt;6,"中","高"))))),IF(OR(J1029="ILF",J1029="EIF"),IF(OR(Y1029="估算法",Y1029="算法类",Y1029="无法识别"),"低",IF(N1029&lt;2,IF(O1029&lt;51,"低","中"),IF(N1029&lt;6,IF(O1029&lt;20,"低",IF(O1029&lt;51,"中","高")),IF(O1029&lt;20,"中","高")))),"不计算")))</f>
        <v/>
      </c>
      <c r="Q1029" s="172">
        <f>IFERROR(IF(J1029="EI",IF(P1029="低",3,IF(P1029="中",4,6)),IF(J1029="EO",IF(P1029="低",4,IF(P1029="中",5,7)),IF(J1029="EQ",IF(P1029="低",3,IF(P1029="中",4,6)),IF(J1029="ILF",IF(P1029="低",7,IF(P1029="中",10,15)),IF(J1029="EIF",IF(P1029="低",5,IF(P1029="中",7,10)),"不计算")))))*R1029,"不计算")</f>
        <v/>
      </c>
      <c r="R1029" s="172" t="n">
        <v>1</v>
      </c>
      <c r="S1029" s="173">
        <f>调整因子!$F$13</f>
        <v/>
      </c>
      <c r="T1029" s="92" t="n">
        <v>1</v>
      </c>
      <c r="U1029" s="174">
        <f>IFERROR(Q1029*S1029,0)</f>
        <v/>
      </c>
      <c r="V1029" s="178">
        <f>U1029*T1029</f>
        <v/>
      </c>
      <c r="W1029" s="103" t="inlineStr">
        <is>
          <t>任务优先级配置表、模板参数配置表、处置单配置表、验证配置表</t>
        </is>
      </c>
      <c r="X1029" s="103" t="inlineStr"/>
      <c r="Y102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29" s="90" t="n"/>
      <c r="AA1029" s="90" t="n"/>
    </row>
    <row r="1030" s="112">
      <c r="A1030" s="72">
        <f>ROW()-1</f>
        <v/>
      </c>
      <c r="B1030" s="175" t="n"/>
      <c r="C1030" s="124" t="n">
        <v>2026</v>
      </c>
      <c r="D1030" s="125" t="n"/>
      <c r="E1030" s="103" t="n"/>
      <c r="F1030" s="175" t="n"/>
      <c r="G1030" s="175" t="n"/>
      <c r="H1030" s="175" t="n"/>
      <c r="I1030" s="103" t="inlineStr">
        <is>
          <t>查询任务依赖关系</t>
        </is>
      </c>
      <c r="J1030" s="93" t="inlineStr">
        <is>
          <t>EQ</t>
        </is>
      </c>
      <c r="K1030" s="102" t="n"/>
      <c r="L1030" s="102" t="n"/>
      <c r="M1030" s="85">
        <f>IF(OR(Y1030="估算法",Y1030="算法类",Y1030="无法识别"),"",IF(W1030="",IF(OR(J1030="EI",J1030="EO",J1030="EQ"),0,""),LEN(W1030)-LEN(SUBSTITUTE(W1030,"、",""))+1))</f>
        <v/>
      </c>
      <c r="N1030" s="85">
        <f>IF(OR(Y1030="估算法",Y1030="算法类",Y1030="无法识别"),"",IF(X1030="",IF(OR(J1030="ILF",J1030="EIF"),0,""),LEN(X1030)-LEN(SUBSTITUTE(X1030,"、",""))+1))</f>
        <v/>
      </c>
      <c r="O1030" s="85">
        <f>IF(OR(Y1030="估算法",Y1030="算法类",Y1030="无法识别"),"",IF(Y1030="",IF(OR(J1030="ILF",J1030="EIF",J1030="EI",J1030="EO",J1030="EQ"),0,""),LEN(Y1030)-LEN(SUBSTITUTE(SUBSTITUTE(SUBSTITUTE(SUBSTITUTE(SUBSTITUTE(Y1030,"|}","--"),"{|","--"),CHAR(10),""),"、",""),"|",""))+IF(AND(OR(J1030="EI",J1030="EO",J1030="EQ"),$AE$1="NESMA"),2,1)))</f>
        <v/>
      </c>
      <c r="P1030" s="86">
        <f>IF(J1030="EI",IF(OR(Y1030="估算法",Y1030="算法类"),"中",IF(Y1030="无法识别","低",IF(M1030&lt;2,IF(O1030&lt;16,"低","中"),IF(M1030&lt;3,IF(O1030&lt;5,"低",IF(O1030&lt;16,"中","高")),IF(O1030&lt;5,"中","高"))))),IF(OR(J1030="EO",J1030="EQ"),IF(OR(Y1030="估算法",Y1030="算法类"),"中",IF(Y1030="无法识别","低",IF(M1030&lt;2,IF(O1030&lt;20,"低","中"),IF(M1030&lt;4,IF(O1030&lt;6,"低",IF(O1030&lt;20,"中","高")),IF(O1030&lt;6,"中","高"))))),IF(OR(J1030="ILF",J1030="EIF"),IF(OR(Y1030="估算法",Y1030="算法类",Y1030="无法识别"),"低",IF(N1030&lt;2,IF(O1030&lt;51,"低","中"),IF(N1030&lt;6,IF(O1030&lt;20,"低",IF(O1030&lt;51,"中","高")),IF(O1030&lt;20,"中","高")))),"不计算")))</f>
        <v/>
      </c>
      <c r="Q1030" s="172">
        <f>IFERROR(IF(J1030="EI",IF(P1030="低",3,IF(P1030="中",4,6)),IF(J1030="EO",IF(P1030="低",4,IF(P1030="中",5,7)),IF(J1030="EQ",IF(P1030="低",3,IF(P1030="中",4,6)),IF(J1030="ILF",IF(P1030="低",7,IF(P1030="中",10,15)),IF(J1030="EIF",IF(P1030="低",5,IF(P1030="中",7,10)),"不计算")))))*R1030,"不计算")</f>
        <v/>
      </c>
      <c r="R1030" s="172" t="n">
        <v>1</v>
      </c>
      <c r="S1030" s="173">
        <f>调整因子!$F$13</f>
        <v/>
      </c>
      <c r="T1030" s="93" t="n">
        <v>1</v>
      </c>
      <c r="U1030" s="174">
        <f>IFERROR(Q1030*S1030,0)</f>
        <v/>
      </c>
      <c r="V1030" s="178">
        <f>U1030*T1030</f>
        <v/>
      </c>
      <c r="W1030" s="103" t="inlineStr">
        <is>
          <t>数据清洗任务表、资产同步任务表、同步任务调度表、任务统计数据表</t>
        </is>
      </c>
      <c r="X1030" s="103" t="inlineStr"/>
      <c r="Y1030"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30" s="90" t="n"/>
      <c r="AA1030" s="90" t="n"/>
    </row>
    <row r="1031" s="112">
      <c r="A1031" s="72">
        <f>ROW()-1</f>
        <v/>
      </c>
      <c r="B1031" s="175" t="n"/>
      <c r="C1031" s="124" t="n">
        <v>2026</v>
      </c>
      <c r="D1031" s="125" t="n"/>
      <c r="E1031" s="103" t="n"/>
      <c r="F1031" s="175" t="n"/>
      <c r="G1031" s="175" t="n"/>
      <c r="H1031" s="176" t="n"/>
      <c r="I1031" s="103" t="inlineStr">
        <is>
          <t>查看依赖执行顺序</t>
        </is>
      </c>
      <c r="J1031" s="93" t="inlineStr">
        <is>
          <t>EQ</t>
        </is>
      </c>
      <c r="K1031" s="102" t="n"/>
      <c r="L1031" s="102" t="n"/>
      <c r="M1031" s="85">
        <f>IF(OR(Y1031="估算法",Y1031="算法类",Y1031="无法识别"),"",IF(W1031="",IF(OR(J1031="EI",J1031="EO",J1031="EQ"),0,""),LEN(W1031)-LEN(SUBSTITUTE(W1031,"、",""))+1))</f>
        <v/>
      </c>
      <c r="N1031" s="85">
        <f>IF(OR(Y1031="估算法",Y1031="算法类",Y1031="无法识别"),"",IF(X1031="",IF(OR(J1031="ILF",J1031="EIF"),0,""),LEN(X1031)-LEN(SUBSTITUTE(X1031,"、",""))+1))</f>
        <v/>
      </c>
      <c r="O1031" s="85">
        <f>IF(OR(Y1031="估算法",Y1031="算法类",Y1031="无法识别"),"",IF(Y1031="",IF(OR(J1031="ILF",J1031="EIF",J1031="EI",J1031="EO",J1031="EQ"),0,""),LEN(Y1031)-LEN(SUBSTITUTE(SUBSTITUTE(SUBSTITUTE(SUBSTITUTE(SUBSTITUTE(Y1031,"|}","--"),"{|","--"),CHAR(10),""),"、",""),"|",""))+IF(AND(OR(J1031="EI",J1031="EO",J1031="EQ"),$AE$1="NESMA"),2,1)))</f>
        <v/>
      </c>
      <c r="P1031" s="86">
        <f>IF(J1031="EI",IF(OR(Y1031="估算法",Y1031="算法类"),"中",IF(Y1031="无法识别","低",IF(M1031&lt;2,IF(O1031&lt;16,"低","中"),IF(M1031&lt;3,IF(O1031&lt;5,"低",IF(O1031&lt;16,"中","高")),IF(O1031&lt;5,"中","高"))))),IF(OR(J1031="EO",J1031="EQ"),IF(OR(Y1031="估算法",Y1031="算法类"),"中",IF(Y1031="无法识别","低",IF(M1031&lt;2,IF(O1031&lt;20,"低","中"),IF(M1031&lt;4,IF(O1031&lt;6,"低",IF(O1031&lt;20,"中","高")),IF(O1031&lt;6,"中","高"))))),IF(OR(J1031="ILF",J1031="EIF"),IF(OR(Y1031="估算法",Y1031="算法类",Y1031="无法识别"),"低",IF(N1031&lt;2,IF(O1031&lt;51,"低","中"),IF(N1031&lt;6,IF(O1031&lt;20,"低",IF(O1031&lt;51,"中","高")),IF(O1031&lt;20,"中","高")))),"不计算")))</f>
        <v/>
      </c>
      <c r="Q1031" s="172">
        <f>IFERROR(IF(J1031="EI",IF(P1031="低",3,IF(P1031="中",4,6)),IF(J1031="EO",IF(P1031="低",4,IF(P1031="中",5,7)),IF(J1031="EQ",IF(P1031="低",3,IF(P1031="中",4,6)),IF(J1031="ILF",IF(P1031="低",7,IF(P1031="中",10,15)),IF(J1031="EIF",IF(P1031="低",5,IF(P1031="中",7,10)),"不计算")))))*R1031,"不计算")</f>
        <v/>
      </c>
      <c r="R1031" s="172" t="n">
        <v>1</v>
      </c>
      <c r="S1031" s="173">
        <f>调整因子!$F$13</f>
        <v/>
      </c>
      <c r="T1031" s="92" t="n">
        <v>1</v>
      </c>
      <c r="U1031" s="174">
        <f>IFERROR(Q1031*S1031,0)</f>
        <v/>
      </c>
      <c r="V1031" s="178">
        <f>U1031*T1031</f>
        <v/>
      </c>
      <c r="W1031" s="103" t="inlineStr">
        <is>
          <t>通报模板表、日志查询记录表、任务日志表</t>
        </is>
      </c>
      <c r="X1031" s="103" t="inlineStr"/>
      <c r="Y1031" s="97" t="inlineStr">
        <is>
          <t>通报模板表{ID、名称|ID、名称、类型、状态、创建时间、更新时间}
日志查询记录表{日志ID、操作人|日志ID、操作人、操作类型、操作时间、操作内容}
任务日志表{任务ID、任务名称|任务ID、任务名称、任务类型、任务状态、创建时间、执行时间}</t>
        </is>
      </c>
      <c r="Z1031" s="90" t="n"/>
      <c r="AA1031" s="90" t="n"/>
    </row>
    <row r="1032" s="112">
      <c r="A1032" s="72">
        <f>ROW()-1</f>
        <v/>
      </c>
      <c r="B1032" s="175" t="n"/>
      <c r="C1032" s="124" t="n">
        <v>2026</v>
      </c>
      <c r="D1032" s="125" t="n"/>
      <c r="E1032" s="103" t="n"/>
      <c r="F1032" s="175" t="n"/>
      <c r="G1032" s="175" t="n"/>
      <c r="H1032" s="97" t="inlineStr">
        <is>
          <t>扫描任务状态跟踪</t>
        </is>
      </c>
      <c r="I1032" s="103" t="inlineStr">
        <is>
          <t>导出任务状态报告</t>
        </is>
      </c>
      <c r="J1032" s="93" t="inlineStr">
        <is>
          <t>EO</t>
        </is>
      </c>
      <c r="K1032" s="102" t="n"/>
      <c r="L1032" s="102" t="n"/>
      <c r="M1032" s="85">
        <f>IF(OR(Y1032="估算法",Y1032="算法类",Y1032="无法识别"),"",IF(W1032="",IF(OR(J1032="EI",J1032="EO",J1032="EQ"),0,""),LEN(W1032)-LEN(SUBSTITUTE(W1032,"、",""))+1))</f>
        <v/>
      </c>
      <c r="N1032" s="85">
        <f>IF(OR(Y1032="估算法",Y1032="算法类",Y1032="无法识别"),"",IF(X1032="",IF(OR(J1032="ILF",J1032="EIF"),0,""),LEN(X1032)-LEN(SUBSTITUTE(X1032,"、",""))+1))</f>
        <v/>
      </c>
      <c r="O1032" s="85">
        <f>IF(OR(Y1032="估算法",Y1032="算法类",Y1032="无法识别"),"",IF(Y1032="",IF(OR(J1032="ILF",J1032="EIF",J1032="EI",J1032="EO",J1032="EQ"),0,""),LEN(Y1032)-LEN(SUBSTITUTE(SUBSTITUTE(SUBSTITUTE(SUBSTITUTE(SUBSTITUTE(Y1032,"|}","--"),"{|","--"),CHAR(10),""),"、",""),"|",""))+IF(AND(OR(J1032="EI",J1032="EO",J1032="EQ"),$AE$1="NESMA"),2,1)))</f>
        <v/>
      </c>
      <c r="P1032" s="86">
        <f>IF(J1032="EI",IF(OR(Y1032="估算法",Y1032="算法类"),"中",IF(Y1032="无法识别","低",IF(M1032&lt;2,IF(O1032&lt;16,"低","中"),IF(M1032&lt;3,IF(O1032&lt;5,"低",IF(O1032&lt;16,"中","高")),IF(O1032&lt;5,"中","高"))))),IF(OR(J1032="EO",J1032="EQ"),IF(OR(Y1032="估算法",Y1032="算法类"),"中",IF(Y1032="无法识别","低",IF(M1032&lt;2,IF(O1032&lt;20,"低","中"),IF(M1032&lt;4,IF(O1032&lt;6,"低",IF(O1032&lt;20,"中","高")),IF(O1032&lt;6,"中","高"))))),IF(OR(J1032="ILF",J1032="EIF"),IF(OR(Y1032="估算法",Y1032="算法类",Y1032="无法识别"),"低",IF(N1032&lt;2,IF(O1032&lt;51,"低","中"),IF(N1032&lt;6,IF(O1032&lt;20,"低",IF(O1032&lt;51,"中","高")),IF(O1032&lt;20,"中","高")))),"不计算")))</f>
        <v/>
      </c>
      <c r="Q1032" s="172">
        <f>IFERROR(IF(J1032="EI",IF(P1032="低",3,IF(P1032="中",4,6)),IF(J1032="EO",IF(P1032="低",4,IF(P1032="中",5,7)),IF(J1032="EQ",IF(P1032="低",3,IF(P1032="中",4,6)),IF(J1032="ILF",IF(P1032="低",7,IF(P1032="中",10,15)),IF(J1032="EIF",IF(P1032="低",5,IF(P1032="中",7,10)),"不计算")))))*R1032,"不计算")</f>
        <v/>
      </c>
      <c r="R1032" s="172" t="n">
        <v>1</v>
      </c>
      <c r="S1032" s="173">
        <f>调整因子!$F$13</f>
        <v/>
      </c>
      <c r="T1032" s="92" t="n">
        <v>1</v>
      </c>
      <c r="U1032" s="174">
        <f>IFERROR(Q1032*S1032,0)</f>
        <v/>
      </c>
      <c r="V1032" s="178">
        <f>U1032*T1032</f>
        <v/>
      </c>
      <c r="W1032" s="103" t="inlineStr">
        <is>
          <t>数据清洗任务表、资产同步任务表、同步任务调度表</t>
        </is>
      </c>
      <c r="X1032" s="103" t="inlineStr"/>
      <c r="Y1032"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is>
      </c>
      <c r="Z1032" s="90" t="n"/>
      <c r="AA1032" s="90" t="n"/>
    </row>
    <row r="1033" s="112">
      <c r="A1033" s="72">
        <f>ROW()-1</f>
        <v/>
      </c>
      <c r="B1033" s="175" t="n"/>
      <c r="C1033" s="124" t="n">
        <v>2026</v>
      </c>
      <c r="D1033" s="125" t="n"/>
      <c r="E1033" s="103" t="n"/>
      <c r="F1033" s="175" t="n"/>
      <c r="G1033" s="175" t="n"/>
      <c r="H1033" s="175" t="n"/>
      <c r="I1033" s="103" t="inlineStr">
        <is>
          <t>推送任务状态通知</t>
        </is>
      </c>
      <c r="J1033" s="93" t="inlineStr">
        <is>
          <t>EO</t>
        </is>
      </c>
      <c r="K1033" s="102" t="n"/>
      <c r="L1033" s="102" t="n"/>
      <c r="M1033" s="85">
        <f>IF(OR(Y1033="估算法",Y1033="算法类",Y1033="无法识别"),"",IF(W1033="",IF(OR(J1033="EI",J1033="EO",J1033="EQ"),0,""),LEN(W1033)-LEN(SUBSTITUTE(W1033,"、",""))+1))</f>
        <v/>
      </c>
      <c r="N1033" s="85">
        <f>IF(OR(Y1033="估算法",Y1033="算法类",Y1033="无法识别"),"",IF(X1033="",IF(OR(J1033="ILF",J1033="EIF"),0,""),LEN(X1033)-LEN(SUBSTITUTE(X1033,"、",""))+1))</f>
        <v/>
      </c>
      <c r="O1033" s="85">
        <f>IF(OR(Y1033="估算法",Y1033="算法类",Y1033="无法识别"),"",IF(Y1033="",IF(OR(J1033="ILF",J1033="EIF",J1033="EI",J1033="EO",J1033="EQ"),0,""),LEN(Y1033)-LEN(SUBSTITUTE(SUBSTITUTE(SUBSTITUTE(SUBSTITUTE(SUBSTITUTE(Y1033,"|}","--"),"{|","--"),CHAR(10),""),"、",""),"|",""))+IF(AND(OR(J1033="EI",J1033="EO",J1033="EQ"),$AE$1="NESMA"),2,1)))</f>
        <v/>
      </c>
      <c r="P1033" s="86">
        <f>IF(J1033="EI",IF(OR(Y1033="估算法",Y1033="算法类"),"中",IF(Y1033="无法识别","低",IF(M1033&lt;2,IF(O1033&lt;16,"低","中"),IF(M1033&lt;3,IF(O1033&lt;5,"低",IF(O1033&lt;16,"中","高")),IF(O1033&lt;5,"中","高"))))),IF(OR(J1033="EO",J1033="EQ"),IF(OR(Y1033="估算法",Y1033="算法类"),"中",IF(Y1033="无法识别","低",IF(M1033&lt;2,IF(O1033&lt;20,"低","中"),IF(M1033&lt;4,IF(O1033&lt;6,"低",IF(O1033&lt;20,"中","高")),IF(O1033&lt;6,"中","高"))))),IF(OR(J1033="ILF",J1033="EIF"),IF(OR(Y1033="估算法",Y1033="算法类",Y1033="无法识别"),"低",IF(N1033&lt;2,IF(O1033&lt;51,"低","中"),IF(N1033&lt;6,IF(O1033&lt;20,"低",IF(O1033&lt;51,"中","高")),IF(O1033&lt;20,"中","高")))),"不计算")))</f>
        <v/>
      </c>
      <c r="Q1033" s="172">
        <f>IFERROR(IF(J1033="EI",IF(P1033="低",3,IF(P1033="中",4,6)),IF(J1033="EO",IF(P1033="低",4,IF(P1033="中",5,7)),IF(J1033="EQ",IF(P1033="低",3,IF(P1033="中",4,6)),IF(J1033="ILF",IF(P1033="低",7,IF(P1033="中",10,15)),IF(J1033="EIF",IF(P1033="低",5,IF(P1033="中",7,10)),"不计算")))))*R1033,"不计算")</f>
        <v/>
      </c>
      <c r="R1033" s="172" t="n">
        <v>1</v>
      </c>
      <c r="S1033" s="173">
        <f>调整因子!$F$13</f>
        <v/>
      </c>
      <c r="T1033" s="93" t="n">
        <v>1</v>
      </c>
      <c r="U1033" s="174">
        <f>IFERROR(Q1033*S1033,0)</f>
        <v/>
      </c>
      <c r="V1033" s="178">
        <f>U1033*T1033</f>
        <v/>
      </c>
      <c r="W1033" s="103" t="inlineStr">
        <is>
          <t>数据清洗任务表、资产同步任务表、同步任务调度表、任务统计数据表</t>
        </is>
      </c>
      <c r="X1033" s="103" t="inlineStr"/>
      <c r="Y1033"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33" s="90" t="n"/>
      <c r="AA1033" s="90" t="n"/>
    </row>
    <row r="1034" s="112">
      <c r="A1034" s="72">
        <f>ROW()-1</f>
        <v/>
      </c>
      <c r="B1034" s="175" t="n"/>
      <c r="C1034" s="124" t="n">
        <v>2026</v>
      </c>
      <c r="D1034" s="125" t="n"/>
      <c r="E1034" s="103" t="n"/>
      <c r="F1034" s="175" t="n"/>
      <c r="G1034" s="175" t="n"/>
      <c r="H1034" s="175" t="n"/>
      <c r="I1034" s="103" t="inlineStr">
        <is>
          <t>查询任务状态</t>
        </is>
      </c>
      <c r="J1034" s="93" t="inlineStr">
        <is>
          <t>EQ</t>
        </is>
      </c>
      <c r="K1034" s="102" t="n"/>
      <c r="L1034" s="102" t="inlineStr">
        <is>
          <t>处理流程和上行基本一致，为查询功能，未体现详情功能</t>
        </is>
      </c>
      <c r="M1034" s="85">
        <f>IF(OR(Y1034="估算法",Y1034="算法类",Y1034="无法识别"),"",IF(W1034="",IF(OR(J1034="EI",J1034="EO",J1034="EQ"),0,""),LEN(W1034)-LEN(SUBSTITUTE(W1034,"、",""))+1))</f>
        <v/>
      </c>
      <c r="N1034" s="85">
        <f>IF(OR(Y1034="估算法",Y1034="算法类",Y1034="无法识别"),"",IF(X1034="",IF(OR(J1034="ILF",J1034="EIF"),0,""),LEN(X1034)-LEN(SUBSTITUTE(X1034,"、",""))+1))</f>
        <v/>
      </c>
      <c r="O1034" s="85">
        <f>IF(OR(Y1034="估算法",Y1034="算法类",Y1034="无法识别"),"",IF(Y1034="",IF(OR(J1034="ILF",J1034="EIF",J1034="EI",J1034="EO",J1034="EQ"),0,""),LEN(Y1034)-LEN(SUBSTITUTE(SUBSTITUTE(SUBSTITUTE(SUBSTITUTE(SUBSTITUTE(Y1034,"|}","--"),"{|","--"),CHAR(10),""),"、",""),"|",""))+IF(AND(OR(J1034="EI",J1034="EO",J1034="EQ"),$AE$1="NESMA"),2,1)))</f>
        <v/>
      </c>
      <c r="P1034" s="86">
        <f>IF(J1034="EI",IF(OR(Y1034="估算法",Y1034="算法类"),"中",IF(Y1034="无法识别","低",IF(M1034&lt;2,IF(O1034&lt;16,"低","中"),IF(M1034&lt;3,IF(O1034&lt;5,"低",IF(O1034&lt;16,"中","高")),IF(O1034&lt;5,"中","高"))))),IF(OR(J1034="EO",J1034="EQ"),IF(OR(Y1034="估算法",Y1034="算法类"),"中",IF(Y1034="无法识别","低",IF(M1034&lt;2,IF(O1034&lt;20,"低","中"),IF(M1034&lt;4,IF(O1034&lt;6,"低",IF(O1034&lt;20,"中","高")),IF(O1034&lt;6,"中","高"))))),IF(OR(J1034="ILF",J1034="EIF"),IF(OR(Y1034="估算法",Y1034="算法类",Y1034="无法识别"),"低",IF(N1034&lt;2,IF(O1034&lt;51,"低","中"),IF(N1034&lt;6,IF(O1034&lt;20,"低",IF(O1034&lt;51,"中","高")),IF(O1034&lt;20,"中","高")))),"不计算")))</f>
        <v/>
      </c>
      <c r="Q1034" s="172">
        <f>IFERROR(IF(J1034="EI",IF(P1034="低",3,IF(P1034="中",4,6)),IF(J1034="EO",IF(P1034="低",4,IF(P1034="中",5,7)),IF(J1034="EQ",IF(P1034="低",3,IF(P1034="中",4,6)),IF(J1034="ILF",IF(P1034="低",7,IF(P1034="中",10,15)),IF(J1034="EIF",IF(P1034="低",5,IF(P1034="中",7,10)),"不计算")))))*R1034,"不计算")</f>
        <v/>
      </c>
      <c r="R1034" s="172" t="n">
        <v>0.333333333333333</v>
      </c>
      <c r="S1034" s="173">
        <f>调整因子!$F$13</f>
        <v/>
      </c>
      <c r="T1034" s="93" t="n">
        <v>1</v>
      </c>
      <c r="U1034" s="174">
        <f>IFERROR(Q1034*S1034,0)</f>
        <v/>
      </c>
      <c r="V1034" s="178">
        <f>U1034*T1034</f>
        <v/>
      </c>
      <c r="W1034" s="103" t="inlineStr">
        <is>
          <t>数据清洗任务表、资产同步任务表、同步任务调度表、任务统计数据表、任务趋势分析表</t>
        </is>
      </c>
      <c r="X1034" s="103" t="inlineStr"/>
      <c r="Y1034"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034" s="90" t="n"/>
      <c r="AA1034" s="90" t="n"/>
    </row>
    <row r="1035" s="112">
      <c r="A1035" s="72">
        <f>ROW()-1</f>
        <v/>
      </c>
      <c r="B1035" s="175" t="n"/>
      <c r="C1035" s="124" t="n">
        <v>2026</v>
      </c>
      <c r="D1035" s="125" t="n"/>
      <c r="E1035" s="103" t="n"/>
      <c r="F1035" s="175" t="n"/>
      <c r="G1035" s="176" t="n"/>
      <c r="H1035" s="176" t="n"/>
      <c r="I1035" s="103" t="inlineStr">
        <is>
          <t>查看状态变更历史</t>
        </is>
      </c>
      <c r="J1035" s="93" t="inlineStr">
        <is>
          <t>EQ</t>
        </is>
      </c>
      <c r="K1035" s="102" t="n"/>
      <c r="L1035" s="102" t="inlineStr">
        <is>
          <t>处理流程和上行基本一致，为查询功能，未体现详情功能</t>
        </is>
      </c>
      <c r="M1035" s="85">
        <f>IF(OR(Y1035="估算法",Y1035="算法类",Y1035="无法识别"),"",IF(W1035="",IF(OR(J1035="EI",J1035="EO",J1035="EQ"),0,""),LEN(W1035)-LEN(SUBSTITUTE(W1035,"、",""))+1))</f>
        <v/>
      </c>
      <c r="N1035" s="85">
        <f>IF(OR(Y1035="估算法",Y1035="算法类",Y1035="无法识别"),"",IF(X1035="",IF(OR(J1035="ILF",J1035="EIF"),0,""),LEN(X1035)-LEN(SUBSTITUTE(X1035,"、",""))+1))</f>
        <v/>
      </c>
      <c r="O1035" s="85">
        <f>IF(OR(Y1035="估算法",Y1035="算法类",Y1035="无法识别"),"",IF(Y1035="",IF(OR(J1035="ILF",J1035="EIF",J1035="EI",J1035="EO",J1035="EQ"),0,""),LEN(Y1035)-LEN(SUBSTITUTE(SUBSTITUTE(SUBSTITUTE(SUBSTITUTE(SUBSTITUTE(Y1035,"|}","--"),"{|","--"),CHAR(10),""),"、",""),"|",""))+IF(AND(OR(J1035="EI",J1035="EO",J1035="EQ"),$AE$1="NESMA"),2,1)))</f>
        <v/>
      </c>
      <c r="P1035" s="86">
        <f>IF(J1035="EI",IF(OR(Y1035="估算法",Y1035="算法类"),"中",IF(Y1035="无法识别","低",IF(M1035&lt;2,IF(O1035&lt;16,"低","中"),IF(M1035&lt;3,IF(O1035&lt;5,"低",IF(O1035&lt;16,"中","高")),IF(O1035&lt;5,"中","高"))))),IF(OR(J1035="EO",J1035="EQ"),IF(OR(Y1035="估算法",Y1035="算法类"),"中",IF(Y1035="无法识别","低",IF(M1035&lt;2,IF(O1035&lt;20,"低","中"),IF(M1035&lt;4,IF(O1035&lt;6,"低",IF(O1035&lt;20,"中","高")),IF(O1035&lt;6,"中","高"))))),IF(OR(J1035="ILF",J1035="EIF"),IF(OR(Y1035="估算法",Y1035="算法类",Y1035="无法识别"),"低",IF(N1035&lt;2,IF(O1035&lt;51,"低","中"),IF(N1035&lt;6,IF(O1035&lt;20,"低",IF(O1035&lt;51,"中","高")),IF(O1035&lt;20,"中","高")))),"不计算")))</f>
        <v/>
      </c>
      <c r="Q1035" s="172">
        <f>IFERROR(IF(J1035="EI",IF(P1035="低",3,IF(P1035="中",4,6)),IF(J1035="EO",IF(P1035="低",4,IF(P1035="中",5,7)),IF(J1035="EQ",IF(P1035="低",3,IF(P1035="中",4,6)),IF(J1035="ILF",IF(P1035="低",7,IF(P1035="中",10,15)),IF(J1035="EIF",IF(P1035="低",5,IF(P1035="中",7,10)),"不计算")))))*R1035,"不计算")</f>
        <v/>
      </c>
      <c r="R1035" s="172" t="n">
        <v>0.333333333333333</v>
      </c>
      <c r="S1035" s="173">
        <f>调整因子!$F$13</f>
        <v/>
      </c>
      <c r="T1035" s="92" t="n">
        <v>1</v>
      </c>
      <c r="U1035" s="174">
        <f>IFERROR(Q1035*S1035,0)</f>
        <v/>
      </c>
      <c r="V1035" s="178">
        <f>U1035*T1035</f>
        <v/>
      </c>
      <c r="W1035" s="103" t="inlineStr">
        <is>
          <t>复测任务表、处置流程定义表、任务统计数据表</t>
        </is>
      </c>
      <c r="X1035" s="103" t="inlineStr"/>
      <c r="Y1035" s="97" t="inlineStr">
        <is>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is>
      </c>
      <c r="Z1035" s="90" t="n"/>
      <c r="AA1035" s="90" t="n"/>
    </row>
    <row r="1036" s="112">
      <c r="A1036" s="72">
        <f>ROW()-1</f>
        <v/>
      </c>
      <c r="B1036" s="175" t="n"/>
      <c r="C1036" s="124" t="n">
        <v>2026</v>
      </c>
      <c r="D1036" s="125" t="n"/>
      <c r="E1036" s="103" t="n"/>
      <c r="F1036" s="175" t="n"/>
      <c r="G1036" s="97" t="inlineStr">
        <is>
          <t>离线扫描报告导入</t>
        </is>
      </c>
      <c r="H1036" s="97" t="inlineStr">
        <is>
          <t>报告导入管理</t>
        </is>
      </c>
      <c r="I1036" s="103" t="inlineStr">
        <is>
          <t>离线扫描报告表</t>
        </is>
      </c>
      <c r="J1036" s="93" t="inlineStr">
        <is>
          <t>ILF</t>
        </is>
      </c>
      <c r="K1036" s="102" t="n"/>
      <c r="L1036" s="102" t="n"/>
      <c r="M1036" s="85">
        <f>IF(OR(Y1036="估算法",Y1036="算法类",Y1036="无法识别"),"",IF(W1036="",IF(OR(J1036="EI",J1036="EO",J1036="EQ"),0,""),LEN(W1036)-LEN(SUBSTITUTE(W1036,"、",""))+1))</f>
        <v/>
      </c>
      <c r="N1036" s="85">
        <f>IF(OR(Y1036="估算法",Y1036="算法类",Y1036="无法识别"),"",IF(X1036="",IF(OR(J1036="ILF",J1036="EIF"),0,""),LEN(X1036)-LEN(SUBSTITUTE(X1036,"、",""))+1))</f>
        <v/>
      </c>
      <c r="O1036" s="85">
        <f>IF(OR(Y1036="估算法",Y1036="算法类",Y1036="无法识别"),"",IF(Y1036="",IF(OR(J1036="ILF",J1036="EIF",J1036="EI",J1036="EO",J1036="EQ"),0,""),LEN(Y1036)-LEN(SUBSTITUTE(SUBSTITUTE(SUBSTITUTE(SUBSTITUTE(SUBSTITUTE(Y1036,"|}","--"),"{|","--"),CHAR(10),""),"、",""),"|",""))+IF(AND(OR(J1036="EI",J1036="EO",J1036="EQ"),$AE$1="NESMA"),2,1)))</f>
        <v/>
      </c>
      <c r="P1036" s="86">
        <f>IF(J1036="EI",IF(OR(Y1036="估算法",Y1036="算法类"),"中",IF(Y1036="无法识别","低",IF(M1036&lt;2,IF(O1036&lt;16,"低","中"),IF(M1036&lt;3,IF(O1036&lt;5,"低",IF(O1036&lt;16,"中","高")),IF(O1036&lt;5,"中","高"))))),IF(OR(J1036="EO",J1036="EQ"),IF(OR(Y1036="估算法",Y1036="算法类"),"中",IF(Y1036="无法识别","低",IF(M1036&lt;2,IF(O1036&lt;20,"低","中"),IF(M1036&lt;4,IF(O1036&lt;6,"低",IF(O1036&lt;20,"中","高")),IF(O1036&lt;6,"中","高"))))),IF(OR(J1036="ILF",J1036="EIF"),IF(OR(Y1036="估算法",Y1036="算法类",Y1036="无法识别"),"低",IF(N1036&lt;2,IF(O1036&lt;51,"低","中"),IF(N1036&lt;6,IF(O1036&lt;20,"低",IF(O1036&lt;51,"中","高")),IF(O1036&lt;20,"中","高")))),"不计算")))</f>
        <v/>
      </c>
      <c r="Q1036" s="172">
        <f>IFERROR(IF(J1036="EI",IF(P1036="低",3,IF(P1036="中",4,6)),IF(J1036="EO",IF(P1036="低",4,IF(P1036="中",5,7)),IF(J1036="EQ",IF(P1036="低",3,IF(P1036="中",4,6)),IF(J1036="ILF",IF(P1036="低",7,IF(P1036="中",10,15)),IF(J1036="EIF",IF(P1036="低",5,IF(P1036="中",7,10)),"不计算")))))*R1036,"不计算")</f>
        <v/>
      </c>
      <c r="R1036" s="172" t="n">
        <v>1</v>
      </c>
      <c r="S1036" s="173">
        <f>调整因子!$F$13</f>
        <v/>
      </c>
      <c r="T1036" s="92" t="n">
        <v>1</v>
      </c>
      <c r="U1036" s="174">
        <f>IFERROR(Q1036*S1036,0)</f>
        <v/>
      </c>
      <c r="V1036" s="178">
        <f>U1036*T1036</f>
        <v/>
      </c>
      <c r="W1036" s="103" t="inlineStr"/>
      <c r="X1036" s="103" t="inlineStr">
        <is>
          <t>扫描任务、发现任务、口令猜测任务</t>
        </is>
      </c>
      <c r="Y1036" s="97" t="inlineStr">
        <is>
          <t>离线扫描报告表{任务ID、任务名称、任务状态|任务ID、任务名称、任务状态、扫描器类型、开始时间、结束时间、扫描结果}</t>
        </is>
      </c>
      <c r="Z1036" s="90">
        <f>IF(COUNTIFS(W:W,"*"&amp;I1036&amp;"*")&gt;0,"存在","不存在")</f>
        <v/>
      </c>
      <c r="AA1036" s="90">
        <f>IF(COUNTIFS(AB:AB,"*"&amp;I1036&amp;"*")&gt;0,"存在","不存在")</f>
        <v/>
      </c>
    </row>
    <row r="1037" s="112">
      <c r="A1037" s="72">
        <f>ROW()-1</f>
        <v/>
      </c>
      <c r="B1037" s="175" t="n"/>
      <c r="C1037" s="124" t="n">
        <v>2026</v>
      </c>
      <c r="D1037" s="125" t="n"/>
      <c r="E1037" s="103" t="n"/>
      <c r="F1037" s="175" t="n"/>
      <c r="G1037" s="175" t="n"/>
      <c r="H1037" s="175" t="n"/>
      <c r="I1037" s="103" t="inlineStr">
        <is>
          <t>报告导入记录表</t>
        </is>
      </c>
      <c r="J1037" s="93" t="inlineStr">
        <is>
          <t>ILF</t>
        </is>
      </c>
      <c r="K1037" s="102" t="n"/>
      <c r="L1037" s="102" t="n"/>
      <c r="M1037" s="85">
        <f>IF(OR(Y1037="估算法",Y1037="算法类",Y1037="无法识别"),"",IF(W1037="",IF(OR(J1037="EI",J1037="EO",J1037="EQ"),0,""),LEN(W1037)-LEN(SUBSTITUTE(W1037,"、",""))+1))</f>
        <v/>
      </c>
      <c r="N1037" s="85">
        <f>IF(OR(Y1037="估算法",Y1037="算法类",Y1037="无法识别"),"",IF(X1037="",IF(OR(J1037="ILF",J1037="EIF"),0,""),LEN(X1037)-LEN(SUBSTITUTE(X1037,"、",""))+1))</f>
        <v/>
      </c>
      <c r="O1037" s="85">
        <f>IF(OR(Y1037="估算法",Y1037="算法类",Y1037="无法识别"),"",IF(Y1037="",IF(OR(J1037="ILF",J1037="EIF",J1037="EI",J1037="EO",J1037="EQ"),0,""),LEN(Y1037)-LEN(SUBSTITUTE(SUBSTITUTE(SUBSTITUTE(SUBSTITUTE(SUBSTITUTE(Y1037,"|}","--"),"{|","--"),CHAR(10),""),"、",""),"|",""))+IF(AND(OR(J1037="EI",J1037="EO",J1037="EQ"),$AE$1="NESMA"),2,1)))</f>
        <v/>
      </c>
      <c r="P1037" s="86">
        <f>IF(J1037="EI",IF(OR(Y1037="估算法",Y1037="算法类"),"中",IF(Y1037="无法识别","低",IF(M1037&lt;2,IF(O1037&lt;16,"低","中"),IF(M1037&lt;3,IF(O1037&lt;5,"低",IF(O1037&lt;16,"中","高")),IF(O1037&lt;5,"中","高"))))),IF(OR(J1037="EO",J1037="EQ"),IF(OR(Y1037="估算法",Y1037="算法类"),"中",IF(Y1037="无法识别","低",IF(M1037&lt;2,IF(O1037&lt;20,"低","中"),IF(M1037&lt;4,IF(O1037&lt;6,"低",IF(O1037&lt;20,"中","高")),IF(O1037&lt;6,"中","高"))))),IF(OR(J1037="ILF",J1037="EIF"),IF(OR(Y1037="估算法",Y1037="算法类",Y1037="无法识别"),"低",IF(N1037&lt;2,IF(O1037&lt;51,"低","中"),IF(N1037&lt;6,IF(O1037&lt;20,"低",IF(O1037&lt;51,"中","高")),IF(O1037&lt;20,"中","高")))),"不计算")))</f>
        <v/>
      </c>
      <c r="Q1037" s="172">
        <f>IFERROR(IF(J1037="EI",IF(P1037="低",3,IF(P1037="中",4,6)),IF(J1037="EO",IF(P1037="低",4,IF(P1037="中",5,7)),IF(J1037="EQ",IF(P1037="低",3,IF(P1037="中",4,6)),IF(J1037="ILF",IF(P1037="低",7,IF(P1037="中",10,15)),IF(J1037="EIF",IF(P1037="低",5,IF(P1037="中",7,10)),"不计算")))))*R1037,"不计算")</f>
        <v/>
      </c>
      <c r="R1037" s="172" t="n">
        <v>1</v>
      </c>
      <c r="S1037" s="173">
        <f>调整因子!$F$13</f>
        <v/>
      </c>
      <c r="T1037" s="93" t="n">
        <v>1</v>
      </c>
      <c r="U1037" s="174">
        <f>IFERROR(Q1037*S1037,0)</f>
        <v/>
      </c>
      <c r="V1037" s="178">
        <f>U1037*T1037</f>
        <v/>
      </c>
      <c r="W1037" s="103" t="inlineStr"/>
      <c r="X1037" s="103" t="inlineStr">
        <is>
          <t>数据记录</t>
        </is>
      </c>
      <c r="Y1037" s="97" t="inlineStr">
        <is>
          <t>报告导入记录表{ID、名称、类型|ID、名称、类型、状态、创建时间、更新时间}</t>
        </is>
      </c>
      <c r="Z1037" s="90">
        <f>IF(COUNTIFS(W:W,"*"&amp;I1037&amp;"*")&gt;0,"存在","不存在")</f>
        <v/>
      </c>
      <c r="AA1037" s="90">
        <f>IF(COUNTIFS(AB:AB,"*"&amp;I1037&amp;"*")&gt;0,"存在","不存在")</f>
        <v/>
      </c>
    </row>
    <row r="1038" s="112">
      <c r="A1038" s="72">
        <f>ROW()-1</f>
        <v/>
      </c>
      <c r="B1038" s="175" t="n"/>
      <c r="C1038" s="124" t="n">
        <v>2026</v>
      </c>
      <c r="D1038" s="125" t="n"/>
      <c r="E1038" s="103" t="n"/>
      <c r="F1038" s="175" t="n"/>
      <c r="G1038" s="175" t="n"/>
      <c r="H1038" s="175" t="n"/>
      <c r="I1038" s="103" t="inlineStr">
        <is>
          <t>报告解析结果表</t>
        </is>
      </c>
      <c r="J1038" s="93" t="inlineStr">
        <is>
          <t>ILF</t>
        </is>
      </c>
      <c r="K1038" s="102" t="n"/>
      <c r="L1038" s="102" t="n"/>
      <c r="M1038" s="85">
        <f>IF(OR(Y1038="估算法",Y1038="算法类",Y1038="无法识别"),"",IF(W1038="",IF(OR(J1038="EI",J1038="EO",J1038="EQ"),0,""),LEN(W1038)-LEN(SUBSTITUTE(W1038,"、",""))+1))</f>
        <v/>
      </c>
      <c r="N1038" s="85">
        <f>IF(OR(Y1038="估算法",Y1038="算法类",Y1038="无法识别"),"",IF(X1038="",IF(OR(J1038="ILF",J1038="EIF"),0,""),LEN(X1038)-LEN(SUBSTITUTE(X1038,"、",""))+1))</f>
        <v/>
      </c>
      <c r="O1038" s="85">
        <f>IF(OR(Y1038="估算法",Y1038="算法类",Y1038="无法识别"),"",IF(Y1038="",IF(OR(J1038="ILF",J1038="EIF",J1038="EI",J1038="EO",J1038="EQ"),0,""),LEN(Y1038)-LEN(SUBSTITUTE(SUBSTITUTE(SUBSTITUTE(SUBSTITUTE(SUBSTITUTE(Y1038,"|}","--"),"{|","--"),CHAR(10),""),"、",""),"|",""))+IF(AND(OR(J1038="EI",J1038="EO",J1038="EQ"),$AE$1="NESMA"),2,1)))</f>
        <v/>
      </c>
      <c r="P1038" s="86">
        <f>IF(J1038="EI",IF(OR(Y1038="估算法",Y1038="算法类"),"中",IF(Y1038="无法识别","低",IF(M1038&lt;2,IF(O1038&lt;16,"低","中"),IF(M1038&lt;3,IF(O1038&lt;5,"低",IF(O1038&lt;16,"中","高")),IF(O1038&lt;5,"中","高"))))),IF(OR(J1038="EO",J1038="EQ"),IF(OR(Y1038="估算法",Y1038="算法类"),"中",IF(Y1038="无法识别","低",IF(M1038&lt;2,IF(O1038&lt;20,"低","中"),IF(M1038&lt;4,IF(O1038&lt;6,"低",IF(O1038&lt;20,"中","高")),IF(O1038&lt;6,"中","高"))))),IF(OR(J1038="ILF",J1038="EIF"),IF(OR(Y1038="估算法",Y1038="算法类",Y1038="无法识别"),"低",IF(N1038&lt;2,IF(O1038&lt;51,"低","中"),IF(N1038&lt;6,IF(O1038&lt;20,"低",IF(O1038&lt;51,"中","高")),IF(O1038&lt;20,"中","高")))),"不计算")))</f>
        <v/>
      </c>
      <c r="Q1038" s="172">
        <f>IFERROR(IF(J1038="EI",IF(P1038="低",3,IF(P1038="中",4,6)),IF(J1038="EO",IF(P1038="低",4,IF(P1038="中",5,7)),IF(J1038="EQ",IF(P1038="低",3,IF(P1038="中",4,6)),IF(J1038="ILF",IF(P1038="低",7,IF(P1038="中",10,15)),IF(J1038="EIF",IF(P1038="低",5,IF(P1038="中",7,10)),"不计算")))))*R1038,"不计算")</f>
        <v/>
      </c>
      <c r="R1038" s="172" t="n">
        <v>1</v>
      </c>
      <c r="S1038" s="173">
        <f>调整因子!$F$13</f>
        <v/>
      </c>
      <c r="T1038" s="92" t="n">
        <v>1</v>
      </c>
      <c r="U1038" s="174">
        <f>IFERROR(Q1038*S1038,0)</f>
        <v/>
      </c>
      <c r="V1038" s="178">
        <f>U1038*T1038</f>
        <v/>
      </c>
      <c r="W1038" s="103" t="inlineStr"/>
      <c r="X1038" s="103" t="inlineStr">
        <is>
          <t>数据记录</t>
        </is>
      </c>
      <c r="Y1038" s="97" t="inlineStr">
        <is>
          <t>报告解析结果表{ID、名称、类型|ID、名称、类型、状态、创建时间、更新时间}</t>
        </is>
      </c>
      <c r="Z1038" s="90">
        <f>IF(COUNTIFS(W:W,"*"&amp;I1038&amp;"*")&gt;0,"存在","不存在")</f>
        <v/>
      </c>
      <c r="AA1038" s="90">
        <f>IF(COUNTIFS(AB:AB,"*"&amp;I1038&amp;"*")&gt;0,"存在","不存在")</f>
        <v/>
      </c>
    </row>
    <row r="1039" s="112">
      <c r="A1039" s="72">
        <f>ROW()-1</f>
        <v/>
      </c>
      <c r="B1039" s="175" t="n"/>
      <c r="C1039" s="124" t="n">
        <v>2026</v>
      </c>
      <c r="D1039" s="125" t="n"/>
      <c r="E1039" s="103" t="n"/>
      <c r="F1039" s="175" t="n"/>
      <c r="G1039" s="175" t="n"/>
      <c r="H1039" s="175" t="n"/>
      <c r="I1039" s="103" t="inlineStr">
        <is>
          <t>删除导入记录</t>
        </is>
      </c>
      <c r="J1039" s="93" t="inlineStr">
        <is>
          <t>EI</t>
        </is>
      </c>
      <c r="K1039" s="102" t="n"/>
      <c r="L1039" s="102" t="n"/>
      <c r="M1039" s="85">
        <f>IF(OR(Y1039="估算法",Y1039="算法类",Y1039="无法识别"),"",IF(W1039="",IF(OR(J1039="EI",J1039="EO",J1039="EQ"),0,""),LEN(W1039)-LEN(SUBSTITUTE(W1039,"、",""))+1))</f>
        <v/>
      </c>
      <c r="N1039" s="85">
        <f>IF(OR(Y1039="估算法",Y1039="算法类",Y1039="无法识别"),"",IF(X1039="",IF(OR(J1039="ILF",J1039="EIF"),0,""),LEN(X1039)-LEN(SUBSTITUTE(X1039,"、",""))+1))</f>
        <v/>
      </c>
      <c r="O1039" s="85">
        <f>IF(OR(Y1039="估算法",Y1039="算法类",Y1039="无法识别"),"",IF(Y1039="",IF(OR(J1039="ILF",J1039="EIF",J1039="EI",J1039="EO",J1039="EQ"),0,""),LEN(Y1039)-LEN(SUBSTITUTE(SUBSTITUTE(SUBSTITUTE(SUBSTITUTE(SUBSTITUTE(Y1039,"|}","--"),"{|","--"),CHAR(10),""),"、",""),"|",""))+IF(AND(OR(J1039="EI",J1039="EO",J1039="EQ"),$AE$1="NESMA"),2,1)))</f>
        <v/>
      </c>
      <c r="P1039" s="86">
        <f>IF(J1039="EI",IF(OR(Y1039="估算法",Y1039="算法类"),"中",IF(Y1039="无法识别","低",IF(M1039&lt;2,IF(O1039&lt;16,"低","中"),IF(M1039&lt;3,IF(O1039&lt;5,"低",IF(O1039&lt;16,"中","高")),IF(O1039&lt;5,"中","高"))))),IF(OR(J1039="EO",J1039="EQ"),IF(OR(Y1039="估算法",Y1039="算法类"),"中",IF(Y1039="无法识别","低",IF(M1039&lt;2,IF(O1039&lt;20,"低","中"),IF(M1039&lt;4,IF(O1039&lt;6,"低",IF(O1039&lt;20,"中","高")),IF(O1039&lt;6,"中","高"))))),IF(OR(J1039="ILF",J1039="EIF"),IF(OR(Y1039="估算法",Y1039="算法类",Y1039="无法识别"),"低",IF(N1039&lt;2,IF(O1039&lt;51,"低","中"),IF(N1039&lt;6,IF(O1039&lt;20,"低",IF(O1039&lt;51,"中","高")),IF(O1039&lt;20,"中","高")))),"不计算")))</f>
        <v/>
      </c>
      <c r="Q1039" s="172">
        <f>IFERROR(IF(J1039="EI",IF(P1039="低",3,IF(P1039="中",4,6)),IF(J1039="EO",IF(P1039="低",4,IF(P1039="中",5,7)),IF(J1039="EQ",IF(P1039="低",3,IF(P1039="中",4,6)),IF(J1039="ILF",IF(P1039="低",7,IF(P1039="中",10,15)),IF(J1039="EIF",IF(P1039="低",5,IF(P1039="中",7,10)),"不计算")))))*R1039,"不计算")</f>
        <v/>
      </c>
      <c r="R1039" s="172" t="n">
        <v>0.333333333333333</v>
      </c>
      <c r="S1039" s="173">
        <f>调整因子!$F$13</f>
        <v/>
      </c>
      <c r="T1039" s="92" t="n">
        <v>1</v>
      </c>
      <c r="U1039" s="174">
        <f>IFERROR(Q1039*S1039,0)</f>
        <v/>
      </c>
      <c r="V1039" s="178">
        <f>U1039*T1039</f>
        <v/>
      </c>
      <c r="W1039" s="103" t="inlineStr">
        <is>
          <t>提醒策略配置表、扫描任务接口配置表、加密算法表、推送失败重试表、态势数据采集表</t>
        </is>
      </c>
      <c r="X1039" s="103" t="inlineStr"/>
      <c r="Y1039" s="97" t="inlineStr">
        <is>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is>
      </c>
      <c r="Z1039" s="90" t="n"/>
      <c r="AA1039" s="90" t="n"/>
    </row>
    <row r="1040" s="112">
      <c r="A1040" s="72">
        <f>ROW()-1</f>
        <v/>
      </c>
      <c r="B1040" s="175" t="n"/>
      <c r="C1040" s="124" t="n">
        <v>2026</v>
      </c>
      <c r="D1040" s="125" t="n"/>
      <c r="E1040" s="103" t="n"/>
      <c r="F1040" s="175" t="n"/>
      <c r="G1040" s="175" t="n"/>
      <c r="H1040" s="175" t="n"/>
      <c r="I1040" s="103" t="inlineStr">
        <is>
          <t>导出导入记录</t>
        </is>
      </c>
      <c r="J1040" s="93" t="inlineStr">
        <is>
          <t>EO</t>
        </is>
      </c>
      <c r="K1040" s="102" t="n"/>
      <c r="L1040" s="102" t="n"/>
      <c r="M1040" s="85">
        <f>IF(OR(Y1040="估算法",Y1040="算法类",Y1040="无法识别"),"",IF(W1040="",IF(OR(J1040="EI",J1040="EO",J1040="EQ"),0,""),LEN(W1040)-LEN(SUBSTITUTE(W1040,"、",""))+1))</f>
        <v/>
      </c>
      <c r="N1040" s="85">
        <f>IF(OR(Y1040="估算法",Y1040="算法类",Y1040="无法识别"),"",IF(X1040="",IF(OR(J1040="ILF",J1040="EIF"),0,""),LEN(X1040)-LEN(SUBSTITUTE(X1040,"、",""))+1))</f>
        <v/>
      </c>
      <c r="O1040" s="85">
        <f>IF(OR(Y1040="估算法",Y1040="算法类",Y1040="无法识别"),"",IF(Y1040="",IF(OR(J1040="ILF",J1040="EIF",J1040="EI",J1040="EO",J1040="EQ"),0,""),LEN(Y1040)-LEN(SUBSTITUTE(SUBSTITUTE(SUBSTITUTE(SUBSTITUTE(SUBSTITUTE(Y1040,"|}","--"),"{|","--"),CHAR(10),""),"、",""),"|",""))+IF(AND(OR(J1040="EI",J1040="EO",J1040="EQ"),$AE$1="NESMA"),2,1)))</f>
        <v/>
      </c>
      <c r="P1040" s="86">
        <f>IF(J1040="EI",IF(OR(Y1040="估算法",Y1040="算法类"),"中",IF(Y1040="无法识别","低",IF(M1040&lt;2,IF(O1040&lt;16,"低","中"),IF(M1040&lt;3,IF(O1040&lt;5,"低",IF(O1040&lt;16,"中","高")),IF(O1040&lt;5,"中","高"))))),IF(OR(J1040="EO",J1040="EQ"),IF(OR(Y1040="估算法",Y1040="算法类"),"中",IF(Y1040="无法识别","低",IF(M1040&lt;2,IF(O1040&lt;20,"低","中"),IF(M1040&lt;4,IF(O1040&lt;6,"低",IF(O1040&lt;20,"中","高")),IF(O1040&lt;6,"中","高"))))),IF(OR(J1040="ILF",J1040="EIF"),IF(OR(Y1040="估算法",Y1040="算法类",Y1040="无法识别"),"低",IF(N1040&lt;2,IF(O1040&lt;51,"低","中"),IF(N1040&lt;6,IF(O1040&lt;20,"低",IF(O1040&lt;51,"中","高")),IF(O1040&lt;20,"中","高")))),"不计算")))</f>
        <v/>
      </c>
      <c r="Q1040" s="172">
        <f>IFERROR(IF(J1040="EI",IF(P1040="低",3,IF(P1040="中",4,6)),IF(J1040="EO",IF(P1040="低",4,IF(P1040="中",5,7)),IF(J1040="EQ",IF(P1040="低",3,IF(P1040="中",4,6)),IF(J1040="ILF",IF(P1040="低",7,IF(P1040="中",10,15)),IF(J1040="EIF",IF(P1040="低",5,IF(P1040="中",7,10)),"不计算")))))*R1040,"不计算")</f>
        <v/>
      </c>
      <c r="R1040" s="172" t="n">
        <v>1</v>
      </c>
      <c r="S1040" s="173">
        <f>调整因子!$F$13</f>
        <v/>
      </c>
      <c r="T1040" s="93" t="n">
        <v>1</v>
      </c>
      <c r="U1040" s="174">
        <f>IFERROR(Q1040*S1040,0)</f>
        <v/>
      </c>
      <c r="V1040" s="178">
        <f>U1040*T1040</f>
        <v/>
      </c>
      <c r="W1040" s="103" t="inlineStr">
        <is>
          <t>处置单关联表、态势数据采集表、标签定义表、态势大屏配置表、任务日志表</t>
        </is>
      </c>
      <c r="X1040" s="103" t="inlineStr"/>
      <c r="Y1040" s="97" t="inlineStr">
        <is>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is>
      </c>
      <c r="Z1040" s="90" t="n"/>
      <c r="AA1040" s="90" t="n"/>
    </row>
    <row r="1041" s="112">
      <c r="A1041" s="72">
        <f>ROW()-1</f>
        <v/>
      </c>
      <c r="B1041" s="175" t="n"/>
      <c r="C1041" s="124" t="n">
        <v>2026</v>
      </c>
      <c r="D1041" s="125" t="n"/>
      <c r="E1041" s="103" t="n"/>
      <c r="F1041" s="175" t="n"/>
      <c r="G1041" s="175" t="n"/>
      <c r="H1041" s="175" t="n"/>
      <c r="I1041" s="103" t="inlineStr">
        <is>
          <t>下载解析结果</t>
        </is>
      </c>
      <c r="J1041" s="93" t="inlineStr">
        <is>
          <t>EO</t>
        </is>
      </c>
      <c r="K1041" s="102" t="n"/>
      <c r="L1041" s="102" t="n"/>
      <c r="M1041" s="85">
        <f>IF(OR(Y1041="估算法",Y1041="算法类",Y1041="无法识别"),"",IF(W1041="",IF(OR(J1041="EI",J1041="EO",J1041="EQ"),0,""),LEN(W1041)-LEN(SUBSTITUTE(W1041,"、",""))+1))</f>
        <v/>
      </c>
      <c r="N1041" s="85">
        <f>IF(OR(Y1041="估算法",Y1041="算法类",Y1041="无法识别"),"",IF(X1041="",IF(OR(J1041="ILF",J1041="EIF"),0,""),LEN(X1041)-LEN(SUBSTITUTE(X1041,"、",""))+1))</f>
        <v/>
      </c>
      <c r="O1041" s="85">
        <f>IF(OR(Y1041="估算法",Y1041="算法类",Y1041="无法识别"),"",IF(Y1041="",IF(OR(J1041="ILF",J1041="EIF",J1041="EI",J1041="EO",J1041="EQ"),0,""),LEN(Y1041)-LEN(SUBSTITUTE(SUBSTITUTE(SUBSTITUTE(SUBSTITUTE(SUBSTITUTE(Y1041,"|}","--"),"{|","--"),CHAR(10),""),"、",""),"|",""))+IF(AND(OR(J1041="EI",J1041="EO",J1041="EQ"),$AE$1="NESMA"),2,1)))</f>
        <v/>
      </c>
      <c r="P1041" s="86">
        <f>IF(J1041="EI",IF(OR(Y1041="估算法",Y1041="算法类"),"中",IF(Y1041="无法识别","低",IF(M1041&lt;2,IF(O1041&lt;16,"低","中"),IF(M1041&lt;3,IF(O1041&lt;5,"低",IF(O1041&lt;16,"中","高")),IF(O1041&lt;5,"中","高"))))),IF(OR(J1041="EO",J1041="EQ"),IF(OR(Y1041="估算法",Y1041="算法类"),"中",IF(Y1041="无法识别","低",IF(M1041&lt;2,IF(O1041&lt;20,"低","中"),IF(M1041&lt;4,IF(O1041&lt;6,"低",IF(O1041&lt;20,"中","高")),IF(O1041&lt;6,"中","高"))))),IF(OR(J1041="ILF",J1041="EIF"),IF(OR(Y1041="估算法",Y1041="算法类",Y1041="无法识别"),"低",IF(N1041&lt;2,IF(O1041&lt;51,"低","中"),IF(N1041&lt;6,IF(O1041&lt;20,"低",IF(O1041&lt;51,"中","高")),IF(O1041&lt;20,"中","高")))),"不计算")))</f>
        <v/>
      </c>
      <c r="Q1041" s="172">
        <f>IFERROR(IF(J1041="EI",IF(P1041="低",3,IF(P1041="中",4,6)),IF(J1041="EO",IF(P1041="低",4,IF(P1041="中",5,7)),IF(J1041="EQ",IF(P1041="低",3,IF(P1041="中",4,6)),IF(J1041="ILF",IF(P1041="低",7,IF(P1041="中",10,15)),IF(J1041="EIF",IF(P1041="低",5,IF(P1041="中",7,10)),"不计算")))))*R1041,"不计算")</f>
        <v/>
      </c>
      <c r="R1041" s="172" t="n">
        <v>1</v>
      </c>
      <c r="S1041" s="173">
        <f>调整因子!$F$13</f>
        <v/>
      </c>
      <c r="T1041" s="93" t="n">
        <v>1</v>
      </c>
      <c r="U1041" s="174">
        <f>IFERROR(Q1041*S1041,0)</f>
        <v/>
      </c>
      <c r="V1041" s="178">
        <f>U1041*T1041</f>
        <v/>
      </c>
      <c r="W1041" s="103" t="inlineStr">
        <is>
          <t>推送配置表、通报对象表、扫描任务接口配置表、通报模板表</t>
        </is>
      </c>
      <c r="X1041" s="103" t="inlineStr"/>
      <c r="Y1041" s="97" t="inlineStr">
        <is>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is>
      </c>
      <c r="Z1041" s="90" t="n"/>
      <c r="AA1041" s="90" t="n"/>
    </row>
    <row r="1042" s="112">
      <c r="A1042" s="72">
        <f>ROW()-1</f>
        <v/>
      </c>
      <c r="B1042" s="175" t="n"/>
      <c r="C1042" s="124" t="n">
        <v>2026</v>
      </c>
      <c r="D1042" s="125" t="n"/>
      <c r="E1042" s="103" t="n"/>
      <c r="F1042" s="175" t="n"/>
      <c r="G1042" s="175" t="n"/>
      <c r="H1042" s="175" t="n"/>
      <c r="I1042" s="103" t="inlineStr">
        <is>
          <t>查询导入记录</t>
        </is>
      </c>
      <c r="J1042" s="93" t="inlineStr">
        <is>
          <t>EQ</t>
        </is>
      </c>
      <c r="K1042" s="102" t="n"/>
      <c r="L1042" s="102" t="inlineStr">
        <is>
          <t>处理流程和上行基本一致，为查询功能，未体现详情功能</t>
        </is>
      </c>
      <c r="M1042" s="85">
        <f>IF(OR(Y1042="估算法",Y1042="算法类",Y1042="无法识别"),"",IF(W1042="",IF(OR(J1042="EI",J1042="EO",J1042="EQ"),0,""),LEN(W1042)-LEN(SUBSTITUTE(W1042,"、",""))+1))</f>
        <v/>
      </c>
      <c r="N1042" s="85">
        <f>IF(OR(Y1042="估算法",Y1042="算法类",Y1042="无法识别"),"",IF(X1042="",IF(OR(J1042="ILF",J1042="EIF"),0,""),LEN(X1042)-LEN(SUBSTITUTE(X1042,"、",""))+1))</f>
        <v/>
      </c>
      <c r="O1042" s="85">
        <f>IF(OR(Y1042="估算法",Y1042="算法类",Y1042="无法识别"),"",IF(Y1042="",IF(OR(J1042="ILF",J1042="EIF",J1042="EI",J1042="EO",J1042="EQ"),0,""),LEN(Y1042)-LEN(SUBSTITUTE(SUBSTITUTE(SUBSTITUTE(SUBSTITUTE(SUBSTITUTE(Y1042,"|}","--"),"{|","--"),CHAR(10),""),"、",""),"|",""))+IF(AND(OR(J1042="EI",J1042="EO",J1042="EQ"),$AE$1="NESMA"),2,1)))</f>
        <v/>
      </c>
      <c r="P1042" s="86">
        <f>IF(J1042="EI",IF(OR(Y1042="估算法",Y1042="算法类"),"中",IF(Y1042="无法识别","低",IF(M1042&lt;2,IF(O1042&lt;16,"低","中"),IF(M1042&lt;3,IF(O1042&lt;5,"低",IF(O1042&lt;16,"中","高")),IF(O1042&lt;5,"中","高"))))),IF(OR(J1042="EO",J1042="EQ"),IF(OR(Y1042="估算法",Y1042="算法类"),"中",IF(Y1042="无法识别","低",IF(M1042&lt;2,IF(O1042&lt;20,"低","中"),IF(M1042&lt;4,IF(O1042&lt;6,"低",IF(O1042&lt;20,"中","高")),IF(O1042&lt;6,"中","高"))))),IF(OR(J1042="ILF",J1042="EIF"),IF(OR(Y1042="估算法",Y1042="算法类",Y1042="无法识别"),"低",IF(N1042&lt;2,IF(O1042&lt;51,"低","中"),IF(N1042&lt;6,IF(O1042&lt;20,"低",IF(O1042&lt;51,"中","高")),IF(O1042&lt;20,"中","高")))),"不计算")))</f>
        <v/>
      </c>
      <c r="Q1042" s="172">
        <f>IFERROR(IF(J1042="EI",IF(P1042="低",3,IF(P1042="中",4,6)),IF(J1042="EO",IF(P1042="低",4,IF(P1042="中",5,7)),IF(J1042="EQ",IF(P1042="低",3,IF(P1042="中",4,6)),IF(J1042="ILF",IF(P1042="低",7,IF(P1042="中",10,15)),IF(J1042="EIF",IF(P1042="低",5,IF(P1042="中",7,10)),"不计算")))))*R1042,"不计算")</f>
        <v/>
      </c>
      <c r="R1042" s="172" t="n">
        <v>0.333333333333333</v>
      </c>
      <c r="S1042" s="173">
        <f>调整因子!$F$13</f>
        <v/>
      </c>
      <c r="T1042" s="92" t="n">
        <v>1</v>
      </c>
      <c r="U1042" s="174">
        <f>IFERROR(Q1042*S1042,0)</f>
        <v/>
      </c>
      <c r="V1042" s="178">
        <f>U1042*T1042</f>
        <v/>
      </c>
      <c r="W1042" s="103" t="inlineStr">
        <is>
          <t>通报对象表、资产同步任务表、提醒策略配置表、标签定义表</t>
        </is>
      </c>
      <c r="X1042" s="103" t="inlineStr"/>
      <c r="Y1042" s="97" t="inlineStr">
        <is>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is>
      </c>
      <c r="Z1042" s="90" t="n"/>
      <c r="AA1042" s="90" t="n"/>
    </row>
    <row r="1043" s="112">
      <c r="A1043" s="72">
        <f>ROW()-1</f>
        <v/>
      </c>
      <c r="B1043" s="175" t="n"/>
      <c r="C1043" s="124" t="n">
        <v>2026</v>
      </c>
      <c r="D1043" s="125" t="n"/>
      <c r="E1043" s="103" t="n"/>
      <c r="F1043" s="175" t="n"/>
      <c r="G1043" s="175" t="n"/>
      <c r="H1043" s="176" t="n"/>
      <c r="I1043" s="103" t="inlineStr">
        <is>
          <t>查看导入详情</t>
        </is>
      </c>
      <c r="J1043" s="93" t="inlineStr">
        <is>
          <t>EQ</t>
        </is>
      </c>
      <c r="K1043" s="102" t="n"/>
      <c r="L1043" s="102" t="inlineStr">
        <is>
          <t>处理流程和上行基本一致，为查询功能，未体现详情功能</t>
        </is>
      </c>
      <c r="M1043" s="85">
        <f>IF(OR(Y1043="估算法",Y1043="算法类",Y1043="无法识别"),"",IF(W1043="",IF(OR(J1043="EI",J1043="EO",J1043="EQ"),0,""),LEN(W1043)-LEN(SUBSTITUTE(W1043,"、",""))+1))</f>
        <v/>
      </c>
      <c r="N1043" s="85">
        <f>IF(OR(Y1043="估算法",Y1043="算法类",Y1043="无法识别"),"",IF(X1043="",IF(OR(J1043="ILF",J1043="EIF"),0,""),LEN(X1043)-LEN(SUBSTITUTE(X1043,"、",""))+1))</f>
        <v/>
      </c>
      <c r="O1043" s="85">
        <f>IF(OR(Y1043="估算法",Y1043="算法类",Y1043="无法识别"),"",IF(Y1043="",IF(OR(J1043="ILF",J1043="EIF",J1043="EI",J1043="EO",J1043="EQ"),0,""),LEN(Y1043)-LEN(SUBSTITUTE(SUBSTITUTE(SUBSTITUTE(SUBSTITUTE(SUBSTITUTE(Y1043,"|}","--"),"{|","--"),CHAR(10),""),"、",""),"|",""))+IF(AND(OR(J1043="EI",J1043="EO",J1043="EQ"),$AE$1="NESMA"),2,1)))</f>
        <v/>
      </c>
      <c r="P1043" s="86">
        <f>IF(J1043="EI",IF(OR(Y1043="估算法",Y1043="算法类"),"中",IF(Y1043="无法识别","低",IF(M1043&lt;2,IF(O1043&lt;16,"低","中"),IF(M1043&lt;3,IF(O1043&lt;5,"低",IF(O1043&lt;16,"中","高")),IF(O1043&lt;5,"中","高"))))),IF(OR(J1043="EO",J1043="EQ"),IF(OR(Y1043="估算法",Y1043="算法类"),"中",IF(Y1043="无法识别","低",IF(M1043&lt;2,IF(O1043&lt;20,"低","中"),IF(M1043&lt;4,IF(O1043&lt;6,"低",IF(O1043&lt;20,"中","高")),IF(O1043&lt;6,"中","高"))))),IF(OR(J1043="ILF",J1043="EIF"),IF(OR(Y1043="估算法",Y1043="算法类",Y1043="无法识别"),"低",IF(N1043&lt;2,IF(O1043&lt;51,"低","中"),IF(N1043&lt;6,IF(O1043&lt;20,"低",IF(O1043&lt;51,"中","高")),IF(O1043&lt;20,"中","高")))),"不计算")))</f>
        <v/>
      </c>
      <c r="Q1043" s="172">
        <f>IFERROR(IF(J1043="EI",IF(P1043="低",3,IF(P1043="中",4,6)),IF(J1043="EO",IF(P1043="低",4,IF(P1043="中",5,7)),IF(J1043="EQ",IF(P1043="低",3,IF(P1043="中",4,6)),IF(J1043="ILF",IF(P1043="低",7,IF(P1043="中",10,15)),IF(J1043="EIF",IF(P1043="低",5,IF(P1043="中",7,10)),"不计算")))))*R1043,"不计算")</f>
        <v/>
      </c>
      <c r="R1043" s="172" t="n">
        <v>0.333333333333333</v>
      </c>
      <c r="S1043" s="173">
        <f>调整因子!$F$13</f>
        <v/>
      </c>
      <c r="T1043" s="92" t="n">
        <v>1</v>
      </c>
      <c r="U1043" s="174">
        <f>IFERROR(Q1043*S1043,0)</f>
        <v/>
      </c>
      <c r="V1043" s="178">
        <f>U1043*T1043</f>
        <v/>
      </c>
      <c r="W1043" s="103" t="inlineStr">
        <is>
          <t>处置流程定义表、性能数据表、模板参数配置表</t>
        </is>
      </c>
      <c r="X1043" s="103" t="inlineStr"/>
      <c r="Y1043" s="97" t="inlineStr">
        <is>
          <t>处置流程定义表{ID、名称|ID、名称、类型、状态、创建时间、更新时间}
性能数据表{ID、名称|ID、名称、类型、状态、创建时间、更新时间}
模板参数配置表{配置ID、配置名称|配置ID、配置名称、配置类型、配置值、创建时间}</t>
        </is>
      </c>
      <c r="Z1043" s="90" t="n"/>
      <c r="AA1043" s="90" t="n"/>
    </row>
    <row r="1044" s="112">
      <c r="A1044" s="72">
        <f>ROW()-1</f>
        <v/>
      </c>
      <c r="B1044" s="175" t="n"/>
      <c r="C1044" s="124" t="n">
        <v>2026</v>
      </c>
      <c r="D1044" s="125" t="n"/>
      <c r="E1044" s="103" t="n"/>
      <c r="F1044" s="175" t="n"/>
      <c r="G1044" s="175" t="n"/>
      <c r="H1044" s="97" t="inlineStr">
        <is>
          <t>报告标准化处理</t>
        </is>
      </c>
      <c r="I1044" s="103" t="inlineStr">
        <is>
          <t>编辑标准化规则</t>
        </is>
      </c>
      <c r="J1044" s="93" t="inlineStr">
        <is>
          <t>EI</t>
        </is>
      </c>
      <c r="K1044" s="102" t="n"/>
      <c r="L1044" s="102" t="n"/>
      <c r="M1044" s="85">
        <f>IF(OR(Y1044="估算法",Y1044="算法类",Y1044="无法识别"),"",IF(W1044="",IF(OR(J1044="EI",J1044="EO",J1044="EQ"),0,""),LEN(W1044)-LEN(SUBSTITUTE(W1044,"、",""))+1))</f>
        <v/>
      </c>
      <c r="N1044" s="85">
        <f>IF(OR(Y1044="估算法",Y1044="算法类",Y1044="无法识别"),"",IF(X1044="",IF(OR(J1044="ILF",J1044="EIF"),0,""),LEN(X1044)-LEN(SUBSTITUTE(X1044,"、",""))+1))</f>
        <v/>
      </c>
      <c r="O1044" s="85">
        <f>IF(OR(Y1044="估算法",Y1044="算法类",Y1044="无法识别"),"",IF(Y1044="",IF(OR(J1044="ILF",J1044="EIF",J1044="EI",J1044="EO",J1044="EQ"),0,""),LEN(Y1044)-LEN(SUBSTITUTE(SUBSTITUTE(SUBSTITUTE(SUBSTITUTE(SUBSTITUTE(Y1044,"|}","--"),"{|","--"),CHAR(10),""),"、",""),"|",""))+IF(AND(OR(J1044="EI",J1044="EO",J1044="EQ"),$AE$1="NESMA"),2,1)))</f>
        <v/>
      </c>
      <c r="P1044" s="86">
        <f>IF(J1044="EI",IF(OR(Y1044="估算法",Y1044="算法类"),"中",IF(Y1044="无法识别","低",IF(M1044&lt;2,IF(O1044&lt;16,"低","中"),IF(M1044&lt;3,IF(O1044&lt;5,"低",IF(O1044&lt;16,"中","高")),IF(O1044&lt;5,"中","高"))))),IF(OR(J1044="EO",J1044="EQ"),IF(OR(Y1044="估算法",Y1044="算法类"),"中",IF(Y1044="无法识别","低",IF(M1044&lt;2,IF(O1044&lt;20,"低","中"),IF(M1044&lt;4,IF(O1044&lt;6,"低",IF(O1044&lt;20,"中","高")),IF(O1044&lt;6,"中","高"))))),IF(OR(J1044="ILF",J1044="EIF"),IF(OR(Y1044="估算法",Y1044="算法类",Y1044="无法识别"),"低",IF(N1044&lt;2,IF(O1044&lt;51,"低","中"),IF(N1044&lt;6,IF(O1044&lt;20,"低",IF(O1044&lt;51,"中","高")),IF(O1044&lt;20,"中","高")))),"不计算")))</f>
        <v/>
      </c>
      <c r="Q1044" s="172">
        <f>IFERROR(IF(J1044="EI",IF(P1044="低",3,IF(P1044="中",4,6)),IF(J1044="EO",IF(P1044="低",4,IF(P1044="中",5,7)),IF(J1044="EQ",IF(P1044="低",3,IF(P1044="中",4,6)),IF(J1044="ILF",IF(P1044="低",7,IF(P1044="中",10,15)),IF(J1044="EIF",IF(P1044="低",5,IF(P1044="中",7,10)),"不计算")))))*R1044,"不计算")</f>
        <v/>
      </c>
      <c r="R1044" s="172" t="n">
        <v>1</v>
      </c>
      <c r="S1044" s="173">
        <f>调整因子!$F$13</f>
        <v/>
      </c>
      <c r="T1044" s="93" t="n">
        <v>1</v>
      </c>
      <c r="U1044" s="174">
        <f>IFERROR(Q1044*S1044,0)</f>
        <v/>
      </c>
      <c r="V1044" s="178">
        <f>U1044*T1044</f>
        <v/>
      </c>
      <c r="W1044" s="103" t="inlineStr">
        <is>
          <t>推送规则表、提醒规则表、脱敏规则表、加密规则表、推送失败重试表</t>
        </is>
      </c>
      <c r="X1044" s="103" t="inlineStr"/>
      <c r="Y1044"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is>
      </c>
      <c r="Z1044" s="90" t="n"/>
      <c r="AA1044" s="90" t="n"/>
    </row>
    <row r="1045" s="112">
      <c r="A1045" s="72">
        <f>ROW()-1</f>
        <v/>
      </c>
      <c r="B1045" s="175" t="n"/>
      <c r="C1045" s="124" t="n">
        <v>2026</v>
      </c>
      <c r="D1045" s="125" t="n"/>
      <c r="E1045" s="103" t="n"/>
      <c r="F1045" s="175" t="n"/>
      <c r="G1045" s="175" t="n"/>
      <c r="H1045" s="175" t="n"/>
      <c r="I1045" s="103" t="inlineStr">
        <is>
          <t>删除标准化规则</t>
        </is>
      </c>
      <c r="J1045" s="93" t="inlineStr">
        <is>
          <t>EI</t>
        </is>
      </c>
      <c r="K1045" s="102" t="n"/>
      <c r="L1045" s="102" t="n"/>
      <c r="M1045" s="85">
        <f>IF(OR(Y1045="估算法",Y1045="算法类",Y1045="无法识别"),"",IF(W1045="",IF(OR(J1045="EI",J1045="EO",J1045="EQ"),0,""),LEN(W1045)-LEN(SUBSTITUTE(W1045,"、",""))+1))</f>
        <v/>
      </c>
      <c r="N1045" s="85">
        <f>IF(OR(Y1045="估算法",Y1045="算法类",Y1045="无法识别"),"",IF(X1045="",IF(OR(J1045="ILF",J1045="EIF"),0,""),LEN(X1045)-LEN(SUBSTITUTE(X1045,"、",""))+1))</f>
        <v/>
      </c>
      <c r="O1045" s="85">
        <f>IF(OR(Y1045="估算法",Y1045="算法类",Y1045="无法识别"),"",IF(Y1045="",IF(OR(J1045="ILF",J1045="EIF",J1045="EI",J1045="EO",J1045="EQ"),0,""),LEN(Y1045)-LEN(SUBSTITUTE(SUBSTITUTE(SUBSTITUTE(SUBSTITUTE(SUBSTITUTE(Y1045,"|}","--"),"{|","--"),CHAR(10),""),"、",""),"|",""))+IF(AND(OR(J1045="EI",J1045="EO",J1045="EQ"),$AE$1="NESMA"),2,1)))</f>
        <v/>
      </c>
      <c r="P1045" s="86">
        <f>IF(J1045="EI",IF(OR(Y1045="估算法",Y1045="算法类"),"中",IF(Y1045="无法识别","低",IF(M1045&lt;2,IF(O1045&lt;16,"低","中"),IF(M1045&lt;3,IF(O1045&lt;5,"低",IF(O1045&lt;16,"中","高")),IF(O1045&lt;5,"中","高"))))),IF(OR(J1045="EO",J1045="EQ"),IF(OR(Y1045="估算法",Y1045="算法类"),"中",IF(Y1045="无法识别","低",IF(M1045&lt;2,IF(O1045&lt;20,"低","中"),IF(M1045&lt;4,IF(O1045&lt;6,"低",IF(O1045&lt;20,"中","高")),IF(O1045&lt;6,"中","高"))))),IF(OR(J1045="ILF",J1045="EIF"),IF(OR(Y1045="估算法",Y1045="算法类",Y1045="无法识别"),"低",IF(N1045&lt;2,IF(O1045&lt;51,"低","中"),IF(N1045&lt;6,IF(O1045&lt;20,"低",IF(O1045&lt;51,"中","高")),IF(O1045&lt;20,"中","高")))),"不计算")))</f>
        <v/>
      </c>
      <c r="Q1045" s="172">
        <f>IFERROR(IF(J1045="EI",IF(P1045="低",3,IF(P1045="中",4,6)),IF(J1045="EO",IF(P1045="低",4,IF(P1045="中",5,7)),IF(J1045="EQ",IF(P1045="低",3,IF(P1045="中",4,6)),IF(J1045="ILF",IF(P1045="低",7,IF(P1045="中",10,15)),IF(J1045="EIF",IF(P1045="低",5,IF(P1045="中",7,10)),"不计算")))))*R1045,"不计算")</f>
        <v/>
      </c>
      <c r="R1045" s="172" t="n">
        <v>0.333333333333333</v>
      </c>
      <c r="S1045" s="173">
        <f>调整因子!$F$13</f>
        <v/>
      </c>
      <c r="T1045" s="92" t="n">
        <v>1</v>
      </c>
      <c r="U1045" s="174">
        <f>IFERROR(Q1045*S1045,0)</f>
        <v/>
      </c>
      <c r="V1045" s="178">
        <f>U1045*T1045</f>
        <v/>
      </c>
      <c r="W1045" s="103" t="inlineStr">
        <is>
          <t>推送规则表、提醒规则表、脱敏规则表、加密规则表</t>
        </is>
      </c>
      <c r="X1045" s="103" t="inlineStr"/>
      <c r="Y1045"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is>
      </c>
      <c r="Z1045" s="90" t="n"/>
      <c r="AA1045" s="90" t="n"/>
    </row>
    <row r="1046" s="112">
      <c r="A1046" s="72">
        <f>ROW()-1</f>
        <v/>
      </c>
      <c r="B1046" s="175" t="n"/>
      <c r="C1046" s="124" t="n">
        <v>2026</v>
      </c>
      <c r="D1046" s="125" t="n"/>
      <c r="E1046" s="103" t="n"/>
      <c r="F1046" s="175" t="n"/>
      <c r="G1046" s="175" t="n"/>
      <c r="H1046" s="175" t="n"/>
      <c r="I1046" s="103" t="inlineStr">
        <is>
          <t>导出标准化结果</t>
        </is>
      </c>
      <c r="J1046" s="93" t="inlineStr">
        <is>
          <t>EO</t>
        </is>
      </c>
      <c r="K1046" s="102" t="n"/>
      <c r="L1046" s="102" t="n"/>
      <c r="M1046" s="85">
        <f>IF(OR(Y1046="估算法",Y1046="算法类",Y1046="无法识别"),"",IF(W1046="",IF(OR(J1046="EI",J1046="EO",J1046="EQ"),0,""),LEN(W1046)-LEN(SUBSTITUTE(W1046,"、",""))+1))</f>
        <v/>
      </c>
      <c r="N1046" s="85">
        <f>IF(OR(Y1046="估算法",Y1046="算法类",Y1046="无法识别"),"",IF(X1046="",IF(OR(J1046="ILF",J1046="EIF"),0,""),LEN(X1046)-LEN(SUBSTITUTE(X1046,"、",""))+1))</f>
        <v/>
      </c>
      <c r="O1046" s="85">
        <f>IF(OR(Y1046="估算法",Y1046="算法类",Y1046="无法识别"),"",IF(Y1046="",IF(OR(J1046="ILF",J1046="EIF",J1046="EI",J1046="EO",J1046="EQ"),0,""),LEN(Y1046)-LEN(SUBSTITUTE(SUBSTITUTE(SUBSTITUTE(SUBSTITUTE(SUBSTITUTE(Y1046,"|}","--"),"{|","--"),CHAR(10),""),"、",""),"|",""))+IF(AND(OR(J1046="EI",J1046="EO",J1046="EQ"),$AE$1="NESMA"),2,1)))</f>
        <v/>
      </c>
      <c r="P1046" s="86">
        <f>IF(J1046="EI",IF(OR(Y1046="估算法",Y1046="算法类"),"中",IF(Y1046="无法识别","低",IF(M1046&lt;2,IF(O1046&lt;16,"低","中"),IF(M1046&lt;3,IF(O1046&lt;5,"低",IF(O1046&lt;16,"中","高")),IF(O1046&lt;5,"中","高"))))),IF(OR(J1046="EO",J1046="EQ"),IF(OR(Y1046="估算法",Y1046="算法类"),"中",IF(Y1046="无法识别","低",IF(M1046&lt;2,IF(O1046&lt;20,"低","中"),IF(M1046&lt;4,IF(O1046&lt;6,"低",IF(O1046&lt;20,"中","高")),IF(O1046&lt;6,"中","高"))))),IF(OR(J1046="ILF",J1046="EIF"),IF(OR(Y1046="估算法",Y1046="算法类",Y1046="无法识别"),"低",IF(N1046&lt;2,IF(O1046&lt;51,"低","中"),IF(N1046&lt;6,IF(O1046&lt;20,"低",IF(O1046&lt;51,"中","高")),IF(O1046&lt;20,"中","高")))),"不计算")))</f>
        <v/>
      </c>
      <c r="Q1046" s="172">
        <f>IFERROR(IF(J1046="EI",IF(P1046="低",3,IF(P1046="中",4,6)),IF(J1046="EO",IF(P1046="低",4,IF(P1046="中",5,7)),IF(J1046="EQ",IF(P1046="低",3,IF(P1046="中",4,6)),IF(J1046="ILF",IF(P1046="低",7,IF(P1046="中",10,15)),IF(J1046="EIF",IF(P1046="低",5,IF(P1046="中",7,10)),"不计算")))))*R1046,"不计算")</f>
        <v/>
      </c>
      <c r="R1046" s="172" t="n">
        <v>1</v>
      </c>
      <c r="S1046" s="173">
        <f>调整因子!$F$13</f>
        <v/>
      </c>
      <c r="T1046" s="92" t="n">
        <v>1</v>
      </c>
      <c r="U1046" s="174">
        <f>IFERROR(Q1046*S1046,0)</f>
        <v/>
      </c>
      <c r="V1046" s="178">
        <f>U1046*T1046</f>
        <v/>
      </c>
      <c r="W1046" s="103" t="inlineStr">
        <is>
          <t>模板参数配置表、加密策略表、故障诊断结果表、漏洞趋势数据表、扫描策略模板表</t>
        </is>
      </c>
      <c r="X1046" s="103" t="inlineStr"/>
      <c r="Y1046" s="97" t="inlineStr">
        <is>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is>
      </c>
      <c r="Z1046" s="90" t="n"/>
      <c r="AA1046" s="90" t="n"/>
    </row>
    <row r="1047" s="112">
      <c r="A1047" s="72">
        <f>ROW()-1</f>
        <v/>
      </c>
      <c r="B1047" s="175" t="n"/>
      <c r="C1047" s="124" t="n">
        <v>2026</v>
      </c>
      <c r="D1047" s="125" t="n"/>
      <c r="E1047" s="103" t="n"/>
      <c r="F1047" s="175" t="n"/>
      <c r="G1047" s="175" t="n"/>
      <c r="H1047" s="175" t="n"/>
      <c r="I1047" s="103" t="inlineStr">
        <is>
          <t>查询标准化规则</t>
        </is>
      </c>
      <c r="J1047" s="93" t="inlineStr">
        <is>
          <t>EQ</t>
        </is>
      </c>
      <c r="K1047" s="102" t="n"/>
      <c r="L1047" s="102" t="inlineStr">
        <is>
          <t>处理流程和上行基本一致，为查询功能，未体现详情功能</t>
        </is>
      </c>
      <c r="M1047" s="85">
        <f>IF(OR(Y1047="估算法",Y1047="算法类",Y1047="无法识别"),"",IF(W1047="",IF(OR(J1047="EI",J1047="EO",J1047="EQ"),0,""),LEN(W1047)-LEN(SUBSTITUTE(W1047,"、",""))+1))</f>
        <v/>
      </c>
      <c r="N1047" s="85">
        <f>IF(OR(Y1047="估算法",Y1047="算法类",Y1047="无法识别"),"",IF(X1047="",IF(OR(J1047="ILF",J1047="EIF"),0,""),LEN(X1047)-LEN(SUBSTITUTE(X1047,"、",""))+1))</f>
        <v/>
      </c>
      <c r="O1047" s="85">
        <f>IF(OR(Y1047="估算法",Y1047="算法类",Y1047="无法识别"),"",IF(Y1047="",IF(OR(J1047="ILF",J1047="EIF",J1047="EI",J1047="EO",J1047="EQ"),0,""),LEN(Y1047)-LEN(SUBSTITUTE(SUBSTITUTE(SUBSTITUTE(SUBSTITUTE(SUBSTITUTE(Y1047,"|}","--"),"{|","--"),CHAR(10),""),"、",""),"|",""))+IF(AND(OR(J1047="EI",J1047="EO",J1047="EQ"),$AE$1="NESMA"),2,1)))</f>
        <v/>
      </c>
      <c r="P1047" s="86">
        <f>IF(J1047="EI",IF(OR(Y1047="估算法",Y1047="算法类"),"中",IF(Y1047="无法识别","低",IF(M1047&lt;2,IF(O1047&lt;16,"低","中"),IF(M1047&lt;3,IF(O1047&lt;5,"低",IF(O1047&lt;16,"中","高")),IF(O1047&lt;5,"中","高"))))),IF(OR(J1047="EO",J1047="EQ"),IF(OR(Y1047="估算法",Y1047="算法类"),"中",IF(Y1047="无法识别","低",IF(M1047&lt;2,IF(O1047&lt;20,"低","中"),IF(M1047&lt;4,IF(O1047&lt;6,"低",IF(O1047&lt;20,"中","高")),IF(O1047&lt;6,"中","高"))))),IF(OR(J1047="ILF",J1047="EIF"),IF(OR(Y1047="估算法",Y1047="算法类",Y1047="无法识别"),"低",IF(N1047&lt;2,IF(O1047&lt;51,"低","中"),IF(N1047&lt;6,IF(O1047&lt;20,"低",IF(O1047&lt;51,"中","高")),IF(O1047&lt;20,"中","高")))),"不计算")))</f>
        <v/>
      </c>
      <c r="Q1047" s="172">
        <f>IFERROR(IF(J1047="EI",IF(P1047="低",3,IF(P1047="中",4,6)),IF(J1047="EO",IF(P1047="低",4,IF(P1047="中",5,7)),IF(J1047="EQ",IF(P1047="低",3,IF(P1047="中",4,6)),IF(J1047="ILF",IF(P1047="低",7,IF(P1047="中",10,15)),IF(J1047="EIF",IF(P1047="低",5,IF(P1047="中",7,10)),"不计算")))))*R1047,"不计算")</f>
        <v/>
      </c>
      <c r="R1047" s="172" t="n">
        <v>0.333333333333333</v>
      </c>
      <c r="S1047" s="173">
        <f>调整因子!$F$13</f>
        <v/>
      </c>
      <c r="T1047" s="93" t="n">
        <v>1</v>
      </c>
      <c r="U1047" s="174">
        <f>IFERROR(Q1047*S1047,0)</f>
        <v/>
      </c>
      <c r="V1047" s="178">
        <f>U1047*T1047</f>
        <v/>
      </c>
      <c r="W1047" s="103" t="inlineStr">
        <is>
          <t>推送规则表、提醒规则表、脱敏规则表、加密规则表、扫描盲区记录表</t>
        </is>
      </c>
      <c r="X1047" s="103" t="inlineStr"/>
      <c r="Y1047"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is>
      </c>
      <c r="Z1047" s="90" t="n"/>
      <c r="AA1047" s="90" t="n"/>
    </row>
    <row r="1048" s="112">
      <c r="A1048" s="72">
        <f>ROW()-1</f>
        <v/>
      </c>
      <c r="B1048" s="175" t="n"/>
      <c r="C1048" s="124" t="n">
        <v>2026</v>
      </c>
      <c r="D1048" s="125" t="n"/>
      <c r="E1048" s="103" t="n"/>
      <c r="F1048" s="175" t="n"/>
      <c r="G1048" s="175" t="n"/>
      <c r="H1048" s="176" t="n"/>
      <c r="I1048" s="103" t="inlineStr">
        <is>
          <t>查看标准化结果</t>
        </is>
      </c>
      <c r="J1048" s="93" t="inlineStr">
        <is>
          <t>EQ</t>
        </is>
      </c>
      <c r="K1048" s="102" t="n"/>
      <c r="L1048" s="102" t="inlineStr">
        <is>
          <t>处理流程和上行基本一致，为查询功能，未体现详情功能</t>
        </is>
      </c>
      <c r="M1048" s="85">
        <f>IF(OR(Y1048="估算法",Y1048="算法类",Y1048="无法识别"),"",IF(W1048="",IF(OR(J1048="EI",J1048="EO",J1048="EQ"),0,""),LEN(W1048)-LEN(SUBSTITUTE(W1048,"、",""))+1))</f>
        <v/>
      </c>
      <c r="N1048" s="85">
        <f>IF(OR(Y1048="估算法",Y1048="算法类",Y1048="无法识别"),"",IF(X1048="",IF(OR(J1048="ILF",J1048="EIF"),0,""),LEN(X1048)-LEN(SUBSTITUTE(X1048,"、",""))+1))</f>
        <v/>
      </c>
      <c r="O1048" s="85">
        <f>IF(OR(Y1048="估算法",Y1048="算法类",Y1048="无法识别"),"",IF(Y1048="",IF(OR(J1048="ILF",J1048="EIF",J1048="EI",J1048="EO",J1048="EQ"),0,""),LEN(Y1048)-LEN(SUBSTITUTE(SUBSTITUTE(SUBSTITUTE(SUBSTITUTE(SUBSTITUTE(Y1048,"|}","--"),"{|","--"),CHAR(10),""),"、",""),"|",""))+IF(AND(OR(J1048="EI",J1048="EO",J1048="EQ"),$AE$1="NESMA"),2,1)))</f>
        <v/>
      </c>
      <c r="P1048" s="86">
        <f>IF(J1048="EI",IF(OR(Y1048="估算法",Y1048="算法类"),"中",IF(Y1048="无法识别","低",IF(M1048&lt;2,IF(O1048&lt;16,"低","中"),IF(M1048&lt;3,IF(O1048&lt;5,"低",IF(O1048&lt;16,"中","高")),IF(O1048&lt;5,"中","高"))))),IF(OR(J1048="EO",J1048="EQ"),IF(OR(Y1048="估算法",Y1048="算法类"),"中",IF(Y1048="无法识别","低",IF(M1048&lt;2,IF(O1048&lt;20,"低","中"),IF(M1048&lt;4,IF(O1048&lt;6,"低",IF(O1048&lt;20,"中","高")),IF(O1048&lt;6,"中","高"))))),IF(OR(J1048="ILF",J1048="EIF"),IF(OR(Y1048="估算法",Y1048="算法类",Y1048="无法识别"),"低",IF(N1048&lt;2,IF(O1048&lt;51,"低","中"),IF(N1048&lt;6,IF(O1048&lt;20,"低",IF(O1048&lt;51,"中","高")),IF(O1048&lt;20,"中","高")))),"不计算")))</f>
        <v/>
      </c>
      <c r="Q1048" s="172">
        <f>IFERROR(IF(J1048="EI",IF(P1048="低",3,IF(P1048="中",4,6)),IF(J1048="EO",IF(P1048="低",4,IF(P1048="中",5,7)),IF(J1048="EQ",IF(P1048="低",3,IF(P1048="中",4,6)),IF(J1048="ILF",IF(P1048="低",7,IF(P1048="中",10,15)),IF(J1048="EIF",IF(P1048="低",5,IF(P1048="中",7,10)),"不计算")))))*R1048,"不计算")</f>
        <v/>
      </c>
      <c r="R1048" s="172" t="n">
        <v>0.333333333333333</v>
      </c>
      <c r="S1048" s="173">
        <f>调整因子!$F$13</f>
        <v/>
      </c>
      <c r="T1048" s="93" t="n">
        <v>1</v>
      </c>
      <c r="U1048" s="174">
        <f>IFERROR(Q1048*S1048,0)</f>
        <v/>
      </c>
      <c r="V1048" s="178">
        <f>U1048*T1048</f>
        <v/>
      </c>
      <c r="W1048" s="103" t="inlineStr">
        <is>
          <t>离线扫描报告表、脱敏规则表、模板分类表、扫描盲区记录表</t>
        </is>
      </c>
      <c r="X1048" s="103" t="inlineStr"/>
      <c r="Y1048" s="97" t="inlineStr">
        <is>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is>
      </c>
      <c r="Z1048" s="90" t="n"/>
      <c r="AA1048" s="90" t="n"/>
    </row>
    <row r="1049" s="112">
      <c r="A1049" s="72">
        <f>ROW()-1</f>
        <v/>
      </c>
      <c r="B1049" s="175" t="n"/>
      <c r="C1049" s="124" t="n">
        <v>2026</v>
      </c>
      <c r="D1049" s="125" t="n"/>
      <c r="E1049" s="103" t="n"/>
      <c r="F1049" s="175" t="n"/>
      <c r="G1049" s="175" t="n"/>
      <c r="H1049" s="97" t="inlineStr">
        <is>
          <t>报告数据入库管理</t>
        </is>
      </c>
      <c r="I1049" s="103" t="inlineStr">
        <is>
          <t>导出入库记录</t>
        </is>
      </c>
      <c r="J1049" s="93" t="inlineStr">
        <is>
          <t>EO</t>
        </is>
      </c>
      <c r="K1049" s="102" t="n"/>
      <c r="L1049" s="102" t="n"/>
      <c r="M1049" s="85">
        <f>IF(OR(Y1049="估算法",Y1049="算法类",Y1049="无法识别"),"",IF(W1049="",IF(OR(J1049="EI",J1049="EO",J1049="EQ"),0,""),LEN(W1049)-LEN(SUBSTITUTE(W1049,"、",""))+1))</f>
        <v/>
      </c>
      <c r="N1049" s="85">
        <f>IF(OR(Y1049="估算法",Y1049="算法类",Y1049="无法识别"),"",IF(X1049="",IF(OR(J1049="ILF",J1049="EIF"),0,""),LEN(X1049)-LEN(SUBSTITUTE(X1049,"、",""))+1))</f>
        <v/>
      </c>
      <c r="O1049" s="85">
        <f>IF(OR(Y1049="估算法",Y1049="算法类",Y1049="无法识别"),"",IF(Y1049="",IF(OR(J1049="ILF",J1049="EIF",J1049="EI",J1049="EO",J1049="EQ"),0,""),LEN(Y1049)-LEN(SUBSTITUTE(SUBSTITUTE(SUBSTITUTE(SUBSTITUTE(SUBSTITUTE(Y1049,"|}","--"),"{|","--"),CHAR(10),""),"、",""),"|",""))+IF(AND(OR(J1049="EI",J1049="EO",J1049="EQ"),$AE$1="NESMA"),2,1)))</f>
        <v/>
      </c>
      <c r="P1049" s="86">
        <f>IF(J1049="EI",IF(OR(Y1049="估算法",Y1049="算法类"),"中",IF(Y1049="无法识别","低",IF(M1049&lt;2,IF(O1049&lt;16,"低","中"),IF(M1049&lt;3,IF(O1049&lt;5,"低",IF(O1049&lt;16,"中","高")),IF(O1049&lt;5,"中","高"))))),IF(OR(J1049="EO",J1049="EQ"),IF(OR(Y1049="估算法",Y1049="算法类"),"中",IF(Y1049="无法识别","低",IF(M1049&lt;2,IF(O1049&lt;20,"低","中"),IF(M1049&lt;4,IF(O1049&lt;6,"低",IF(O1049&lt;20,"中","高")),IF(O1049&lt;6,"中","高"))))),IF(OR(J1049="ILF",J1049="EIF"),IF(OR(Y1049="估算法",Y1049="算法类",Y1049="无法识别"),"低",IF(N1049&lt;2,IF(O1049&lt;51,"低","中"),IF(N1049&lt;6,IF(O1049&lt;20,"低",IF(O1049&lt;51,"中","高")),IF(O1049&lt;20,"中","高")))),"不计算")))</f>
        <v/>
      </c>
      <c r="Q1049" s="172">
        <f>IFERROR(IF(J1049="EI",IF(P1049="低",3,IF(P1049="中",4,6)),IF(J1049="EO",IF(P1049="低",4,IF(P1049="中",5,7)),IF(J1049="EQ",IF(P1049="低",3,IF(P1049="中",4,6)),IF(J1049="ILF",IF(P1049="低",7,IF(P1049="中",10,15)),IF(J1049="EIF",IF(P1049="低",5,IF(P1049="中",7,10)),"不计算")))))*R1049,"不计算")</f>
        <v/>
      </c>
      <c r="R1049" s="172" t="n">
        <v>1</v>
      </c>
      <c r="S1049" s="173">
        <f>调整因子!$F$13</f>
        <v/>
      </c>
      <c r="T1049" s="92" t="n">
        <v>1</v>
      </c>
      <c r="U1049" s="174">
        <f>IFERROR(Q1049*S1049,0)</f>
        <v/>
      </c>
      <c r="V1049" s="178">
        <f>U1049*T1049</f>
        <v/>
      </c>
      <c r="W1049" s="103" t="inlineStr">
        <is>
          <t>任务日志表、离线扫描报告表、验证记录表、任务统计数据表、资产查询接口配置表</t>
        </is>
      </c>
      <c r="X1049" s="103" t="inlineStr"/>
      <c r="Y1049" s="97" t="inlineStr">
        <is>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is>
      </c>
      <c r="Z1049" s="90" t="n"/>
      <c r="AA1049" s="90" t="n"/>
    </row>
    <row r="1050" s="112">
      <c r="A1050" s="72">
        <f>ROW()-1</f>
        <v/>
      </c>
      <c r="B1050" s="175" t="n"/>
      <c r="C1050" s="124" t="n">
        <v>2026</v>
      </c>
      <c r="D1050" s="125" t="n"/>
      <c r="E1050" s="103" t="n"/>
      <c r="F1050" s="175" t="n"/>
      <c r="G1050" s="175" t="n"/>
      <c r="H1050" s="175" t="n"/>
      <c r="I1050" s="103" t="inlineStr">
        <is>
          <t>查询入库记录</t>
        </is>
      </c>
      <c r="J1050" s="93" t="inlineStr">
        <is>
          <t>EO</t>
        </is>
      </c>
      <c r="K1050" s="102" t="n"/>
      <c r="L1050" s="102" t="inlineStr">
        <is>
          <t>处理流程和上行基本一致，为查询功能，未体现详情功能</t>
        </is>
      </c>
      <c r="M1050" s="85">
        <f>IF(OR(Y1050="估算法",Y1050="算法类",Y1050="无法识别"),"",IF(W1050="",IF(OR(J1050="EI",J1050="EO",J1050="EQ"),0,""),LEN(W1050)-LEN(SUBSTITUTE(W1050,"、",""))+1))</f>
        <v/>
      </c>
      <c r="N1050" s="85">
        <f>IF(OR(Y1050="估算法",Y1050="算法类",Y1050="无法识别"),"",IF(X1050="",IF(OR(J1050="ILF",J1050="EIF"),0,""),LEN(X1050)-LEN(SUBSTITUTE(X1050,"、",""))+1))</f>
        <v/>
      </c>
      <c r="O1050" s="85">
        <f>IF(OR(Y1050="估算法",Y1050="算法类",Y1050="无法识别"),"",IF(Y1050="",IF(OR(J1050="ILF",J1050="EIF",J1050="EI",J1050="EO",J1050="EQ"),0,""),LEN(Y1050)-LEN(SUBSTITUTE(SUBSTITUTE(SUBSTITUTE(SUBSTITUTE(SUBSTITUTE(Y1050,"|}","--"),"{|","--"),CHAR(10),""),"、",""),"|",""))+IF(AND(OR(J1050="EI",J1050="EO",J1050="EQ"),$AE$1="NESMA"),2,1)))</f>
        <v/>
      </c>
      <c r="P1050" s="86">
        <f>IF(J1050="EI",IF(OR(Y1050="估算法",Y1050="算法类"),"中",IF(Y1050="无法识别","低",IF(M1050&lt;2,IF(O1050&lt;16,"低","中"),IF(M1050&lt;3,IF(O1050&lt;5,"低",IF(O1050&lt;16,"中","高")),IF(O1050&lt;5,"中","高"))))),IF(OR(J1050="EO",J1050="EQ"),IF(OR(Y1050="估算法",Y1050="算法类"),"中",IF(Y1050="无法识别","低",IF(M1050&lt;2,IF(O1050&lt;20,"低","中"),IF(M1050&lt;4,IF(O1050&lt;6,"低",IF(O1050&lt;20,"中","高")),IF(O1050&lt;6,"中","高"))))),IF(OR(J1050="ILF",J1050="EIF"),IF(OR(Y1050="估算法",Y1050="算法类",Y1050="无法识别"),"低",IF(N1050&lt;2,IF(O1050&lt;51,"低","中"),IF(N1050&lt;6,IF(O1050&lt;20,"低",IF(O1050&lt;51,"中","高")),IF(O1050&lt;20,"中","高")))),"不计算")))</f>
        <v/>
      </c>
      <c r="Q1050" s="172">
        <f>IFERROR(IF(J1050="EI",IF(P1050="低",3,IF(P1050="中",4,6)),IF(J1050="EO",IF(P1050="低",4,IF(P1050="中",5,7)),IF(J1050="EQ",IF(P1050="低",3,IF(P1050="中",4,6)),IF(J1050="ILF",IF(P1050="低",7,IF(P1050="中",10,15)),IF(J1050="EIF",IF(P1050="低",5,IF(P1050="中",7,10)),"不计算")))))*R1050,"不计算")</f>
        <v/>
      </c>
      <c r="R1050" s="172" t="n">
        <v>0.333333333333333</v>
      </c>
      <c r="S1050" s="173">
        <f>调整因子!$F$13</f>
        <v/>
      </c>
      <c r="T1050" s="92" t="n">
        <v>1</v>
      </c>
      <c r="U1050" s="174">
        <f>IFERROR(Q1050*S1050,0)</f>
        <v/>
      </c>
      <c r="V1050" s="178">
        <f>U1050*T1050</f>
        <v/>
      </c>
      <c r="W1050" s="103" t="inlineStr">
        <is>
          <t>处置单关联表、处置流程定义表、加密规则表、推送结果表</t>
        </is>
      </c>
      <c r="X1050" s="103" t="inlineStr"/>
      <c r="Y1050" s="97" t="inlineStr">
        <is>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is>
      </c>
      <c r="Z1050" s="90" t="n"/>
      <c r="AA1050" s="90" t="n"/>
    </row>
    <row r="1051" s="112">
      <c r="A1051" s="72">
        <f>ROW()-1</f>
        <v/>
      </c>
      <c r="B1051" s="175" t="n"/>
      <c r="C1051" s="124" t="n">
        <v>2026</v>
      </c>
      <c r="D1051" s="125" t="n"/>
      <c r="E1051" s="103" t="n"/>
      <c r="F1051" s="175" t="n"/>
      <c r="G1051" s="176" t="n"/>
      <c r="H1051" s="176" t="n"/>
      <c r="I1051" s="103" t="inlineStr">
        <is>
          <t>查看入库详情</t>
        </is>
      </c>
      <c r="J1051" s="93" t="inlineStr">
        <is>
          <t>EQ</t>
        </is>
      </c>
      <c r="K1051" s="102" t="n"/>
      <c r="L1051" s="102" t="inlineStr">
        <is>
          <t>处理流程和上行基本一致，为查询功能，未体现详情功能</t>
        </is>
      </c>
      <c r="M1051" s="85">
        <f>IF(OR(Y1051="估算法",Y1051="算法类",Y1051="无法识别"),"",IF(W1051="",IF(OR(J1051="EI",J1051="EO",J1051="EQ"),0,""),LEN(W1051)-LEN(SUBSTITUTE(W1051,"、",""))+1))</f>
        <v/>
      </c>
      <c r="N1051" s="85">
        <f>IF(OR(Y1051="估算法",Y1051="算法类",Y1051="无法识别"),"",IF(X1051="",IF(OR(J1051="ILF",J1051="EIF"),0,""),LEN(X1051)-LEN(SUBSTITUTE(X1051,"、",""))+1))</f>
        <v/>
      </c>
      <c r="O1051" s="85">
        <f>IF(OR(Y1051="估算法",Y1051="算法类",Y1051="无法识别"),"",IF(Y1051="",IF(OR(J1051="ILF",J1051="EIF",J1051="EI",J1051="EO",J1051="EQ"),0,""),LEN(Y1051)-LEN(SUBSTITUTE(SUBSTITUTE(SUBSTITUTE(SUBSTITUTE(SUBSTITUTE(Y1051,"|}","--"),"{|","--"),CHAR(10),""),"、",""),"|",""))+IF(AND(OR(J1051="EI",J1051="EO",J1051="EQ"),$AE$1="NESMA"),2,1)))</f>
        <v/>
      </c>
      <c r="P1051" s="86">
        <f>IF(J1051="EI",IF(OR(Y1051="估算法",Y1051="算法类"),"中",IF(Y1051="无法识别","低",IF(M1051&lt;2,IF(O1051&lt;16,"低","中"),IF(M1051&lt;3,IF(O1051&lt;5,"低",IF(O1051&lt;16,"中","高")),IF(O1051&lt;5,"中","高"))))),IF(OR(J1051="EO",J1051="EQ"),IF(OR(Y1051="估算法",Y1051="算法类"),"中",IF(Y1051="无法识别","低",IF(M1051&lt;2,IF(O1051&lt;20,"低","中"),IF(M1051&lt;4,IF(O1051&lt;6,"低",IF(O1051&lt;20,"中","高")),IF(O1051&lt;6,"中","高"))))),IF(OR(J1051="ILF",J1051="EIF"),IF(OR(Y1051="估算法",Y1051="算法类",Y1051="无法识别"),"低",IF(N1051&lt;2,IF(O1051&lt;51,"低","中"),IF(N1051&lt;6,IF(O1051&lt;20,"低",IF(O1051&lt;51,"中","高")),IF(O1051&lt;20,"中","高")))),"不计算")))</f>
        <v/>
      </c>
      <c r="Q1051" s="172">
        <f>IFERROR(IF(J1051="EI",IF(P1051="低",3,IF(P1051="中",4,6)),IF(J1051="EO",IF(P1051="低",4,IF(P1051="中",5,7)),IF(J1051="EQ",IF(P1051="低",3,IF(P1051="中",4,6)),IF(J1051="ILF",IF(P1051="低",7,IF(P1051="中",10,15)),IF(J1051="EIF",IF(P1051="低",5,IF(P1051="中",7,10)),"不计算")))))*R1051,"不计算")</f>
        <v/>
      </c>
      <c r="R1051" s="172" t="n">
        <v>0.333333333333333</v>
      </c>
      <c r="S1051" s="173">
        <f>调整因子!$F$13</f>
        <v/>
      </c>
      <c r="T1051" s="93" t="n">
        <v>1</v>
      </c>
      <c r="U1051" s="174">
        <f>IFERROR(Q1051*S1051,0)</f>
        <v/>
      </c>
      <c r="V1051" s="178">
        <f>U1051*T1051</f>
        <v/>
      </c>
      <c r="W1051" s="103" t="inlineStr">
        <is>
          <t>指标权重表、加密策略表、脱敏规则表、数据清洗任务表、离线扫描报告表</t>
        </is>
      </c>
      <c r="X1051" s="103" t="inlineStr"/>
      <c r="Y1051" s="97" t="inlineStr">
        <is>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is>
      </c>
      <c r="Z1051" s="90" t="n"/>
      <c r="AA1051" s="90" t="n"/>
    </row>
    <row r="1052" s="112">
      <c r="A1052" s="72">
        <f>ROW()-1</f>
        <v/>
      </c>
      <c r="B1052" s="175" t="n"/>
      <c r="C1052" s="124" t="n">
        <v>2026</v>
      </c>
      <c r="D1052" s="125" t="n"/>
      <c r="E1052" s="103" t="n"/>
      <c r="F1052" s="175" t="n"/>
      <c r="G1052" s="97" t="inlineStr">
        <is>
          <t>扫描规划与调度</t>
        </is>
      </c>
      <c r="H1052" s="97" t="inlineStr">
        <is>
          <t>扫描计划管理</t>
        </is>
      </c>
      <c r="I1052" s="103" t="inlineStr">
        <is>
          <t>编辑扫描计划</t>
        </is>
      </c>
      <c r="J1052" s="93" t="inlineStr">
        <is>
          <t>EI</t>
        </is>
      </c>
      <c r="K1052" s="102" t="n"/>
      <c r="L1052" s="102" t="n"/>
      <c r="M1052" s="85">
        <f>IF(OR(Y1052="估算法",Y1052="算法类",Y1052="无法识别"),"",IF(W1052="",IF(OR(J1052="EI",J1052="EO",J1052="EQ"),0,""),LEN(W1052)-LEN(SUBSTITUTE(W1052,"、",""))+1))</f>
        <v/>
      </c>
      <c r="N1052" s="85">
        <f>IF(OR(Y1052="估算法",Y1052="算法类",Y1052="无法识别"),"",IF(X1052="",IF(OR(J1052="ILF",J1052="EIF"),0,""),LEN(X1052)-LEN(SUBSTITUTE(X1052,"、",""))+1))</f>
        <v/>
      </c>
      <c r="O1052" s="85">
        <f>IF(OR(Y1052="估算法",Y1052="算法类",Y1052="无法识别"),"",IF(Y1052="",IF(OR(J1052="ILF",J1052="EIF",J1052="EI",J1052="EO",J1052="EQ"),0,""),LEN(Y1052)-LEN(SUBSTITUTE(SUBSTITUTE(SUBSTITUTE(SUBSTITUTE(SUBSTITUTE(Y1052,"|}","--"),"{|","--"),CHAR(10),""),"、",""),"|",""))+IF(AND(OR(J1052="EI",J1052="EO",J1052="EQ"),$AE$1="NESMA"),2,1)))</f>
        <v/>
      </c>
      <c r="P1052" s="86">
        <f>IF(J1052="EI",IF(OR(Y1052="估算法",Y1052="算法类"),"中",IF(Y1052="无法识别","低",IF(M1052&lt;2,IF(O1052&lt;16,"低","中"),IF(M1052&lt;3,IF(O1052&lt;5,"低",IF(O1052&lt;16,"中","高")),IF(O1052&lt;5,"中","高"))))),IF(OR(J1052="EO",J1052="EQ"),IF(OR(Y1052="估算法",Y1052="算法类"),"中",IF(Y1052="无法识别","低",IF(M1052&lt;2,IF(O1052&lt;20,"低","中"),IF(M1052&lt;4,IF(O1052&lt;6,"低",IF(O1052&lt;20,"中","高")),IF(O1052&lt;6,"中","高"))))),IF(OR(J1052="ILF",J1052="EIF"),IF(OR(Y1052="估算法",Y1052="算法类",Y1052="无法识别"),"低",IF(N1052&lt;2,IF(O1052&lt;51,"低","中"),IF(N1052&lt;6,IF(O1052&lt;20,"低",IF(O1052&lt;51,"中","高")),IF(O1052&lt;20,"中","高")))),"不计算")))</f>
        <v/>
      </c>
      <c r="Q1052" s="172">
        <f>IFERROR(IF(J1052="EI",IF(P1052="低",3,IF(P1052="中",4,6)),IF(J1052="EO",IF(P1052="低",4,IF(P1052="中",5,7)),IF(J1052="EQ",IF(P1052="低",3,IF(P1052="中",4,6)),IF(J1052="ILF",IF(P1052="低",7,IF(P1052="中",10,15)),IF(J1052="EIF",IF(P1052="低",5,IF(P1052="中",7,10)),"不计算")))))*R1052,"不计算")</f>
        <v/>
      </c>
      <c r="R1052" s="172" t="n">
        <v>1</v>
      </c>
      <c r="S1052" s="173">
        <f>调整因子!$F$13</f>
        <v/>
      </c>
      <c r="T1052" s="92" t="n">
        <v>1</v>
      </c>
      <c r="U1052" s="174">
        <f>IFERROR(Q1052*S1052,0)</f>
        <v/>
      </c>
      <c r="V1052" s="178">
        <f>U1052*T1052</f>
        <v/>
      </c>
      <c r="W1052" s="103" t="inlineStr">
        <is>
          <t>资产扫描覆盖表、扫描盲区记录表、扫描能力缺口表、离线扫描报告表</t>
        </is>
      </c>
      <c r="X1052" s="103" t="inlineStr"/>
      <c r="Y1052"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52" s="90" t="n"/>
      <c r="AA1052" s="90" t="n"/>
    </row>
    <row r="1053" s="112">
      <c r="A1053" s="72">
        <f>ROW()-1</f>
        <v/>
      </c>
      <c r="B1053" s="175" t="n"/>
      <c r="C1053" s="124" t="n">
        <v>2026</v>
      </c>
      <c r="D1053" s="125" t="n"/>
      <c r="E1053" s="103" t="n"/>
      <c r="F1053" s="175" t="n"/>
      <c r="G1053" s="175" t="n"/>
      <c r="H1053" s="175" t="n"/>
      <c r="I1053" s="103" t="inlineStr">
        <is>
          <t>删除扫描计划</t>
        </is>
      </c>
      <c r="J1053" s="93" t="inlineStr">
        <is>
          <t>EI</t>
        </is>
      </c>
      <c r="K1053" s="102" t="n"/>
      <c r="L1053" s="102" t="n"/>
      <c r="M1053" s="85">
        <f>IF(OR(Y1053="估算法",Y1053="算法类",Y1053="无法识别"),"",IF(W1053="",IF(OR(J1053="EI",J1053="EO",J1053="EQ"),0,""),LEN(W1053)-LEN(SUBSTITUTE(W1053,"、",""))+1))</f>
        <v/>
      </c>
      <c r="N1053" s="85">
        <f>IF(OR(Y1053="估算法",Y1053="算法类",Y1053="无法识别"),"",IF(X1053="",IF(OR(J1053="ILF",J1053="EIF"),0,""),LEN(X1053)-LEN(SUBSTITUTE(X1053,"、",""))+1))</f>
        <v/>
      </c>
      <c r="O1053" s="85">
        <f>IF(OR(Y1053="估算法",Y1053="算法类",Y1053="无法识别"),"",IF(Y1053="",IF(OR(J1053="ILF",J1053="EIF",J1053="EI",J1053="EO",J1053="EQ"),0,""),LEN(Y1053)-LEN(SUBSTITUTE(SUBSTITUTE(SUBSTITUTE(SUBSTITUTE(SUBSTITUTE(Y1053,"|}","--"),"{|","--"),CHAR(10),""),"、",""),"|",""))+IF(AND(OR(J1053="EI",J1053="EO",J1053="EQ"),$AE$1="NESMA"),2,1)))</f>
        <v/>
      </c>
      <c r="P1053" s="86">
        <f>IF(J1053="EI",IF(OR(Y1053="估算法",Y1053="算法类"),"中",IF(Y1053="无法识别","低",IF(M1053&lt;2,IF(O1053&lt;16,"低","中"),IF(M1053&lt;3,IF(O1053&lt;5,"低",IF(O1053&lt;16,"中","高")),IF(O1053&lt;5,"中","高"))))),IF(OR(J1053="EO",J1053="EQ"),IF(OR(Y1053="估算法",Y1053="算法类"),"中",IF(Y1053="无法识别","低",IF(M1053&lt;2,IF(O1053&lt;20,"低","中"),IF(M1053&lt;4,IF(O1053&lt;6,"低",IF(O1053&lt;20,"中","高")),IF(O1053&lt;6,"中","高"))))),IF(OR(J1053="ILF",J1053="EIF"),IF(OR(Y1053="估算法",Y1053="算法类",Y1053="无法识别"),"低",IF(N1053&lt;2,IF(O1053&lt;51,"低","中"),IF(N1053&lt;6,IF(O1053&lt;20,"低",IF(O1053&lt;51,"中","高")),IF(O1053&lt;20,"中","高")))),"不计算")))</f>
        <v/>
      </c>
      <c r="Q1053" s="172">
        <f>IFERROR(IF(J1053="EI",IF(P1053="低",3,IF(P1053="中",4,6)),IF(J1053="EO",IF(P1053="低",4,IF(P1053="中",5,7)),IF(J1053="EQ",IF(P1053="低",3,IF(P1053="中",4,6)),IF(J1053="ILF",IF(P1053="低",7,IF(P1053="中",10,15)),IF(J1053="EIF",IF(P1053="低",5,IF(P1053="中",7,10)),"不计算")))))*R1053,"不计算")</f>
        <v/>
      </c>
      <c r="R1053" s="172" t="n">
        <v>0.333333333333333</v>
      </c>
      <c r="S1053" s="173">
        <f>调整因子!$F$13</f>
        <v/>
      </c>
      <c r="T1053" s="92" t="n">
        <v>1</v>
      </c>
      <c r="U1053" s="174">
        <f>IFERROR(Q1053*S1053,0)</f>
        <v/>
      </c>
      <c r="V1053" s="178">
        <f>U1053*T1053</f>
        <v/>
      </c>
      <c r="W1053" s="103" t="inlineStr">
        <is>
          <t>资产扫描覆盖表、扫描盲区记录表、扫描能力缺口表</t>
        </is>
      </c>
      <c r="X1053" s="103" t="inlineStr"/>
      <c r="Y1053"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053" s="90" t="n"/>
      <c r="AA1053" s="90" t="n"/>
    </row>
    <row r="1054" s="112">
      <c r="A1054" s="72">
        <f>ROW()-1</f>
        <v/>
      </c>
      <c r="B1054" s="175" t="n"/>
      <c r="C1054" s="124" t="n">
        <v>2026</v>
      </c>
      <c r="D1054" s="125" t="n"/>
      <c r="E1054" s="103" t="n"/>
      <c r="F1054" s="175" t="n"/>
      <c r="G1054" s="175" t="n"/>
      <c r="H1054" s="175" t="n"/>
      <c r="I1054" s="103" t="inlineStr">
        <is>
          <t>启用扫描计划</t>
        </is>
      </c>
      <c r="J1054" s="93" t="inlineStr">
        <is>
          <t>EI</t>
        </is>
      </c>
      <c r="K1054" s="102" t="n"/>
      <c r="L1054" s="102" t="n"/>
      <c r="M1054" s="85">
        <f>IF(OR(Y1054="估算法",Y1054="算法类",Y1054="无法识别"),"",IF(W1054="",IF(OR(J1054="EI",J1054="EO",J1054="EQ"),0,""),LEN(W1054)-LEN(SUBSTITUTE(W1054,"、",""))+1))</f>
        <v/>
      </c>
      <c r="N1054" s="85">
        <f>IF(OR(Y1054="估算法",Y1054="算法类",Y1054="无法识别"),"",IF(X1054="",IF(OR(J1054="ILF",J1054="EIF"),0,""),LEN(X1054)-LEN(SUBSTITUTE(X1054,"、",""))+1))</f>
        <v/>
      </c>
      <c r="O1054" s="85">
        <f>IF(OR(Y1054="估算法",Y1054="算法类",Y1054="无法识别"),"",IF(Y1054="",IF(OR(J1054="ILF",J1054="EIF",J1054="EI",J1054="EO",J1054="EQ"),0,""),LEN(Y1054)-LEN(SUBSTITUTE(SUBSTITUTE(SUBSTITUTE(SUBSTITUTE(SUBSTITUTE(Y1054,"|}","--"),"{|","--"),CHAR(10),""),"、",""),"|",""))+IF(AND(OR(J1054="EI",J1054="EO",J1054="EQ"),$AE$1="NESMA"),2,1)))</f>
        <v/>
      </c>
      <c r="P1054" s="86">
        <f>IF(J1054="EI",IF(OR(Y1054="估算法",Y1054="算法类"),"中",IF(Y1054="无法识别","低",IF(M1054&lt;2,IF(O1054&lt;16,"低","中"),IF(M1054&lt;3,IF(O1054&lt;5,"低",IF(O1054&lt;16,"中","高")),IF(O1054&lt;5,"中","高"))))),IF(OR(J1054="EO",J1054="EQ"),IF(OR(Y1054="估算法",Y1054="算法类"),"中",IF(Y1054="无法识别","低",IF(M1054&lt;2,IF(O1054&lt;20,"低","中"),IF(M1054&lt;4,IF(O1054&lt;6,"低",IF(O1054&lt;20,"中","高")),IF(O1054&lt;6,"中","高"))))),IF(OR(J1054="ILF",J1054="EIF"),IF(OR(Y1054="估算法",Y1054="算法类",Y1054="无法识别"),"低",IF(N1054&lt;2,IF(O1054&lt;51,"低","中"),IF(N1054&lt;6,IF(O1054&lt;20,"低",IF(O1054&lt;51,"中","高")),IF(O1054&lt;20,"中","高")))),"不计算")))</f>
        <v/>
      </c>
      <c r="Q1054" s="172">
        <f>IFERROR(IF(J1054="EI",IF(P1054="低",3,IF(P1054="中",4,6)),IF(J1054="EO",IF(P1054="低",4,IF(P1054="中",5,7)),IF(J1054="EQ",IF(P1054="低",3,IF(P1054="中",4,6)),IF(J1054="ILF",IF(P1054="低",7,IF(P1054="中",10,15)),IF(J1054="EIF",IF(P1054="低",5,IF(P1054="中",7,10)),"不计算")))))*R1054,"不计算")</f>
        <v/>
      </c>
      <c r="R1054" s="172" t="n">
        <v>1</v>
      </c>
      <c r="S1054" s="173">
        <f>调整因子!$F$13</f>
        <v/>
      </c>
      <c r="T1054" s="93" t="n">
        <v>1</v>
      </c>
      <c r="U1054" s="174">
        <f>IFERROR(Q1054*S1054,0)</f>
        <v/>
      </c>
      <c r="V1054" s="178">
        <f>U1054*T1054</f>
        <v/>
      </c>
      <c r="W1054" s="103" t="inlineStr">
        <is>
          <t>资产扫描覆盖表、扫描盲区记录表、扫描能力缺口表</t>
        </is>
      </c>
      <c r="X1054" s="103" t="inlineStr"/>
      <c r="Y1054"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054" s="90" t="n"/>
      <c r="AA1054" s="90" t="n"/>
    </row>
    <row r="1055" s="112">
      <c r="A1055" s="72">
        <f>ROW()-1</f>
        <v/>
      </c>
      <c r="B1055" s="175" t="n"/>
      <c r="C1055" s="124" t="n">
        <v>2026</v>
      </c>
      <c r="D1055" s="125" t="n"/>
      <c r="E1055" s="103" t="n"/>
      <c r="F1055" s="175" t="n"/>
      <c r="G1055" s="175" t="n"/>
      <c r="H1055" s="175" t="n"/>
      <c r="I1055" s="103" t="inlineStr">
        <is>
          <t>停用扫描计划</t>
        </is>
      </c>
      <c r="J1055" s="93" t="n"/>
      <c r="K1055" s="102" t="n"/>
      <c r="L1055" s="102" t="inlineStr">
        <is>
          <t>和上行合并，启停为相同功能</t>
        </is>
      </c>
      <c r="M1055" s="85">
        <f>IF(OR(Y1055="估算法",Y1055="算法类",Y1055="无法识别"),"",IF(W1055="",IF(OR(J1055="EI",J1055="EO",J1055="EQ"),0,""),LEN(W1055)-LEN(SUBSTITUTE(W1055,"、",""))+1))</f>
        <v/>
      </c>
      <c r="N1055" s="85">
        <f>IF(OR(Y1055="估算法",Y1055="算法类",Y1055="无法识别"),"",IF(X1055="",IF(OR(J1055="ILF",J1055="EIF"),0,""),LEN(X1055)-LEN(SUBSTITUTE(X1055,"、",""))+1))</f>
        <v/>
      </c>
      <c r="O1055" s="85">
        <f>IF(OR(Y1055="估算法",Y1055="算法类",Y1055="无法识别"),"",IF(Y1055="",IF(OR(J1055="ILF",J1055="EIF",J1055="EI",J1055="EO",J1055="EQ"),0,""),LEN(Y1055)-LEN(SUBSTITUTE(SUBSTITUTE(SUBSTITUTE(SUBSTITUTE(SUBSTITUTE(Y1055,"|}","--"),"{|","--"),CHAR(10),""),"、",""),"|",""))+IF(AND(OR(J1055="EI",J1055="EO",J1055="EQ"),$AE$1="NESMA"),2,1)))</f>
        <v/>
      </c>
      <c r="P1055" s="86">
        <f>IF(J1055="EI",IF(OR(Y1055="估算法",Y1055="算法类"),"中",IF(Y1055="无法识别","低",IF(M1055&lt;2,IF(O1055&lt;16,"低","中"),IF(M1055&lt;3,IF(O1055&lt;5,"低",IF(O1055&lt;16,"中","高")),IF(O1055&lt;5,"中","高"))))),IF(OR(J1055="EO",J1055="EQ"),IF(OR(Y1055="估算法",Y1055="算法类"),"中",IF(Y1055="无法识别","低",IF(M1055&lt;2,IF(O1055&lt;20,"低","中"),IF(M1055&lt;4,IF(O1055&lt;6,"低",IF(O1055&lt;20,"中","高")),IF(O1055&lt;6,"中","高"))))),IF(OR(J1055="ILF",J1055="EIF"),IF(OR(Y1055="估算法",Y1055="算法类",Y1055="无法识别"),"低",IF(N1055&lt;2,IF(O1055&lt;51,"低","中"),IF(N1055&lt;6,IF(O1055&lt;20,"低",IF(O1055&lt;51,"中","高")),IF(O1055&lt;20,"中","高")))),"不计算")))</f>
        <v/>
      </c>
      <c r="Q1055" s="172">
        <f>IFERROR(IF(J1055="EI",IF(P1055="低",3,IF(P1055="中",4,6)),IF(J1055="EO",IF(P1055="低",4,IF(P1055="中",5,7)),IF(J1055="EQ",IF(P1055="低",3,IF(P1055="中",4,6)),IF(J1055="ILF",IF(P1055="低",7,IF(P1055="中",10,15)),IF(J1055="EIF",IF(P1055="低",5,IF(P1055="中",7,10)),"不计算")))))*R1055,"不计算")</f>
        <v/>
      </c>
      <c r="R1055" s="172" t="n">
        <v>1</v>
      </c>
      <c r="S1055" s="173">
        <f>调整因子!$F$13</f>
        <v/>
      </c>
      <c r="T1055" s="93" t="n">
        <v>1</v>
      </c>
      <c r="U1055" s="174">
        <f>IFERROR(Q1055*S1055,0)</f>
        <v/>
      </c>
      <c r="V1055" s="178">
        <f>U1055*T1055</f>
        <v/>
      </c>
      <c r="W1055" s="103" t="inlineStr">
        <is>
          <t>资产扫描覆盖表、扫描盲区记录表、扫描能力缺口表、离线扫描报告表</t>
        </is>
      </c>
      <c r="X1055" s="103" t="inlineStr"/>
      <c r="Y105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55" s="90" t="n"/>
      <c r="AA1055" s="90" t="n"/>
    </row>
    <row r="1056" s="112">
      <c r="A1056" s="72">
        <f>ROW()-1</f>
        <v/>
      </c>
      <c r="B1056" s="175" t="n"/>
      <c r="C1056" s="124" t="n">
        <v>2026</v>
      </c>
      <c r="D1056" s="125" t="n"/>
      <c r="E1056" s="103" t="n"/>
      <c r="F1056" s="175" t="n"/>
      <c r="G1056" s="175" t="n"/>
      <c r="H1056" s="175" t="n"/>
      <c r="I1056" s="103" t="inlineStr">
        <is>
          <t>导出扫描计划</t>
        </is>
      </c>
      <c r="J1056" s="93" t="inlineStr">
        <is>
          <t>EO</t>
        </is>
      </c>
      <c r="K1056" s="102" t="n"/>
      <c r="L1056" s="102" t="n"/>
      <c r="M1056" s="85">
        <f>IF(OR(Y1056="估算法",Y1056="算法类",Y1056="无法识别"),"",IF(W1056="",IF(OR(J1056="EI",J1056="EO",J1056="EQ"),0,""),LEN(W1056)-LEN(SUBSTITUTE(W1056,"、",""))+1))</f>
        <v/>
      </c>
      <c r="N1056" s="85">
        <f>IF(OR(Y1056="估算法",Y1056="算法类",Y1056="无法识别"),"",IF(X1056="",IF(OR(J1056="ILF",J1056="EIF"),0,""),LEN(X1056)-LEN(SUBSTITUTE(X1056,"、",""))+1))</f>
        <v/>
      </c>
      <c r="O1056" s="85">
        <f>IF(OR(Y1056="估算法",Y1056="算法类",Y1056="无法识别"),"",IF(Y1056="",IF(OR(J1056="ILF",J1056="EIF",J1056="EI",J1056="EO",J1056="EQ"),0,""),LEN(Y1056)-LEN(SUBSTITUTE(SUBSTITUTE(SUBSTITUTE(SUBSTITUTE(SUBSTITUTE(Y1056,"|}","--"),"{|","--"),CHAR(10),""),"、",""),"|",""))+IF(AND(OR(J1056="EI",J1056="EO",J1056="EQ"),$AE$1="NESMA"),2,1)))</f>
        <v/>
      </c>
      <c r="P1056" s="86">
        <f>IF(J1056="EI",IF(OR(Y1056="估算法",Y1056="算法类"),"中",IF(Y1056="无法识别","低",IF(M1056&lt;2,IF(O1056&lt;16,"低","中"),IF(M1056&lt;3,IF(O1056&lt;5,"低",IF(O1056&lt;16,"中","高")),IF(O1056&lt;5,"中","高"))))),IF(OR(J1056="EO",J1056="EQ"),IF(OR(Y1056="估算法",Y1056="算法类"),"中",IF(Y1056="无法识别","低",IF(M1056&lt;2,IF(O1056&lt;20,"低","中"),IF(M1056&lt;4,IF(O1056&lt;6,"低",IF(O1056&lt;20,"中","高")),IF(O1056&lt;6,"中","高"))))),IF(OR(J1056="ILF",J1056="EIF"),IF(OR(Y1056="估算法",Y1056="算法类",Y1056="无法识别"),"低",IF(N1056&lt;2,IF(O1056&lt;51,"低","中"),IF(N1056&lt;6,IF(O1056&lt;20,"低",IF(O1056&lt;51,"中","高")),IF(O1056&lt;20,"中","高")))),"不计算")))</f>
        <v/>
      </c>
      <c r="Q1056" s="172">
        <f>IFERROR(IF(J1056="EI",IF(P1056="低",3,IF(P1056="中",4,6)),IF(J1056="EO",IF(P1056="低",4,IF(P1056="中",5,7)),IF(J1056="EQ",IF(P1056="低",3,IF(P1056="中",4,6)),IF(J1056="ILF",IF(P1056="低",7,IF(P1056="中",10,15)),IF(J1056="EIF",IF(P1056="低",5,IF(P1056="中",7,10)),"不计算")))))*R1056,"不计算")</f>
        <v/>
      </c>
      <c r="R1056" s="172" t="n">
        <v>1</v>
      </c>
      <c r="S1056" s="173">
        <f>调整因子!$F$13</f>
        <v/>
      </c>
      <c r="T1056" s="92" t="n">
        <v>1</v>
      </c>
      <c r="U1056" s="174">
        <f>IFERROR(Q1056*S1056,0)</f>
        <v/>
      </c>
      <c r="V1056" s="178">
        <f>U1056*T1056</f>
        <v/>
      </c>
      <c r="W1056" s="103" t="inlineStr">
        <is>
          <t>资产扫描覆盖表、扫描盲区记录表、扫描能力缺口表、离线扫描报告表</t>
        </is>
      </c>
      <c r="X1056" s="103" t="inlineStr"/>
      <c r="Y1056"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056" s="90" t="n"/>
      <c r="AA1056" s="90" t="n"/>
    </row>
    <row r="1057" s="112">
      <c r="A1057" s="72">
        <f>ROW()-1</f>
        <v/>
      </c>
      <c r="B1057" s="175" t="n"/>
      <c r="C1057" s="124" t="n">
        <v>2026</v>
      </c>
      <c r="D1057" s="125" t="n"/>
      <c r="E1057" s="103" t="n"/>
      <c r="F1057" s="175" t="n"/>
      <c r="G1057" s="175" t="n"/>
      <c r="H1057" s="175" t="n"/>
      <c r="I1057" s="103" t="inlineStr">
        <is>
          <t>下载计划配置</t>
        </is>
      </c>
      <c r="J1057" s="93" t="inlineStr">
        <is>
          <t>EO</t>
        </is>
      </c>
      <c r="K1057" s="102" t="n"/>
      <c r="L1057" s="102" t="n"/>
      <c r="M1057" s="85">
        <f>IF(OR(Y1057="估算法",Y1057="算法类",Y1057="无法识别"),"",IF(W1057="",IF(OR(J1057="EI",J1057="EO",J1057="EQ"),0,""),LEN(W1057)-LEN(SUBSTITUTE(W1057,"、",""))+1))</f>
        <v/>
      </c>
      <c r="N1057" s="85">
        <f>IF(OR(Y1057="估算法",Y1057="算法类",Y1057="无法识别"),"",IF(X1057="",IF(OR(J1057="ILF",J1057="EIF"),0,""),LEN(X1057)-LEN(SUBSTITUTE(X1057,"、",""))+1))</f>
        <v/>
      </c>
      <c r="O1057" s="85">
        <f>IF(OR(Y1057="估算法",Y1057="算法类",Y1057="无法识别"),"",IF(Y1057="",IF(OR(J1057="ILF",J1057="EIF",J1057="EI",J1057="EO",J1057="EQ"),0,""),LEN(Y1057)-LEN(SUBSTITUTE(SUBSTITUTE(SUBSTITUTE(SUBSTITUTE(SUBSTITUTE(Y1057,"|}","--"),"{|","--"),CHAR(10),""),"、",""),"|",""))+IF(AND(OR(J1057="EI",J1057="EO",J1057="EQ"),$AE$1="NESMA"),2,1)))</f>
        <v/>
      </c>
      <c r="P1057" s="86">
        <f>IF(J1057="EI",IF(OR(Y1057="估算法",Y1057="算法类"),"中",IF(Y1057="无法识别","低",IF(M1057&lt;2,IF(O1057&lt;16,"低","中"),IF(M1057&lt;3,IF(O1057&lt;5,"低",IF(O1057&lt;16,"中","高")),IF(O1057&lt;5,"中","高"))))),IF(OR(J1057="EO",J1057="EQ"),IF(OR(Y1057="估算法",Y1057="算法类"),"中",IF(Y1057="无法识别","低",IF(M1057&lt;2,IF(O1057&lt;20,"低","中"),IF(M1057&lt;4,IF(O1057&lt;6,"低",IF(O1057&lt;20,"中","高")),IF(O1057&lt;6,"中","高"))))),IF(OR(J1057="ILF",J1057="EIF"),IF(OR(Y1057="估算法",Y1057="算法类",Y1057="无法识别"),"低",IF(N1057&lt;2,IF(O1057&lt;51,"低","中"),IF(N1057&lt;6,IF(O1057&lt;20,"低",IF(O1057&lt;51,"中","高")),IF(O1057&lt;20,"中","高")))),"不计算")))</f>
        <v/>
      </c>
      <c r="Q1057" s="172">
        <f>IFERROR(IF(J1057="EI",IF(P1057="低",3,IF(P1057="中",4,6)),IF(J1057="EO",IF(P1057="低",4,IF(P1057="中",5,7)),IF(J1057="EQ",IF(P1057="低",3,IF(P1057="中",4,6)),IF(J1057="ILF",IF(P1057="低",7,IF(P1057="中",10,15)),IF(J1057="EIF",IF(P1057="低",5,IF(P1057="中",7,10)),"不计算")))))*R1057,"不计算")</f>
        <v/>
      </c>
      <c r="R1057" s="172" t="n">
        <v>1</v>
      </c>
      <c r="S1057" s="173">
        <f>调整因子!$F$13</f>
        <v/>
      </c>
      <c r="T1057" s="92" t="n">
        <v>1</v>
      </c>
      <c r="U1057" s="174">
        <f>IFERROR(Q1057*S1057,0)</f>
        <v/>
      </c>
      <c r="V1057" s="178">
        <f>U1057*T1057</f>
        <v/>
      </c>
      <c r="W1057" s="103" t="inlineStr">
        <is>
          <t>任务优先级配置表、模板参数配置表、处置单配置表、验证配置表</t>
        </is>
      </c>
      <c r="X1057" s="103" t="inlineStr"/>
      <c r="Y1057"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057" s="90" t="n"/>
      <c r="AA1057" s="90" t="n"/>
    </row>
    <row r="1058" s="112">
      <c r="A1058" s="72">
        <f>ROW()-1</f>
        <v/>
      </c>
      <c r="B1058" s="175" t="n"/>
      <c r="C1058" s="124" t="n">
        <v>2026</v>
      </c>
      <c r="D1058" s="125" t="n"/>
      <c r="E1058" s="103" t="n"/>
      <c r="F1058" s="175" t="n"/>
      <c r="G1058" s="175" t="n"/>
      <c r="H1058" s="175" t="n"/>
      <c r="I1058" s="103" t="inlineStr">
        <is>
          <t>查询扫描计划列表</t>
        </is>
      </c>
      <c r="J1058" s="93" t="inlineStr">
        <is>
          <t>EQ</t>
        </is>
      </c>
      <c r="K1058" s="102" t="n"/>
      <c r="L1058" s="102" t="inlineStr">
        <is>
          <t>处理流程和上行基本一致，为查询功能，未体现详情功能</t>
        </is>
      </c>
      <c r="M1058" s="85">
        <f>IF(OR(Y1058="估算法",Y1058="算法类",Y1058="无法识别"),"",IF(W1058="",IF(OR(J1058="EI",J1058="EO",J1058="EQ"),0,""),LEN(W1058)-LEN(SUBSTITUTE(W1058,"、",""))+1))</f>
        <v/>
      </c>
      <c r="N1058" s="85">
        <f>IF(OR(Y1058="估算法",Y1058="算法类",Y1058="无法识别"),"",IF(X1058="",IF(OR(J1058="ILF",J1058="EIF"),0,""),LEN(X1058)-LEN(SUBSTITUTE(X1058,"、",""))+1))</f>
        <v/>
      </c>
      <c r="O1058" s="85">
        <f>IF(OR(Y1058="估算法",Y1058="算法类",Y1058="无法识别"),"",IF(Y1058="",IF(OR(J1058="ILF",J1058="EIF",J1058="EI",J1058="EO",J1058="EQ"),0,""),LEN(Y1058)-LEN(SUBSTITUTE(SUBSTITUTE(SUBSTITUTE(SUBSTITUTE(SUBSTITUTE(Y1058,"|}","--"),"{|","--"),CHAR(10),""),"、",""),"|",""))+IF(AND(OR(J1058="EI",J1058="EO",J1058="EQ"),$AE$1="NESMA"),2,1)))</f>
        <v/>
      </c>
      <c r="P1058" s="86">
        <f>IF(J1058="EI",IF(OR(Y1058="估算法",Y1058="算法类"),"中",IF(Y1058="无法识别","低",IF(M1058&lt;2,IF(O1058&lt;16,"低","中"),IF(M1058&lt;3,IF(O1058&lt;5,"低",IF(O1058&lt;16,"中","高")),IF(O1058&lt;5,"中","高"))))),IF(OR(J1058="EO",J1058="EQ"),IF(OR(Y1058="估算法",Y1058="算法类"),"中",IF(Y1058="无法识别","低",IF(M1058&lt;2,IF(O1058&lt;20,"低","中"),IF(M1058&lt;4,IF(O1058&lt;6,"低",IF(O1058&lt;20,"中","高")),IF(O1058&lt;6,"中","高"))))),IF(OR(J1058="ILF",J1058="EIF"),IF(OR(Y1058="估算法",Y1058="算法类",Y1058="无法识别"),"低",IF(N1058&lt;2,IF(O1058&lt;51,"低","中"),IF(N1058&lt;6,IF(O1058&lt;20,"低",IF(O1058&lt;51,"中","高")),IF(O1058&lt;20,"中","高")))),"不计算")))</f>
        <v/>
      </c>
      <c r="Q1058" s="172">
        <f>IFERROR(IF(J1058="EI",IF(P1058="低",3,IF(P1058="中",4,6)),IF(J1058="EO",IF(P1058="低",4,IF(P1058="中",5,7)),IF(J1058="EQ",IF(P1058="低",3,IF(P1058="中",4,6)),IF(J1058="ILF",IF(P1058="低",7,IF(P1058="中",10,15)),IF(J1058="EIF",IF(P1058="低",5,IF(P1058="中",7,10)),"不计算")))))*R1058,"不计算")</f>
        <v/>
      </c>
      <c r="R1058" s="172" t="n">
        <v>0.333333333333333</v>
      </c>
      <c r="S1058" s="173">
        <f>调整因子!$F$13</f>
        <v/>
      </c>
      <c r="T1058" s="93" t="n">
        <v>1</v>
      </c>
      <c r="U1058" s="174">
        <f>IFERROR(Q1058*S1058,0)</f>
        <v/>
      </c>
      <c r="V1058" s="178">
        <f>U1058*T1058</f>
        <v/>
      </c>
      <c r="W1058" s="103" t="inlineStr">
        <is>
          <t>资产扫描覆盖表、扫描盲区记录表、扫描能力缺口表、离线扫描报告表</t>
        </is>
      </c>
      <c r="X1058" s="103" t="inlineStr"/>
      <c r="Y1058"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058" s="90" t="n"/>
      <c r="AA1058" s="90" t="n"/>
    </row>
    <row r="1059" s="112">
      <c r="A1059" s="72">
        <f>ROW()-1</f>
        <v/>
      </c>
      <c r="B1059" s="175" t="n"/>
      <c r="C1059" s="124" t="n">
        <v>2026</v>
      </c>
      <c r="D1059" s="125" t="n"/>
      <c r="E1059" s="103" t="n"/>
      <c r="F1059" s="175" t="n"/>
      <c r="G1059" s="175" t="n"/>
      <c r="H1059" s="176" t="n"/>
      <c r="I1059" s="103" t="inlineStr">
        <is>
          <t>查看扫描计划详情</t>
        </is>
      </c>
      <c r="J1059" s="93" t="inlineStr">
        <is>
          <t>EQ</t>
        </is>
      </c>
      <c r="K1059" s="102" t="n"/>
      <c r="L1059" s="102" t="inlineStr">
        <is>
          <t>处理流程和上行基本一致，为查询功能，未体现详情功能</t>
        </is>
      </c>
      <c r="M1059" s="85">
        <f>IF(OR(Y1059="估算法",Y1059="算法类",Y1059="无法识别"),"",IF(W1059="",IF(OR(J1059="EI",J1059="EO",J1059="EQ"),0,""),LEN(W1059)-LEN(SUBSTITUTE(W1059,"、",""))+1))</f>
        <v/>
      </c>
      <c r="N1059" s="85">
        <f>IF(OR(Y1059="估算法",Y1059="算法类",Y1059="无法识别"),"",IF(X1059="",IF(OR(J1059="ILF",J1059="EIF"),0,""),LEN(X1059)-LEN(SUBSTITUTE(X1059,"、",""))+1))</f>
        <v/>
      </c>
      <c r="O1059" s="85">
        <f>IF(OR(Y1059="估算法",Y1059="算法类",Y1059="无法识别"),"",IF(Y1059="",IF(OR(J1059="ILF",J1059="EIF",J1059="EI",J1059="EO",J1059="EQ"),0,""),LEN(Y1059)-LEN(SUBSTITUTE(SUBSTITUTE(SUBSTITUTE(SUBSTITUTE(SUBSTITUTE(Y1059,"|}","--"),"{|","--"),CHAR(10),""),"、",""),"|",""))+IF(AND(OR(J1059="EI",J1059="EO",J1059="EQ"),$AE$1="NESMA"),2,1)))</f>
        <v/>
      </c>
      <c r="P1059" s="86">
        <f>IF(J1059="EI",IF(OR(Y1059="估算法",Y1059="算法类"),"中",IF(Y1059="无法识别","低",IF(M1059&lt;2,IF(O1059&lt;16,"低","中"),IF(M1059&lt;3,IF(O1059&lt;5,"低",IF(O1059&lt;16,"中","高")),IF(O1059&lt;5,"中","高"))))),IF(OR(J1059="EO",J1059="EQ"),IF(OR(Y1059="估算法",Y1059="算法类"),"中",IF(Y1059="无法识别","低",IF(M1059&lt;2,IF(O1059&lt;20,"低","中"),IF(M1059&lt;4,IF(O1059&lt;6,"低",IF(O1059&lt;20,"中","高")),IF(O1059&lt;6,"中","高"))))),IF(OR(J1059="ILF",J1059="EIF"),IF(OR(Y1059="估算法",Y1059="算法类",Y1059="无法识别"),"低",IF(N1059&lt;2,IF(O1059&lt;51,"低","中"),IF(N1059&lt;6,IF(O1059&lt;20,"低",IF(O1059&lt;51,"中","高")),IF(O1059&lt;20,"中","高")))),"不计算")))</f>
        <v/>
      </c>
      <c r="Q1059" s="172">
        <f>IFERROR(IF(J1059="EI",IF(P1059="低",3,IF(P1059="中",4,6)),IF(J1059="EO",IF(P1059="低",4,IF(P1059="中",5,7)),IF(J1059="EQ",IF(P1059="低",3,IF(P1059="中",4,6)),IF(J1059="ILF",IF(P1059="低",7,IF(P1059="中",10,15)),IF(J1059="EIF",IF(P1059="低",5,IF(P1059="中",7,10)),"不计算")))))*R1059,"不计算")</f>
        <v/>
      </c>
      <c r="R1059" s="172" t="n">
        <v>0.333333333333333</v>
      </c>
      <c r="S1059" s="173">
        <f>调整因子!$F$13</f>
        <v/>
      </c>
      <c r="T1059" s="92" t="n">
        <v>1</v>
      </c>
      <c r="U1059" s="174">
        <f>IFERROR(Q1059*S1059,0)</f>
        <v/>
      </c>
      <c r="V1059" s="178">
        <f>U1059*T1059</f>
        <v/>
      </c>
      <c r="W1059" s="103" t="inlineStr">
        <is>
          <t>资产扫描覆盖表、扫描盲区记录表、扫描能力缺口表、离线扫描报告表、扫描策略模板表</t>
        </is>
      </c>
      <c r="X1059" s="103" t="inlineStr"/>
      <c r="Y1059"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059" s="90" t="n"/>
      <c r="AA1059" s="90" t="n"/>
    </row>
    <row r="1060" s="112">
      <c r="A1060" s="72">
        <f>ROW()-1</f>
        <v/>
      </c>
      <c r="B1060" s="175" t="n"/>
      <c r="C1060" s="124" t="n">
        <v>2026</v>
      </c>
      <c r="D1060" s="125" t="n"/>
      <c r="E1060" s="103" t="n"/>
      <c r="F1060" s="175" t="n"/>
      <c r="G1060" s="175" t="n"/>
      <c r="H1060" s="97" t="inlineStr">
        <is>
          <t>扫描节点调度管理</t>
        </is>
      </c>
      <c r="I1060" s="103" t="inlineStr">
        <is>
          <t>编辑节点调度策略</t>
        </is>
      </c>
      <c r="J1060" s="93" t="inlineStr">
        <is>
          <t>EI</t>
        </is>
      </c>
      <c r="K1060" s="102" t="n"/>
      <c r="L1060" s="102" t="n"/>
      <c r="M1060" s="85">
        <f>IF(OR(Y1060="估算法",Y1060="算法类",Y1060="无法识别"),"",IF(W1060="",IF(OR(J1060="EI",J1060="EO",J1060="EQ"),0,""),LEN(W1060)-LEN(SUBSTITUTE(W1060,"、",""))+1))</f>
        <v/>
      </c>
      <c r="N1060" s="85">
        <f>IF(OR(Y1060="估算法",Y1060="算法类",Y1060="无法识别"),"",IF(X1060="",IF(OR(J1060="ILF",J1060="EIF"),0,""),LEN(X1060)-LEN(SUBSTITUTE(X1060,"、",""))+1))</f>
        <v/>
      </c>
      <c r="O1060" s="85">
        <f>IF(OR(Y1060="估算法",Y1060="算法类",Y1060="无法识别"),"",IF(Y1060="",IF(OR(J1060="ILF",J1060="EIF",J1060="EI",J1060="EO",J1060="EQ"),0,""),LEN(Y1060)-LEN(SUBSTITUTE(SUBSTITUTE(SUBSTITUTE(SUBSTITUTE(SUBSTITUTE(Y1060,"|}","--"),"{|","--"),CHAR(10),""),"、",""),"|",""))+IF(AND(OR(J1060="EI",J1060="EO",J1060="EQ"),$AE$1="NESMA"),2,1)))</f>
        <v/>
      </c>
      <c r="P1060" s="86">
        <f>IF(J1060="EI",IF(OR(Y1060="估算法",Y1060="算法类"),"中",IF(Y1060="无法识别","低",IF(M1060&lt;2,IF(O1060&lt;16,"低","中"),IF(M1060&lt;3,IF(O1060&lt;5,"低",IF(O1060&lt;16,"中","高")),IF(O1060&lt;5,"中","高"))))),IF(OR(J1060="EO",J1060="EQ"),IF(OR(Y1060="估算法",Y1060="算法类"),"中",IF(Y1060="无法识别","低",IF(M1060&lt;2,IF(O1060&lt;20,"低","中"),IF(M1060&lt;4,IF(O1060&lt;6,"低",IF(O1060&lt;20,"中","高")),IF(O1060&lt;6,"中","高"))))),IF(OR(J1060="ILF",J1060="EIF"),IF(OR(Y1060="估算法",Y1060="算法类",Y1060="无法识别"),"低",IF(N1060&lt;2,IF(O1060&lt;51,"低","中"),IF(N1060&lt;6,IF(O1060&lt;20,"低",IF(O1060&lt;51,"中","高")),IF(O1060&lt;20,"中","高")))),"不计算")))</f>
        <v/>
      </c>
      <c r="Q1060" s="172">
        <f>IFERROR(IF(J1060="EI",IF(P1060="低",3,IF(P1060="中",4,6)),IF(J1060="EO",IF(P1060="低",4,IF(P1060="中",5,7)),IF(J1060="EQ",IF(P1060="低",3,IF(P1060="中",4,6)),IF(J1060="ILF",IF(P1060="低",7,IF(P1060="中",10,15)),IF(J1060="EIF",IF(P1060="低",5,IF(P1060="中",7,10)),"不计算")))))*R1060,"不计算")</f>
        <v/>
      </c>
      <c r="R1060" s="172" t="n">
        <v>0.333333333333333</v>
      </c>
      <c r="S1060" s="173">
        <f>调整因子!$F$13</f>
        <v/>
      </c>
      <c r="T1060" s="92" t="n">
        <v>1</v>
      </c>
      <c r="U1060" s="174">
        <f>IFERROR(Q1060*S1060,0)</f>
        <v/>
      </c>
      <c r="V1060" s="178">
        <f>U1060*T1060</f>
        <v/>
      </c>
      <c r="W1060" s="103" t="inlineStr">
        <is>
          <t>扫描策略模板表、提醒策略配置表、加密策略表、通报配置表、处置单配置表</t>
        </is>
      </c>
      <c r="X1060" s="103" t="inlineStr"/>
      <c r="Y1060"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is>
      </c>
      <c r="Z1060" s="90" t="n"/>
      <c r="AA1060" s="90" t="n"/>
    </row>
    <row r="1061" s="112">
      <c r="A1061" s="72">
        <f>ROW()-1</f>
        <v/>
      </c>
      <c r="B1061" s="175" t="n"/>
      <c r="C1061" s="124" t="n">
        <v>2026</v>
      </c>
      <c r="D1061" s="125" t="n"/>
      <c r="E1061" s="103" t="n"/>
      <c r="F1061" s="175" t="n"/>
      <c r="G1061" s="175" t="n"/>
      <c r="H1061" s="175" t="n"/>
      <c r="I1061" s="103" t="inlineStr">
        <is>
          <t>删除节点调度策略</t>
        </is>
      </c>
      <c r="J1061" s="93" t="inlineStr">
        <is>
          <t>EI</t>
        </is>
      </c>
      <c r="K1061" s="102" t="n"/>
      <c r="L1061" s="102" t="n"/>
      <c r="M1061" s="85">
        <f>IF(OR(Y1061="估算法",Y1061="算法类",Y1061="无法识别"),"",IF(W1061="",IF(OR(J1061="EI",J1061="EO",J1061="EQ"),0,""),LEN(W1061)-LEN(SUBSTITUTE(W1061,"、",""))+1))</f>
        <v/>
      </c>
      <c r="N1061" s="85">
        <f>IF(OR(Y1061="估算法",Y1061="算法类",Y1061="无法识别"),"",IF(X1061="",IF(OR(J1061="ILF",J1061="EIF"),0,""),LEN(X1061)-LEN(SUBSTITUTE(X1061,"、",""))+1))</f>
        <v/>
      </c>
      <c r="O1061" s="85">
        <f>IF(OR(Y1061="估算法",Y1061="算法类",Y1061="无法识别"),"",IF(Y1061="",IF(OR(J1061="ILF",J1061="EIF",J1061="EI",J1061="EO",J1061="EQ"),0,""),LEN(Y1061)-LEN(SUBSTITUTE(SUBSTITUTE(SUBSTITUTE(SUBSTITUTE(SUBSTITUTE(Y1061,"|}","--"),"{|","--"),CHAR(10),""),"、",""),"|",""))+IF(AND(OR(J1061="EI",J1061="EO",J1061="EQ"),$AE$1="NESMA"),2,1)))</f>
        <v/>
      </c>
      <c r="P1061" s="86">
        <f>IF(J1061="EI",IF(OR(Y1061="估算法",Y1061="算法类"),"中",IF(Y1061="无法识别","低",IF(M1061&lt;2,IF(O1061&lt;16,"低","中"),IF(M1061&lt;3,IF(O1061&lt;5,"低",IF(O1061&lt;16,"中","高")),IF(O1061&lt;5,"中","高"))))),IF(OR(J1061="EO",J1061="EQ"),IF(OR(Y1061="估算法",Y1061="算法类"),"中",IF(Y1061="无法识别","低",IF(M1061&lt;2,IF(O1061&lt;20,"低","中"),IF(M1061&lt;4,IF(O1061&lt;6,"低",IF(O1061&lt;20,"中","高")),IF(O1061&lt;6,"中","高"))))),IF(OR(J1061="ILF",J1061="EIF"),IF(OR(Y1061="估算法",Y1061="算法类",Y1061="无法识别"),"低",IF(N1061&lt;2,IF(O1061&lt;51,"低","中"),IF(N1061&lt;6,IF(O1061&lt;20,"低",IF(O1061&lt;51,"中","高")),IF(O1061&lt;20,"中","高")))),"不计算")))</f>
        <v/>
      </c>
      <c r="Q1061" s="172">
        <f>IFERROR(IF(J1061="EI",IF(P1061="低",3,IF(P1061="中",4,6)),IF(J1061="EO",IF(P1061="低",4,IF(P1061="中",5,7)),IF(J1061="EQ",IF(P1061="低",3,IF(P1061="中",4,6)),IF(J1061="ILF",IF(P1061="低",7,IF(P1061="中",10,15)),IF(J1061="EIF",IF(P1061="低",5,IF(P1061="中",7,10)),"不计算")))))*R1061,"不计算")</f>
        <v/>
      </c>
      <c r="R1061" s="172" t="n">
        <v>0.333333333333333</v>
      </c>
      <c r="S1061" s="173">
        <f>调整因子!$F$13</f>
        <v/>
      </c>
      <c r="T1061" s="93" t="n">
        <v>1</v>
      </c>
      <c r="U1061" s="174">
        <f>IFERROR(Q1061*S1061,0)</f>
        <v/>
      </c>
      <c r="V1061" s="178">
        <f>U1061*T1061</f>
        <v/>
      </c>
      <c r="W1061" s="103" t="inlineStr">
        <is>
          <t>扫描策略模板表、提醒策略配置表、加密策略表</t>
        </is>
      </c>
      <c r="X1061" s="103" t="inlineStr"/>
      <c r="Y1061"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is>
      </c>
      <c r="Z1061" s="90" t="n"/>
      <c r="AA1061" s="90" t="n"/>
    </row>
    <row r="1062" s="112">
      <c r="A1062" s="72">
        <f>ROW()-1</f>
        <v/>
      </c>
      <c r="B1062" s="175" t="n"/>
      <c r="C1062" s="124" t="n">
        <v>2026</v>
      </c>
      <c r="D1062" s="125" t="n"/>
      <c r="E1062" s="103" t="n"/>
      <c r="F1062" s="175" t="n"/>
      <c r="G1062" s="175" t="n"/>
      <c r="H1062" s="175" t="n"/>
      <c r="I1062" s="103" t="inlineStr">
        <is>
          <t>启用节点调度</t>
        </is>
      </c>
      <c r="J1062" s="93" t="inlineStr">
        <is>
          <t>EI</t>
        </is>
      </c>
      <c r="K1062" s="102" t="n"/>
      <c r="L1062" s="102" t="n"/>
      <c r="M1062" s="85">
        <f>IF(OR(Y1062="估算法",Y1062="算法类",Y1062="无法识别"),"",IF(W1062="",IF(OR(J1062="EI",J1062="EO",J1062="EQ"),0,""),LEN(W1062)-LEN(SUBSTITUTE(W1062,"、",""))+1))</f>
        <v/>
      </c>
      <c r="N1062" s="85">
        <f>IF(OR(Y1062="估算法",Y1062="算法类",Y1062="无法识别"),"",IF(X1062="",IF(OR(J1062="ILF",J1062="EIF"),0,""),LEN(X1062)-LEN(SUBSTITUTE(X1062,"、",""))+1))</f>
        <v/>
      </c>
      <c r="O1062" s="85">
        <f>IF(OR(Y1062="估算法",Y1062="算法类",Y1062="无法识别"),"",IF(Y1062="",IF(OR(J1062="ILF",J1062="EIF",J1062="EI",J1062="EO",J1062="EQ"),0,""),LEN(Y1062)-LEN(SUBSTITUTE(SUBSTITUTE(SUBSTITUTE(SUBSTITUTE(SUBSTITUTE(Y1062,"|}","--"),"{|","--"),CHAR(10),""),"、",""),"|",""))+IF(AND(OR(J1062="EI",J1062="EO",J1062="EQ"),$AE$1="NESMA"),2,1)))</f>
        <v/>
      </c>
      <c r="P1062" s="86">
        <f>IF(J1062="EI",IF(OR(Y1062="估算法",Y1062="算法类"),"中",IF(Y1062="无法识别","低",IF(M1062&lt;2,IF(O1062&lt;16,"低","中"),IF(M1062&lt;3,IF(O1062&lt;5,"低",IF(O1062&lt;16,"中","高")),IF(O1062&lt;5,"中","高"))))),IF(OR(J1062="EO",J1062="EQ"),IF(OR(Y1062="估算法",Y1062="算法类"),"中",IF(Y1062="无法识别","低",IF(M1062&lt;2,IF(O1062&lt;20,"低","中"),IF(M1062&lt;4,IF(O1062&lt;6,"低",IF(O1062&lt;20,"中","高")),IF(O1062&lt;6,"中","高"))))),IF(OR(J1062="ILF",J1062="EIF"),IF(OR(Y1062="估算法",Y1062="算法类",Y1062="无法识别"),"低",IF(N1062&lt;2,IF(O1062&lt;51,"低","中"),IF(N1062&lt;6,IF(O1062&lt;20,"低",IF(O1062&lt;51,"中","高")),IF(O1062&lt;20,"中","高")))),"不计算")))</f>
        <v/>
      </c>
      <c r="Q1062" s="172">
        <f>IFERROR(IF(J1062="EI",IF(P1062="低",3,IF(P1062="中",4,6)),IF(J1062="EO",IF(P1062="低",4,IF(P1062="中",5,7)),IF(J1062="EQ",IF(P1062="低",3,IF(P1062="中",4,6)),IF(J1062="ILF",IF(P1062="低",7,IF(P1062="中",10,15)),IF(J1062="EIF",IF(P1062="低",5,IF(P1062="中",7,10)),"不计算")))))*R1062,"不计算")</f>
        <v/>
      </c>
      <c r="R1062" s="172" t="n">
        <v>0.333333333333333</v>
      </c>
      <c r="S1062" s="173">
        <f>调整因子!$F$13</f>
        <v/>
      </c>
      <c r="T1062" s="93" t="n">
        <v>1</v>
      </c>
      <c r="U1062" s="174">
        <f>IFERROR(Q1062*S1062,0)</f>
        <v/>
      </c>
      <c r="V1062" s="178">
        <f>U1062*T1062</f>
        <v/>
      </c>
      <c r="W1062" s="103" t="inlineStr">
        <is>
          <t>修复步骤表、模板配置表、脱敏规则表、报告解析结果表、漏洞统计数据表</t>
        </is>
      </c>
      <c r="X1062" s="103" t="inlineStr"/>
      <c r="Y1062" s="97" t="inlineStr">
        <is>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is>
      </c>
      <c r="Z1062" s="90" t="n"/>
      <c r="AA1062" s="90" t="n"/>
    </row>
    <row r="1063" s="112">
      <c r="A1063" s="72">
        <f>ROW()-1</f>
        <v/>
      </c>
      <c r="B1063" s="175" t="n"/>
      <c r="C1063" s="124" t="n">
        <v>2026</v>
      </c>
      <c r="D1063" s="125" t="n"/>
      <c r="E1063" s="103" t="n"/>
      <c r="F1063" s="175" t="n"/>
      <c r="G1063" s="175" t="n"/>
      <c r="H1063" s="175" t="n"/>
      <c r="I1063" s="103" t="inlineStr">
        <is>
          <t>停用节点调度</t>
        </is>
      </c>
      <c r="J1063" s="93" t="n"/>
      <c r="K1063" s="102" t="n"/>
      <c r="L1063" s="102" t="inlineStr">
        <is>
          <t>和上行合并，启停为相同功能</t>
        </is>
      </c>
      <c r="M1063" s="85">
        <f>IF(OR(Y1063="估算法",Y1063="算法类",Y1063="无法识别"),"",IF(W1063="",IF(OR(J1063="EI",J1063="EO",J1063="EQ"),0,""),LEN(W1063)-LEN(SUBSTITUTE(W1063,"、",""))+1))</f>
        <v/>
      </c>
      <c r="N1063" s="85">
        <f>IF(OR(Y1063="估算法",Y1063="算法类",Y1063="无法识别"),"",IF(X1063="",IF(OR(J1063="ILF",J1063="EIF"),0,""),LEN(X1063)-LEN(SUBSTITUTE(X1063,"、",""))+1))</f>
        <v/>
      </c>
      <c r="O1063" s="85">
        <f>IF(OR(Y1063="估算法",Y1063="算法类",Y1063="无法识别"),"",IF(Y1063="",IF(OR(J1063="ILF",J1063="EIF",J1063="EI",J1063="EO",J1063="EQ"),0,""),LEN(Y1063)-LEN(SUBSTITUTE(SUBSTITUTE(SUBSTITUTE(SUBSTITUTE(SUBSTITUTE(Y1063,"|}","--"),"{|","--"),CHAR(10),""),"、",""),"|",""))+IF(AND(OR(J1063="EI",J1063="EO",J1063="EQ"),$AE$1="NESMA"),2,1)))</f>
        <v/>
      </c>
      <c r="P1063" s="86">
        <f>IF(J1063="EI",IF(OR(Y1063="估算法",Y1063="算法类"),"中",IF(Y1063="无法识别","低",IF(M1063&lt;2,IF(O1063&lt;16,"低","中"),IF(M1063&lt;3,IF(O1063&lt;5,"低",IF(O1063&lt;16,"中","高")),IF(O1063&lt;5,"中","高"))))),IF(OR(J1063="EO",J1063="EQ"),IF(OR(Y1063="估算法",Y1063="算法类"),"中",IF(Y1063="无法识别","低",IF(M1063&lt;2,IF(O1063&lt;20,"低","中"),IF(M1063&lt;4,IF(O1063&lt;6,"低",IF(O1063&lt;20,"中","高")),IF(O1063&lt;6,"中","高"))))),IF(OR(J1063="ILF",J1063="EIF"),IF(OR(Y1063="估算法",Y1063="算法类",Y1063="无法识别"),"低",IF(N1063&lt;2,IF(O1063&lt;51,"低","中"),IF(N1063&lt;6,IF(O1063&lt;20,"低",IF(O1063&lt;51,"中","高")),IF(O1063&lt;20,"中","高")))),"不计算")))</f>
        <v/>
      </c>
      <c r="Q1063" s="172">
        <f>IFERROR(IF(J1063="EI",IF(P1063="低",3,IF(P1063="中",4,6)),IF(J1063="EO",IF(P1063="低",4,IF(P1063="中",5,7)),IF(J1063="EQ",IF(P1063="低",3,IF(P1063="中",4,6)),IF(J1063="ILF",IF(P1063="低",7,IF(P1063="中",10,15)),IF(J1063="EIF",IF(P1063="低",5,IF(P1063="中",7,10)),"不计算")))))*R1063,"不计算")</f>
        <v/>
      </c>
      <c r="R1063" s="172" t="n">
        <v>0.333333333333333</v>
      </c>
      <c r="S1063" s="173">
        <f>调整因子!$F$13</f>
        <v/>
      </c>
      <c r="T1063" s="92" t="n">
        <v>1</v>
      </c>
      <c r="U1063" s="174">
        <f>IFERROR(Q1063*S1063,0)</f>
        <v/>
      </c>
      <c r="V1063" s="178">
        <f>U1063*T1063</f>
        <v/>
      </c>
      <c r="W1063" s="103" t="inlineStr">
        <is>
          <t>任务队列表、处置单关联表、分布分析表、模板分类表</t>
        </is>
      </c>
      <c r="X1063" s="103" t="inlineStr"/>
      <c r="Y1063" s="97" t="inlineStr">
        <is>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is>
      </c>
      <c r="Z1063" s="90" t="n"/>
      <c r="AA1063" s="90" t="n"/>
    </row>
    <row r="1064" s="112">
      <c r="A1064" s="72">
        <f>ROW()-1</f>
        <v/>
      </c>
      <c r="B1064" s="175" t="n"/>
      <c r="C1064" s="124" t="n">
        <v>2026</v>
      </c>
      <c r="D1064" s="125" t="n"/>
      <c r="E1064" s="103" t="n"/>
      <c r="F1064" s="175" t="n"/>
      <c r="G1064" s="175" t="n"/>
      <c r="H1064" s="175" t="n"/>
      <c r="I1064" s="103" t="inlineStr">
        <is>
          <t>导出调度配置</t>
        </is>
      </c>
      <c r="J1064" s="93" t="inlineStr">
        <is>
          <t>EO</t>
        </is>
      </c>
      <c r="K1064" s="102" t="n"/>
      <c r="L1064" s="102" t="n"/>
      <c r="M1064" s="85">
        <f>IF(OR(Y1064="估算法",Y1064="算法类",Y1064="无法识别"),"",IF(W1064="",IF(OR(J1064="EI",J1064="EO",J1064="EQ"),0,""),LEN(W1064)-LEN(SUBSTITUTE(W1064,"、",""))+1))</f>
        <v/>
      </c>
      <c r="N1064" s="85">
        <f>IF(OR(Y1064="估算法",Y1064="算法类",Y1064="无法识别"),"",IF(X1064="",IF(OR(J1064="ILF",J1064="EIF"),0,""),LEN(X1064)-LEN(SUBSTITUTE(X1064,"、",""))+1))</f>
        <v/>
      </c>
      <c r="O1064" s="85">
        <f>IF(OR(Y1064="估算法",Y1064="算法类",Y1064="无法识别"),"",IF(Y1064="",IF(OR(J1064="ILF",J1064="EIF",J1064="EI",J1064="EO",J1064="EQ"),0,""),LEN(Y1064)-LEN(SUBSTITUTE(SUBSTITUTE(SUBSTITUTE(SUBSTITUTE(SUBSTITUTE(Y1064,"|}","--"),"{|","--"),CHAR(10),""),"、",""),"|",""))+IF(AND(OR(J1064="EI",J1064="EO",J1064="EQ"),$AE$1="NESMA"),2,1)))</f>
        <v/>
      </c>
      <c r="P1064" s="86">
        <f>IF(J1064="EI",IF(OR(Y1064="估算法",Y1064="算法类"),"中",IF(Y1064="无法识别","低",IF(M1064&lt;2,IF(O1064&lt;16,"低","中"),IF(M1064&lt;3,IF(O1064&lt;5,"低",IF(O1064&lt;16,"中","高")),IF(O1064&lt;5,"中","高"))))),IF(OR(J1064="EO",J1064="EQ"),IF(OR(Y1064="估算法",Y1064="算法类"),"中",IF(Y1064="无法识别","低",IF(M1064&lt;2,IF(O1064&lt;20,"低","中"),IF(M1064&lt;4,IF(O1064&lt;6,"低",IF(O1064&lt;20,"中","高")),IF(O1064&lt;6,"中","高"))))),IF(OR(J1064="ILF",J1064="EIF"),IF(OR(Y1064="估算法",Y1064="算法类",Y1064="无法识别"),"低",IF(N1064&lt;2,IF(O1064&lt;51,"低","中"),IF(N1064&lt;6,IF(O1064&lt;20,"低",IF(O1064&lt;51,"中","高")),IF(O1064&lt;20,"中","高")))),"不计算")))</f>
        <v/>
      </c>
      <c r="Q1064" s="172">
        <f>IFERROR(IF(J1064="EI",IF(P1064="低",3,IF(P1064="中",4,6)),IF(J1064="EO",IF(P1064="低",4,IF(P1064="中",5,7)),IF(J1064="EQ",IF(P1064="低",3,IF(P1064="中",4,6)),IF(J1064="ILF",IF(P1064="低",7,IF(P1064="中",10,15)),IF(J1064="EIF",IF(P1064="低",5,IF(P1064="中",7,10)),"不计算")))))*R1064,"不计算")</f>
        <v/>
      </c>
      <c r="R1064" s="172" t="n">
        <v>0.333333333333333</v>
      </c>
      <c r="S1064" s="173">
        <f>调整因子!$F$13</f>
        <v/>
      </c>
      <c r="T1064" s="92" t="n">
        <v>1</v>
      </c>
      <c r="U1064" s="174">
        <f>IFERROR(Q1064*S1064,0)</f>
        <v/>
      </c>
      <c r="V1064" s="178">
        <f>U1064*T1064</f>
        <v/>
      </c>
      <c r="W1064" s="103" t="inlineStr">
        <is>
          <t>任务优先级配置表、模板参数配置表、处置单配置表</t>
        </is>
      </c>
      <c r="X1064" s="103" t="inlineStr"/>
      <c r="Y1064"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1064" s="90" t="n"/>
      <c r="AA1064" s="90" t="n"/>
    </row>
    <row r="1065" s="112">
      <c r="A1065" s="72">
        <f>ROW()-1</f>
        <v/>
      </c>
      <c r="B1065" s="175" t="n"/>
      <c r="C1065" s="124" t="n">
        <v>2026</v>
      </c>
      <c r="D1065" s="125" t="n"/>
      <c r="E1065" s="103" t="n"/>
      <c r="F1065" s="175" t="n"/>
      <c r="G1065" s="175" t="n"/>
      <c r="H1065" s="175" t="n"/>
      <c r="I1065" s="103" t="inlineStr">
        <is>
          <t>查询节点调度状态</t>
        </is>
      </c>
      <c r="J1065" s="93" t="inlineStr">
        <is>
          <t>EQ</t>
        </is>
      </c>
      <c r="K1065" s="102" t="n"/>
      <c r="L1065" s="102" t="inlineStr">
        <is>
          <t>处理流程和上行基本一致，为查询功能，未体现详情功能</t>
        </is>
      </c>
      <c r="M1065" s="85">
        <f>IF(OR(Y1065="估算法",Y1065="算法类",Y1065="无法识别"),"",IF(W1065="",IF(OR(J1065="EI",J1065="EO",J1065="EQ"),0,""),LEN(W1065)-LEN(SUBSTITUTE(W1065,"、",""))+1))</f>
        <v/>
      </c>
      <c r="N1065" s="85">
        <f>IF(OR(Y1065="估算法",Y1065="算法类",Y1065="无法识别"),"",IF(X1065="",IF(OR(J1065="ILF",J1065="EIF"),0,""),LEN(X1065)-LEN(SUBSTITUTE(X1065,"、",""))+1))</f>
        <v/>
      </c>
      <c r="O1065" s="85">
        <f>IF(OR(Y1065="估算法",Y1065="算法类",Y1065="无法识别"),"",IF(Y1065="",IF(OR(J1065="ILF",J1065="EIF",J1065="EI",J1065="EO",J1065="EQ"),0,""),LEN(Y1065)-LEN(SUBSTITUTE(SUBSTITUTE(SUBSTITUTE(SUBSTITUTE(SUBSTITUTE(Y1065,"|}","--"),"{|","--"),CHAR(10),""),"、",""),"|",""))+IF(AND(OR(J1065="EI",J1065="EO",J1065="EQ"),$AE$1="NESMA"),2,1)))</f>
        <v/>
      </c>
      <c r="P1065" s="86">
        <f>IF(J1065="EI",IF(OR(Y1065="估算法",Y1065="算法类"),"中",IF(Y1065="无法识别","低",IF(M1065&lt;2,IF(O1065&lt;16,"低","中"),IF(M1065&lt;3,IF(O1065&lt;5,"低",IF(O1065&lt;16,"中","高")),IF(O1065&lt;5,"中","高"))))),IF(OR(J1065="EO",J1065="EQ"),IF(OR(Y1065="估算法",Y1065="算法类"),"中",IF(Y1065="无法识别","低",IF(M1065&lt;2,IF(O1065&lt;20,"低","中"),IF(M1065&lt;4,IF(O1065&lt;6,"低",IF(O1065&lt;20,"中","高")),IF(O1065&lt;6,"中","高"))))),IF(OR(J1065="ILF",J1065="EIF"),IF(OR(Y1065="估算法",Y1065="算法类",Y1065="无法识别"),"低",IF(N1065&lt;2,IF(O1065&lt;51,"低","中"),IF(N1065&lt;6,IF(O1065&lt;20,"低",IF(O1065&lt;51,"中","高")),IF(O1065&lt;20,"中","高")))),"不计算")))</f>
        <v/>
      </c>
      <c r="Q1065" s="172">
        <f>IFERROR(IF(J1065="EI",IF(P1065="低",3,IF(P1065="中",4,6)),IF(J1065="EO",IF(P1065="低",4,IF(P1065="中",5,7)),IF(J1065="EQ",IF(P1065="低",3,IF(P1065="中",4,6)),IF(J1065="ILF",IF(P1065="低",7,IF(P1065="中",10,15)),IF(J1065="EIF",IF(P1065="低",5,IF(P1065="中",7,10)),"不计算")))))*R1065,"不计算")</f>
        <v/>
      </c>
      <c r="R1065" s="172" t="n">
        <v>0.333333333333333</v>
      </c>
      <c r="S1065" s="173">
        <f>调整因子!$F$13</f>
        <v/>
      </c>
      <c r="T1065" s="93" t="n">
        <v>1</v>
      </c>
      <c r="U1065" s="174">
        <f>IFERROR(Q1065*S1065,0)</f>
        <v/>
      </c>
      <c r="V1065" s="178">
        <f>U1065*T1065</f>
        <v/>
      </c>
      <c r="W1065" s="103" t="inlineStr">
        <is>
          <t>模板参数配置表、任务趋势分析表、日志查询记录表</t>
        </is>
      </c>
      <c r="X1065" s="103" t="inlineStr"/>
      <c r="Y1065" s="97" t="inlineStr">
        <is>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is>
      </c>
      <c r="Z1065" s="90" t="n"/>
      <c r="AA1065" s="90" t="n"/>
    </row>
    <row r="1066" s="112">
      <c r="A1066" s="72">
        <f>ROW()-1</f>
        <v/>
      </c>
      <c r="B1066" s="175" t="n"/>
      <c r="C1066" s="124" t="n">
        <v>2026</v>
      </c>
      <c r="D1066" s="125" t="n"/>
      <c r="E1066" s="103" t="n"/>
      <c r="F1066" s="175" t="n"/>
      <c r="G1066" s="175" t="n"/>
      <c r="H1066" s="176" t="n"/>
      <c r="I1066" s="103" t="inlineStr">
        <is>
          <t>查看资源分配情况</t>
        </is>
      </c>
      <c r="J1066" s="93" t="inlineStr">
        <is>
          <t>EQ</t>
        </is>
      </c>
      <c r="K1066" s="102" t="n"/>
      <c r="L1066" s="102" t="inlineStr">
        <is>
          <t>处理流程和上行基本一致，为查询功能，未体现详情功能</t>
        </is>
      </c>
      <c r="M1066" s="85">
        <f>IF(OR(Y1066="估算法",Y1066="算法类",Y1066="无法识别"),"",IF(W1066="",IF(OR(J1066="EI",J1066="EO",J1066="EQ"),0,""),LEN(W1066)-LEN(SUBSTITUTE(W1066,"、",""))+1))</f>
        <v/>
      </c>
      <c r="N1066" s="85">
        <f>IF(OR(Y1066="估算法",Y1066="算法类",Y1066="无法识别"),"",IF(X1066="",IF(OR(J1066="ILF",J1066="EIF"),0,""),LEN(X1066)-LEN(SUBSTITUTE(X1066,"、",""))+1))</f>
        <v/>
      </c>
      <c r="O1066" s="85">
        <f>IF(OR(Y1066="估算法",Y1066="算法类",Y1066="无法识别"),"",IF(Y1066="",IF(OR(J1066="ILF",J1066="EIF",J1066="EI",J1066="EO",J1066="EQ"),0,""),LEN(Y1066)-LEN(SUBSTITUTE(SUBSTITUTE(SUBSTITUTE(SUBSTITUTE(SUBSTITUTE(Y1066,"|}","--"),"{|","--"),CHAR(10),""),"、",""),"|",""))+IF(AND(OR(J1066="EI",J1066="EO",J1066="EQ"),$AE$1="NESMA"),2,1)))</f>
        <v/>
      </c>
      <c r="P1066" s="86">
        <f>IF(J1066="EI",IF(OR(Y1066="估算法",Y1066="算法类"),"中",IF(Y1066="无法识别","低",IF(M1066&lt;2,IF(O1066&lt;16,"低","中"),IF(M1066&lt;3,IF(O1066&lt;5,"低",IF(O1066&lt;16,"中","高")),IF(O1066&lt;5,"中","高"))))),IF(OR(J1066="EO",J1066="EQ"),IF(OR(Y1066="估算法",Y1066="算法类"),"中",IF(Y1066="无法识别","低",IF(M1066&lt;2,IF(O1066&lt;20,"低","中"),IF(M1066&lt;4,IF(O1066&lt;6,"低",IF(O1066&lt;20,"中","高")),IF(O1066&lt;6,"中","高"))))),IF(OR(J1066="ILF",J1066="EIF"),IF(OR(Y1066="估算法",Y1066="算法类",Y1066="无法识别"),"低",IF(N1066&lt;2,IF(O1066&lt;51,"低","中"),IF(N1066&lt;6,IF(O1066&lt;20,"低",IF(O1066&lt;51,"中","高")),IF(O1066&lt;20,"中","高")))),"不计算")))</f>
        <v/>
      </c>
      <c r="Q1066" s="172">
        <f>IFERROR(IF(J1066="EI",IF(P1066="低",3,IF(P1066="中",4,6)),IF(J1066="EO",IF(P1066="低",4,IF(P1066="中",5,7)),IF(J1066="EQ",IF(P1066="低",3,IF(P1066="中",4,6)),IF(J1066="ILF",IF(P1066="低",7,IF(P1066="中",10,15)),IF(J1066="EIF",IF(P1066="低",5,IF(P1066="中",7,10)),"不计算")))))*R1066,"不计算")</f>
        <v/>
      </c>
      <c r="R1066" s="172" t="n">
        <v>0.333333333333333</v>
      </c>
      <c r="S1066" s="173">
        <f>调整因子!$F$13</f>
        <v/>
      </c>
      <c r="T1066" s="92" t="n">
        <v>1</v>
      </c>
      <c r="U1066" s="174">
        <f>IFERROR(Q1066*S1066,0)</f>
        <v/>
      </c>
      <c r="V1066" s="178">
        <f>U1066*T1066</f>
        <v/>
      </c>
      <c r="W1066" s="103" t="inlineStr">
        <is>
          <t>验证记录表、通报对象表、数据清洗任务表、漏洞处置推送接口配置表</t>
        </is>
      </c>
      <c r="X1066" s="103" t="inlineStr"/>
      <c r="Y1066" s="97" t="inlineStr">
        <is>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is>
      </c>
      <c r="Z1066" s="90" t="n"/>
      <c r="AA1066" s="90" t="n"/>
    </row>
    <row r="1067" s="112">
      <c r="A1067" s="72">
        <f>ROW()-1</f>
        <v/>
      </c>
      <c r="B1067" s="175" t="n"/>
      <c r="C1067" s="124" t="n">
        <v>2026</v>
      </c>
      <c r="D1067" s="125" t="n"/>
      <c r="E1067" s="103" t="n"/>
      <c r="F1067" s="175" t="n"/>
      <c r="G1067" s="175" t="n"/>
      <c r="H1067" s="97" t="inlineStr">
        <is>
          <t>智能匹配管理</t>
        </is>
      </c>
      <c r="I1067" s="103" t="inlineStr">
        <is>
          <t>编辑智能匹配规则</t>
        </is>
      </c>
      <c r="J1067" s="93" t="inlineStr">
        <is>
          <t>EI</t>
        </is>
      </c>
      <c r="K1067" s="102" t="n"/>
      <c r="L1067" s="102" t="n"/>
      <c r="M1067" s="85">
        <f>IF(OR(Y1067="估算法",Y1067="算法类",Y1067="无法识别"),"",IF(W1067="",IF(OR(J1067="EI",J1067="EO",J1067="EQ"),0,""),LEN(W1067)-LEN(SUBSTITUTE(W1067,"、",""))+1))</f>
        <v/>
      </c>
      <c r="N1067" s="85">
        <f>IF(OR(Y1067="估算法",Y1067="算法类",Y1067="无法识别"),"",IF(X1067="",IF(OR(J1067="ILF",J1067="EIF"),0,""),LEN(X1067)-LEN(SUBSTITUTE(X1067,"、",""))+1))</f>
        <v/>
      </c>
      <c r="O1067" s="85">
        <f>IF(OR(Y1067="估算法",Y1067="算法类",Y1067="无法识别"),"",IF(Y1067="",IF(OR(J1067="ILF",J1067="EIF",J1067="EI",J1067="EO",J1067="EQ"),0,""),LEN(Y1067)-LEN(SUBSTITUTE(SUBSTITUTE(SUBSTITUTE(SUBSTITUTE(SUBSTITUTE(Y1067,"|}","--"),"{|","--"),CHAR(10),""),"、",""),"|",""))+IF(AND(OR(J1067="EI",J1067="EO",J1067="EQ"),$AE$1="NESMA"),2,1)))</f>
        <v/>
      </c>
      <c r="P1067" s="86">
        <f>IF(J1067="EI",IF(OR(Y1067="估算法",Y1067="算法类"),"中",IF(Y1067="无法识别","低",IF(M1067&lt;2,IF(O1067&lt;16,"低","中"),IF(M1067&lt;3,IF(O1067&lt;5,"低",IF(O1067&lt;16,"中","高")),IF(O1067&lt;5,"中","高"))))),IF(OR(J1067="EO",J1067="EQ"),IF(OR(Y1067="估算法",Y1067="算法类"),"中",IF(Y1067="无法识别","低",IF(M1067&lt;2,IF(O1067&lt;20,"低","中"),IF(M1067&lt;4,IF(O1067&lt;6,"低",IF(O1067&lt;20,"中","高")),IF(O1067&lt;6,"中","高"))))),IF(OR(J1067="ILF",J1067="EIF"),IF(OR(Y1067="估算法",Y1067="算法类",Y1067="无法识别"),"低",IF(N1067&lt;2,IF(O1067&lt;51,"低","中"),IF(N1067&lt;6,IF(O1067&lt;20,"低",IF(O1067&lt;51,"中","高")),IF(O1067&lt;20,"中","高")))),"不计算")))</f>
        <v/>
      </c>
      <c r="Q1067" s="172">
        <f>IFERROR(IF(J1067="EI",IF(P1067="低",3,IF(P1067="中",4,6)),IF(J1067="EO",IF(P1067="低",4,IF(P1067="中",5,7)),IF(J1067="EQ",IF(P1067="低",3,IF(P1067="中",4,6)),IF(J1067="ILF",IF(P1067="低",7,IF(P1067="中",10,15)),IF(J1067="EIF",IF(P1067="低",5,IF(P1067="中",7,10)),"不计算")))))*R1067,"不计算")</f>
        <v/>
      </c>
      <c r="R1067" s="172" t="n">
        <v>0.333333333333333</v>
      </c>
      <c r="S1067" s="173">
        <f>调整因子!$F$13</f>
        <v/>
      </c>
      <c r="T1067" s="92" t="n">
        <v>1</v>
      </c>
      <c r="U1067" s="174">
        <f>IFERROR(Q1067*S1067,0)</f>
        <v/>
      </c>
      <c r="V1067" s="178">
        <f>U1067*T1067</f>
        <v/>
      </c>
      <c r="W1067" s="103" t="inlineStr">
        <is>
          <t>推送规则表、提醒规则表、脱敏规则表、加密规则表、推送结果表</t>
        </is>
      </c>
      <c r="X1067" s="103" t="inlineStr"/>
      <c r="Y1067"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is>
      </c>
      <c r="Z1067" s="90" t="n"/>
      <c r="AA1067" s="90" t="n"/>
    </row>
    <row r="1068" s="112">
      <c r="A1068" s="72">
        <f>ROW()-1</f>
        <v/>
      </c>
      <c r="B1068" s="175" t="n"/>
      <c r="C1068" s="124" t="n">
        <v>2026</v>
      </c>
      <c r="D1068" s="125" t="n"/>
      <c r="E1068" s="103" t="n"/>
      <c r="F1068" s="175" t="n"/>
      <c r="G1068" s="175" t="n"/>
      <c r="H1068" s="175" t="n"/>
      <c r="I1068" s="103" t="inlineStr">
        <is>
          <t>删除智能匹配规则</t>
        </is>
      </c>
      <c r="J1068" s="93" t="inlineStr">
        <is>
          <t>EI</t>
        </is>
      </c>
      <c r="K1068" s="102" t="n"/>
      <c r="L1068" s="102" t="n"/>
      <c r="M1068" s="85">
        <f>IF(OR(Y1068="估算法",Y1068="算法类",Y1068="无法识别"),"",IF(W1068="",IF(OR(J1068="EI",J1068="EO",J1068="EQ"),0,""),LEN(W1068)-LEN(SUBSTITUTE(W1068,"、",""))+1))</f>
        <v/>
      </c>
      <c r="N1068" s="85">
        <f>IF(OR(Y1068="估算法",Y1068="算法类",Y1068="无法识别"),"",IF(X1068="",IF(OR(J1068="ILF",J1068="EIF"),0,""),LEN(X1068)-LEN(SUBSTITUTE(X1068,"、",""))+1))</f>
        <v/>
      </c>
      <c r="O1068" s="85">
        <f>IF(OR(Y1068="估算法",Y1068="算法类",Y1068="无法识别"),"",IF(Y1068="",IF(OR(J1068="ILF",J1068="EIF",J1068="EI",J1068="EO",J1068="EQ"),0,""),LEN(Y1068)-LEN(SUBSTITUTE(SUBSTITUTE(SUBSTITUTE(SUBSTITUTE(SUBSTITUTE(Y1068,"|}","--"),"{|","--"),CHAR(10),""),"、",""),"|",""))+IF(AND(OR(J1068="EI",J1068="EO",J1068="EQ"),$AE$1="NESMA"),2,1)))</f>
        <v/>
      </c>
      <c r="P1068" s="86">
        <f>IF(J1068="EI",IF(OR(Y1068="估算法",Y1068="算法类"),"中",IF(Y1068="无法识别","低",IF(M1068&lt;2,IF(O1068&lt;16,"低","中"),IF(M1068&lt;3,IF(O1068&lt;5,"低",IF(O1068&lt;16,"中","高")),IF(O1068&lt;5,"中","高"))))),IF(OR(J1068="EO",J1068="EQ"),IF(OR(Y1068="估算法",Y1068="算法类"),"中",IF(Y1068="无法识别","低",IF(M1068&lt;2,IF(O1068&lt;20,"低","中"),IF(M1068&lt;4,IF(O1068&lt;6,"低",IF(O1068&lt;20,"中","高")),IF(O1068&lt;6,"中","高"))))),IF(OR(J1068="ILF",J1068="EIF"),IF(OR(Y1068="估算法",Y1068="算法类",Y1068="无法识别"),"低",IF(N1068&lt;2,IF(O1068&lt;51,"低","中"),IF(N1068&lt;6,IF(O1068&lt;20,"低",IF(O1068&lt;51,"中","高")),IF(O1068&lt;20,"中","高")))),"不计算")))</f>
        <v/>
      </c>
      <c r="Q1068" s="172">
        <f>IFERROR(IF(J1068="EI",IF(P1068="低",3,IF(P1068="中",4,6)),IF(J1068="EO",IF(P1068="低",4,IF(P1068="中",5,7)),IF(J1068="EQ",IF(P1068="低",3,IF(P1068="中",4,6)),IF(J1068="ILF",IF(P1068="低",7,IF(P1068="中",10,15)),IF(J1068="EIF",IF(P1068="低",5,IF(P1068="中",7,10)),"不计算")))))*R1068,"不计算")</f>
        <v/>
      </c>
      <c r="R1068" s="172" t="n">
        <v>0.333333333333333</v>
      </c>
      <c r="S1068" s="173">
        <f>调整因子!$F$13</f>
        <v/>
      </c>
      <c r="T1068" s="93" t="n">
        <v>1</v>
      </c>
      <c r="U1068" s="174">
        <f>IFERROR(Q1068*S1068,0)</f>
        <v/>
      </c>
      <c r="V1068" s="178">
        <f>U1068*T1068</f>
        <v/>
      </c>
      <c r="W1068" s="103" t="inlineStr">
        <is>
          <t>推送规则表、提醒规则表、脱敏规则表</t>
        </is>
      </c>
      <c r="X1068" s="103" t="inlineStr"/>
      <c r="Y1068"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068" s="90" t="n"/>
      <c r="AA1068" s="90" t="n"/>
    </row>
    <row r="1069" s="112">
      <c r="A1069" s="72">
        <f>ROW()-1</f>
        <v/>
      </c>
      <c r="B1069" s="175" t="n"/>
      <c r="C1069" s="124" t="n">
        <v>2026</v>
      </c>
      <c r="D1069" s="125" t="n"/>
      <c r="E1069" s="103" t="n"/>
      <c r="F1069" s="175" t="n"/>
      <c r="G1069" s="175" t="n"/>
      <c r="H1069" s="175" t="n"/>
      <c r="I1069" s="103" t="inlineStr">
        <is>
          <t>启用智能匹配</t>
        </is>
      </c>
      <c r="J1069" s="93" t="inlineStr">
        <is>
          <t>EI</t>
        </is>
      </c>
      <c r="K1069" s="102" t="n"/>
      <c r="L1069" s="102" t="n"/>
      <c r="M1069" s="85">
        <f>IF(OR(Y1069="估算法",Y1069="算法类",Y1069="无法识别"),"",IF(W1069="",IF(OR(J1069="EI",J1069="EO",J1069="EQ"),0,""),LEN(W1069)-LEN(SUBSTITUTE(W1069,"、",""))+1))</f>
        <v/>
      </c>
      <c r="N1069" s="85">
        <f>IF(OR(Y1069="估算法",Y1069="算法类",Y1069="无法识别"),"",IF(X1069="",IF(OR(J1069="ILF",J1069="EIF"),0,""),LEN(X1069)-LEN(SUBSTITUTE(X1069,"、",""))+1))</f>
        <v/>
      </c>
      <c r="O1069" s="85">
        <f>IF(OR(Y1069="估算法",Y1069="算法类",Y1069="无法识别"),"",IF(Y1069="",IF(OR(J1069="ILF",J1069="EIF",J1069="EI",J1069="EO",J1069="EQ"),0,""),LEN(Y1069)-LEN(SUBSTITUTE(SUBSTITUTE(SUBSTITUTE(SUBSTITUTE(SUBSTITUTE(Y1069,"|}","--"),"{|","--"),CHAR(10),""),"、",""),"|",""))+IF(AND(OR(J1069="EI",J1069="EO",J1069="EQ"),$AE$1="NESMA"),2,1)))</f>
        <v/>
      </c>
      <c r="P1069" s="86">
        <f>IF(J1069="EI",IF(OR(Y1069="估算法",Y1069="算法类"),"中",IF(Y1069="无法识别","低",IF(M1069&lt;2,IF(O1069&lt;16,"低","中"),IF(M1069&lt;3,IF(O1069&lt;5,"低",IF(O1069&lt;16,"中","高")),IF(O1069&lt;5,"中","高"))))),IF(OR(J1069="EO",J1069="EQ"),IF(OR(Y1069="估算法",Y1069="算法类"),"中",IF(Y1069="无法识别","低",IF(M1069&lt;2,IF(O1069&lt;20,"低","中"),IF(M1069&lt;4,IF(O1069&lt;6,"低",IF(O1069&lt;20,"中","高")),IF(O1069&lt;6,"中","高"))))),IF(OR(J1069="ILF",J1069="EIF"),IF(OR(Y1069="估算法",Y1069="算法类",Y1069="无法识别"),"低",IF(N1069&lt;2,IF(O1069&lt;51,"低","中"),IF(N1069&lt;6,IF(O1069&lt;20,"低",IF(O1069&lt;51,"中","高")),IF(O1069&lt;20,"中","高")))),"不计算")))</f>
        <v/>
      </c>
      <c r="Q1069" s="172">
        <f>IFERROR(IF(J1069="EI",IF(P1069="低",3,IF(P1069="中",4,6)),IF(J1069="EO",IF(P1069="低",4,IF(P1069="中",5,7)),IF(J1069="EQ",IF(P1069="低",3,IF(P1069="中",4,6)),IF(J1069="ILF",IF(P1069="低",7,IF(P1069="中",10,15)),IF(J1069="EIF",IF(P1069="低",5,IF(P1069="中",7,10)),"不计算")))))*R1069,"不计算")</f>
        <v/>
      </c>
      <c r="R1069" s="172" t="n">
        <v>0.333333333333333</v>
      </c>
      <c r="S1069" s="173">
        <f>调整因子!$F$13</f>
        <v/>
      </c>
      <c r="T1069" s="93" t="n">
        <v>1</v>
      </c>
      <c r="U1069" s="174">
        <f>IFERROR(Q1069*S1069,0)</f>
        <v/>
      </c>
      <c r="V1069" s="178">
        <f>U1069*T1069</f>
        <v/>
      </c>
      <c r="W1069" s="103" t="inlineStr">
        <is>
          <t>模板分类表、漏洞查询接口配置表、调用统计表、接口参数配置表</t>
        </is>
      </c>
      <c r="X1069" s="103" t="inlineStr"/>
      <c r="Y1069" s="97" t="inlineStr">
        <is>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is>
      </c>
      <c r="Z1069" s="90" t="n"/>
      <c r="AA1069" s="90" t="n"/>
    </row>
    <row r="1070" s="112">
      <c r="A1070" s="72">
        <f>ROW()-1</f>
        <v/>
      </c>
      <c r="B1070" s="175" t="n"/>
      <c r="C1070" s="124" t="n">
        <v>2026</v>
      </c>
      <c r="D1070" s="125" t="n"/>
      <c r="E1070" s="103" t="n"/>
      <c r="F1070" s="175" t="n"/>
      <c r="G1070" s="175" t="n"/>
      <c r="H1070" s="175" t="n"/>
      <c r="I1070" s="103" t="inlineStr">
        <is>
          <t>停用智能匹配</t>
        </is>
      </c>
      <c r="J1070" s="93" t="n"/>
      <c r="K1070" s="102" t="n"/>
      <c r="L1070" s="102" t="inlineStr">
        <is>
          <t>和上行合并，启停为相同功能</t>
        </is>
      </c>
      <c r="M1070" s="85">
        <f>IF(OR(Y1070="估算法",Y1070="算法类",Y1070="无法识别"),"",IF(W1070="",IF(OR(J1070="EI",J1070="EO",J1070="EQ"),0,""),LEN(W1070)-LEN(SUBSTITUTE(W1070,"、",""))+1))</f>
        <v/>
      </c>
      <c r="N1070" s="85">
        <f>IF(OR(Y1070="估算法",Y1070="算法类",Y1070="无法识别"),"",IF(X1070="",IF(OR(J1070="ILF",J1070="EIF"),0,""),LEN(X1070)-LEN(SUBSTITUTE(X1070,"、",""))+1))</f>
        <v/>
      </c>
      <c r="O1070" s="85">
        <f>IF(OR(Y1070="估算法",Y1070="算法类",Y1070="无法识别"),"",IF(Y1070="",IF(OR(J1070="ILF",J1070="EIF",J1070="EI",J1070="EO",J1070="EQ"),0,""),LEN(Y1070)-LEN(SUBSTITUTE(SUBSTITUTE(SUBSTITUTE(SUBSTITUTE(SUBSTITUTE(Y1070,"|}","--"),"{|","--"),CHAR(10),""),"、",""),"|",""))+IF(AND(OR(J1070="EI",J1070="EO",J1070="EQ"),$AE$1="NESMA"),2,1)))</f>
        <v/>
      </c>
      <c r="P1070" s="86">
        <f>IF(J1070="EI",IF(OR(Y1070="估算法",Y1070="算法类"),"中",IF(Y1070="无法识别","低",IF(M1070&lt;2,IF(O1070&lt;16,"低","中"),IF(M1070&lt;3,IF(O1070&lt;5,"低",IF(O1070&lt;16,"中","高")),IF(O1070&lt;5,"中","高"))))),IF(OR(J1070="EO",J1070="EQ"),IF(OR(Y1070="估算法",Y1070="算法类"),"中",IF(Y1070="无法识别","低",IF(M1070&lt;2,IF(O1070&lt;20,"低","中"),IF(M1070&lt;4,IF(O1070&lt;6,"低",IF(O1070&lt;20,"中","高")),IF(O1070&lt;6,"中","高"))))),IF(OR(J1070="ILF",J1070="EIF"),IF(OR(Y1070="估算法",Y1070="算法类",Y1070="无法识别"),"低",IF(N1070&lt;2,IF(O1070&lt;51,"低","中"),IF(N1070&lt;6,IF(O1070&lt;20,"低",IF(O1070&lt;51,"中","高")),IF(O1070&lt;20,"中","高")))),"不计算")))</f>
        <v/>
      </c>
      <c r="Q1070" s="172">
        <f>IFERROR(IF(J1070="EI",IF(P1070="低",3,IF(P1070="中",4,6)),IF(J1070="EO",IF(P1070="低",4,IF(P1070="中",5,7)),IF(J1070="EQ",IF(P1070="低",3,IF(P1070="中",4,6)),IF(J1070="ILF",IF(P1070="低",7,IF(P1070="中",10,15)),IF(J1070="EIF",IF(P1070="低",5,IF(P1070="中",7,10)),"不计算")))))*R1070,"不计算")</f>
        <v/>
      </c>
      <c r="R1070" s="172" t="n">
        <v>0.333333333333333</v>
      </c>
      <c r="S1070" s="173">
        <f>调整因子!$F$13</f>
        <v/>
      </c>
      <c r="T1070" s="92" t="n">
        <v>1</v>
      </c>
      <c r="U1070" s="174">
        <f>IFERROR(Q1070*S1070,0)</f>
        <v/>
      </c>
      <c r="V1070" s="178">
        <f>U1070*T1070</f>
        <v/>
      </c>
      <c r="W1070" s="103" t="inlineStr">
        <is>
          <t>日志采集配置表、报告模板表、模板配置表、验证记录表</t>
        </is>
      </c>
      <c r="X1070" s="103" t="inlineStr"/>
      <c r="Y1070" s="97" t="inlineStr">
        <is>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is>
      </c>
      <c r="Z1070" s="90" t="n"/>
      <c r="AA1070" s="90" t="n"/>
    </row>
    <row r="1071" s="112">
      <c r="A1071" s="72">
        <f>ROW()-1</f>
        <v/>
      </c>
      <c r="B1071" s="175" t="n"/>
      <c r="C1071" s="124" t="n">
        <v>2026</v>
      </c>
      <c r="D1071" s="125" t="n"/>
      <c r="E1071" s="103" t="n"/>
      <c r="F1071" s="175" t="n"/>
      <c r="G1071" s="175" t="n"/>
      <c r="H1071" s="175" t="n"/>
      <c r="I1071" s="103" t="inlineStr">
        <is>
          <t>导出匹配规则</t>
        </is>
      </c>
      <c r="J1071" s="93" t="inlineStr">
        <is>
          <t>EO</t>
        </is>
      </c>
      <c r="K1071" s="102" t="n"/>
      <c r="L1071" s="102" t="n"/>
      <c r="M1071" s="85">
        <f>IF(OR(Y1071="估算法",Y1071="算法类",Y1071="无法识别"),"",IF(W1071="",IF(OR(J1071="EI",J1071="EO",J1071="EQ"),0,""),LEN(W1071)-LEN(SUBSTITUTE(W1071,"、",""))+1))</f>
        <v/>
      </c>
      <c r="N1071" s="85">
        <f>IF(OR(Y1071="估算法",Y1071="算法类",Y1071="无法识别"),"",IF(X1071="",IF(OR(J1071="ILF",J1071="EIF"),0,""),LEN(X1071)-LEN(SUBSTITUTE(X1071,"、",""))+1))</f>
        <v/>
      </c>
      <c r="O1071" s="85">
        <f>IF(OR(Y1071="估算法",Y1071="算法类",Y1071="无法识别"),"",IF(Y1071="",IF(OR(J1071="ILF",J1071="EIF",J1071="EI",J1071="EO",J1071="EQ"),0,""),LEN(Y1071)-LEN(SUBSTITUTE(SUBSTITUTE(SUBSTITUTE(SUBSTITUTE(SUBSTITUTE(Y1071,"|}","--"),"{|","--"),CHAR(10),""),"、",""),"|",""))+IF(AND(OR(J1071="EI",J1071="EO",J1071="EQ"),$AE$1="NESMA"),2,1)))</f>
        <v/>
      </c>
      <c r="P1071" s="86">
        <f>IF(J1071="EI",IF(OR(Y1071="估算法",Y1071="算法类"),"中",IF(Y1071="无法识别","低",IF(M1071&lt;2,IF(O1071&lt;16,"低","中"),IF(M1071&lt;3,IF(O1071&lt;5,"低",IF(O1071&lt;16,"中","高")),IF(O1071&lt;5,"中","高"))))),IF(OR(J1071="EO",J1071="EQ"),IF(OR(Y1071="估算法",Y1071="算法类"),"中",IF(Y1071="无法识别","低",IF(M1071&lt;2,IF(O1071&lt;20,"低","中"),IF(M1071&lt;4,IF(O1071&lt;6,"低",IF(O1071&lt;20,"中","高")),IF(O1071&lt;6,"中","高"))))),IF(OR(J1071="ILF",J1071="EIF"),IF(OR(Y1071="估算法",Y1071="算法类",Y1071="无法识别"),"低",IF(N1071&lt;2,IF(O1071&lt;51,"低","中"),IF(N1071&lt;6,IF(O1071&lt;20,"低",IF(O1071&lt;51,"中","高")),IF(O1071&lt;20,"中","高")))),"不计算")))</f>
        <v/>
      </c>
      <c r="Q1071" s="172">
        <f>IFERROR(IF(J1071="EI",IF(P1071="低",3,IF(P1071="中",4,6)),IF(J1071="EO",IF(P1071="低",4,IF(P1071="中",5,7)),IF(J1071="EQ",IF(P1071="低",3,IF(P1071="中",4,6)),IF(J1071="ILF",IF(P1071="低",7,IF(P1071="中",10,15)),IF(J1071="EIF",IF(P1071="低",5,IF(P1071="中",7,10)),"不计算")))))*R1071,"不计算")</f>
        <v/>
      </c>
      <c r="R1071" s="172" t="n">
        <v>0.333333333333333</v>
      </c>
      <c r="S1071" s="173">
        <f>调整因子!$F$13</f>
        <v/>
      </c>
      <c r="T1071" s="92" t="n">
        <v>1</v>
      </c>
      <c r="U1071" s="174">
        <f>IFERROR(Q1071*S1071,0)</f>
        <v/>
      </c>
      <c r="V1071" s="178">
        <f>U1071*T1071</f>
        <v/>
      </c>
      <c r="W1071" s="103" t="inlineStr">
        <is>
          <t>推送规则表、提醒规则表、脱敏规则表、加密规则表、加密策略表</t>
        </is>
      </c>
      <c r="X1071" s="103" t="inlineStr"/>
      <c r="Y1071"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is>
      </c>
      <c r="Z1071" s="90" t="n"/>
      <c r="AA1071" s="90" t="n"/>
    </row>
    <row r="1072" s="112">
      <c r="A1072" s="72">
        <f>ROW()-1</f>
        <v/>
      </c>
      <c r="B1072" s="175" t="n"/>
      <c r="C1072" s="124" t="n">
        <v>2026</v>
      </c>
      <c r="D1072" s="125" t="n"/>
      <c r="E1072" s="103" t="n"/>
      <c r="F1072" s="175" t="n"/>
      <c r="G1072" s="175" t="n"/>
      <c r="H1072" s="175" t="n"/>
      <c r="I1072" s="103" t="inlineStr">
        <is>
          <t>查询匹配规则</t>
        </is>
      </c>
      <c r="J1072" s="93" t="inlineStr">
        <is>
          <t>EQ</t>
        </is>
      </c>
      <c r="K1072" s="102" t="n"/>
      <c r="L1072" s="102" t="inlineStr">
        <is>
          <t>处理流程和上行基本一致，为查询功能，未体现详情功能</t>
        </is>
      </c>
      <c r="M1072" s="85">
        <f>IF(OR(Y1072="估算法",Y1072="算法类",Y1072="无法识别"),"",IF(W1072="",IF(OR(J1072="EI",J1072="EO",J1072="EQ"),0,""),LEN(W1072)-LEN(SUBSTITUTE(W1072,"、",""))+1))</f>
        <v/>
      </c>
      <c r="N1072" s="85">
        <f>IF(OR(Y1072="估算法",Y1072="算法类",Y1072="无法识别"),"",IF(X1072="",IF(OR(J1072="ILF",J1072="EIF"),0,""),LEN(X1072)-LEN(SUBSTITUTE(X1072,"、",""))+1))</f>
        <v/>
      </c>
      <c r="O1072" s="85">
        <f>IF(OR(Y1072="估算法",Y1072="算法类",Y1072="无法识别"),"",IF(Y1072="",IF(OR(J1072="ILF",J1072="EIF",J1072="EI",J1072="EO",J1072="EQ"),0,""),LEN(Y1072)-LEN(SUBSTITUTE(SUBSTITUTE(SUBSTITUTE(SUBSTITUTE(SUBSTITUTE(Y1072,"|}","--"),"{|","--"),CHAR(10),""),"、",""),"|",""))+IF(AND(OR(J1072="EI",J1072="EO",J1072="EQ"),$AE$1="NESMA"),2,1)))</f>
        <v/>
      </c>
      <c r="P1072" s="86">
        <f>IF(J1072="EI",IF(OR(Y1072="估算法",Y1072="算法类"),"中",IF(Y1072="无法识别","低",IF(M1072&lt;2,IF(O1072&lt;16,"低","中"),IF(M1072&lt;3,IF(O1072&lt;5,"低",IF(O1072&lt;16,"中","高")),IF(O1072&lt;5,"中","高"))))),IF(OR(J1072="EO",J1072="EQ"),IF(OR(Y1072="估算法",Y1072="算法类"),"中",IF(Y1072="无法识别","低",IF(M1072&lt;2,IF(O1072&lt;20,"低","中"),IF(M1072&lt;4,IF(O1072&lt;6,"低",IF(O1072&lt;20,"中","高")),IF(O1072&lt;6,"中","高"))))),IF(OR(J1072="ILF",J1072="EIF"),IF(OR(Y1072="估算法",Y1072="算法类",Y1072="无法识别"),"低",IF(N1072&lt;2,IF(O1072&lt;51,"低","中"),IF(N1072&lt;6,IF(O1072&lt;20,"低",IF(O1072&lt;51,"中","高")),IF(O1072&lt;20,"中","高")))),"不计算")))</f>
        <v/>
      </c>
      <c r="Q1072" s="172">
        <f>IFERROR(IF(J1072="EI",IF(P1072="低",3,IF(P1072="中",4,6)),IF(J1072="EO",IF(P1072="低",4,IF(P1072="中",5,7)),IF(J1072="EQ",IF(P1072="低",3,IF(P1072="中",4,6)),IF(J1072="ILF",IF(P1072="低",7,IF(P1072="中",10,15)),IF(J1072="EIF",IF(P1072="低",5,IF(P1072="中",7,10)),"不计算")))))*R1072,"不计算")</f>
        <v/>
      </c>
      <c r="R1072" s="172" t="n">
        <v>0.333333333333333</v>
      </c>
      <c r="S1072" s="173">
        <f>调整因子!$F$13</f>
        <v/>
      </c>
      <c r="T1072" s="93" t="n">
        <v>1</v>
      </c>
      <c r="U1072" s="174">
        <f>IFERROR(Q1072*S1072,0)</f>
        <v/>
      </c>
      <c r="V1072" s="178">
        <f>U1072*T1072</f>
        <v/>
      </c>
      <c r="W1072" s="103" t="inlineStr">
        <is>
          <t>推送规则表、提醒规则表、脱敏规则表、加密规则表</t>
        </is>
      </c>
      <c r="X1072" s="103" t="inlineStr"/>
      <c r="Y1072" s="97" t="inlineStr">
        <is>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is>
      </c>
      <c r="Z1072" s="90" t="n"/>
      <c r="AA1072" s="90" t="n"/>
    </row>
    <row r="1073" s="112">
      <c r="A1073" s="72">
        <f>ROW()-1</f>
        <v/>
      </c>
      <c r="B1073" s="175" t="n"/>
      <c r="C1073" s="124" t="n">
        <v>2026</v>
      </c>
      <c r="D1073" s="125" t="n"/>
      <c r="E1073" s="103" t="n"/>
      <c r="F1073" s="175" t="n"/>
      <c r="G1073" s="176" t="n"/>
      <c r="H1073" s="176" t="n"/>
      <c r="I1073" s="103" t="inlineStr">
        <is>
          <t>查看匹配结果</t>
        </is>
      </c>
      <c r="J1073" s="93" t="inlineStr">
        <is>
          <t>EQ</t>
        </is>
      </c>
      <c r="K1073" s="102" t="n"/>
      <c r="L1073" s="102" t="inlineStr">
        <is>
          <t>处理流程和上行基本一致，为查询功能，未体现详情功能</t>
        </is>
      </c>
      <c r="M1073" s="85">
        <f>IF(OR(Y1073="估算法",Y1073="算法类",Y1073="无法识别"),"",IF(W1073="",IF(OR(J1073="EI",J1073="EO",J1073="EQ"),0,""),LEN(W1073)-LEN(SUBSTITUTE(W1073,"、",""))+1))</f>
        <v/>
      </c>
      <c r="N1073" s="85">
        <f>IF(OR(Y1073="估算法",Y1073="算法类",Y1073="无法识别"),"",IF(X1073="",IF(OR(J1073="ILF",J1073="EIF"),0,""),LEN(X1073)-LEN(SUBSTITUTE(X1073,"、",""))+1))</f>
        <v/>
      </c>
      <c r="O1073" s="85">
        <f>IF(OR(Y1073="估算法",Y1073="算法类",Y1073="无法识别"),"",IF(Y1073="",IF(OR(J1073="ILF",J1073="EIF",J1073="EI",J1073="EO",J1073="EQ"),0,""),LEN(Y1073)-LEN(SUBSTITUTE(SUBSTITUTE(SUBSTITUTE(SUBSTITUTE(SUBSTITUTE(Y1073,"|}","--"),"{|","--"),CHAR(10),""),"、",""),"|",""))+IF(AND(OR(J1073="EI",J1073="EO",J1073="EQ"),$AE$1="NESMA"),2,1)))</f>
        <v/>
      </c>
      <c r="P1073" s="86">
        <f>IF(J1073="EI",IF(OR(Y1073="估算法",Y1073="算法类"),"中",IF(Y1073="无法识别","低",IF(M1073&lt;2,IF(O1073&lt;16,"低","中"),IF(M1073&lt;3,IF(O1073&lt;5,"低",IF(O1073&lt;16,"中","高")),IF(O1073&lt;5,"中","高"))))),IF(OR(J1073="EO",J1073="EQ"),IF(OR(Y1073="估算法",Y1073="算法类"),"中",IF(Y1073="无法识别","低",IF(M1073&lt;2,IF(O1073&lt;20,"低","中"),IF(M1073&lt;4,IF(O1073&lt;6,"低",IF(O1073&lt;20,"中","高")),IF(O1073&lt;6,"中","高"))))),IF(OR(J1073="ILF",J1073="EIF"),IF(OR(Y1073="估算法",Y1073="算法类",Y1073="无法识别"),"低",IF(N1073&lt;2,IF(O1073&lt;51,"低","中"),IF(N1073&lt;6,IF(O1073&lt;20,"低",IF(O1073&lt;51,"中","高")),IF(O1073&lt;20,"中","高")))),"不计算")))</f>
        <v/>
      </c>
      <c r="Q1073" s="172">
        <f>IFERROR(IF(J1073="EI",IF(P1073="低",3,IF(P1073="中",4,6)),IF(J1073="EO",IF(P1073="低",4,IF(P1073="中",5,7)),IF(J1073="EQ",IF(P1073="低",3,IF(P1073="中",4,6)),IF(J1073="ILF",IF(P1073="低",7,IF(P1073="中",10,15)),IF(J1073="EIF",IF(P1073="低",5,IF(P1073="中",7,10)),"不计算")))))*R1073,"不计算")</f>
        <v/>
      </c>
      <c r="R1073" s="172" t="n">
        <v>0.333333333333333</v>
      </c>
      <c r="S1073" s="173">
        <f>调整因子!$F$13</f>
        <v/>
      </c>
      <c r="T1073" s="92" t="n">
        <v>1</v>
      </c>
      <c r="U1073" s="174">
        <f>IFERROR(Q1073*S1073,0)</f>
        <v/>
      </c>
      <c r="V1073" s="178">
        <f>U1073*T1073</f>
        <v/>
      </c>
      <c r="W1073" s="103" t="inlineStr">
        <is>
          <t>推送配置表、资产同步任务表、态势数据采集表、任务故障记录表</t>
        </is>
      </c>
      <c r="X1073" s="103" t="inlineStr"/>
      <c r="Y1073" s="97" t="inlineStr">
        <is>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is>
      </c>
      <c r="Z1073" s="90" t="n"/>
      <c r="AA1073" s="90" t="n"/>
    </row>
    <row r="1074" s="112">
      <c r="A1074" s="72">
        <f>ROW()-1</f>
        <v/>
      </c>
      <c r="B1074" s="175" t="n"/>
      <c r="C1074" s="124" t="n">
        <v>2026</v>
      </c>
      <c r="D1074" s="125" t="n"/>
      <c r="E1074" s="103" t="n"/>
      <c r="F1074" s="175" t="n"/>
      <c r="G1074" s="97" t="inlineStr">
        <is>
          <t>多源扫描设备集中管理</t>
        </is>
      </c>
      <c r="H1074" s="97" t="inlineStr">
        <is>
          <t>扫描设备注册管理</t>
        </is>
      </c>
      <c r="I1074" s="103" t="inlineStr">
        <is>
          <t>编辑扫描设备</t>
        </is>
      </c>
      <c r="J1074" s="93" t="inlineStr">
        <is>
          <t>EI</t>
        </is>
      </c>
      <c r="K1074" s="102" t="n"/>
      <c r="L1074" s="102" t="n"/>
      <c r="M1074" s="85">
        <f>IF(OR(Y1074="估算法",Y1074="算法类",Y1074="无法识别"),"",IF(W1074="",IF(OR(J1074="EI",J1074="EO",J1074="EQ"),0,""),LEN(W1074)-LEN(SUBSTITUTE(W1074,"、",""))+1))</f>
        <v/>
      </c>
      <c r="N1074" s="85">
        <f>IF(OR(Y1074="估算法",Y1074="算法类",Y1074="无法识别"),"",IF(X1074="",IF(OR(J1074="ILF",J1074="EIF"),0,""),LEN(X1074)-LEN(SUBSTITUTE(X1074,"、",""))+1))</f>
        <v/>
      </c>
      <c r="O1074" s="85">
        <f>IF(OR(Y1074="估算法",Y1074="算法类",Y1074="无法识别"),"",IF(Y1074="",IF(OR(J1074="ILF",J1074="EIF",J1074="EI",J1074="EO",J1074="EQ"),0,""),LEN(Y1074)-LEN(SUBSTITUTE(SUBSTITUTE(SUBSTITUTE(SUBSTITUTE(SUBSTITUTE(Y1074,"|}","--"),"{|","--"),CHAR(10),""),"、",""),"|",""))+IF(AND(OR(J1074="EI",J1074="EO",J1074="EQ"),$AE$1="NESMA"),2,1)))</f>
        <v/>
      </c>
      <c r="P1074" s="86">
        <f>IF(J1074="EI",IF(OR(Y1074="估算法",Y1074="算法类"),"中",IF(Y1074="无法识别","低",IF(M1074&lt;2,IF(O1074&lt;16,"低","中"),IF(M1074&lt;3,IF(O1074&lt;5,"低",IF(O1074&lt;16,"中","高")),IF(O1074&lt;5,"中","高"))))),IF(OR(J1074="EO",J1074="EQ"),IF(OR(Y1074="估算法",Y1074="算法类"),"中",IF(Y1074="无法识别","低",IF(M1074&lt;2,IF(O1074&lt;20,"低","中"),IF(M1074&lt;4,IF(O1074&lt;6,"低",IF(O1074&lt;20,"中","高")),IF(O1074&lt;6,"中","高"))))),IF(OR(J1074="ILF",J1074="EIF"),IF(OR(Y1074="估算法",Y1074="算法类",Y1074="无法识别"),"低",IF(N1074&lt;2,IF(O1074&lt;51,"低","中"),IF(N1074&lt;6,IF(O1074&lt;20,"低",IF(O1074&lt;51,"中","高")),IF(O1074&lt;20,"中","高")))),"不计算")))</f>
        <v/>
      </c>
      <c r="Q1074" s="172">
        <f>IFERROR(IF(J1074="EI",IF(P1074="低",3,IF(P1074="中",4,6)),IF(J1074="EO",IF(P1074="低",4,IF(P1074="中",5,7)),IF(J1074="EQ",IF(P1074="低",3,IF(P1074="中",4,6)),IF(J1074="ILF",IF(P1074="低",7,IF(P1074="中",10,15)),IF(J1074="EIF",IF(P1074="低",5,IF(P1074="中",7,10)),"不计算")))))*R1074,"不计算")</f>
        <v/>
      </c>
      <c r="R1074" s="172" t="n">
        <v>1</v>
      </c>
      <c r="S1074" s="173">
        <f>调整因子!$F$13</f>
        <v/>
      </c>
      <c r="T1074" s="92" t="n">
        <v>1</v>
      </c>
      <c r="U1074" s="174">
        <f>IFERROR(Q1074*S1074,0)</f>
        <v/>
      </c>
      <c r="V1074" s="178">
        <f>U1074*T1074</f>
        <v/>
      </c>
      <c r="W1074" s="103" t="inlineStr">
        <is>
          <t>资产扫描覆盖表、扫描盲区记录表、扫描能力缺口表、离线扫描报告表、扫描策略模板表</t>
        </is>
      </c>
      <c r="X1074" s="103" t="inlineStr"/>
      <c r="Y1074"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074" s="90" t="n"/>
      <c r="AA1074" s="90" t="n"/>
    </row>
    <row r="1075" s="112">
      <c r="A1075" s="72">
        <f>ROW()-1</f>
        <v/>
      </c>
      <c r="B1075" s="175" t="n"/>
      <c r="C1075" s="124" t="n">
        <v>2026</v>
      </c>
      <c r="D1075" s="125" t="n"/>
      <c r="E1075" s="103" t="n"/>
      <c r="F1075" s="175" t="n"/>
      <c r="G1075" s="175" t="n"/>
      <c r="H1075" s="175" t="n"/>
      <c r="I1075" s="103" t="inlineStr">
        <is>
          <t>删除扫描设备</t>
        </is>
      </c>
      <c r="J1075" s="93" t="inlineStr">
        <is>
          <t>EI</t>
        </is>
      </c>
      <c r="K1075" s="102" t="n"/>
      <c r="L1075" s="102" t="n"/>
      <c r="M1075" s="85">
        <f>IF(OR(Y1075="估算法",Y1075="算法类",Y1075="无法识别"),"",IF(W1075="",IF(OR(J1075="EI",J1075="EO",J1075="EQ"),0,""),LEN(W1075)-LEN(SUBSTITUTE(W1075,"、",""))+1))</f>
        <v/>
      </c>
      <c r="N1075" s="85">
        <f>IF(OR(Y1075="估算法",Y1075="算法类",Y1075="无法识别"),"",IF(X1075="",IF(OR(J1075="ILF",J1075="EIF"),0,""),LEN(X1075)-LEN(SUBSTITUTE(X1075,"、",""))+1))</f>
        <v/>
      </c>
      <c r="O1075" s="85">
        <f>IF(OR(Y1075="估算法",Y1075="算法类",Y1075="无法识别"),"",IF(Y1075="",IF(OR(J1075="ILF",J1075="EIF",J1075="EI",J1075="EO",J1075="EQ"),0,""),LEN(Y1075)-LEN(SUBSTITUTE(SUBSTITUTE(SUBSTITUTE(SUBSTITUTE(SUBSTITUTE(Y1075,"|}","--"),"{|","--"),CHAR(10),""),"、",""),"|",""))+IF(AND(OR(J1075="EI",J1075="EO",J1075="EQ"),$AE$1="NESMA"),2,1)))</f>
        <v/>
      </c>
      <c r="P1075" s="86">
        <f>IF(J1075="EI",IF(OR(Y1075="估算法",Y1075="算法类"),"中",IF(Y1075="无法识别","低",IF(M1075&lt;2,IF(O1075&lt;16,"低","中"),IF(M1075&lt;3,IF(O1075&lt;5,"低",IF(O1075&lt;16,"中","高")),IF(O1075&lt;5,"中","高"))))),IF(OR(J1075="EO",J1075="EQ"),IF(OR(Y1075="估算法",Y1075="算法类"),"中",IF(Y1075="无法识别","低",IF(M1075&lt;2,IF(O1075&lt;20,"低","中"),IF(M1075&lt;4,IF(O1075&lt;6,"低",IF(O1075&lt;20,"中","高")),IF(O1075&lt;6,"中","高"))))),IF(OR(J1075="ILF",J1075="EIF"),IF(OR(Y1075="估算法",Y1075="算法类",Y1075="无法识别"),"低",IF(N1075&lt;2,IF(O1075&lt;51,"低","中"),IF(N1075&lt;6,IF(O1075&lt;20,"低",IF(O1075&lt;51,"中","高")),IF(O1075&lt;20,"中","高")))),"不计算")))</f>
        <v/>
      </c>
      <c r="Q1075" s="172">
        <f>IFERROR(IF(J1075="EI",IF(P1075="低",3,IF(P1075="中",4,6)),IF(J1075="EO",IF(P1075="低",4,IF(P1075="中",5,7)),IF(J1075="EQ",IF(P1075="低",3,IF(P1075="中",4,6)),IF(J1075="ILF",IF(P1075="低",7,IF(P1075="中",10,15)),IF(J1075="EIF",IF(P1075="低",5,IF(P1075="中",7,10)),"不计算")))))*R1075,"不计算")</f>
        <v/>
      </c>
      <c r="R1075" s="172" t="n">
        <v>0.333333333333333</v>
      </c>
      <c r="S1075" s="173">
        <f>调整因子!$F$13</f>
        <v/>
      </c>
      <c r="T1075" s="93" t="n">
        <v>1</v>
      </c>
      <c r="U1075" s="174">
        <f>IFERROR(Q1075*S1075,0)</f>
        <v/>
      </c>
      <c r="V1075" s="178">
        <f>U1075*T1075</f>
        <v/>
      </c>
      <c r="W1075" s="103" t="inlineStr">
        <is>
          <t>资产扫描覆盖表、扫描盲区记录表、扫描能力缺口表、离线扫描报告表</t>
        </is>
      </c>
      <c r="X1075" s="103" t="inlineStr"/>
      <c r="Y107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75" s="90" t="n"/>
      <c r="AA1075" s="90" t="n"/>
    </row>
    <row r="1076" s="112">
      <c r="A1076" s="72">
        <f>ROW()-1</f>
        <v/>
      </c>
      <c r="B1076" s="175" t="n"/>
      <c r="C1076" s="124" t="n">
        <v>2026</v>
      </c>
      <c r="D1076" s="125" t="n"/>
      <c r="E1076" s="103" t="n"/>
      <c r="F1076" s="175" t="n"/>
      <c r="G1076" s="175" t="n"/>
      <c r="H1076" s="175" t="n"/>
      <c r="I1076" s="103" t="inlineStr">
        <is>
          <t>启用扫描设备</t>
        </is>
      </c>
      <c r="J1076" s="93" t="inlineStr">
        <is>
          <t>EI</t>
        </is>
      </c>
      <c r="K1076" s="102" t="n"/>
      <c r="L1076" s="102" t="n"/>
      <c r="M1076" s="85">
        <f>IF(OR(Y1076="估算法",Y1076="算法类",Y1076="无法识别"),"",IF(W1076="",IF(OR(J1076="EI",J1076="EO",J1076="EQ"),0,""),LEN(W1076)-LEN(SUBSTITUTE(W1076,"、",""))+1))</f>
        <v/>
      </c>
      <c r="N1076" s="85">
        <f>IF(OR(Y1076="估算法",Y1076="算法类",Y1076="无法识别"),"",IF(X1076="",IF(OR(J1076="ILF",J1076="EIF"),0,""),LEN(X1076)-LEN(SUBSTITUTE(X1076,"、",""))+1))</f>
        <v/>
      </c>
      <c r="O1076" s="85">
        <f>IF(OR(Y1076="估算法",Y1076="算法类",Y1076="无法识别"),"",IF(Y1076="",IF(OR(J1076="ILF",J1076="EIF",J1076="EI",J1076="EO",J1076="EQ"),0,""),LEN(Y1076)-LEN(SUBSTITUTE(SUBSTITUTE(SUBSTITUTE(SUBSTITUTE(SUBSTITUTE(Y1076,"|}","--"),"{|","--"),CHAR(10),""),"、",""),"|",""))+IF(AND(OR(J1076="EI",J1076="EO",J1076="EQ"),$AE$1="NESMA"),2,1)))</f>
        <v/>
      </c>
      <c r="P1076" s="86">
        <f>IF(J1076="EI",IF(OR(Y1076="估算法",Y1076="算法类"),"中",IF(Y1076="无法识别","低",IF(M1076&lt;2,IF(O1076&lt;16,"低","中"),IF(M1076&lt;3,IF(O1076&lt;5,"低",IF(O1076&lt;16,"中","高")),IF(O1076&lt;5,"中","高"))))),IF(OR(J1076="EO",J1076="EQ"),IF(OR(Y1076="估算法",Y1076="算法类"),"中",IF(Y1076="无法识别","低",IF(M1076&lt;2,IF(O1076&lt;20,"低","中"),IF(M1076&lt;4,IF(O1076&lt;6,"低",IF(O1076&lt;20,"中","高")),IF(O1076&lt;6,"中","高"))))),IF(OR(J1076="ILF",J1076="EIF"),IF(OR(Y1076="估算法",Y1076="算法类",Y1076="无法识别"),"低",IF(N1076&lt;2,IF(O1076&lt;51,"低","中"),IF(N1076&lt;6,IF(O1076&lt;20,"低",IF(O1076&lt;51,"中","高")),IF(O1076&lt;20,"中","高")))),"不计算")))</f>
        <v/>
      </c>
      <c r="Q1076" s="172">
        <f>IFERROR(IF(J1076="EI",IF(P1076="低",3,IF(P1076="中",4,6)),IF(J1076="EO",IF(P1076="低",4,IF(P1076="中",5,7)),IF(J1076="EQ",IF(P1076="低",3,IF(P1076="中",4,6)),IF(J1076="ILF",IF(P1076="低",7,IF(P1076="中",10,15)),IF(J1076="EIF",IF(P1076="低",5,IF(P1076="中",7,10)),"不计算")))))*R1076,"不计算")</f>
        <v/>
      </c>
      <c r="R1076" s="172" t="n">
        <v>1</v>
      </c>
      <c r="S1076" s="173">
        <f>调整因子!$F$13</f>
        <v/>
      </c>
      <c r="T1076" s="93" t="n">
        <v>1</v>
      </c>
      <c r="U1076" s="174">
        <f>IFERROR(Q1076*S1076,0)</f>
        <v/>
      </c>
      <c r="V1076" s="178">
        <f>U1076*T1076</f>
        <v/>
      </c>
      <c r="W1076" s="103" t="inlineStr">
        <is>
          <t>资产扫描覆盖表、扫描盲区记录表、扫描能力缺口表、离线扫描报告表</t>
        </is>
      </c>
      <c r="X1076" s="103" t="inlineStr"/>
      <c r="Y1076"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076" s="90" t="n"/>
      <c r="AA1076" s="90" t="n"/>
    </row>
    <row r="1077" s="112">
      <c r="A1077" s="72">
        <f>ROW()-1</f>
        <v/>
      </c>
      <c r="B1077" s="175" t="n"/>
      <c r="C1077" s="124" t="n">
        <v>2026</v>
      </c>
      <c r="D1077" s="125" t="n"/>
      <c r="E1077" s="103" t="n"/>
      <c r="F1077" s="175" t="n"/>
      <c r="G1077" s="175" t="n"/>
      <c r="H1077" s="175" t="n"/>
      <c r="I1077" s="103" t="inlineStr">
        <is>
          <t>停用扫描设备</t>
        </is>
      </c>
      <c r="J1077" s="93" t="n"/>
      <c r="K1077" s="102" t="n"/>
      <c r="L1077" s="102" t="inlineStr">
        <is>
          <t>和上行合并，启停为相同功能</t>
        </is>
      </c>
      <c r="M1077" s="85">
        <f>IF(OR(Y1077="估算法",Y1077="算法类",Y1077="无法识别"),"",IF(W1077="",IF(OR(J1077="EI",J1077="EO",J1077="EQ"),0,""),LEN(W1077)-LEN(SUBSTITUTE(W1077,"、",""))+1))</f>
        <v/>
      </c>
      <c r="N1077" s="85">
        <f>IF(OR(Y1077="估算法",Y1077="算法类",Y1077="无法识别"),"",IF(X1077="",IF(OR(J1077="ILF",J1077="EIF"),0,""),LEN(X1077)-LEN(SUBSTITUTE(X1077,"、",""))+1))</f>
        <v/>
      </c>
      <c r="O1077" s="85">
        <f>IF(OR(Y1077="估算法",Y1077="算法类",Y1077="无法识别"),"",IF(Y1077="",IF(OR(J1077="ILF",J1077="EIF",J1077="EI",J1077="EO",J1077="EQ"),0,""),LEN(Y1077)-LEN(SUBSTITUTE(SUBSTITUTE(SUBSTITUTE(SUBSTITUTE(SUBSTITUTE(Y1077,"|}","--"),"{|","--"),CHAR(10),""),"、",""),"|",""))+IF(AND(OR(J1077="EI",J1077="EO",J1077="EQ"),$AE$1="NESMA"),2,1)))</f>
        <v/>
      </c>
      <c r="P1077" s="86">
        <f>IF(J1077="EI",IF(OR(Y1077="估算法",Y1077="算法类"),"中",IF(Y1077="无法识别","低",IF(M1077&lt;2,IF(O1077&lt;16,"低","中"),IF(M1077&lt;3,IF(O1077&lt;5,"低",IF(O1077&lt;16,"中","高")),IF(O1077&lt;5,"中","高"))))),IF(OR(J1077="EO",J1077="EQ"),IF(OR(Y1077="估算法",Y1077="算法类"),"中",IF(Y1077="无法识别","低",IF(M1077&lt;2,IF(O1077&lt;20,"低","中"),IF(M1077&lt;4,IF(O1077&lt;6,"低",IF(O1077&lt;20,"中","高")),IF(O1077&lt;6,"中","高"))))),IF(OR(J1077="ILF",J1077="EIF"),IF(OR(Y1077="估算法",Y1077="算法类",Y1077="无法识别"),"低",IF(N1077&lt;2,IF(O1077&lt;51,"低","中"),IF(N1077&lt;6,IF(O1077&lt;20,"低",IF(O1077&lt;51,"中","高")),IF(O1077&lt;20,"中","高")))),"不计算")))</f>
        <v/>
      </c>
      <c r="Q1077" s="172">
        <f>IFERROR(IF(J1077="EI",IF(P1077="低",3,IF(P1077="中",4,6)),IF(J1077="EO",IF(P1077="低",4,IF(P1077="中",5,7)),IF(J1077="EQ",IF(P1077="低",3,IF(P1077="中",4,6)),IF(J1077="ILF",IF(P1077="低",7,IF(P1077="中",10,15)),IF(J1077="EIF",IF(P1077="低",5,IF(P1077="中",7,10)),"不计算")))))*R1077,"不计算")</f>
        <v/>
      </c>
      <c r="R1077" s="172" t="n">
        <v>1</v>
      </c>
      <c r="S1077" s="173">
        <f>调整因子!$F$13</f>
        <v/>
      </c>
      <c r="T1077" s="92" t="n">
        <v>1</v>
      </c>
      <c r="U1077" s="174">
        <f>IFERROR(Q1077*S1077,0)</f>
        <v/>
      </c>
      <c r="V1077" s="178">
        <f>U1077*T1077</f>
        <v/>
      </c>
      <c r="W1077" s="103" t="inlineStr">
        <is>
          <t>资产扫描覆盖表、扫描盲区记录表、扫描能力缺口表、离线扫描报告表、扫描策略模板表</t>
        </is>
      </c>
      <c r="X1077" s="103" t="inlineStr"/>
      <c r="Y1077"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077" s="90" t="n"/>
      <c r="AA1077" s="90" t="n"/>
    </row>
    <row r="1078" s="112">
      <c r="A1078" s="72">
        <f>ROW()-1</f>
        <v/>
      </c>
      <c r="B1078" s="175" t="n"/>
      <c r="C1078" s="124" t="n">
        <v>2026</v>
      </c>
      <c r="D1078" s="125" t="n"/>
      <c r="E1078" s="103" t="n"/>
      <c r="F1078" s="175" t="n"/>
      <c r="G1078" s="175" t="n"/>
      <c r="H1078" s="175" t="n"/>
      <c r="I1078" s="103" t="inlineStr">
        <is>
          <t>导出设备列表</t>
        </is>
      </c>
      <c r="J1078" s="93" t="inlineStr">
        <is>
          <t>EO</t>
        </is>
      </c>
      <c r="K1078" s="102" t="n"/>
      <c r="L1078" s="102" t="n"/>
      <c r="M1078" s="85">
        <f>IF(OR(Y1078="估算法",Y1078="算法类",Y1078="无法识别"),"",IF(W1078="",IF(OR(J1078="EI",J1078="EO",J1078="EQ"),0,""),LEN(W1078)-LEN(SUBSTITUTE(W1078,"、",""))+1))</f>
        <v/>
      </c>
      <c r="N1078" s="85">
        <f>IF(OR(Y1078="估算法",Y1078="算法类",Y1078="无法识别"),"",IF(X1078="",IF(OR(J1078="ILF",J1078="EIF"),0,""),LEN(X1078)-LEN(SUBSTITUTE(X1078,"、",""))+1))</f>
        <v/>
      </c>
      <c r="O1078" s="85">
        <f>IF(OR(Y1078="估算法",Y1078="算法类",Y1078="无法识别"),"",IF(Y1078="",IF(OR(J1078="ILF",J1078="EIF",J1078="EI",J1078="EO",J1078="EQ"),0,""),LEN(Y1078)-LEN(SUBSTITUTE(SUBSTITUTE(SUBSTITUTE(SUBSTITUTE(SUBSTITUTE(Y1078,"|}","--"),"{|","--"),CHAR(10),""),"、",""),"|",""))+IF(AND(OR(J1078="EI",J1078="EO",J1078="EQ"),$AE$1="NESMA"),2,1)))</f>
        <v/>
      </c>
      <c r="P1078" s="86">
        <f>IF(J1078="EI",IF(OR(Y1078="估算法",Y1078="算法类"),"中",IF(Y1078="无法识别","低",IF(M1078&lt;2,IF(O1078&lt;16,"低","中"),IF(M1078&lt;3,IF(O1078&lt;5,"低",IF(O1078&lt;16,"中","高")),IF(O1078&lt;5,"中","高"))))),IF(OR(J1078="EO",J1078="EQ"),IF(OR(Y1078="估算法",Y1078="算法类"),"中",IF(Y1078="无法识别","低",IF(M1078&lt;2,IF(O1078&lt;20,"低","中"),IF(M1078&lt;4,IF(O1078&lt;6,"低",IF(O1078&lt;20,"中","高")),IF(O1078&lt;6,"中","高"))))),IF(OR(J1078="ILF",J1078="EIF"),IF(OR(Y1078="估算法",Y1078="算法类",Y1078="无法识别"),"低",IF(N1078&lt;2,IF(O1078&lt;51,"低","中"),IF(N1078&lt;6,IF(O1078&lt;20,"低",IF(O1078&lt;51,"中","高")),IF(O1078&lt;20,"中","高")))),"不计算")))</f>
        <v/>
      </c>
      <c r="Q1078" s="172">
        <f>IFERROR(IF(J1078="EI",IF(P1078="低",3,IF(P1078="中",4,6)),IF(J1078="EO",IF(P1078="低",4,IF(P1078="中",5,7)),IF(J1078="EQ",IF(P1078="低",3,IF(P1078="中",4,6)),IF(J1078="ILF",IF(P1078="低",7,IF(P1078="中",10,15)),IF(J1078="EIF",IF(P1078="低",5,IF(P1078="中",7,10)),"不计算")))))*R1078,"不计算")</f>
        <v/>
      </c>
      <c r="R1078" s="172" t="n">
        <v>1</v>
      </c>
      <c r="S1078" s="173">
        <f>调整因子!$F$13</f>
        <v/>
      </c>
      <c r="T1078" s="92" t="n">
        <v>1</v>
      </c>
      <c r="U1078" s="174">
        <f>IFERROR(Q1078*S1078,0)</f>
        <v/>
      </c>
      <c r="V1078" s="178">
        <f>U1078*T1078</f>
        <v/>
      </c>
      <c r="W1078" s="103" t="inlineStr">
        <is>
          <t>离线扫描报告表、数据清洗任务表、复测任务表、资产查询接口配置表、推送失败重试表</t>
        </is>
      </c>
      <c r="X1078" s="103" t="inlineStr"/>
      <c r="Y1078" s="97" t="inlineStr">
        <is>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is>
      </c>
      <c r="Z1078" s="90" t="n"/>
      <c r="AA1078" s="90" t="n"/>
    </row>
    <row r="1079" s="112">
      <c r="A1079" s="72">
        <f>ROW()-1</f>
        <v/>
      </c>
      <c r="B1079" s="175" t="n"/>
      <c r="C1079" s="124" t="n">
        <v>2026</v>
      </c>
      <c r="D1079" s="125" t="n"/>
      <c r="E1079" s="103" t="n"/>
      <c r="F1079" s="175" t="n"/>
      <c r="G1079" s="175" t="n"/>
      <c r="H1079" s="175" t="n"/>
      <c r="I1079" s="103" t="inlineStr">
        <is>
          <t>下载设备配置</t>
        </is>
      </c>
      <c r="J1079" s="93" t="inlineStr">
        <is>
          <t>EO</t>
        </is>
      </c>
      <c r="K1079" s="102" t="n"/>
      <c r="L1079" s="102" t="n"/>
      <c r="M1079" s="85">
        <f>IF(OR(Y1079="估算法",Y1079="算法类",Y1079="无法识别"),"",IF(W1079="",IF(OR(J1079="EI",J1079="EO",J1079="EQ"),0,""),LEN(W1079)-LEN(SUBSTITUTE(W1079,"、",""))+1))</f>
        <v/>
      </c>
      <c r="N1079" s="85">
        <f>IF(OR(Y1079="估算法",Y1079="算法类",Y1079="无法识别"),"",IF(X1079="",IF(OR(J1079="ILF",J1079="EIF"),0,""),LEN(X1079)-LEN(SUBSTITUTE(X1079,"、",""))+1))</f>
        <v/>
      </c>
      <c r="O1079" s="85">
        <f>IF(OR(Y1079="估算法",Y1079="算法类",Y1079="无法识别"),"",IF(Y1079="",IF(OR(J1079="ILF",J1079="EIF",J1079="EI",J1079="EO",J1079="EQ"),0,""),LEN(Y1079)-LEN(SUBSTITUTE(SUBSTITUTE(SUBSTITUTE(SUBSTITUTE(SUBSTITUTE(Y1079,"|}","--"),"{|","--"),CHAR(10),""),"、",""),"|",""))+IF(AND(OR(J1079="EI",J1079="EO",J1079="EQ"),$AE$1="NESMA"),2,1)))</f>
        <v/>
      </c>
      <c r="P1079" s="86">
        <f>IF(J1079="EI",IF(OR(Y1079="估算法",Y1079="算法类"),"中",IF(Y1079="无法识别","低",IF(M1079&lt;2,IF(O1079&lt;16,"低","中"),IF(M1079&lt;3,IF(O1079&lt;5,"低",IF(O1079&lt;16,"中","高")),IF(O1079&lt;5,"中","高"))))),IF(OR(J1079="EO",J1079="EQ"),IF(OR(Y1079="估算法",Y1079="算法类"),"中",IF(Y1079="无法识别","低",IF(M1079&lt;2,IF(O1079&lt;20,"低","中"),IF(M1079&lt;4,IF(O1079&lt;6,"低",IF(O1079&lt;20,"中","高")),IF(O1079&lt;6,"中","高"))))),IF(OR(J1079="ILF",J1079="EIF"),IF(OR(Y1079="估算法",Y1079="算法类",Y1079="无法识别"),"低",IF(N1079&lt;2,IF(O1079&lt;51,"低","中"),IF(N1079&lt;6,IF(O1079&lt;20,"低",IF(O1079&lt;51,"中","高")),IF(O1079&lt;20,"中","高")))),"不计算")))</f>
        <v/>
      </c>
      <c r="Q1079" s="172">
        <f>IFERROR(IF(J1079="EI",IF(P1079="低",3,IF(P1079="中",4,6)),IF(J1079="EO",IF(P1079="低",4,IF(P1079="中",5,7)),IF(J1079="EQ",IF(P1079="低",3,IF(P1079="中",4,6)),IF(J1079="ILF",IF(P1079="低",7,IF(P1079="中",10,15)),IF(J1079="EIF",IF(P1079="低",5,IF(P1079="中",7,10)),"不计算")))))*R1079,"不计算")</f>
        <v/>
      </c>
      <c r="R1079" s="172" t="n">
        <v>1</v>
      </c>
      <c r="S1079" s="173">
        <f>调整因子!$F$13</f>
        <v/>
      </c>
      <c r="T1079" s="93" t="n">
        <v>1</v>
      </c>
      <c r="U1079" s="174">
        <f>IFERROR(Q1079*S1079,0)</f>
        <v/>
      </c>
      <c r="V1079" s="178">
        <f>U1079*T1079</f>
        <v/>
      </c>
      <c r="W1079" s="103" t="inlineStr">
        <is>
          <t>任务优先级配置表、模板参数配置表、处置单配置表、验证配置表、复测配置表</t>
        </is>
      </c>
      <c r="X1079" s="103" t="inlineStr"/>
      <c r="Y107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079" s="90" t="n"/>
      <c r="AA1079" s="90" t="n"/>
    </row>
    <row r="1080" s="112">
      <c r="A1080" s="72">
        <f>ROW()-1</f>
        <v/>
      </c>
      <c r="B1080" s="175" t="n"/>
      <c r="C1080" s="124" t="n">
        <v>2026</v>
      </c>
      <c r="D1080" s="125" t="n"/>
      <c r="E1080" s="103" t="n"/>
      <c r="F1080" s="175" t="n"/>
      <c r="G1080" s="175" t="n"/>
      <c r="H1080" s="175" t="n"/>
      <c r="I1080" s="103" t="inlineStr">
        <is>
          <t>查询设备列表</t>
        </is>
      </c>
      <c r="J1080" s="93" t="inlineStr">
        <is>
          <t>EQ</t>
        </is>
      </c>
      <c r="K1080" s="102" t="n"/>
      <c r="L1080" s="102" t="inlineStr">
        <is>
          <t>处理流程和上行基本一致，为查询功能，未体现详情功能</t>
        </is>
      </c>
      <c r="M1080" s="85">
        <f>IF(OR(Y1080="估算法",Y1080="算法类",Y1080="无法识别"),"",IF(W1080="",IF(OR(J1080="EI",J1080="EO",J1080="EQ"),0,""),LEN(W1080)-LEN(SUBSTITUTE(W1080,"、",""))+1))</f>
        <v/>
      </c>
      <c r="N1080" s="85">
        <f>IF(OR(Y1080="估算法",Y1080="算法类",Y1080="无法识别"),"",IF(X1080="",IF(OR(J1080="ILF",J1080="EIF"),0,""),LEN(X1080)-LEN(SUBSTITUTE(X1080,"、",""))+1))</f>
        <v/>
      </c>
      <c r="O1080" s="85">
        <f>IF(OR(Y1080="估算法",Y1080="算法类",Y1080="无法识别"),"",IF(Y1080="",IF(OR(J1080="ILF",J1080="EIF",J1080="EI",J1080="EO",J1080="EQ"),0,""),LEN(Y1080)-LEN(SUBSTITUTE(SUBSTITUTE(SUBSTITUTE(SUBSTITUTE(SUBSTITUTE(Y1080,"|}","--"),"{|","--"),CHAR(10),""),"、",""),"|",""))+IF(AND(OR(J1080="EI",J1080="EO",J1080="EQ"),$AE$1="NESMA"),2,1)))</f>
        <v/>
      </c>
      <c r="P1080" s="86">
        <f>IF(J1080="EI",IF(OR(Y1080="估算法",Y1080="算法类"),"中",IF(Y1080="无法识别","低",IF(M1080&lt;2,IF(O1080&lt;16,"低","中"),IF(M1080&lt;3,IF(O1080&lt;5,"低",IF(O1080&lt;16,"中","高")),IF(O1080&lt;5,"中","高"))))),IF(OR(J1080="EO",J1080="EQ"),IF(OR(Y1080="估算法",Y1080="算法类"),"中",IF(Y1080="无法识别","低",IF(M1080&lt;2,IF(O1080&lt;20,"低","中"),IF(M1080&lt;4,IF(O1080&lt;6,"低",IF(O1080&lt;20,"中","高")),IF(O1080&lt;6,"中","高"))))),IF(OR(J1080="ILF",J1080="EIF"),IF(OR(Y1080="估算法",Y1080="算法类",Y1080="无法识别"),"低",IF(N1080&lt;2,IF(O1080&lt;51,"低","中"),IF(N1080&lt;6,IF(O1080&lt;20,"低",IF(O1080&lt;51,"中","高")),IF(O1080&lt;20,"中","高")))),"不计算")))</f>
        <v/>
      </c>
      <c r="Q1080" s="172">
        <f>IFERROR(IF(J1080="EI",IF(P1080="低",3,IF(P1080="中",4,6)),IF(J1080="EO",IF(P1080="低",4,IF(P1080="中",5,7)),IF(J1080="EQ",IF(P1080="低",3,IF(P1080="中",4,6)),IF(J1080="ILF",IF(P1080="低",7,IF(P1080="中",10,15)),IF(J1080="EIF",IF(P1080="低",5,IF(P1080="中",7,10)),"不计算")))))*R1080,"不计算")</f>
        <v/>
      </c>
      <c r="R1080" s="172" t="n">
        <v>0.333333333333333</v>
      </c>
      <c r="S1080" s="173">
        <f>调整因子!$F$13</f>
        <v/>
      </c>
      <c r="T1080" s="92" t="n">
        <v>1</v>
      </c>
      <c r="U1080" s="174">
        <f>IFERROR(Q1080*S1080,0)</f>
        <v/>
      </c>
      <c r="V1080" s="178">
        <f>U1080*T1080</f>
        <v/>
      </c>
      <c r="W1080" s="103" t="inlineStr">
        <is>
          <t>日志采集配置表、脱敏规则表、任务优先级配置表、提醒规则表</t>
        </is>
      </c>
      <c r="X1080" s="103" t="inlineStr"/>
      <c r="Y1080" s="97" t="inlineStr">
        <is>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is>
      </c>
      <c r="Z1080" s="90" t="n"/>
      <c r="AA1080" s="90" t="n"/>
    </row>
    <row r="1081" s="112">
      <c r="A1081" s="72">
        <f>ROW()-1</f>
        <v/>
      </c>
      <c r="B1081" s="175" t="n"/>
      <c r="C1081" s="124" t="n">
        <v>2026</v>
      </c>
      <c r="D1081" s="125" t="n"/>
      <c r="E1081" s="103" t="n"/>
      <c r="F1081" s="175" t="n"/>
      <c r="G1081" s="175" t="n"/>
      <c r="H1081" s="176" t="n"/>
      <c r="I1081" s="103" t="inlineStr">
        <is>
          <t>查看设备详情</t>
        </is>
      </c>
      <c r="J1081" s="93" t="inlineStr">
        <is>
          <t>EQ</t>
        </is>
      </c>
      <c r="K1081" s="102" t="n"/>
      <c r="L1081" s="102" t="inlineStr">
        <is>
          <t>处理流程和上行基本一致，为查询功能，未体现详情功能</t>
        </is>
      </c>
      <c r="M1081" s="85">
        <f>IF(OR(Y1081="估算法",Y1081="算法类",Y1081="无法识别"),"",IF(W1081="",IF(OR(J1081="EI",J1081="EO",J1081="EQ"),0,""),LEN(W1081)-LEN(SUBSTITUTE(W1081,"、",""))+1))</f>
        <v/>
      </c>
      <c r="N1081" s="85">
        <f>IF(OR(Y1081="估算法",Y1081="算法类",Y1081="无法识别"),"",IF(X1081="",IF(OR(J1081="ILF",J1081="EIF"),0,""),LEN(X1081)-LEN(SUBSTITUTE(X1081,"、",""))+1))</f>
        <v/>
      </c>
      <c r="O1081" s="85">
        <f>IF(OR(Y1081="估算法",Y1081="算法类",Y1081="无法识别"),"",IF(Y1081="",IF(OR(J1081="ILF",J1081="EIF",J1081="EI",J1081="EO",J1081="EQ"),0,""),LEN(Y1081)-LEN(SUBSTITUTE(SUBSTITUTE(SUBSTITUTE(SUBSTITUTE(SUBSTITUTE(Y1081,"|}","--"),"{|","--"),CHAR(10),""),"、",""),"|",""))+IF(AND(OR(J1081="EI",J1081="EO",J1081="EQ"),$AE$1="NESMA"),2,1)))</f>
        <v/>
      </c>
      <c r="P1081" s="86">
        <f>IF(J1081="EI",IF(OR(Y1081="估算法",Y1081="算法类"),"中",IF(Y1081="无法识别","低",IF(M1081&lt;2,IF(O1081&lt;16,"低","中"),IF(M1081&lt;3,IF(O1081&lt;5,"低",IF(O1081&lt;16,"中","高")),IF(O1081&lt;5,"中","高"))))),IF(OR(J1081="EO",J1081="EQ"),IF(OR(Y1081="估算法",Y1081="算法类"),"中",IF(Y1081="无法识别","低",IF(M1081&lt;2,IF(O1081&lt;20,"低","中"),IF(M1081&lt;4,IF(O1081&lt;6,"低",IF(O1081&lt;20,"中","高")),IF(O1081&lt;6,"中","高"))))),IF(OR(J1081="ILF",J1081="EIF"),IF(OR(Y1081="估算法",Y1081="算法类",Y1081="无法识别"),"低",IF(N1081&lt;2,IF(O1081&lt;51,"低","中"),IF(N1081&lt;6,IF(O1081&lt;20,"低",IF(O1081&lt;51,"中","高")),IF(O1081&lt;20,"中","高")))),"不计算")))</f>
        <v/>
      </c>
      <c r="Q1081" s="172">
        <f>IFERROR(IF(J1081="EI",IF(P1081="低",3,IF(P1081="中",4,6)),IF(J1081="EO",IF(P1081="低",4,IF(P1081="中",5,7)),IF(J1081="EQ",IF(P1081="低",3,IF(P1081="中",4,6)),IF(J1081="ILF",IF(P1081="低",7,IF(P1081="中",10,15)),IF(J1081="EIF",IF(P1081="低",5,IF(P1081="中",7,10)),"不计算")))))*R1081,"不计算")</f>
        <v/>
      </c>
      <c r="R1081" s="172" t="n">
        <v>0.333333333333333</v>
      </c>
      <c r="S1081" s="173">
        <f>调整因子!$F$13</f>
        <v/>
      </c>
      <c r="T1081" s="92" t="n">
        <v>1</v>
      </c>
      <c r="U1081" s="174">
        <f>IFERROR(Q1081*S1081,0)</f>
        <v/>
      </c>
      <c r="V1081" s="178">
        <f>U1081*T1081</f>
        <v/>
      </c>
      <c r="W1081" s="103" t="inlineStr">
        <is>
          <t>修复方案表、故障知识库表、日志采集配置表、验证配置表</t>
        </is>
      </c>
      <c r="X1081" s="103" t="inlineStr"/>
      <c r="Y1081" s="97" t="inlineStr">
        <is>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is>
      </c>
      <c r="Z1081" s="90" t="n"/>
      <c r="AA1081" s="90" t="n"/>
    </row>
    <row r="1082" s="112">
      <c r="A1082" s="72">
        <f>ROW()-1</f>
        <v/>
      </c>
      <c r="B1082" s="175" t="n"/>
      <c r="C1082" s="124" t="n">
        <v>2026</v>
      </c>
      <c r="D1082" s="125" t="n"/>
      <c r="E1082" s="103" t="n"/>
      <c r="F1082" s="175" t="n"/>
      <c r="G1082" s="175" t="n"/>
      <c r="H1082" s="97" t="inlineStr">
        <is>
          <t>设备状态监控</t>
        </is>
      </c>
      <c r="I1082" s="103" t="inlineStr">
        <is>
          <t>启用设备监控</t>
        </is>
      </c>
      <c r="J1082" s="93" t="inlineStr">
        <is>
          <t>EI</t>
        </is>
      </c>
      <c r="K1082" s="102" t="n"/>
      <c r="L1082" s="102" t="n"/>
      <c r="M1082" s="85">
        <f>IF(OR(Y1082="估算法",Y1082="算法类",Y1082="无法识别"),"",IF(W1082="",IF(OR(J1082="EI",J1082="EO",J1082="EQ"),0,""),LEN(W1082)-LEN(SUBSTITUTE(W1082,"、",""))+1))</f>
        <v/>
      </c>
      <c r="N1082" s="85">
        <f>IF(OR(Y1082="估算法",Y1082="算法类",Y1082="无法识别"),"",IF(X1082="",IF(OR(J1082="ILF",J1082="EIF"),0,""),LEN(X1082)-LEN(SUBSTITUTE(X1082,"、",""))+1))</f>
        <v/>
      </c>
      <c r="O1082" s="85">
        <f>IF(OR(Y1082="估算法",Y1082="算法类",Y1082="无法识别"),"",IF(Y1082="",IF(OR(J1082="ILF",J1082="EIF",J1082="EI",J1082="EO",J1082="EQ"),0,""),LEN(Y1082)-LEN(SUBSTITUTE(SUBSTITUTE(SUBSTITUTE(SUBSTITUTE(SUBSTITUTE(Y1082,"|}","--"),"{|","--"),CHAR(10),""),"、",""),"|",""))+IF(AND(OR(J1082="EI",J1082="EO",J1082="EQ"),$AE$1="NESMA"),2,1)))</f>
        <v/>
      </c>
      <c r="P1082" s="86">
        <f>IF(J1082="EI",IF(OR(Y1082="估算法",Y1082="算法类"),"中",IF(Y1082="无法识别","低",IF(M1082&lt;2,IF(O1082&lt;16,"低","中"),IF(M1082&lt;3,IF(O1082&lt;5,"低",IF(O1082&lt;16,"中","高")),IF(O1082&lt;5,"中","高"))))),IF(OR(J1082="EO",J1082="EQ"),IF(OR(Y1082="估算法",Y1082="算法类"),"中",IF(Y1082="无法识别","低",IF(M1082&lt;2,IF(O1082&lt;20,"低","中"),IF(M1082&lt;4,IF(O1082&lt;6,"低",IF(O1082&lt;20,"中","高")),IF(O1082&lt;6,"中","高"))))),IF(OR(J1082="ILF",J1082="EIF"),IF(OR(Y1082="估算法",Y1082="算法类",Y1082="无法识别"),"低",IF(N1082&lt;2,IF(O1082&lt;51,"低","中"),IF(N1082&lt;6,IF(O1082&lt;20,"低",IF(O1082&lt;51,"中","高")),IF(O1082&lt;20,"中","高")))),"不计算")))</f>
        <v/>
      </c>
      <c r="Q1082" s="172">
        <f>IFERROR(IF(J1082="EI",IF(P1082="低",3,IF(P1082="中",4,6)),IF(J1082="EO",IF(P1082="低",4,IF(P1082="中",5,7)),IF(J1082="EQ",IF(P1082="低",3,IF(P1082="中",4,6)),IF(J1082="ILF",IF(P1082="低",7,IF(P1082="中",10,15)),IF(J1082="EIF",IF(P1082="低",5,IF(P1082="中",7,10)),"不计算")))))*R1082,"不计算")</f>
        <v/>
      </c>
      <c r="R1082" s="172" t="n">
        <v>1</v>
      </c>
      <c r="S1082" s="173">
        <f>调整因子!$F$13</f>
        <v/>
      </c>
      <c r="T1082" s="93" t="n">
        <v>1</v>
      </c>
      <c r="U1082" s="174">
        <f>IFERROR(Q1082*S1082,0)</f>
        <v/>
      </c>
      <c r="V1082" s="178">
        <f>U1082*T1082</f>
        <v/>
      </c>
      <c r="W1082" s="103" t="inlineStr">
        <is>
          <t>故障诊断结果表、态势数据采集表、复测任务表、模板配置表、数据清洗任务表</t>
        </is>
      </c>
      <c r="X1082" s="103" t="inlineStr"/>
      <c r="Y1082" s="97" t="inlineStr">
        <is>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is>
      </c>
      <c r="Z1082" s="90" t="n"/>
      <c r="AA1082" s="90" t="n"/>
    </row>
    <row r="1083" s="112">
      <c r="A1083" s="72">
        <f>ROW()-1</f>
        <v/>
      </c>
      <c r="B1083" s="175" t="n"/>
      <c r="C1083" s="124" t="n">
        <v>2026</v>
      </c>
      <c r="D1083" s="125" t="n"/>
      <c r="E1083" s="103" t="n"/>
      <c r="F1083" s="175" t="n"/>
      <c r="G1083" s="175" t="n"/>
      <c r="H1083" s="175" t="n"/>
      <c r="I1083" s="103" t="inlineStr">
        <is>
          <t>停用设备监控</t>
        </is>
      </c>
      <c r="J1083" s="93" t="n"/>
      <c r="K1083" s="102" t="n"/>
      <c r="L1083" s="102" t="inlineStr">
        <is>
          <t>和上行合并，启停为相同功能</t>
        </is>
      </c>
      <c r="M1083" s="85">
        <f>IF(OR(Y1083="估算法",Y1083="算法类",Y1083="无法识别"),"",IF(W1083="",IF(OR(J1083="EI",J1083="EO",J1083="EQ"),0,""),LEN(W1083)-LEN(SUBSTITUTE(W1083,"、",""))+1))</f>
        <v/>
      </c>
      <c r="N1083" s="85">
        <f>IF(OR(Y1083="估算法",Y1083="算法类",Y1083="无法识别"),"",IF(X1083="",IF(OR(J1083="ILF",J1083="EIF"),0,""),LEN(X1083)-LEN(SUBSTITUTE(X1083,"、",""))+1))</f>
        <v/>
      </c>
      <c r="O1083" s="85">
        <f>IF(OR(Y1083="估算法",Y1083="算法类",Y1083="无法识别"),"",IF(Y1083="",IF(OR(J1083="ILF",J1083="EIF",J1083="EI",J1083="EO",J1083="EQ"),0,""),LEN(Y1083)-LEN(SUBSTITUTE(SUBSTITUTE(SUBSTITUTE(SUBSTITUTE(SUBSTITUTE(Y1083,"|}","--"),"{|","--"),CHAR(10),""),"、",""),"|",""))+IF(AND(OR(J1083="EI",J1083="EO",J1083="EQ"),$AE$1="NESMA"),2,1)))</f>
        <v/>
      </c>
      <c r="P1083" s="86">
        <f>IF(J1083="EI",IF(OR(Y1083="估算法",Y1083="算法类"),"中",IF(Y1083="无法识别","低",IF(M1083&lt;2,IF(O1083&lt;16,"低","中"),IF(M1083&lt;3,IF(O1083&lt;5,"低",IF(O1083&lt;16,"中","高")),IF(O1083&lt;5,"中","高"))))),IF(OR(J1083="EO",J1083="EQ"),IF(OR(Y1083="估算法",Y1083="算法类"),"中",IF(Y1083="无法识别","低",IF(M1083&lt;2,IF(O1083&lt;20,"低","中"),IF(M1083&lt;4,IF(O1083&lt;6,"低",IF(O1083&lt;20,"中","高")),IF(O1083&lt;6,"中","高"))))),IF(OR(J1083="ILF",J1083="EIF"),IF(OR(Y1083="估算法",Y1083="算法类",Y1083="无法识别"),"低",IF(N1083&lt;2,IF(O1083&lt;51,"低","中"),IF(N1083&lt;6,IF(O1083&lt;20,"低",IF(O1083&lt;51,"中","高")),IF(O1083&lt;20,"中","高")))),"不计算")))</f>
        <v/>
      </c>
      <c r="Q1083" s="172">
        <f>IFERROR(IF(J1083="EI",IF(P1083="低",3,IF(P1083="中",4,6)),IF(J1083="EO",IF(P1083="低",4,IF(P1083="中",5,7)),IF(J1083="EQ",IF(P1083="低",3,IF(P1083="中",4,6)),IF(J1083="ILF",IF(P1083="低",7,IF(P1083="中",10,15)),IF(J1083="EIF",IF(P1083="低",5,IF(P1083="中",7,10)),"不计算")))))*R1083,"不计算")</f>
        <v/>
      </c>
      <c r="R1083" s="172" t="n">
        <v>1</v>
      </c>
      <c r="S1083" s="173">
        <f>调整因子!$F$13</f>
        <v/>
      </c>
      <c r="T1083" s="93" t="n">
        <v>1</v>
      </c>
      <c r="U1083" s="174">
        <f>IFERROR(Q1083*S1083,0)</f>
        <v/>
      </c>
      <c r="V1083" s="178">
        <f>U1083*T1083</f>
        <v/>
      </c>
      <c r="W1083" s="103" t="inlineStr">
        <is>
          <t>推送日志表、通报模板表、推送失败重试表</t>
        </is>
      </c>
      <c r="X1083" s="103" t="inlineStr"/>
      <c r="Y1083" s="97" t="inlineStr">
        <is>
          <t>推送日志表{日志ID、操作人、操作类型、操作时间、操作内容|日志ID、操作人、操作类型}
通报模板表{ID、名称、类型、状态、创建时间、更新时间|ID、名称、类型}
推送失败重试表{ID、名称、类型、状态、创建时间、更新时间|ID、名称、类型}</t>
        </is>
      </c>
      <c r="Z1083" s="90" t="n"/>
      <c r="AA1083" s="90" t="n"/>
    </row>
    <row r="1084" s="112">
      <c r="A1084" s="72">
        <f>ROW()-1</f>
        <v/>
      </c>
      <c r="B1084" s="175" t="n"/>
      <c r="C1084" s="124" t="n">
        <v>2026</v>
      </c>
      <c r="D1084" s="125" t="n"/>
      <c r="E1084" s="103" t="n"/>
      <c r="F1084" s="175" t="n"/>
      <c r="G1084" s="175" t="n"/>
      <c r="H1084" s="175" t="n"/>
      <c r="I1084" s="103" t="inlineStr">
        <is>
          <t>导出监控数据</t>
        </is>
      </c>
      <c r="J1084" s="93" t="inlineStr">
        <is>
          <t>EO</t>
        </is>
      </c>
      <c r="K1084" s="102" t="n"/>
      <c r="L1084" s="102" t="n"/>
      <c r="M1084" s="85">
        <f>IF(OR(Y1084="估算法",Y1084="算法类",Y1084="无法识别"),"",IF(W1084="",IF(OR(J1084="EI",J1084="EO",J1084="EQ"),0,""),LEN(W1084)-LEN(SUBSTITUTE(W1084,"、",""))+1))</f>
        <v/>
      </c>
      <c r="N1084" s="85">
        <f>IF(OR(Y1084="估算法",Y1084="算法类",Y1084="无法识别"),"",IF(X1084="",IF(OR(J1084="ILF",J1084="EIF"),0,""),LEN(X1084)-LEN(SUBSTITUTE(X1084,"、",""))+1))</f>
        <v/>
      </c>
      <c r="O1084" s="85">
        <f>IF(OR(Y1084="估算法",Y1084="算法类",Y1084="无法识别"),"",IF(Y1084="",IF(OR(J1084="ILF",J1084="EIF",J1084="EI",J1084="EO",J1084="EQ"),0,""),LEN(Y1084)-LEN(SUBSTITUTE(SUBSTITUTE(SUBSTITUTE(SUBSTITUTE(SUBSTITUTE(Y1084,"|}","--"),"{|","--"),CHAR(10),""),"、",""),"|",""))+IF(AND(OR(J1084="EI",J1084="EO",J1084="EQ"),$AE$1="NESMA"),2,1)))</f>
        <v/>
      </c>
      <c r="P1084" s="86">
        <f>IF(J1084="EI",IF(OR(Y1084="估算法",Y1084="算法类"),"中",IF(Y1084="无法识别","低",IF(M1084&lt;2,IF(O1084&lt;16,"低","中"),IF(M1084&lt;3,IF(O1084&lt;5,"低",IF(O1084&lt;16,"中","高")),IF(O1084&lt;5,"中","高"))))),IF(OR(J1084="EO",J1084="EQ"),IF(OR(Y1084="估算法",Y1084="算法类"),"中",IF(Y1084="无法识别","低",IF(M1084&lt;2,IF(O1084&lt;20,"低","中"),IF(M1084&lt;4,IF(O1084&lt;6,"低",IF(O1084&lt;20,"中","高")),IF(O1084&lt;6,"中","高"))))),IF(OR(J1084="ILF",J1084="EIF"),IF(OR(Y1084="估算法",Y1084="算法类",Y1084="无法识别"),"低",IF(N1084&lt;2,IF(O1084&lt;51,"低","中"),IF(N1084&lt;6,IF(O1084&lt;20,"低",IF(O1084&lt;51,"中","高")),IF(O1084&lt;20,"中","高")))),"不计算")))</f>
        <v/>
      </c>
      <c r="Q1084" s="172">
        <f>IFERROR(IF(J1084="EI",IF(P1084="低",3,IF(P1084="中",4,6)),IF(J1084="EO",IF(P1084="低",4,IF(P1084="中",5,7)),IF(J1084="EQ",IF(P1084="低",3,IF(P1084="中",4,6)),IF(J1084="ILF",IF(P1084="低",7,IF(P1084="中",10,15)),IF(J1084="EIF",IF(P1084="低",5,IF(P1084="中",7,10)),"不计算")))))*R1084,"不计算")</f>
        <v/>
      </c>
      <c r="R1084" s="172" t="n">
        <v>1</v>
      </c>
      <c r="S1084" s="173">
        <f>调整因子!$F$13</f>
        <v/>
      </c>
      <c r="T1084" s="92" t="n">
        <v>1</v>
      </c>
      <c r="U1084" s="174">
        <f>IFERROR(Q1084*S1084,0)</f>
        <v/>
      </c>
      <c r="V1084" s="178">
        <f>U1084*T1084</f>
        <v/>
      </c>
      <c r="W1084" s="103" t="inlineStr">
        <is>
          <t>日志采集配置表、标签分类表、日志加密配置表、脱敏规则表、接口参数配置表</t>
        </is>
      </c>
      <c r="X1084" s="103" t="inlineStr"/>
      <c r="Y1084" s="97" t="inlineStr">
        <is>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is>
      </c>
      <c r="Z1084" s="90" t="n"/>
      <c r="AA1084" s="90" t="n"/>
    </row>
    <row r="1085" s="112">
      <c r="A1085" s="72">
        <f>ROW()-1</f>
        <v/>
      </c>
      <c r="B1085" s="175" t="n"/>
      <c r="C1085" s="124" t="n">
        <v>2026</v>
      </c>
      <c r="D1085" s="125" t="n"/>
      <c r="E1085" s="103" t="n"/>
      <c r="F1085" s="175" t="n"/>
      <c r="G1085" s="175" t="n"/>
      <c r="H1085" s="175" t="n"/>
      <c r="I1085" s="103" t="inlineStr">
        <is>
          <t>推送设备告警</t>
        </is>
      </c>
      <c r="J1085" s="93" t="inlineStr">
        <is>
          <t>EO</t>
        </is>
      </c>
      <c r="K1085" s="102" t="n"/>
      <c r="L1085" s="102" t="n"/>
      <c r="M1085" s="85">
        <f>IF(OR(Y1085="估算法",Y1085="算法类",Y1085="无法识别"),"",IF(W1085="",IF(OR(J1085="EI",J1085="EO",J1085="EQ"),0,""),LEN(W1085)-LEN(SUBSTITUTE(W1085,"、",""))+1))</f>
        <v/>
      </c>
      <c r="N1085" s="85">
        <f>IF(OR(Y1085="估算法",Y1085="算法类",Y1085="无法识别"),"",IF(X1085="",IF(OR(J1085="ILF",J1085="EIF"),0,""),LEN(X1085)-LEN(SUBSTITUTE(X1085,"、",""))+1))</f>
        <v/>
      </c>
      <c r="O1085" s="85">
        <f>IF(OR(Y1085="估算法",Y1085="算法类",Y1085="无法识别"),"",IF(Y1085="",IF(OR(J1085="ILF",J1085="EIF",J1085="EI",J1085="EO",J1085="EQ"),0,""),LEN(Y1085)-LEN(SUBSTITUTE(SUBSTITUTE(SUBSTITUTE(SUBSTITUTE(SUBSTITUTE(Y1085,"|}","--"),"{|","--"),CHAR(10),""),"、",""),"|",""))+IF(AND(OR(J1085="EI",J1085="EO",J1085="EQ"),$AE$1="NESMA"),2,1)))</f>
        <v/>
      </c>
      <c r="P1085" s="86">
        <f>IF(J1085="EI",IF(OR(Y1085="估算法",Y1085="算法类"),"中",IF(Y1085="无法识别","低",IF(M1085&lt;2,IF(O1085&lt;16,"低","中"),IF(M1085&lt;3,IF(O1085&lt;5,"低",IF(O1085&lt;16,"中","高")),IF(O1085&lt;5,"中","高"))))),IF(OR(J1085="EO",J1085="EQ"),IF(OR(Y1085="估算法",Y1085="算法类"),"中",IF(Y1085="无法识别","低",IF(M1085&lt;2,IF(O1085&lt;20,"低","中"),IF(M1085&lt;4,IF(O1085&lt;6,"低",IF(O1085&lt;20,"中","高")),IF(O1085&lt;6,"中","高"))))),IF(OR(J1085="ILF",J1085="EIF"),IF(OR(Y1085="估算法",Y1085="算法类",Y1085="无法识别"),"低",IF(N1085&lt;2,IF(O1085&lt;51,"低","中"),IF(N1085&lt;6,IF(O1085&lt;20,"低",IF(O1085&lt;51,"中","高")),IF(O1085&lt;20,"中","高")))),"不计算")))</f>
        <v/>
      </c>
      <c r="Q1085" s="172">
        <f>IFERROR(IF(J1085="EI",IF(P1085="低",3,IF(P1085="中",4,6)),IF(J1085="EO",IF(P1085="低",4,IF(P1085="中",5,7)),IF(J1085="EQ",IF(P1085="低",3,IF(P1085="中",4,6)),IF(J1085="ILF",IF(P1085="低",7,IF(P1085="中",10,15)),IF(J1085="EIF",IF(P1085="低",5,IF(P1085="中",7,10)),"不计算")))))*R1085,"不计算")</f>
        <v/>
      </c>
      <c r="R1085" s="172" t="n">
        <v>1</v>
      </c>
      <c r="S1085" s="173">
        <f>调整因子!$F$13</f>
        <v/>
      </c>
      <c r="T1085" s="92" t="n">
        <v>1</v>
      </c>
      <c r="U1085" s="174">
        <f>IFERROR(Q1085*S1085,0)</f>
        <v/>
      </c>
      <c r="V1085" s="178">
        <f>U1085*T1085</f>
        <v/>
      </c>
      <c r="W1085" s="103" t="inlineStr">
        <is>
          <t>推送结果表、报告导入记录表、报表模板表、故障知识库表、推送对象表</t>
        </is>
      </c>
      <c r="X1085" s="103" t="inlineStr"/>
      <c r="Y1085" s="97" t="inlineStr">
        <is>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is>
      </c>
      <c r="Z1085" s="90" t="n"/>
      <c r="AA1085" s="90" t="n"/>
    </row>
    <row r="1086" s="112">
      <c r="A1086" s="72">
        <f>ROW()-1</f>
        <v/>
      </c>
      <c r="B1086" s="175" t="n"/>
      <c r="C1086" s="124" t="n">
        <v>2026</v>
      </c>
      <c r="D1086" s="125" t="n"/>
      <c r="E1086" s="103" t="n"/>
      <c r="F1086" s="175" t="n"/>
      <c r="G1086" s="175" t="n"/>
      <c r="H1086" s="175" t="n"/>
      <c r="I1086" s="103" t="inlineStr">
        <is>
          <t>查询设备状态</t>
        </is>
      </c>
      <c r="J1086" s="93" t="inlineStr">
        <is>
          <t>EQ</t>
        </is>
      </c>
      <c r="K1086" s="102" t="n"/>
      <c r="L1086" s="102" t="inlineStr">
        <is>
          <t>处理流程和上行基本一致，为查询功能，未体现详情功能</t>
        </is>
      </c>
      <c r="M1086" s="85">
        <f>IF(OR(Y1086="估算法",Y1086="算法类",Y1086="无法识别"),"",IF(W1086="",IF(OR(J1086="EI",J1086="EO",J1086="EQ"),0,""),LEN(W1086)-LEN(SUBSTITUTE(W1086,"、",""))+1))</f>
        <v/>
      </c>
      <c r="N1086" s="85">
        <f>IF(OR(Y1086="估算法",Y1086="算法类",Y1086="无法识别"),"",IF(X1086="",IF(OR(J1086="ILF",J1086="EIF"),0,""),LEN(X1086)-LEN(SUBSTITUTE(X1086,"、",""))+1))</f>
        <v/>
      </c>
      <c r="O1086" s="85">
        <f>IF(OR(Y1086="估算法",Y1086="算法类",Y1086="无法识别"),"",IF(Y1086="",IF(OR(J1086="ILF",J1086="EIF",J1086="EI",J1086="EO",J1086="EQ"),0,""),LEN(Y1086)-LEN(SUBSTITUTE(SUBSTITUTE(SUBSTITUTE(SUBSTITUTE(SUBSTITUTE(Y1086,"|}","--"),"{|","--"),CHAR(10),""),"、",""),"|",""))+IF(AND(OR(J1086="EI",J1086="EO",J1086="EQ"),$AE$1="NESMA"),2,1)))</f>
        <v/>
      </c>
      <c r="P1086" s="86">
        <f>IF(J1086="EI",IF(OR(Y1086="估算法",Y1086="算法类"),"中",IF(Y1086="无法识别","低",IF(M1086&lt;2,IF(O1086&lt;16,"低","中"),IF(M1086&lt;3,IF(O1086&lt;5,"低",IF(O1086&lt;16,"中","高")),IF(O1086&lt;5,"中","高"))))),IF(OR(J1086="EO",J1086="EQ"),IF(OR(Y1086="估算法",Y1086="算法类"),"中",IF(Y1086="无法识别","低",IF(M1086&lt;2,IF(O1086&lt;20,"低","中"),IF(M1086&lt;4,IF(O1086&lt;6,"低",IF(O1086&lt;20,"中","高")),IF(O1086&lt;6,"中","高"))))),IF(OR(J1086="ILF",J1086="EIF"),IF(OR(Y1086="估算法",Y1086="算法类",Y1086="无法识别"),"低",IF(N1086&lt;2,IF(O1086&lt;51,"低","中"),IF(N1086&lt;6,IF(O1086&lt;20,"低",IF(O1086&lt;51,"中","高")),IF(O1086&lt;20,"中","高")))),"不计算")))</f>
        <v/>
      </c>
      <c r="Q1086" s="172">
        <f>IFERROR(IF(J1086="EI",IF(P1086="低",3,IF(P1086="中",4,6)),IF(J1086="EO",IF(P1086="低",4,IF(P1086="中",5,7)),IF(J1086="EQ",IF(P1086="低",3,IF(P1086="中",4,6)),IF(J1086="ILF",IF(P1086="低",7,IF(P1086="中",10,15)),IF(J1086="EIF",IF(P1086="低",5,IF(P1086="中",7,10)),"不计算")))))*R1086,"不计算")</f>
        <v/>
      </c>
      <c r="R1086" s="172" t="n">
        <v>0.333333333333333</v>
      </c>
      <c r="S1086" s="173">
        <f>调整因子!$F$13</f>
        <v/>
      </c>
      <c r="T1086" s="93" t="n">
        <v>1</v>
      </c>
      <c r="U1086" s="174">
        <f>IFERROR(Q1086*S1086,0)</f>
        <v/>
      </c>
      <c r="V1086" s="178">
        <f>U1086*T1086</f>
        <v/>
      </c>
      <c r="W1086" s="103" t="inlineStr">
        <is>
          <t>指标阈值表、修复步骤表、调用统计表、日志采集配置表、标签定义表</t>
        </is>
      </c>
      <c r="X1086" s="103" t="inlineStr"/>
      <c r="Y1086" s="97" t="inlineStr">
        <is>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is>
      </c>
      <c r="Z1086" s="90" t="n"/>
      <c r="AA1086" s="90" t="n"/>
    </row>
    <row r="1087" s="112">
      <c r="A1087" s="72">
        <f>ROW()-1</f>
        <v/>
      </c>
      <c r="B1087" s="175" t="n"/>
      <c r="C1087" s="124" t="n">
        <v>2026</v>
      </c>
      <c r="D1087" s="125" t="n"/>
      <c r="E1087" s="103" t="n"/>
      <c r="F1087" s="175" t="n"/>
      <c r="G1087" s="175" t="n"/>
      <c r="H1087" s="176" t="n"/>
      <c r="I1087" s="103" t="inlineStr">
        <is>
          <t>查看性能趋势</t>
        </is>
      </c>
      <c r="J1087" s="93" t="inlineStr">
        <is>
          <t>EQ</t>
        </is>
      </c>
      <c r="K1087" s="102" t="n"/>
      <c r="L1087" s="102" t="inlineStr">
        <is>
          <t>处理流程和上行基本一致，为查询功能，未体现详情功能</t>
        </is>
      </c>
      <c r="M1087" s="85">
        <f>IF(OR(Y1087="估算法",Y1087="算法类",Y1087="无法识别"),"",IF(W1087="",IF(OR(J1087="EI",J1087="EO",J1087="EQ"),0,""),LEN(W1087)-LEN(SUBSTITUTE(W1087,"、",""))+1))</f>
        <v/>
      </c>
      <c r="N1087" s="85">
        <f>IF(OR(Y1087="估算法",Y1087="算法类",Y1087="无法识别"),"",IF(X1087="",IF(OR(J1087="ILF",J1087="EIF"),0,""),LEN(X1087)-LEN(SUBSTITUTE(X1087,"、",""))+1))</f>
        <v/>
      </c>
      <c r="O1087" s="85">
        <f>IF(OR(Y1087="估算法",Y1087="算法类",Y1087="无法识别"),"",IF(Y1087="",IF(OR(J1087="ILF",J1087="EIF",J1087="EI",J1087="EO",J1087="EQ"),0,""),LEN(Y1087)-LEN(SUBSTITUTE(SUBSTITUTE(SUBSTITUTE(SUBSTITUTE(SUBSTITUTE(Y1087,"|}","--"),"{|","--"),CHAR(10),""),"、",""),"|",""))+IF(AND(OR(J1087="EI",J1087="EO",J1087="EQ"),$AE$1="NESMA"),2,1)))</f>
        <v/>
      </c>
      <c r="P1087" s="86">
        <f>IF(J1087="EI",IF(OR(Y1087="估算法",Y1087="算法类"),"中",IF(Y1087="无法识别","低",IF(M1087&lt;2,IF(O1087&lt;16,"低","中"),IF(M1087&lt;3,IF(O1087&lt;5,"低",IF(O1087&lt;16,"中","高")),IF(O1087&lt;5,"中","高"))))),IF(OR(J1087="EO",J1087="EQ"),IF(OR(Y1087="估算法",Y1087="算法类"),"中",IF(Y1087="无法识别","低",IF(M1087&lt;2,IF(O1087&lt;20,"低","中"),IF(M1087&lt;4,IF(O1087&lt;6,"低",IF(O1087&lt;20,"中","高")),IF(O1087&lt;6,"中","高"))))),IF(OR(J1087="ILF",J1087="EIF"),IF(OR(Y1087="估算法",Y1087="算法类",Y1087="无法识别"),"低",IF(N1087&lt;2,IF(O1087&lt;51,"低","中"),IF(N1087&lt;6,IF(O1087&lt;20,"低",IF(O1087&lt;51,"中","高")),IF(O1087&lt;20,"中","高")))),"不计算")))</f>
        <v/>
      </c>
      <c r="Q1087" s="172">
        <f>IFERROR(IF(J1087="EI",IF(P1087="低",3,IF(P1087="中",4,6)),IF(J1087="EO",IF(P1087="低",4,IF(P1087="中",5,7)),IF(J1087="EQ",IF(P1087="低",3,IF(P1087="中",4,6)),IF(J1087="ILF",IF(P1087="低",7,IF(P1087="中",10,15)),IF(J1087="EIF",IF(P1087="低",5,IF(P1087="中",7,10)),"不计算")))))*R1087,"不计算")</f>
        <v/>
      </c>
      <c r="R1087" s="172" t="n">
        <v>0.333333333333333</v>
      </c>
      <c r="S1087" s="173">
        <f>调整因子!$F$13</f>
        <v/>
      </c>
      <c r="T1087" s="92" t="n">
        <v>1</v>
      </c>
      <c r="U1087" s="174">
        <f>IFERROR(Q1087*S1087,0)</f>
        <v/>
      </c>
      <c r="V1087" s="178">
        <f>U1087*T1087</f>
        <v/>
      </c>
      <c r="W1087" s="103" t="inlineStr">
        <is>
          <t>扫描盲区记录表、模板配置表、接口参数表</t>
        </is>
      </c>
      <c r="X1087" s="103" t="inlineStr"/>
      <c r="Y1087" s="97" t="inlineStr">
        <is>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is>
      </c>
      <c r="Z1087" s="90" t="n"/>
      <c r="AA1087" s="90" t="n"/>
    </row>
    <row r="1088" s="112">
      <c r="A1088" s="72">
        <f>ROW()-1</f>
        <v/>
      </c>
      <c r="B1088" s="175" t="n"/>
      <c r="C1088" s="124" t="n">
        <v>2026</v>
      </c>
      <c r="D1088" s="125" t="n"/>
      <c r="E1088" s="103" t="n"/>
      <c r="F1088" s="175" t="n"/>
      <c r="G1088" s="175" t="n"/>
      <c r="H1088" s="97" t="inlineStr">
        <is>
          <t>设备分组管理</t>
        </is>
      </c>
      <c r="I1088" s="103" t="inlineStr">
        <is>
          <t>编辑设备分组</t>
        </is>
      </c>
      <c r="J1088" s="93" t="inlineStr">
        <is>
          <t>EI</t>
        </is>
      </c>
      <c r="K1088" s="102" t="n"/>
      <c r="L1088" s="102" t="n"/>
      <c r="M1088" s="85">
        <f>IF(OR(Y1088="估算法",Y1088="算法类",Y1088="无法识别"),"",IF(W1088="",IF(OR(J1088="EI",J1088="EO",J1088="EQ"),0,""),LEN(W1088)-LEN(SUBSTITUTE(W1088,"、",""))+1))</f>
        <v/>
      </c>
      <c r="N1088" s="85">
        <f>IF(OR(Y1088="估算法",Y1088="算法类",Y1088="无法识别"),"",IF(X1088="",IF(OR(J1088="ILF",J1088="EIF"),0,""),LEN(X1088)-LEN(SUBSTITUTE(X1088,"、",""))+1))</f>
        <v/>
      </c>
      <c r="O1088" s="85">
        <f>IF(OR(Y1088="估算法",Y1088="算法类",Y1088="无法识别"),"",IF(Y1088="",IF(OR(J1088="ILF",J1088="EIF",J1088="EI",J1088="EO",J1088="EQ"),0,""),LEN(Y1088)-LEN(SUBSTITUTE(SUBSTITUTE(SUBSTITUTE(SUBSTITUTE(SUBSTITUTE(Y1088,"|}","--"),"{|","--"),CHAR(10),""),"、",""),"|",""))+IF(AND(OR(J1088="EI",J1088="EO",J1088="EQ"),$AE$1="NESMA"),2,1)))</f>
        <v/>
      </c>
      <c r="P1088" s="86">
        <f>IF(J1088="EI",IF(OR(Y1088="估算法",Y1088="算法类"),"中",IF(Y1088="无法识别","低",IF(M1088&lt;2,IF(O1088&lt;16,"低","中"),IF(M1088&lt;3,IF(O1088&lt;5,"低",IF(O1088&lt;16,"中","高")),IF(O1088&lt;5,"中","高"))))),IF(OR(J1088="EO",J1088="EQ"),IF(OR(Y1088="估算法",Y1088="算法类"),"中",IF(Y1088="无法识别","低",IF(M1088&lt;2,IF(O1088&lt;20,"低","中"),IF(M1088&lt;4,IF(O1088&lt;6,"低",IF(O1088&lt;20,"中","高")),IF(O1088&lt;6,"中","高"))))),IF(OR(J1088="ILF",J1088="EIF"),IF(OR(Y1088="估算法",Y1088="算法类",Y1088="无法识别"),"低",IF(N1088&lt;2,IF(O1088&lt;51,"低","中"),IF(N1088&lt;6,IF(O1088&lt;20,"低",IF(O1088&lt;51,"中","高")),IF(O1088&lt;20,"中","高")))),"不计算")))</f>
        <v/>
      </c>
      <c r="Q1088" s="172">
        <f>IFERROR(IF(J1088="EI",IF(P1088="低",3,IF(P1088="中",4,6)),IF(J1088="EO",IF(P1088="低",4,IF(P1088="中",5,7)),IF(J1088="EQ",IF(P1088="低",3,IF(P1088="中",4,6)),IF(J1088="ILF",IF(P1088="低",7,IF(P1088="中",10,15)),IF(J1088="EIF",IF(P1088="低",5,IF(P1088="中",7,10)),"不计算")))))*R1088,"不计算")</f>
        <v/>
      </c>
      <c r="R1088" s="172" t="n">
        <v>1</v>
      </c>
      <c r="S1088" s="173">
        <f>调整因子!$F$13</f>
        <v/>
      </c>
      <c r="T1088" s="92" t="n">
        <v>1</v>
      </c>
      <c r="U1088" s="174">
        <f>IFERROR(Q1088*S1088,0)</f>
        <v/>
      </c>
      <c r="V1088" s="178">
        <f>U1088*T1088</f>
        <v/>
      </c>
      <c r="W1088" s="103" t="inlineStr">
        <is>
          <t>分布分析表、日志查询记录表、模板配置表、处置单关联表</t>
        </is>
      </c>
      <c r="X1088" s="103" t="inlineStr"/>
      <c r="Y1088" s="97" t="inlineStr">
        <is>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is>
      </c>
      <c r="Z1088" s="90" t="n"/>
      <c r="AA1088" s="90" t="n"/>
    </row>
    <row r="1089" s="112">
      <c r="A1089" s="72">
        <f>ROW()-1</f>
        <v/>
      </c>
      <c r="B1089" s="175" t="n"/>
      <c r="C1089" s="124" t="n">
        <v>2026</v>
      </c>
      <c r="D1089" s="125" t="n"/>
      <c r="E1089" s="103" t="n"/>
      <c r="F1089" s="175" t="n"/>
      <c r="G1089" s="175" t="n"/>
      <c r="H1089" s="175" t="n"/>
      <c r="I1089" s="103" t="inlineStr">
        <is>
          <t>删除设备分组</t>
        </is>
      </c>
      <c r="J1089" s="93" t="inlineStr">
        <is>
          <t>EI</t>
        </is>
      </c>
      <c r="K1089" s="102" t="n"/>
      <c r="L1089" s="102" t="n"/>
      <c r="M1089" s="85">
        <f>IF(OR(Y1089="估算法",Y1089="算法类",Y1089="无法识别"),"",IF(W1089="",IF(OR(J1089="EI",J1089="EO",J1089="EQ"),0,""),LEN(W1089)-LEN(SUBSTITUTE(W1089,"、",""))+1))</f>
        <v/>
      </c>
      <c r="N1089" s="85">
        <f>IF(OR(Y1089="估算法",Y1089="算法类",Y1089="无法识别"),"",IF(X1089="",IF(OR(J1089="ILF",J1089="EIF"),0,""),LEN(X1089)-LEN(SUBSTITUTE(X1089,"、",""))+1))</f>
        <v/>
      </c>
      <c r="O1089" s="85">
        <f>IF(OR(Y1089="估算法",Y1089="算法类",Y1089="无法识别"),"",IF(Y1089="",IF(OR(J1089="ILF",J1089="EIF",J1089="EI",J1089="EO",J1089="EQ"),0,""),LEN(Y1089)-LEN(SUBSTITUTE(SUBSTITUTE(SUBSTITUTE(SUBSTITUTE(SUBSTITUTE(Y1089,"|}","--"),"{|","--"),CHAR(10),""),"、",""),"|",""))+IF(AND(OR(J1089="EI",J1089="EO",J1089="EQ"),$AE$1="NESMA"),2,1)))</f>
        <v/>
      </c>
      <c r="P1089" s="86">
        <f>IF(J1089="EI",IF(OR(Y1089="估算法",Y1089="算法类"),"中",IF(Y1089="无法识别","低",IF(M1089&lt;2,IF(O1089&lt;16,"低","中"),IF(M1089&lt;3,IF(O1089&lt;5,"低",IF(O1089&lt;16,"中","高")),IF(O1089&lt;5,"中","高"))))),IF(OR(J1089="EO",J1089="EQ"),IF(OR(Y1089="估算法",Y1089="算法类"),"中",IF(Y1089="无法识别","低",IF(M1089&lt;2,IF(O1089&lt;20,"低","中"),IF(M1089&lt;4,IF(O1089&lt;6,"低",IF(O1089&lt;20,"中","高")),IF(O1089&lt;6,"中","高"))))),IF(OR(J1089="ILF",J1089="EIF"),IF(OR(Y1089="估算法",Y1089="算法类",Y1089="无法识别"),"低",IF(N1089&lt;2,IF(O1089&lt;51,"低","中"),IF(N1089&lt;6,IF(O1089&lt;20,"低",IF(O1089&lt;51,"中","高")),IF(O1089&lt;20,"中","高")))),"不计算")))</f>
        <v/>
      </c>
      <c r="Q1089" s="172">
        <f>IFERROR(IF(J1089="EI",IF(P1089="低",3,IF(P1089="中",4,6)),IF(J1089="EO",IF(P1089="低",4,IF(P1089="中",5,7)),IF(J1089="EQ",IF(P1089="低",3,IF(P1089="中",4,6)),IF(J1089="ILF",IF(P1089="低",7,IF(P1089="中",10,15)),IF(J1089="EIF",IF(P1089="低",5,IF(P1089="中",7,10)),"不计算")))))*R1089,"不计算")</f>
        <v/>
      </c>
      <c r="R1089" s="172" t="n">
        <v>0.333333333333333</v>
      </c>
      <c r="S1089" s="173">
        <f>调整因子!$F$13</f>
        <v/>
      </c>
      <c r="T1089" s="93" t="n">
        <v>1</v>
      </c>
      <c r="U1089" s="174">
        <f>IFERROR(Q1089*S1089,0)</f>
        <v/>
      </c>
      <c r="V1089" s="178">
        <f>U1089*T1089</f>
        <v/>
      </c>
      <c r="W1089" s="103" t="inlineStr">
        <is>
          <t>修复步骤表、接口监控配置表、任务趋势分析表、修复步骤表</t>
        </is>
      </c>
      <c r="X1089" s="103" t="inlineStr"/>
      <c r="Y1089" s="97" t="inlineStr">
        <is>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is>
      </c>
      <c r="Z1089" s="90" t="n"/>
      <c r="AA1089" s="90" t="n"/>
    </row>
    <row r="1090" s="112">
      <c r="A1090" s="72">
        <f>ROW()-1</f>
        <v/>
      </c>
      <c r="B1090" s="175" t="n"/>
      <c r="C1090" s="124" t="n">
        <v>2026</v>
      </c>
      <c r="D1090" s="125" t="n"/>
      <c r="E1090" s="103" t="n"/>
      <c r="F1090" s="175" t="n"/>
      <c r="G1090" s="175" t="n"/>
      <c r="H1090" s="175" t="n"/>
      <c r="I1090" s="103" t="inlineStr">
        <is>
          <t>导出分组配置</t>
        </is>
      </c>
      <c r="J1090" s="93" t="inlineStr">
        <is>
          <t>EO</t>
        </is>
      </c>
      <c r="K1090" s="102" t="n"/>
      <c r="L1090" s="102" t="n"/>
      <c r="M1090" s="85">
        <f>IF(OR(Y1090="估算法",Y1090="算法类",Y1090="无法识别"),"",IF(W1090="",IF(OR(J1090="EI",J1090="EO",J1090="EQ"),0,""),LEN(W1090)-LEN(SUBSTITUTE(W1090,"、",""))+1))</f>
        <v/>
      </c>
      <c r="N1090" s="85">
        <f>IF(OR(Y1090="估算法",Y1090="算法类",Y1090="无法识别"),"",IF(X1090="",IF(OR(J1090="ILF",J1090="EIF"),0,""),LEN(X1090)-LEN(SUBSTITUTE(X1090,"、",""))+1))</f>
        <v/>
      </c>
      <c r="O1090" s="85">
        <f>IF(OR(Y1090="估算法",Y1090="算法类",Y1090="无法识别"),"",IF(Y1090="",IF(OR(J1090="ILF",J1090="EIF",J1090="EI",J1090="EO",J1090="EQ"),0,""),LEN(Y1090)-LEN(SUBSTITUTE(SUBSTITUTE(SUBSTITUTE(SUBSTITUTE(SUBSTITUTE(Y1090,"|}","--"),"{|","--"),CHAR(10),""),"、",""),"|",""))+IF(AND(OR(J1090="EI",J1090="EO",J1090="EQ"),$AE$1="NESMA"),2,1)))</f>
        <v/>
      </c>
      <c r="P1090" s="86">
        <f>IF(J1090="EI",IF(OR(Y1090="估算法",Y1090="算法类"),"中",IF(Y1090="无法识别","低",IF(M1090&lt;2,IF(O1090&lt;16,"低","中"),IF(M1090&lt;3,IF(O1090&lt;5,"低",IF(O1090&lt;16,"中","高")),IF(O1090&lt;5,"中","高"))))),IF(OR(J1090="EO",J1090="EQ"),IF(OR(Y1090="估算法",Y1090="算法类"),"中",IF(Y1090="无法识别","低",IF(M1090&lt;2,IF(O1090&lt;20,"低","中"),IF(M1090&lt;4,IF(O1090&lt;6,"低",IF(O1090&lt;20,"中","高")),IF(O1090&lt;6,"中","高"))))),IF(OR(J1090="ILF",J1090="EIF"),IF(OR(Y1090="估算法",Y1090="算法类",Y1090="无法识别"),"低",IF(N1090&lt;2,IF(O1090&lt;51,"低","中"),IF(N1090&lt;6,IF(O1090&lt;20,"低",IF(O1090&lt;51,"中","高")),IF(O1090&lt;20,"中","高")))),"不计算")))</f>
        <v/>
      </c>
      <c r="Q1090" s="172">
        <f>IFERROR(IF(J1090="EI",IF(P1090="低",3,IF(P1090="中",4,6)),IF(J1090="EO",IF(P1090="低",4,IF(P1090="中",5,7)),IF(J1090="EQ",IF(P1090="低",3,IF(P1090="中",4,6)),IF(J1090="ILF",IF(P1090="低",7,IF(P1090="中",10,15)),IF(J1090="EIF",IF(P1090="低",5,IF(P1090="中",7,10)),"不计算")))))*R1090,"不计算")</f>
        <v/>
      </c>
      <c r="R1090" s="172" t="n">
        <v>1</v>
      </c>
      <c r="S1090" s="173">
        <f>调整因子!$F$13</f>
        <v/>
      </c>
      <c r="T1090" s="93" t="n">
        <v>1</v>
      </c>
      <c r="U1090" s="174">
        <f>IFERROR(Q1090*S1090,0)</f>
        <v/>
      </c>
      <c r="V1090" s="178">
        <f>U1090*T1090</f>
        <v/>
      </c>
      <c r="W1090" s="103" t="inlineStr">
        <is>
          <t>任务优先级配置表、模板参数配置表、处置单配置表、验证配置表、复测配置表</t>
        </is>
      </c>
      <c r="X1090" s="103" t="inlineStr"/>
      <c r="Y1090"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090" s="90" t="n"/>
      <c r="AA1090" s="90" t="n"/>
    </row>
    <row r="1091" s="112">
      <c r="A1091" s="72">
        <f>ROW()-1</f>
        <v/>
      </c>
      <c r="B1091" s="175" t="n"/>
      <c r="C1091" s="124" t="n">
        <v>2026</v>
      </c>
      <c r="D1091" s="125" t="n"/>
      <c r="E1091" s="103" t="n"/>
      <c r="F1091" s="175" t="n"/>
      <c r="G1091" s="175" t="n"/>
      <c r="H1091" s="175" t="n"/>
      <c r="I1091" s="103" t="inlineStr">
        <is>
          <t>查询设备分组</t>
        </is>
      </c>
      <c r="J1091" s="93" t="inlineStr">
        <is>
          <t>EQ</t>
        </is>
      </c>
      <c r="K1091" s="102" t="n"/>
      <c r="L1091" s="102" t="inlineStr">
        <is>
          <t>处理流程和上行基本一致，为查询功能，未体现详情功能</t>
        </is>
      </c>
      <c r="M1091" s="85">
        <f>IF(OR(Y1091="估算法",Y1091="算法类",Y1091="无法识别"),"",IF(W1091="",IF(OR(J1091="EI",J1091="EO",J1091="EQ"),0,""),LEN(W1091)-LEN(SUBSTITUTE(W1091,"、",""))+1))</f>
        <v/>
      </c>
      <c r="N1091" s="85">
        <f>IF(OR(Y1091="估算法",Y1091="算法类",Y1091="无法识别"),"",IF(X1091="",IF(OR(J1091="ILF",J1091="EIF"),0,""),LEN(X1091)-LEN(SUBSTITUTE(X1091,"、",""))+1))</f>
        <v/>
      </c>
      <c r="O1091" s="85">
        <f>IF(OR(Y1091="估算法",Y1091="算法类",Y1091="无法识别"),"",IF(Y1091="",IF(OR(J1091="ILF",J1091="EIF",J1091="EI",J1091="EO",J1091="EQ"),0,""),LEN(Y1091)-LEN(SUBSTITUTE(SUBSTITUTE(SUBSTITUTE(SUBSTITUTE(SUBSTITUTE(Y1091,"|}","--"),"{|","--"),CHAR(10),""),"、",""),"|",""))+IF(AND(OR(J1091="EI",J1091="EO",J1091="EQ"),$AE$1="NESMA"),2,1)))</f>
        <v/>
      </c>
      <c r="P1091" s="86">
        <f>IF(J1091="EI",IF(OR(Y1091="估算法",Y1091="算法类"),"中",IF(Y1091="无法识别","低",IF(M1091&lt;2,IF(O1091&lt;16,"低","中"),IF(M1091&lt;3,IF(O1091&lt;5,"低",IF(O1091&lt;16,"中","高")),IF(O1091&lt;5,"中","高"))))),IF(OR(J1091="EO",J1091="EQ"),IF(OR(Y1091="估算法",Y1091="算法类"),"中",IF(Y1091="无法识别","低",IF(M1091&lt;2,IF(O1091&lt;20,"低","中"),IF(M1091&lt;4,IF(O1091&lt;6,"低",IF(O1091&lt;20,"中","高")),IF(O1091&lt;6,"中","高"))))),IF(OR(J1091="ILF",J1091="EIF"),IF(OR(Y1091="估算法",Y1091="算法类",Y1091="无法识别"),"低",IF(N1091&lt;2,IF(O1091&lt;51,"低","中"),IF(N1091&lt;6,IF(O1091&lt;20,"低",IF(O1091&lt;51,"中","高")),IF(O1091&lt;20,"中","高")))),"不计算")))</f>
        <v/>
      </c>
      <c r="Q1091" s="172">
        <f>IFERROR(IF(J1091="EI",IF(P1091="低",3,IF(P1091="中",4,6)),IF(J1091="EO",IF(P1091="低",4,IF(P1091="中",5,7)),IF(J1091="EQ",IF(P1091="低",3,IF(P1091="中",4,6)),IF(J1091="ILF",IF(P1091="低",7,IF(P1091="中",10,15)),IF(J1091="EIF",IF(P1091="低",5,IF(P1091="中",7,10)),"不计算")))))*R1091,"不计算")</f>
        <v/>
      </c>
      <c r="R1091" s="172" t="n">
        <v>0.333333333333333</v>
      </c>
      <c r="S1091" s="173">
        <f>调整因子!$F$13</f>
        <v/>
      </c>
      <c r="T1091" s="92" t="n">
        <v>1</v>
      </c>
      <c r="U1091" s="174">
        <f>IFERROR(Q1091*S1091,0)</f>
        <v/>
      </c>
      <c r="V1091" s="178">
        <f>U1091*T1091</f>
        <v/>
      </c>
      <c r="W1091" s="103" t="inlineStr">
        <is>
          <t>推送任务表、态势数据采集表、考核指标配置表</t>
        </is>
      </c>
      <c r="X1091" s="103" t="inlineStr"/>
      <c r="Y1091" s="97" t="inlineStr">
        <is>
          <t>推送任务表{任务ID、任务名称|任务ID、任务名称、任务类型、任务状态、创建时间、执行时间}
态势数据采集表{ID、名称|ID、名称、类型、状态、创建时间、更新时间}
考核指标配置表{配置ID、配置名称|配置ID、配置名称、配置类型、配置值、创建时间}</t>
        </is>
      </c>
      <c r="Z1091" s="90" t="n"/>
      <c r="AA1091" s="90" t="n"/>
    </row>
    <row r="1092" s="112">
      <c r="A1092" s="72">
        <f>ROW()-1</f>
        <v/>
      </c>
      <c r="B1092" s="175" t="n"/>
      <c r="C1092" s="124" t="n">
        <v>2026</v>
      </c>
      <c r="D1092" s="125" t="n"/>
      <c r="E1092" s="103" t="n"/>
      <c r="F1092" s="175" t="n"/>
      <c r="G1092" s="176" t="n"/>
      <c r="H1092" s="176" t="n"/>
      <c r="I1092" s="103" t="inlineStr">
        <is>
          <t>查看分组详情</t>
        </is>
      </c>
      <c r="J1092" s="93" t="inlineStr">
        <is>
          <t>EQ</t>
        </is>
      </c>
      <c r="K1092" s="102" t="n"/>
      <c r="L1092" s="102" t="inlineStr">
        <is>
          <t>处理流程和上行基本一致，为查询功能，未体现详情功能</t>
        </is>
      </c>
      <c r="M1092" s="85">
        <f>IF(OR(Y1092="估算法",Y1092="算法类",Y1092="无法识别"),"",IF(W1092="",IF(OR(J1092="EI",J1092="EO",J1092="EQ"),0,""),LEN(W1092)-LEN(SUBSTITUTE(W1092,"、",""))+1))</f>
        <v/>
      </c>
      <c r="N1092" s="85">
        <f>IF(OR(Y1092="估算法",Y1092="算法类",Y1092="无法识别"),"",IF(X1092="",IF(OR(J1092="ILF",J1092="EIF"),0,""),LEN(X1092)-LEN(SUBSTITUTE(X1092,"、",""))+1))</f>
        <v/>
      </c>
      <c r="O1092" s="85">
        <f>IF(OR(Y1092="估算法",Y1092="算法类",Y1092="无法识别"),"",IF(Y1092="",IF(OR(J1092="ILF",J1092="EIF",J1092="EI",J1092="EO",J1092="EQ"),0,""),LEN(Y1092)-LEN(SUBSTITUTE(SUBSTITUTE(SUBSTITUTE(SUBSTITUTE(SUBSTITUTE(Y1092,"|}","--"),"{|","--"),CHAR(10),""),"、",""),"|",""))+IF(AND(OR(J1092="EI",J1092="EO",J1092="EQ"),$AE$1="NESMA"),2,1)))</f>
        <v/>
      </c>
      <c r="P1092" s="86">
        <f>IF(J1092="EI",IF(OR(Y1092="估算法",Y1092="算法类"),"中",IF(Y1092="无法识别","低",IF(M1092&lt;2,IF(O1092&lt;16,"低","中"),IF(M1092&lt;3,IF(O1092&lt;5,"低",IF(O1092&lt;16,"中","高")),IF(O1092&lt;5,"中","高"))))),IF(OR(J1092="EO",J1092="EQ"),IF(OR(Y1092="估算法",Y1092="算法类"),"中",IF(Y1092="无法识别","低",IF(M1092&lt;2,IF(O1092&lt;20,"低","中"),IF(M1092&lt;4,IF(O1092&lt;6,"低",IF(O1092&lt;20,"中","高")),IF(O1092&lt;6,"中","高"))))),IF(OR(J1092="ILF",J1092="EIF"),IF(OR(Y1092="估算法",Y1092="算法类",Y1092="无法识别"),"低",IF(N1092&lt;2,IF(O1092&lt;51,"低","中"),IF(N1092&lt;6,IF(O1092&lt;20,"低",IF(O1092&lt;51,"中","高")),IF(O1092&lt;20,"中","高")))),"不计算")))</f>
        <v/>
      </c>
      <c r="Q1092" s="172">
        <f>IFERROR(IF(J1092="EI",IF(P1092="低",3,IF(P1092="中",4,6)),IF(J1092="EO",IF(P1092="低",4,IF(P1092="中",5,7)),IF(J1092="EQ",IF(P1092="低",3,IF(P1092="中",4,6)),IF(J1092="ILF",IF(P1092="低",7,IF(P1092="中",10,15)),IF(J1092="EIF",IF(P1092="低",5,IF(P1092="中",7,10)),"不计算")))))*R1092,"不计算")</f>
        <v/>
      </c>
      <c r="R1092" s="172" t="n">
        <v>0.333333333333333</v>
      </c>
      <c r="S1092" s="173">
        <f>调整因子!$F$13</f>
        <v/>
      </c>
      <c r="T1092" s="92" t="n">
        <v>1</v>
      </c>
      <c r="U1092" s="174">
        <f>IFERROR(Q1092*S1092,0)</f>
        <v/>
      </c>
      <c r="V1092" s="178">
        <f>U1092*T1092</f>
        <v/>
      </c>
      <c r="W1092" s="103" t="inlineStr">
        <is>
          <t>报告导入记录表、脱敏规则表、推送对象表、任务日志表、复测配置表</t>
        </is>
      </c>
      <c r="X1092" s="103" t="inlineStr"/>
      <c r="Y1092" s="97" t="inlineStr">
        <is>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is>
      </c>
      <c r="Z1092" s="90" t="n"/>
      <c r="AA1092" s="90" t="n"/>
    </row>
    <row r="1093" s="112">
      <c r="A1093" s="72">
        <f>ROW()-1</f>
        <v/>
      </c>
      <c r="B1093" s="175" t="n"/>
      <c r="C1093" s="124" t="n">
        <v>2026</v>
      </c>
      <c r="D1093" s="125" t="n"/>
      <c r="E1093" s="103" t="n"/>
      <c r="F1093" s="175" t="n"/>
      <c r="G1093" s="97" t="inlineStr">
        <is>
          <t>扫描任务统计与分析</t>
        </is>
      </c>
      <c r="H1093" s="97" t="inlineStr">
        <is>
          <t>任务统计分析</t>
        </is>
      </c>
      <c r="I1093" s="103" t="inlineStr">
        <is>
          <t>任务统计数据表</t>
        </is>
      </c>
      <c r="J1093" s="93" t="inlineStr">
        <is>
          <t>ILF</t>
        </is>
      </c>
      <c r="K1093" s="102" t="n"/>
      <c r="L1093" s="102" t="n"/>
      <c r="M1093" s="85">
        <f>IF(OR(Y1093="估算法",Y1093="算法类",Y1093="无法识别"),"",IF(W1093="",IF(OR(J1093="EI",J1093="EO",J1093="EQ"),0,""),LEN(W1093)-LEN(SUBSTITUTE(W1093,"、",""))+1))</f>
        <v/>
      </c>
      <c r="N1093" s="85">
        <f>IF(OR(Y1093="估算法",Y1093="算法类",Y1093="无法识别"),"",IF(X1093="",IF(OR(J1093="ILF",J1093="EIF"),0,""),LEN(X1093)-LEN(SUBSTITUTE(X1093,"、",""))+1))</f>
        <v/>
      </c>
      <c r="O1093" s="85">
        <f>IF(OR(Y1093="估算法",Y1093="算法类",Y1093="无法识别"),"",IF(Y1093="",IF(OR(J1093="ILF",J1093="EIF",J1093="EI",J1093="EO",J1093="EQ"),0,""),LEN(Y1093)-LEN(SUBSTITUTE(SUBSTITUTE(SUBSTITUTE(SUBSTITUTE(SUBSTITUTE(Y1093,"|}","--"),"{|","--"),CHAR(10),""),"、",""),"|",""))+IF(AND(OR(J1093="EI",J1093="EO",J1093="EQ"),$AE$1="NESMA"),2,1)))</f>
        <v/>
      </c>
      <c r="P1093" s="86">
        <f>IF(J1093="EI",IF(OR(Y1093="估算法",Y1093="算法类"),"中",IF(Y1093="无法识别","低",IF(M1093&lt;2,IF(O1093&lt;16,"低","中"),IF(M1093&lt;3,IF(O1093&lt;5,"低",IF(O1093&lt;16,"中","高")),IF(O1093&lt;5,"中","高"))))),IF(OR(J1093="EO",J1093="EQ"),IF(OR(Y1093="估算法",Y1093="算法类"),"中",IF(Y1093="无法识别","低",IF(M1093&lt;2,IF(O1093&lt;20,"低","中"),IF(M1093&lt;4,IF(O1093&lt;6,"低",IF(O1093&lt;20,"中","高")),IF(O1093&lt;6,"中","高"))))),IF(OR(J1093="ILF",J1093="EIF"),IF(OR(Y1093="估算法",Y1093="算法类",Y1093="无法识别"),"低",IF(N1093&lt;2,IF(O1093&lt;51,"低","中"),IF(N1093&lt;6,IF(O1093&lt;20,"低",IF(O1093&lt;51,"中","高")),IF(O1093&lt;20,"中","高")))),"不计算")))</f>
        <v/>
      </c>
      <c r="Q1093" s="172">
        <f>IFERROR(IF(J1093="EI",IF(P1093="低",3,IF(P1093="中",4,6)),IF(J1093="EO",IF(P1093="低",4,IF(P1093="中",5,7)),IF(J1093="EQ",IF(P1093="低",3,IF(P1093="中",4,6)),IF(J1093="ILF",IF(P1093="低",7,IF(P1093="中",10,15)),IF(J1093="EIF",IF(P1093="低",5,IF(P1093="中",7,10)),"不计算")))))*R1093,"不计算")</f>
        <v/>
      </c>
      <c r="R1093" s="172" t="n">
        <v>1</v>
      </c>
      <c r="S1093" s="173">
        <f>调整因子!$F$13</f>
        <v/>
      </c>
      <c r="T1093" s="93" t="n">
        <v>1</v>
      </c>
      <c r="U1093" s="174">
        <f>IFERROR(Q1093*S1093,0)</f>
        <v/>
      </c>
      <c r="V1093" s="178">
        <f>U1093*T1093</f>
        <v/>
      </c>
      <c r="W1093" s="103" t="inlineStr"/>
      <c r="X1093" s="103" t="inlineStr">
        <is>
          <t>扫描任务、发现任务</t>
        </is>
      </c>
      <c r="Y1093" s="97" t="inlineStr">
        <is>
          <t>任务统计数据表{任务ID、任务名称、任务类型|任务ID、任务名称、任务类型、任务状态、创建时间、执行时间}</t>
        </is>
      </c>
      <c r="Z1093" s="90">
        <f>IF(COUNTIFS(W:W,"*"&amp;I1093&amp;"*")&gt;0,"存在","不存在")</f>
        <v/>
      </c>
      <c r="AA1093" s="90">
        <f>IF(COUNTIFS(AB:AB,"*"&amp;I1093&amp;"*")&gt;0,"存在","不存在")</f>
        <v/>
      </c>
    </row>
    <row r="1094" s="112">
      <c r="A1094" s="72">
        <f>ROW()-1</f>
        <v/>
      </c>
      <c r="B1094" s="175" t="n"/>
      <c r="C1094" s="124" t="n">
        <v>2026</v>
      </c>
      <c r="D1094" s="125" t="n"/>
      <c r="E1094" s="103" t="n"/>
      <c r="F1094" s="175" t="n"/>
      <c r="G1094" s="175" t="n"/>
      <c r="H1094" s="175" t="n"/>
      <c r="I1094" s="103" t="inlineStr">
        <is>
          <t>任务趋势分析表</t>
        </is>
      </c>
      <c r="J1094" s="93" t="inlineStr">
        <is>
          <t>ILF</t>
        </is>
      </c>
      <c r="K1094" s="102" t="n"/>
      <c r="L1094" s="102" t="n"/>
      <c r="M1094" s="85">
        <f>IF(OR(Y1094="估算法",Y1094="算法类",Y1094="无法识别"),"",IF(W1094="",IF(OR(J1094="EI",J1094="EO",J1094="EQ"),0,""),LEN(W1094)-LEN(SUBSTITUTE(W1094,"、",""))+1))</f>
        <v/>
      </c>
      <c r="N1094" s="85">
        <f>IF(OR(Y1094="估算法",Y1094="算法类",Y1094="无法识别"),"",IF(X1094="",IF(OR(J1094="ILF",J1094="EIF"),0,""),LEN(X1094)-LEN(SUBSTITUTE(X1094,"、",""))+1))</f>
        <v/>
      </c>
      <c r="O1094" s="85">
        <f>IF(OR(Y1094="估算法",Y1094="算法类",Y1094="无法识别"),"",IF(Y1094="",IF(OR(J1094="ILF",J1094="EIF",J1094="EI",J1094="EO",J1094="EQ"),0,""),LEN(Y1094)-LEN(SUBSTITUTE(SUBSTITUTE(SUBSTITUTE(SUBSTITUTE(SUBSTITUTE(Y1094,"|}","--"),"{|","--"),CHAR(10),""),"、",""),"|",""))+IF(AND(OR(J1094="EI",J1094="EO",J1094="EQ"),$AE$1="NESMA"),2,1)))</f>
        <v/>
      </c>
      <c r="P1094" s="86">
        <f>IF(J1094="EI",IF(OR(Y1094="估算法",Y1094="算法类"),"中",IF(Y1094="无法识别","低",IF(M1094&lt;2,IF(O1094&lt;16,"低","中"),IF(M1094&lt;3,IF(O1094&lt;5,"低",IF(O1094&lt;16,"中","高")),IF(O1094&lt;5,"中","高"))))),IF(OR(J1094="EO",J1094="EQ"),IF(OR(Y1094="估算法",Y1094="算法类"),"中",IF(Y1094="无法识别","低",IF(M1094&lt;2,IF(O1094&lt;20,"低","中"),IF(M1094&lt;4,IF(O1094&lt;6,"低",IF(O1094&lt;20,"中","高")),IF(O1094&lt;6,"中","高"))))),IF(OR(J1094="ILF",J1094="EIF"),IF(OR(Y1094="估算法",Y1094="算法类",Y1094="无法识别"),"低",IF(N1094&lt;2,IF(O1094&lt;51,"低","中"),IF(N1094&lt;6,IF(O1094&lt;20,"低",IF(O1094&lt;51,"中","高")),IF(O1094&lt;20,"中","高")))),"不计算")))</f>
        <v/>
      </c>
      <c r="Q1094" s="172">
        <f>IFERROR(IF(J1094="EI",IF(P1094="低",3,IF(P1094="中",4,6)),IF(J1094="EO",IF(P1094="低",4,IF(P1094="中",5,7)),IF(J1094="EQ",IF(P1094="低",3,IF(P1094="中",4,6)),IF(J1094="ILF",IF(P1094="低",7,IF(P1094="中",10,15)),IF(J1094="EIF",IF(P1094="低",5,IF(P1094="中",7,10)),"不计算")))))*R1094,"不计算")</f>
        <v/>
      </c>
      <c r="R1094" s="172" t="n">
        <v>1</v>
      </c>
      <c r="S1094" s="173">
        <f>调整因子!$F$13</f>
        <v/>
      </c>
      <c r="T1094" s="92" t="n">
        <v>1</v>
      </c>
      <c r="U1094" s="174">
        <f>IFERROR(Q1094*S1094,0)</f>
        <v/>
      </c>
      <c r="V1094" s="178">
        <f>U1094*T1094</f>
        <v/>
      </c>
      <c r="W1094" s="103" t="inlineStr"/>
      <c r="X1094" s="103" t="inlineStr">
        <is>
          <t>扫描任务、发现任务、口令猜测任务</t>
        </is>
      </c>
      <c r="Y1094" s="97" t="inlineStr">
        <is>
          <t>任务趋势分析表{任务ID、任务名称、任务类型|任务ID、任务名称、任务类型、任务状态、创建时间、执行时间}</t>
        </is>
      </c>
      <c r="Z1094" s="90">
        <f>IF(COUNTIFS(W:W,"*"&amp;I1094&amp;"*")&gt;0,"存在","不存在")</f>
        <v/>
      </c>
      <c r="AA1094" s="90">
        <f>IF(COUNTIFS(AB:AB,"*"&amp;I1094&amp;"*")&gt;0,"存在","不存在")</f>
        <v/>
      </c>
    </row>
    <row r="1095" s="112">
      <c r="A1095" s="72">
        <f>ROW()-1</f>
        <v/>
      </c>
      <c r="B1095" s="175" t="n"/>
      <c r="C1095" s="124" t="n">
        <v>2026</v>
      </c>
      <c r="D1095" s="125" t="n"/>
      <c r="E1095" s="103" t="n"/>
      <c r="F1095" s="175" t="n"/>
      <c r="G1095" s="175" t="n"/>
      <c r="H1095" s="175" t="n"/>
      <c r="I1095" s="103" t="inlineStr">
        <is>
          <t>导出统计报表</t>
        </is>
      </c>
      <c r="J1095" s="93" t="inlineStr">
        <is>
          <t>EO</t>
        </is>
      </c>
      <c r="K1095" s="102" t="n"/>
      <c r="L1095" s="102" t="n"/>
      <c r="M1095" s="85">
        <f>IF(OR(Y1095="估算法",Y1095="算法类",Y1095="无法识别"),"",IF(W1095="",IF(OR(J1095="EI",J1095="EO",J1095="EQ"),0,""),LEN(W1095)-LEN(SUBSTITUTE(W1095,"、",""))+1))</f>
        <v/>
      </c>
      <c r="N1095" s="85">
        <f>IF(OR(Y1095="估算法",Y1095="算法类",Y1095="无法识别"),"",IF(X1095="",IF(OR(J1095="ILF",J1095="EIF"),0,""),LEN(X1095)-LEN(SUBSTITUTE(X1095,"、",""))+1))</f>
        <v/>
      </c>
      <c r="O1095" s="85">
        <f>IF(OR(Y1095="估算法",Y1095="算法类",Y1095="无法识别"),"",IF(Y1095="",IF(OR(J1095="ILF",J1095="EIF",J1095="EI",J1095="EO",J1095="EQ"),0,""),LEN(Y1095)-LEN(SUBSTITUTE(SUBSTITUTE(SUBSTITUTE(SUBSTITUTE(SUBSTITUTE(Y1095,"|}","--"),"{|","--"),CHAR(10),""),"、",""),"|",""))+IF(AND(OR(J1095="EI",J1095="EO",J1095="EQ"),$AE$1="NESMA"),2,1)))</f>
        <v/>
      </c>
      <c r="P1095" s="86">
        <f>IF(J1095="EI",IF(OR(Y1095="估算法",Y1095="算法类"),"中",IF(Y1095="无法识别","低",IF(M1095&lt;2,IF(O1095&lt;16,"低","中"),IF(M1095&lt;3,IF(O1095&lt;5,"低",IF(O1095&lt;16,"中","高")),IF(O1095&lt;5,"中","高"))))),IF(OR(J1095="EO",J1095="EQ"),IF(OR(Y1095="估算法",Y1095="算法类"),"中",IF(Y1095="无法识别","低",IF(M1095&lt;2,IF(O1095&lt;20,"低","中"),IF(M1095&lt;4,IF(O1095&lt;6,"低",IF(O1095&lt;20,"中","高")),IF(O1095&lt;6,"中","高"))))),IF(OR(J1095="ILF",J1095="EIF"),IF(OR(Y1095="估算法",Y1095="算法类",Y1095="无法识别"),"低",IF(N1095&lt;2,IF(O1095&lt;51,"低","中"),IF(N1095&lt;6,IF(O1095&lt;20,"低",IF(O1095&lt;51,"中","高")),IF(O1095&lt;20,"中","高")))),"不计算")))</f>
        <v/>
      </c>
      <c r="Q1095" s="172">
        <f>IFERROR(IF(J1095="EI",IF(P1095="低",3,IF(P1095="中",4,6)),IF(J1095="EO",IF(P1095="低",4,IF(P1095="中",5,7)),IF(J1095="EQ",IF(P1095="低",3,IF(P1095="中",4,6)),IF(J1095="ILF",IF(P1095="低",7,IF(P1095="中",10,15)),IF(J1095="EIF",IF(P1095="低",5,IF(P1095="中",7,10)),"不计算")))))*R1095,"不计算")</f>
        <v/>
      </c>
      <c r="R1095" s="172" t="n">
        <v>1</v>
      </c>
      <c r="S1095" s="173">
        <f>调整因子!$F$13</f>
        <v/>
      </c>
      <c r="T1095" s="92" t="n">
        <v>1</v>
      </c>
      <c r="U1095" s="174">
        <f>IFERROR(Q1095*S1095,0)</f>
        <v/>
      </c>
      <c r="V1095" s="178">
        <f>U1095*T1095</f>
        <v/>
      </c>
      <c r="W1095" s="103" t="inlineStr">
        <is>
          <t>报表模板表、数据清洗任务表、推送对象表、任务队列表</t>
        </is>
      </c>
      <c r="X1095" s="103" t="inlineStr"/>
      <c r="Y1095" s="97" t="inlineStr">
        <is>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is>
      </c>
      <c r="Z1095" s="90" t="n"/>
      <c r="AA1095" s="90" t="n"/>
    </row>
    <row r="1096" s="112">
      <c r="A1096" s="72">
        <f>ROW()-1</f>
        <v/>
      </c>
      <c r="B1096" s="175" t="n"/>
      <c r="C1096" s="124" t="n">
        <v>2026</v>
      </c>
      <c r="D1096" s="125" t="n"/>
      <c r="E1096" s="103" t="n"/>
      <c r="F1096" s="175" t="n"/>
      <c r="G1096" s="175" t="n"/>
      <c r="H1096" s="175" t="n"/>
      <c r="I1096" s="103" t="inlineStr">
        <is>
          <t>下载分析报告</t>
        </is>
      </c>
      <c r="J1096" s="93" t="inlineStr">
        <is>
          <t>EO</t>
        </is>
      </c>
      <c r="K1096" s="102" t="n"/>
      <c r="L1096" s="102" t="n"/>
      <c r="M1096" s="85">
        <f>IF(OR(Y1096="估算法",Y1096="算法类",Y1096="无法识别"),"",IF(W1096="",IF(OR(J1096="EI",J1096="EO",J1096="EQ"),0,""),LEN(W1096)-LEN(SUBSTITUTE(W1096,"、",""))+1))</f>
        <v/>
      </c>
      <c r="N1096" s="85">
        <f>IF(OR(Y1096="估算法",Y1096="算法类",Y1096="无法识别"),"",IF(X1096="",IF(OR(J1096="ILF",J1096="EIF"),0,""),LEN(X1096)-LEN(SUBSTITUTE(X1096,"、",""))+1))</f>
        <v/>
      </c>
      <c r="O1096" s="85">
        <f>IF(OR(Y1096="估算法",Y1096="算法类",Y1096="无法识别"),"",IF(Y1096="",IF(OR(J1096="ILF",J1096="EIF",J1096="EI",J1096="EO",J1096="EQ"),0,""),LEN(Y1096)-LEN(SUBSTITUTE(SUBSTITUTE(SUBSTITUTE(SUBSTITUTE(SUBSTITUTE(Y1096,"|}","--"),"{|","--"),CHAR(10),""),"、",""),"|",""))+IF(AND(OR(J1096="EI",J1096="EO",J1096="EQ"),$AE$1="NESMA"),2,1)))</f>
        <v/>
      </c>
      <c r="P1096" s="86">
        <f>IF(J1096="EI",IF(OR(Y1096="估算法",Y1096="算法类"),"中",IF(Y1096="无法识别","低",IF(M1096&lt;2,IF(O1096&lt;16,"低","中"),IF(M1096&lt;3,IF(O1096&lt;5,"低",IF(O1096&lt;16,"中","高")),IF(O1096&lt;5,"中","高"))))),IF(OR(J1096="EO",J1096="EQ"),IF(OR(Y1096="估算法",Y1096="算法类"),"中",IF(Y1096="无法识别","低",IF(M1096&lt;2,IF(O1096&lt;20,"低","中"),IF(M1096&lt;4,IF(O1096&lt;6,"低",IF(O1096&lt;20,"中","高")),IF(O1096&lt;6,"中","高"))))),IF(OR(J1096="ILF",J1096="EIF"),IF(OR(Y1096="估算法",Y1096="算法类",Y1096="无法识别"),"低",IF(N1096&lt;2,IF(O1096&lt;51,"低","中"),IF(N1096&lt;6,IF(O1096&lt;20,"低",IF(O1096&lt;51,"中","高")),IF(O1096&lt;20,"中","高")))),"不计算")))</f>
        <v/>
      </c>
      <c r="Q1096" s="172">
        <f>IFERROR(IF(J1096="EI",IF(P1096="低",3,IF(P1096="中",4,6)),IF(J1096="EO",IF(P1096="低",4,IF(P1096="中",5,7)),IF(J1096="EQ",IF(P1096="低",3,IF(P1096="中",4,6)),IF(J1096="ILF",IF(P1096="低",7,IF(P1096="中",10,15)),IF(J1096="EIF",IF(P1096="低",5,IF(P1096="中",7,10)),"不计算")))))*R1096,"不计算")</f>
        <v/>
      </c>
      <c r="R1096" s="172" t="n">
        <v>1</v>
      </c>
      <c r="S1096" s="173">
        <f>调整因子!$F$13</f>
        <v/>
      </c>
      <c r="T1096" s="93" t="n">
        <v>1</v>
      </c>
      <c r="U1096" s="174">
        <f>IFERROR(Q1096*S1096,0)</f>
        <v/>
      </c>
      <c r="V1096" s="178">
        <f>U1096*T1096</f>
        <v/>
      </c>
      <c r="W1096" s="103" t="inlineStr">
        <is>
          <t>漏洞查询接口配置表、处置单配置表、通报模板表、扫描策略模板表</t>
        </is>
      </c>
      <c r="X1096" s="103" t="inlineStr"/>
      <c r="Y1096" s="97" t="inlineStr">
        <is>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is>
      </c>
      <c r="Z1096" s="90" t="n"/>
      <c r="AA1096" s="90" t="n"/>
    </row>
    <row r="1097" s="112">
      <c r="A1097" s="72">
        <f>ROW()-1</f>
        <v/>
      </c>
      <c r="B1097" s="175" t="n"/>
      <c r="C1097" s="124" t="n">
        <v>2026</v>
      </c>
      <c r="D1097" s="125" t="n"/>
      <c r="E1097" s="103" t="n"/>
      <c r="F1097" s="175" t="n"/>
      <c r="G1097" s="175" t="n"/>
      <c r="H1097" s="175" t="n"/>
      <c r="I1097" s="103" t="inlineStr">
        <is>
          <t>推送统计结果</t>
        </is>
      </c>
      <c r="J1097" s="93" t="inlineStr">
        <is>
          <t>EO</t>
        </is>
      </c>
      <c r="K1097" s="102" t="n"/>
      <c r="L1097" s="102" t="n"/>
      <c r="M1097" s="85">
        <f>IF(OR(Y1097="估算法",Y1097="算法类",Y1097="无法识别"),"",IF(W1097="",IF(OR(J1097="EI",J1097="EO",J1097="EQ"),0,""),LEN(W1097)-LEN(SUBSTITUTE(W1097,"、",""))+1))</f>
        <v/>
      </c>
      <c r="N1097" s="85">
        <f>IF(OR(Y1097="估算法",Y1097="算法类",Y1097="无法识别"),"",IF(X1097="",IF(OR(J1097="ILF",J1097="EIF"),0,""),LEN(X1097)-LEN(SUBSTITUTE(X1097,"、",""))+1))</f>
        <v/>
      </c>
      <c r="O1097" s="85">
        <f>IF(OR(Y1097="估算法",Y1097="算法类",Y1097="无法识别"),"",IF(Y1097="",IF(OR(J1097="ILF",J1097="EIF",J1097="EI",J1097="EO",J1097="EQ"),0,""),LEN(Y1097)-LEN(SUBSTITUTE(SUBSTITUTE(SUBSTITUTE(SUBSTITUTE(SUBSTITUTE(Y1097,"|}","--"),"{|","--"),CHAR(10),""),"、",""),"|",""))+IF(AND(OR(J1097="EI",J1097="EO",J1097="EQ"),$AE$1="NESMA"),2,1)))</f>
        <v/>
      </c>
      <c r="P1097" s="86">
        <f>IF(J1097="EI",IF(OR(Y1097="估算法",Y1097="算法类"),"中",IF(Y1097="无法识别","低",IF(M1097&lt;2,IF(O1097&lt;16,"低","中"),IF(M1097&lt;3,IF(O1097&lt;5,"低",IF(O1097&lt;16,"中","高")),IF(O1097&lt;5,"中","高"))))),IF(OR(J1097="EO",J1097="EQ"),IF(OR(Y1097="估算法",Y1097="算法类"),"中",IF(Y1097="无法识别","低",IF(M1097&lt;2,IF(O1097&lt;20,"低","中"),IF(M1097&lt;4,IF(O1097&lt;6,"低",IF(O1097&lt;20,"中","高")),IF(O1097&lt;6,"中","高"))))),IF(OR(J1097="ILF",J1097="EIF"),IF(OR(Y1097="估算法",Y1097="算法类",Y1097="无法识别"),"低",IF(N1097&lt;2,IF(O1097&lt;51,"低","中"),IF(N1097&lt;6,IF(O1097&lt;20,"低",IF(O1097&lt;51,"中","高")),IF(O1097&lt;20,"中","高")))),"不计算")))</f>
        <v/>
      </c>
      <c r="Q1097" s="172">
        <f>IFERROR(IF(J1097="EI",IF(P1097="低",3,IF(P1097="中",4,6)),IF(J1097="EO",IF(P1097="低",4,IF(P1097="中",5,7)),IF(J1097="EQ",IF(P1097="低",3,IF(P1097="中",4,6)),IF(J1097="ILF",IF(P1097="低",7,IF(P1097="中",10,15)),IF(J1097="EIF",IF(P1097="低",5,IF(P1097="中",7,10)),"不计算")))))*R1097,"不计算")</f>
        <v/>
      </c>
      <c r="R1097" s="172" t="n">
        <v>1</v>
      </c>
      <c r="S1097" s="173">
        <f>调整因子!$F$13</f>
        <v/>
      </c>
      <c r="T1097" s="93" t="n">
        <v>1</v>
      </c>
      <c r="U1097" s="174">
        <f>IFERROR(Q1097*S1097,0)</f>
        <v/>
      </c>
      <c r="V1097" s="178">
        <f>U1097*T1097</f>
        <v/>
      </c>
      <c r="W1097" s="103" t="inlineStr">
        <is>
          <t>推送失败重试表、修复方案表、推送配置表</t>
        </is>
      </c>
      <c r="X1097" s="103" t="inlineStr"/>
      <c r="Y1097" s="97" t="inlineStr">
        <is>
          <t>推送失败重试表{ID、名称|ID、名称、类型、状态、创建时间、更新时间}
修复方案表{ID、名称|ID、名称、类型、状态、创建时间、更新时间}
推送配置表{配置ID、配置名称|配置ID、配置名称、配置类型、配置值、创建时间}</t>
        </is>
      </c>
      <c r="Z1097" s="90" t="n"/>
      <c r="AA1097" s="90" t="n"/>
    </row>
    <row r="1098" s="112">
      <c r="A1098" s="72">
        <f>ROW()-1</f>
        <v/>
      </c>
      <c r="B1098" s="175" t="n"/>
      <c r="C1098" s="124" t="n">
        <v>2026</v>
      </c>
      <c r="D1098" s="125" t="n"/>
      <c r="E1098" s="103" t="n"/>
      <c r="F1098" s="175" t="n"/>
      <c r="G1098" s="175" t="n"/>
      <c r="H1098" s="175" t="n"/>
      <c r="I1098" s="103" t="inlineStr">
        <is>
          <t>查询任务统计</t>
        </is>
      </c>
      <c r="J1098" s="93" t="inlineStr">
        <is>
          <t>EQ</t>
        </is>
      </c>
      <c r="K1098" s="102" t="n"/>
      <c r="L1098" s="102" t="n"/>
      <c r="M1098" s="85">
        <f>IF(OR(Y1098="估算法",Y1098="算法类",Y1098="无法识别"),"",IF(W1098="",IF(OR(J1098="EI",J1098="EO",J1098="EQ"),0,""),LEN(W1098)-LEN(SUBSTITUTE(W1098,"、",""))+1))</f>
        <v/>
      </c>
      <c r="N1098" s="85">
        <f>IF(OR(Y1098="估算法",Y1098="算法类",Y1098="无法识别"),"",IF(X1098="",IF(OR(J1098="ILF",J1098="EIF"),0,""),LEN(X1098)-LEN(SUBSTITUTE(X1098,"、",""))+1))</f>
        <v/>
      </c>
      <c r="O1098" s="85">
        <f>IF(OR(Y1098="估算法",Y1098="算法类",Y1098="无法识别"),"",IF(Y1098="",IF(OR(J1098="ILF",J1098="EIF",J1098="EI",J1098="EO",J1098="EQ"),0,""),LEN(Y1098)-LEN(SUBSTITUTE(SUBSTITUTE(SUBSTITUTE(SUBSTITUTE(SUBSTITUTE(Y1098,"|}","--"),"{|","--"),CHAR(10),""),"、",""),"|",""))+IF(AND(OR(J1098="EI",J1098="EO",J1098="EQ"),$AE$1="NESMA"),2,1)))</f>
        <v/>
      </c>
      <c r="P1098" s="86">
        <f>IF(J1098="EI",IF(OR(Y1098="估算法",Y1098="算法类"),"中",IF(Y1098="无法识别","低",IF(M1098&lt;2,IF(O1098&lt;16,"低","中"),IF(M1098&lt;3,IF(O1098&lt;5,"低",IF(O1098&lt;16,"中","高")),IF(O1098&lt;5,"中","高"))))),IF(OR(J1098="EO",J1098="EQ"),IF(OR(Y1098="估算法",Y1098="算法类"),"中",IF(Y1098="无法识别","低",IF(M1098&lt;2,IF(O1098&lt;20,"低","中"),IF(M1098&lt;4,IF(O1098&lt;6,"低",IF(O1098&lt;20,"中","高")),IF(O1098&lt;6,"中","高"))))),IF(OR(J1098="ILF",J1098="EIF"),IF(OR(Y1098="估算法",Y1098="算法类",Y1098="无法识别"),"低",IF(N1098&lt;2,IF(O1098&lt;51,"低","中"),IF(N1098&lt;6,IF(O1098&lt;20,"低",IF(O1098&lt;51,"中","高")),IF(O1098&lt;20,"中","高")))),"不计算")))</f>
        <v/>
      </c>
      <c r="Q1098" s="172">
        <f>IFERROR(IF(J1098="EI",IF(P1098="低",3,IF(P1098="中",4,6)),IF(J1098="EO",IF(P1098="低",4,IF(P1098="中",5,7)),IF(J1098="EQ",IF(P1098="低",3,IF(P1098="中",4,6)),IF(J1098="ILF",IF(P1098="低",7,IF(P1098="中",10,15)),IF(J1098="EIF",IF(P1098="低",5,IF(P1098="中",7,10)),"不计算")))))*R1098,"不计算")</f>
        <v/>
      </c>
      <c r="R1098" s="172" t="n">
        <v>1</v>
      </c>
      <c r="S1098" s="173">
        <f>调整因子!$F$13</f>
        <v/>
      </c>
      <c r="T1098" s="92" t="n">
        <v>1</v>
      </c>
      <c r="U1098" s="174">
        <f>IFERROR(Q1098*S1098,0)</f>
        <v/>
      </c>
      <c r="V1098" s="178">
        <f>U1098*T1098</f>
        <v/>
      </c>
      <c r="W1098" s="103" t="inlineStr">
        <is>
          <t>数据清洗任务表、资产同步任务表、同步任务调度表、任务统计数据表</t>
        </is>
      </c>
      <c r="X1098" s="103" t="inlineStr"/>
      <c r="Y1098"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is>
      </c>
      <c r="Z1098" s="90" t="n"/>
      <c r="AA1098" s="90" t="n"/>
    </row>
    <row r="1099" s="112">
      <c r="A1099" s="72">
        <f>ROW()-1</f>
        <v/>
      </c>
      <c r="B1099" s="175" t="n"/>
      <c r="C1099" s="124" t="n">
        <v>2026</v>
      </c>
      <c r="D1099" s="125" t="n"/>
      <c r="E1099" s="103" t="n"/>
      <c r="F1099" s="175" t="n"/>
      <c r="G1099" s="175" t="n"/>
      <c r="H1099" s="175" t="n"/>
      <c r="I1099" s="103" t="inlineStr">
        <is>
          <t>查看趋势分析</t>
        </is>
      </c>
      <c r="J1099" s="93" t="n"/>
      <c r="K1099" s="102" t="n"/>
      <c r="L1099" s="102" t="inlineStr">
        <is>
          <t>功能描述和查询基本一致，合并</t>
        </is>
      </c>
      <c r="M1099" s="85">
        <f>IF(OR(Y1099="估算法",Y1099="算法类",Y1099="无法识别"),"",IF(W1099="",IF(OR(J1099="EI",J1099="EO",J1099="EQ"),0,""),LEN(W1099)-LEN(SUBSTITUTE(W1099,"、",""))+1))</f>
        <v/>
      </c>
      <c r="N1099" s="85">
        <f>IF(OR(Y1099="估算法",Y1099="算法类",Y1099="无法识别"),"",IF(X1099="",IF(OR(J1099="ILF",J1099="EIF"),0,""),LEN(X1099)-LEN(SUBSTITUTE(X1099,"、",""))+1))</f>
        <v/>
      </c>
      <c r="O1099" s="85">
        <f>IF(OR(Y1099="估算法",Y1099="算法类",Y1099="无法识别"),"",IF(Y1099="",IF(OR(J1099="ILF",J1099="EIF",J1099="EI",J1099="EO",J1099="EQ"),0,""),LEN(Y1099)-LEN(SUBSTITUTE(SUBSTITUTE(SUBSTITUTE(SUBSTITUTE(SUBSTITUTE(Y1099,"|}","--"),"{|","--"),CHAR(10),""),"、",""),"|",""))+IF(AND(OR(J1099="EI",J1099="EO",J1099="EQ"),$AE$1="NESMA"),2,1)))</f>
        <v/>
      </c>
      <c r="P1099" s="86">
        <f>IF(J1099="EI",IF(OR(Y1099="估算法",Y1099="算法类"),"中",IF(Y1099="无法识别","低",IF(M1099&lt;2,IF(O1099&lt;16,"低","中"),IF(M1099&lt;3,IF(O1099&lt;5,"低",IF(O1099&lt;16,"中","高")),IF(O1099&lt;5,"中","高"))))),IF(OR(J1099="EO",J1099="EQ"),IF(OR(Y1099="估算法",Y1099="算法类"),"中",IF(Y1099="无法识别","低",IF(M1099&lt;2,IF(O1099&lt;20,"低","中"),IF(M1099&lt;4,IF(O1099&lt;6,"低",IF(O1099&lt;20,"中","高")),IF(O1099&lt;6,"中","高"))))),IF(OR(J1099="ILF",J1099="EIF"),IF(OR(Y1099="估算法",Y1099="算法类",Y1099="无法识别"),"低",IF(N1099&lt;2,IF(O1099&lt;51,"低","中"),IF(N1099&lt;6,IF(O1099&lt;20,"低",IF(O1099&lt;51,"中","高")),IF(O1099&lt;20,"中","高")))),"不计算")))</f>
        <v/>
      </c>
      <c r="Q1099" s="172">
        <f>IFERROR(IF(J1099="EI",IF(P1099="低",3,IF(P1099="中",4,6)),IF(J1099="EO",IF(P1099="低",4,IF(P1099="中",5,7)),IF(J1099="EQ",IF(P1099="低",3,IF(P1099="中",4,6)),IF(J1099="ILF",IF(P1099="低",7,IF(P1099="中",10,15)),IF(J1099="EIF",IF(P1099="低",5,IF(P1099="中",7,10)),"不计算")))))*R1099,"不计算")</f>
        <v/>
      </c>
      <c r="R1099" s="172" t="n">
        <v>0.333333333333333</v>
      </c>
      <c r="S1099" s="173">
        <f>调整因子!$F$13</f>
        <v/>
      </c>
      <c r="T1099" s="92" t="n">
        <v>1</v>
      </c>
      <c r="U1099" s="174">
        <f>IFERROR(Q1099*S1099,0)</f>
        <v/>
      </c>
      <c r="V1099" s="178">
        <f>U1099*T1099</f>
        <v/>
      </c>
      <c r="W1099" s="103" t="inlineStr">
        <is>
          <t>模板分类表、复测任务表、审计日志表、态势数据采集表</t>
        </is>
      </c>
      <c r="X1099" s="103" t="inlineStr"/>
      <c r="Y1099" s="97" t="inlineStr">
        <is>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is>
      </c>
      <c r="Z1099" s="90" t="n"/>
      <c r="AA1099" s="90" t="n"/>
    </row>
    <row r="1100" s="112">
      <c r="A1100" s="72">
        <f>ROW()-1</f>
        <v/>
      </c>
      <c r="B1100" s="175" t="n"/>
      <c r="C1100" s="124" t="n">
        <v>2026</v>
      </c>
      <c r="D1100" s="125" t="n"/>
      <c r="E1100" s="103" t="n"/>
      <c r="F1100" s="175" t="n"/>
      <c r="G1100" s="175" t="n"/>
      <c r="H1100" s="176" t="n"/>
      <c r="I1100" s="103" t="inlineStr">
        <is>
          <t>查看效率分析</t>
        </is>
      </c>
      <c r="J1100" s="93" t="n"/>
      <c r="K1100" s="102" t="n"/>
      <c r="L1100" s="102" t="inlineStr">
        <is>
          <t>功能描述和查询基本一致，合并</t>
        </is>
      </c>
      <c r="M1100" s="85">
        <f>IF(OR(Y1100="估算法",Y1100="算法类",Y1100="无法识别"),"",IF(W1100="",IF(OR(J1100="EI",J1100="EO",J1100="EQ"),0,""),LEN(W1100)-LEN(SUBSTITUTE(W1100,"、",""))+1))</f>
        <v/>
      </c>
      <c r="N1100" s="85">
        <f>IF(OR(Y1100="估算法",Y1100="算法类",Y1100="无法识别"),"",IF(X1100="",IF(OR(J1100="ILF",J1100="EIF"),0,""),LEN(X1100)-LEN(SUBSTITUTE(X1100,"、",""))+1))</f>
        <v/>
      </c>
      <c r="O1100" s="85">
        <f>IF(OR(Y1100="估算法",Y1100="算法类",Y1100="无法识别"),"",IF(Y1100="",IF(OR(J1100="ILF",J1100="EIF",J1100="EI",J1100="EO",J1100="EQ"),0,""),LEN(Y1100)-LEN(SUBSTITUTE(SUBSTITUTE(SUBSTITUTE(SUBSTITUTE(SUBSTITUTE(Y1100,"|}","--"),"{|","--"),CHAR(10),""),"、",""),"|",""))+IF(AND(OR(J1100="EI",J1100="EO",J1100="EQ"),$AE$1="NESMA"),2,1)))</f>
        <v/>
      </c>
      <c r="P1100" s="86">
        <f>IF(J1100="EI",IF(OR(Y1100="估算法",Y1100="算法类"),"中",IF(Y1100="无法识别","低",IF(M1100&lt;2,IF(O1100&lt;16,"低","中"),IF(M1100&lt;3,IF(O1100&lt;5,"低",IF(O1100&lt;16,"中","高")),IF(O1100&lt;5,"中","高"))))),IF(OR(J1100="EO",J1100="EQ"),IF(OR(Y1100="估算法",Y1100="算法类"),"中",IF(Y1100="无法识别","低",IF(M1100&lt;2,IF(O1100&lt;20,"低","中"),IF(M1100&lt;4,IF(O1100&lt;6,"低",IF(O1100&lt;20,"中","高")),IF(O1100&lt;6,"中","高"))))),IF(OR(J1100="ILF",J1100="EIF"),IF(OR(Y1100="估算法",Y1100="算法类",Y1100="无法识别"),"低",IF(N1100&lt;2,IF(O1100&lt;51,"低","中"),IF(N1100&lt;6,IF(O1100&lt;20,"低",IF(O1100&lt;51,"中","高")),IF(O1100&lt;20,"中","高")))),"不计算")))</f>
        <v/>
      </c>
      <c r="Q1100" s="172">
        <f>IFERROR(IF(J1100="EI",IF(P1100="低",3,IF(P1100="中",4,6)),IF(J1100="EO",IF(P1100="低",4,IF(P1100="中",5,7)),IF(J1100="EQ",IF(P1100="低",3,IF(P1100="中",4,6)),IF(J1100="ILF",IF(P1100="低",7,IF(P1100="中",10,15)),IF(J1100="EIF",IF(P1100="低",5,IF(P1100="中",7,10)),"不计算")))))*R1100,"不计算")</f>
        <v/>
      </c>
      <c r="R1100" s="172" t="n">
        <v>0.333333333333333</v>
      </c>
      <c r="S1100" s="173">
        <f>调整因子!$F$13</f>
        <v/>
      </c>
      <c r="T1100" s="93" t="n">
        <v>1</v>
      </c>
      <c r="U1100" s="174">
        <f>IFERROR(Q1100*S1100,0)</f>
        <v/>
      </c>
      <c r="V1100" s="178">
        <f>U1100*T1100</f>
        <v/>
      </c>
      <c r="W1100" s="103" t="inlineStr">
        <is>
          <t>任务故障记录表、故障诊断结果表、接口参数表、漏洞查询接口配置表、任务日志表</t>
        </is>
      </c>
      <c r="X1100" s="103" t="inlineStr"/>
      <c r="Y1100" s="97" t="inlineStr">
        <is>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is>
      </c>
      <c r="Z1100" s="90" t="n"/>
      <c r="AA1100" s="90" t="n"/>
    </row>
    <row r="1101" s="112">
      <c r="A1101" s="72">
        <f>ROW()-1</f>
        <v/>
      </c>
      <c r="B1101" s="175" t="n"/>
      <c r="C1101" s="124" t="n">
        <v>2026</v>
      </c>
      <c r="D1101" s="125" t="n"/>
      <c r="E1101" s="103" t="n"/>
      <c r="F1101" s="175" t="n"/>
      <c r="G1101" s="175" t="n"/>
      <c r="H1101" s="97" t="inlineStr">
        <is>
          <t>扫描器统计分析</t>
        </is>
      </c>
      <c r="I1101" s="103" t="inlineStr">
        <is>
          <t>导出扫描器统计</t>
        </is>
      </c>
      <c r="J1101" s="93" t="inlineStr">
        <is>
          <t>EO</t>
        </is>
      </c>
      <c r="K1101" s="102" t="n"/>
      <c r="L1101" s="102" t="n"/>
      <c r="M1101" s="85">
        <f>IF(OR(Y1101="估算法",Y1101="算法类",Y1101="无法识别"),"",IF(W1101="",IF(OR(J1101="EI",J1101="EO",J1101="EQ"),0,""),LEN(W1101)-LEN(SUBSTITUTE(W1101,"、",""))+1))</f>
        <v/>
      </c>
      <c r="N1101" s="85">
        <f>IF(OR(Y1101="估算法",Y1101="算法类",Y1101="无法识别"),"",IF(X1101="",IF(OR(J1101="ILF",J1101="EIF"),0,""),LEN(X1101)-LEN(SUBSTITUTE(X1101,"、",""))+1))</f>
        <v/>
      </c>
      <c r="O1101" s="85">
        <f>IF(OR(Y1101="估算法",Y1101="算法类",Y1101="无法识别"),"",IF(Y1101="",IF(OR(J1101="ILF",J1101="EIF",J1101="EI",J1101="EO",J1101="EQ"),0,""),LEN(Y1101)-LEN(SUBSTITUTE(SUBSTITUTE(SUBSTITUTE(SUBSTITUTE(SUBSTITUTE(Y1101,"|}","--"),"{|","--"),CHAR(10),""),"、",""),"|",""))+IF(AND(OR(J1101="EI",J1101="EO",J1101="EQ"),$AE$1="NESMA"),2,1)))</f>
        <v/>
      </c>
      <c r="P1101" s="86">
        <f>IF(J1101="EI",IF(OR(Y1101="估算法",Y1101="算法类"),"中",IF(Y1101="无法识别","低",IF(M1101&lt;2,IF(O1101&lt;16,"低","中"),IF(M1101&lt;3,IF(O1101&lt;5,"低",IF(O1101&lt;16,"中","高")),IF(O1101&lt;5,"中","高"))))),IF(OR(J1101="EO",J1101="EQ"),IF(OR(Y1101="估算法",Y1101="算法类"),"中",IF(Y1101="无法识别","低",IF(M1101&lt;2,IF(O1101&lt;20,"低","中"),IF(M1101&lt;4,IF(O1101&lt;6,"低",IF(O1101&lt;20,"中","高")),IF(O1101&lt;6,"中","高"))))),IF(OR(J1101="ILF",J1101="EIF"),IF(OR(Y1101="估算法",Y1101="算法类",Y1101="无法识别"),"低",IF(N1101&lt;2,IF(O1101&lt;51,"低","中"),IF(N1101&lt;6,IF(O1101&lt;20,"低",IF(O1101&lt;51,"中","高")),IF(O1101&lt;20,"中","高")))),"不计算")))</f>
        <v/>
      </c>
      <c r="Q1101" s="172">
        <f>IFERROR(IF(J1101="EI",IF(P1101="低",3,IF(P1101="中",4,6)),IF(J1101="EO",IF(P1101="低",4,IF(P1101="中",5,7)),IF(J1101="EQ",IF(P1101="低",3,IF(P1101="中",4,6)),IF(J1101="ILF",IF(P1101="低",7,IF(P1101="中",10,15)),IF(J1101="EIF",IF(P1101="低",5,IF(P1101="中",7,10)),"不计算")))))*R1101,"不计算")</f>
        <v/>
      </c>
      <c r="R1101" s="172" t="n">
        <v>1</v>
      </c>
      <c r="S1101" s="173">
        <f>调整因子!$F$13</f>
        <v/>
      </c>
      <c r="T1101" s="92" t="n">
        <v>1</v>
      </c>
      <c r="U1101" s="174">
        <f>IFERROR(Q1101*S1101,0)</f>
        <v/>
      </c>
      <c r="V1101" s="178">
        <f>U1101*T1101</f>
        <v/>
      </c>
      <c r="W1101" s="103" t="inlineStr">
        <is>
          <t>资产扫描覆盖表、扫描盲区记录表、扫描能力缺口表、离线扫描报告表、扫描策略模板表</t>
        </is>
      </c>
      <c r="X1101" s="103" t="inlineStr"/>
      <c r="Y1101"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101" s="90" t="n"/>
      <c r="AA1101" s="90" t="n"/>
    </row>
    <row r="1102" s="112">
      <c r="A1102" s="72">
        <f>ROW()-1</f>
        <v/>
      </c>
      <c r="B1102" s="175" t="n"/>
      <c r="C1102" s="124" t="n">
        <v>2026</v>
      </c>
      <c r="D1102" s="125" t="n"/>
      <c r="E1102" s="103" t="n"/>
      <c r="F1102" s="175" t="n"/>
      <c r="G1102" s="175" t="n"/>
      <c r="H1102" s="175" t="n"/>
      <c r="I1102" s="103" t="inlineStr">
        <is>
          <t>下载扫描器报告</t>
        </is>
      </c>
      <c r="J1102" s="93" t="inlineStr">
        <is>
          <t>EO</t>
        </is>
      </c>
      <c r="K1102" s="102" t="n"/>
      <c r="L1102" s="102" t="n"/>
      <c r="M1102" s="85">
        <f>IF(OR(Y1102="估算法",Y1102="算法类",Y1102="无法识别"),"",IF(W1102="",IF(OR(J1102="EI",J1102="EO",J1102="EQ"),0,""),LEN(W1102)-LEN(SUBSTITUTE(W1102,"、",""))+1))</f>
        <v/>
      </c>
      <c r="N1102" s="85">
        <f>IF(OR(Y1102="估算法",Y1102="算法类",Y1102="无法识别"),"",IF(X1102="",IF(OR(J1102="ILF",J1102="EIF"),0,""),LEN(X1102)-LEN(SUBSTITUTE(X1102,"、",""))+1))</f>
        <v/>
      </c>
      <c r="O1102" s="85">
        <f>IF(OR(Y1102="估算法",Y1102="算法类",Y1102="无法识别"),"",IF(Y1102="",IF(OR(J1102="ILF",J1102="EIF",J1102="EI",J1102="EO",J1102="EQ"),0,""),LEN(Y1102)-LEN(SUBSTITUTE(SUBSTITUTE(SUBSTITUTE(SUBSTITUTE(SUBSTITUTE(Y1102,"|}","--"),"{|","--"),CHAR(10),""),"、",""),"|",""))+IF(AND(OR(J1102="EI",J1102="EO",J1102="EQ"),$AE$1="NESMA"),2,1)))</f>
        <v/>
      </c>
      <c r="P1102" s="86">
        <f>IF(J1102="EI",IF(OR(Y1102="估算法",Y1102="算法类"),"中",IF(Y1102="无法识别","低",IF(M1102&lt;2,IF(O1102&lt;16,"低","中"),IF(M1102&lt;3,IF(O1102&lt;5,"低",IF(O1102&lt;16,"中","高")),IF(O1102&lt;5,"中","高"))))),IF(OR(J1102="EO",J1102="EQ"),IF(OR(Y1102="估算法",Y1102="算法类"),"中",IF(Y1102="无法识别","低",IF(M1102&lt;2,IF(O1102&lt;20,"低","中"),IF(M1102&lt;4,IF(O1102&lt;6,"低",IF(O1102&lt;20,"中","高")),IF(O1102&lt;6,"中","高"))))),IF(OR(J1102="ILF",J1102="EIF"),IF(OR(Y1102="估算法",Y1102="算法类",Y1102="无法识别"),"低",IF(N1102&lt;2,IF(O1102&lt;51,"低","中"),IF(N1102&lt;6,IF(O1102&lt;20,"低",IF(O1102&lt;51,"中","高")),IF(O1102&lt;20,"中","高")))),"不计算")))</f>
        <v/>
      </c>
      <c r="Q1102" s="172">
        <f>IFERROR(IF(J1102="EI",IF(P1102="低",3,IF(P1102="中",4,6)),IF(J1102="EO",IF(P1102="低",4,IF(P1102="中",5,7)),IF(J1102="EQ",IF(P1102="低",3,IF(P1102="中",4,6)),IF(J1102="ILF",IF(P1102="低",7,IF(P1102="中",10,15)),IF(J1102="EIF",IF(P1102="低",5,IF(P1102="中",7,10)),"不计算")))))*R1102,"不计算")</f>
        <v/>
      </c>
      <c r="R1102" s="172" t="n">
        <v>1</v>
      </c>
      <c r="S1102" s="173">
        <f>调整因子!$F$13</f>
        <v/>
      </c>
      <c r="T1102" s="92" t="n">
        <v>1</v>
      </c>
      <c r="U1102" s="174">
        <f>IFERROR(Q1102*S1102,0)</f>
        <v/>
      </c>
      <c r="V1102" s="178">
        <f>U1102*T1102</f>
        <v/>
      </c>
      <c r="W1102" s="103" t="inlineStr">
        <is>
          <t>资产扫描覆盖表、扫描盲区记录表、扫描能力缺口表、离线扫描报告表</t>
        </is>
      </c>
      <c r="X1102" s="103" t="inlineStr"/>
      <c r="Y1102"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102" s="90" t="n"/>
      <c r="AA1102" s="90" t="n"/>
    </row>
    <row r="1103" s="112">
      <c r="A1103" s="72">
        <f>ROW()-1</f>
        <v/>
      </c>
      <c r="B1103" s="175" t="n"/>
      <c r="C1103" s="124" t="n">
        <v>2026</v>
      </c>
      <c r="D1103" s="125" t="n"/>
      <c r="E1103" s="103" t="n"/>
      <c r="F1103" s="175" t="n"/>
      <c r="G1103" s="175" t="n"/>
      <c r="H1103" s="175" t="n"/>
      <c r="I1103" s="103" t="inlineStr">
        <is>
          <t>查询扫描器统计</t>
        </is>
      </c>
      <c r="J1103" s="93" t="inlineStr">
        <is>
          <t>EQ</t>
        </is>
      </c>
      <c r="K1103" s="102" t="n"/>
      <c r="L1103" s="102" t="inlineStr">
        <is>
          <t>处理流程和上行基本一致，为查询功能，未体现详情功能</t>
        </is>
      </c>
      <c r="M1103" s="85">
        <f>IF(OR(Y1103="估算法",Y1103="算法类",Y1103="无法识别"),"",IF(W1103="",IF(OR(J1103="EI",J1103="EO",J1103="EQ"),0,""),LEN(W1103)-LEN(SUBSTITUTE(W1103,"、",""))+1))</f>
        <v/>
      </c>
      <c r="N1103" s="85">
        <f>IF(OR(Y1103="估算法",Y1103="算法类",Y1103="无法识别"),"",IF(X1103="",IF(OR(J1103="ILF",J1103="EIF"),0,""),LEN(X1103)-LEN(SUBSTITUTE(X1103,"、",""))+1))</f>
        <v/>
      </c>
      <c r="O1103" s="85">
        <f>IF(OR(Y1103="估算法",Y1103="算法类",Y1103="无法识别"),"",IF(Y1103="",IF(OR(J1103="ILF",J1103="EIF",J1103="EI",J1103="EO",J1103="EQ"),0,""),LEN(Y1103)-LEN(SUBSTITUTE(SUBSTITUTE(SUBSTITUTE(SUBSTITUTE(SUBSTITUTE(Y1103,"|}","--"),"{|","--"),CHAR(10),""),"、",""),"|",""))+IF(AND(OR(J1103="EI",J1103="EO",J1103="EQ"),$AE$1="NESMA"),2,1)))</f>
        <v/>
      </c>
      <c r="P1103" s="86">
        <f>IF(J1103="EI",IF(OR(Y1103="估算法",Y1103="算法类"),"中",IF(Y1103="无法识别","低",IF(M1103&lt;2,IF(O1103&lt;16,"低","中"),IF(M1103&lt;3,IF(O1103&lt;5,"低",IF(O1103&lt;16,"中","高")),IF(O1103&lt;5,"中","高"))))),IF(OR(J1103="EO",J1103="EQ"),IF(OR(Y1103="估算法",Y1103="算法类"),"中",IF(Y1103="无法识别","低",IF(M1103&lt;2,IF(O1103&lt;20,"低","中"),IF(M1103&lt;4,IF(O1103&lt;6,"低",IF(O1103&lt;20,"中","高")),IF(O1103&lt;6,"中","高"))))),IF(OR(J1103="ILF",J1103="EIF"),IF(OR(Y1103="估算法",Y1103="算法类",Y1103="无法识别"),"低",IF(N1103&lt;2,IF(O1103&lt;51,"低","中"),IF(N1103&lt;6,IF(O1103&lt;20,"低",IF(O1103&lt;51,"中","高")),IF(O1103&lt;20,"中","高")))),"不计算")))</f>
        <v/>
      </c>
      <c r="Q1103" s="172">
        <f>IFERROR(IF(J1103="EI",IF(P1103="低",3,IF(P1103="中",4,6)),IF(J1103="EO",IF(P1103="低",4,IF(P1103="中",5,7)),IF(J1103="EQ",IF(P1103="低",3,IF(P1103="中",4,6)),IF(J1103="ILF",IF(P1103="低",7,IF(P1103="中",10,15)),IF(J1103="EIF",IF(P1103="低",5,IF(P1103="中",7,10)),"不计算")))))*R1103,"不计算")</f>
        <v/>
      </c>
      <c r="R1103" s="172" t="n">
        <v>0.333333333333333</v>
      </c>
      <c r="S1103" s="173">
        <f>调整因子!$F$13</f>
        <v/>
      </c>
      <c r="T1103" s="93" t="n">
        <v>1</v>
      </c>
      <c r="U1103" s="174">
        <f>IFERROR(Q1103*S1103,0)</f>
        <v/>
      </c>
      <c r="V1103" s="178">
        <f>U1103*T1103</f>
        <v/>
      </c>
      <c r="W1103" s="103" t="inlineStr">
        <is>
          <t>资产扫描覆盖表、扫描盲区记录表、扫描能力缺口表</t>
        </is>
      </c>
      <c r="X1103" s="103" t="inlineStr"/>
      <c r="Y1103"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is>
      </c>
      <c r="Z1103" s="90" t="n"/>
      <c r="AA1103" s="90" t="n"/>
    </row>
    <row r="1104" s="112">
      <c r="A1104" s="72">
        <f>ROW()-1</f>
        <v/>
      </c>
      <c r="B1104" s="175" t="n"/>
      <c r="C1104" s="124" t="n">
        <v>2026</v>
      </c>
      <c r="D1104" s="125" t="n"/>
      <c r="E1104" s="103" t="n"/>
      <c r="F1104" s="175" t="n"/>
      <c r="G1104" s="175" t="n"/>
      <c r="H1104" s="176" t="n"/>
      <c r="I1104" s="103" t="inlineStr">
        <is>
          <t>查看扫描器分布</t>
        </is>
      </c>
      <c r="J1104" s="93" t="inlineStr">
        <is>
          <t>EQ</t>
        </is>
      </c>
      <c r="K1104" s="102" t="n"/>
      <c r="L1104" s="102" t="inlineStr">
        <is>
          <t>处理流程和上行基本一致，为查询功能，未体现详情功能</t>
        </is>
      </c>
      <c r="M1104" s="85">
        <f>IF(OR(Y1104="估算法",Y1104="算法类",Y1104="无法识别"),"",IF(W1104="",IF(OR(J1104="EI",J1104="EO",J1104="EQ"),0,""),LEN(W1104)-LEN(SUBSTITUTE(W1104,"、",""))+1))</f>
        <v/>
      </c>
      <c r="N1104" s="85">
        <f>IF(OR(Y1104="估算法",Y1104="算法类",Y1104="无法识别"),"",IF(X1104="",IF(OR(J1104="ILF",J1104="EIF"),0,""),LEN(X1104)-LEN(SUBSTITUTE(X1104,"、",""))+1))</f>
        <v/>
      </c>
      <c r="O1104" s="85">
        <f>IF(OR(Y1104="估算法",Y1104="算法类",Y1104="无法识别"),"",IF(Y1104="",IF(OR(J1104="ILF",J1104="EIF",J1104="EI",J1104="EO",J1104="EQ"),0,""),LEN(Y1104)-LEN(SUBSTITUTE(SUBSTITUTE(SUBSTITUTE(SUBSTITUTE(SUBSTITUTE(Y1104,"|}","--"),"{|","--"),CHAR(10),""),"、",""),"|",""))+IF(AND(OR(J1104="EI",J1104="EO",J1104="EQ"),$AE$1="NESMA"),2,1)))</f>
        <v/>
      </c>
      <c r="P1104" s="86">
        <f>IF(J1104="EI",IF(OR(Y1104="估算法",Y1104="算法类"),"中",IF(Y1104="无法识别","低",IF(M1104&lt;2,IF(O1104&lt;16,"低","中"),IF(M1104&lt;3,IF(O1104&lt;5,"低",IF(O1104&lt;16,"中","高")),IF(O1104&lt;5,"中","高"))))),IF(OR(J1104="EO",J1104="EQ"),IF(OR(Y1104="估算法",Y1104="算法类"),"中",IF(Y1104="无法识别","低",IF(M1104&lt;2,IF(O1104&lt;20,"低","中"),IF(M1104&lt;4,IF(O1104&lt;6,"低",IF(O1104&lt;20,"中","高")),IF(O1104&lt;6,"中","高"))))),IF(OR(J1104="ILF",J1104="EIF"),IF(OR(Y1104="估算法",Y1104="算法类",Y1104="无法识别"),"低",IF(N1104&lt;2,IF(O1104&lt;51,"低","中"),IF(N1104&lt;6,IF(O1104&lt;20,"低",IF(O1104&lt;51,"中","高")),IF(O1104&lt;20,"中","高")))),"不计算")))</f>
        <v/>
      </c>
      <c r="Q1104" s="172">
        <f>IFERROR(IF(J1104="EI",IF(P1104="低",3,IF(P1104="中",4,6)),IF(J1104="EO",IF(P1104="低",4,IF(P1104="中",5,7)),IF(J1104="EQ",IF(P1104="低",3,IF(P1104="中",4,6)),IF(J1104="ILF",IF(P1104="低",7,IF(P1104="中",10,15)),IF(J1104="EIF",IF(P1104="低",5,IF(P1104="中",7,10)),"不计算")))))*R1104,"不计算")</f>
        <v/>
      </c>
      <c r="R1104" s="172" t="n">
        <v>0.333333333333333</v>
      </c>
      <c r="S1104" s="173">
        <f>调整因子!$F$13</f>
        <v/>
      </c>
      <c r="T1104" s="93" t="n">
        <v>1</v>
      </c>
      <c r="U1104" s="174">
        <f>IFERROR(Q1104*S1104,0)</f>
        <v/>
      </c>
      <c r="V1104" s="178">
        <f>U1104*T1104</f>
        <v/>
      </c>
      <c r="W1104" s="103" t="inlineStr">
        <is>
          <t>资产扫描覆盖表、扫描盲区记录表、扫描能力缺口表、离线扫描报告表</t>
        </is>
      </c>
      <c r="X1104" s="103" t="inlineStr"/>
      <c r="Y1104"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is>
      </c>
      <c r="Z1104" s="90" t="n"/>
      <c r="AA1104" s="90" t="n"/>
    </row>
    <row r="1105" s="112">
      <c r="A1105" s="72">
        <f>ROW()-1</f>
        <v/>
      </c>
      <c r="B1105" s="175" t="n"/>
      <c r="C1105" s="124" t="n">
        <v>2026</v>
      </c>
      <c r="D1105" s="125" t="n"/>
      <c r="E1105" s="103" t="n"/>
      <c r="F1105" s="175" t="n"/>
      <c r="G1105" s="175" t="n"/>
      <c r="H1105" s="97" t="inlineStr">
        <is>
          <t>漏洞统计分析</t>
        </is>
      </c>
      <c r="I1105" s="103" t="inlineStr">
        <is>
          <t>导出漏洞统计</t>
        </is>
      </c>
      <c r="J1105" s="93" t="inlineStr">
        <is>
          <t>EO</t>
        </is>
      </c>
      <c r="K1105" s="102" t="n"/>
      <c r="L1105" s="102" t="n"/>
      <c r="M1105" s="85">
        <f>IF(OR(Y1105="估算法",Y1105="算法类",Y1105="无法识别"),"",IF(W1105="",IF(OR(J1105="EI",J1105="EO",J1105="EQ"),0,""),LEN(W1105)-LEN(SUBSTITUTE(W1105,"、",""))+1))</f>
        <v/>
      </c>
      <c r="N1105" s="85">
        <f>IF(OR(Y1105="估算法",Y1105="算法类",Y1105="无法识别"),"",IF(X1105="",IF(OR(J1105="ILF",J1105="EIF"),0,""),LEN(X1105)-LEN(SUBSTITUTE(X1105,"、",""))+1))</f>
        <v/>
      </c>
      <c r="O1105" s="85">
        <f>IF(OR(Y1105="估算法",Y1105="算法类",Y1105="无法识别"),"",IF(Y1105="",IF(OR(J1105="ILF",J1105="EIF",J1105="EI",J1105="EO",J1105="EQ"),0,""),LEN(Y1105)-LEN(SUBSTITUTE(SUBSTITUTE(SUBSTITUTE(SUBSTITUTE(SUBSTITUTE(Y1105,"|}","--"),"{|","--"),CHAR(10),""),"、",""),"|",""))+IF(AND(OR(J1105="EI",J1105="EO",J1105="EQ"),$AE$1="NESMA"),2,1)))</f>
        <v/>
      </c>
      <c r="P1105" s="86">
        <f>IF(J1105="EI",IF(OR(Y1105="估算法",Y1105="算法类"),"中",IF(Y1105="无法识别","低",IF(M1105&lt;2,IF(O1105&lt;16,"低","中"),IF(M1105&lt;3,IF(O1105&lt;5,"低",IF(O1105&lt;16,"中","高")),IF(O1105&lt;5,"中","高"))))),IF(OR(J1105="EO",J1105="EQ"),IF(OR(Y1105="估算法",Y1105="算法类"),"中",IF(Y1105="无法识别","低",IF(M1105&lt;2,IF(O1105&lt;20,"低","中"),IF(M1105&lt;4,IF(O1105&lt;6,"低",IF(O1105&lt;20,"中","高")),IF(O1105&lt;6,"中","高"))))),IF(OR(J1105="ILF",J1105="EIF"),IF(OR(Y1105="估算法",Y1105="算法类",Y1105="无法识别"),"低",IF(N1105&lt;2,IF(O1105&lt;51,"低","中"),IF(N1105&lt;6,IF(O1105&lt;20,"低",IF(O1105&lt;51,"中","高")),IF(O1105&lt;20,"中","高")))),"不计算")))</f>
        <v/>
      </c>
      <c r="Q1105" s="172">
        <f>IFERROR(IF(J1105="EI",IF(P1105="低",3,IF(P1105="中",4,6)),IF(J1105="EO",IF(P1105="低",4,IF(P1105="中",5,7)),IF(J1105="EQ",IF(P1105="低",3,IF(P1105="中",4,6)),IF(J1105="ILF",IF(P1105="低",7,IF(P1105="中",10,15)),IF(J1105="EIF",IF(P1105="低",5,IF(P1105="中",7,10)),"不计算")))))*R1105,"不计算")</f>
        <v/>
      </c>
      <c r="R1105" s="172" t="n">
        <v>1</v>
      </c>
      <c r="S1105" s="173">
        <f>调整因子!$F$13</f>
        <v/>
      </c>
      <c r="T1105" s="92" t="n">
        <v>1</v>
      </c>
      <c r="U1105" s="174">
        <f>IFERROR(Q1105*S1105,0)</f>
        <v/>
      </c>
      <c r="V1105" s="178">
        <f>U1105*T1105</f>
        <v/>
      </c>
      <c r="W1105" s="103" t="inlineStr">
        <is>
          <t>漏洞处置单表、漏洞统计数据表、漏洞趋势数据表、漏洞查询接口配置表</t>
        </is>
      </c>
      <c r="X1105" s="103" t="inlineStr"/>
      <c r="Y1105"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is>
      </c>
      <c r="Z1105" s="90" t="n"/>
      <c r="AA1105" s="90" t="n"/>
    </row>
    <row r="1106" s="112">
      <c r="A1106" s="72">
        <f>ROW()-1</f>
        <v/>
      </c>
      <c r="B1106" s="175" t="n"/>
      <c r="C1106" s="124" t="n">
        <v>2026</v>
      </c>
      <c r="D1106" s="125" t="n"/>
      <c r="E1106" s="103" t="n"/>
      <c r="F1106" s="175" t="n"/>
      <c r="G1106" s="175" t="n"/>
      <c r="H1106" s="175" t="n"/>
      <c r="I1106" s="103" t="inlineStr">
        <is>
          <t>下载漏洞报告</t>
        </is>
      </c>
      <c r="J1106" s="93" t="inlineStr">
        <is>
          <t>EO</t>
        </is>
      </c>
      <c r="K1106" s="102" t="n"/>
      <c r="L1106" s="102" t="n"/>
      <c r="M1106" s="85">
        <f>IF(OR(Y1106="估算法",Y1106="算法类",Y1106="无法识别"),"",IF(W1106="",IF(OR(J1106="EI",J1106="EO",J1106="EQ"),0,""),LEN(W1106)-LEN(SUBSTITUTE(W1106,"、",""))+1))</f>
        <v/>
      </c>
      <c r="N1106" s="85">
        <f>IF(OR(Y1106="估算法",Y1106="算法类",Y1106="无法识别"),"",IF(X1106="",IF(OR(J1106="ILF",J1106="EIF"),0,""),LEN(X1106)-LEN(SUBSTITUTE(X1106,"、",""))+1))</f>
        <v/>
      </c>
      <c r="O1106" s="85">
        <f>IF(OR(Y1106="估算法",Y1106="算法类",Y1106="无法识别"),"",IF(Y1106="",IF(OR(J1106="ILF",J1106="EIF",J1106="EI",J1106="EO",J1106="EQ"),0,""),LEN(Y1106)-LEN(SUBSTITUTE(SUBSTITUTE(SUBSTITUTE(SUBSTITUTE(SUBSTITUTE(Y1106,"|}","--"),"{|","--"),CHAR(10),""),"、",""),"|",""))+IF(AND(OR(J1106="EI",J1106="EO",J1106="EQ"),$AE$1="NESMA"),2,1)))</f>
        <v/>
      </c>
      <c r="P1106" s="86">
        <f>IF(J1106="EI",IF(OR(Y1106="估算法",Y1106="算法类"),"中",IF(Y1106="无法识别","低",IF(M1106&lt;2,IF(O1106&lt;16,"低","中"),IF(M1106&lt;3,IF(O1106&lt;5,"低",IF(O1106&lt;16,"中","高")),IF(O1106&lt;5,"中","高"))))),IF(OR(J1106="EO",J1106="EQ"),IF(OR(Y1106="估算法",Y1106="算法类"),"中",IF(Y1106="无法识别","低",IF(M1106&lt;2,IF(O1106&lt;20,"低","中"),IF(M1106&lt;4,IF(O1106&lt;6,"低",IF(O1106&lt;20,"中","高")),IF(O1106&lt;6,"中","高"))))),IF(OR(J1106="ILF",J1106="EIF"),IF(OR(Y1106="估算法",Y1106="算法类",Y1106="无法识别"),"低",IF(N1106&lt;2,IF(O1106&lt;51,"低","中"),IF(N1106&lt;6,IF(O1106&lt;20,"低",IF(O1106&lt;51,"中","高")),IF(O1106&lt;20,"中","高")))),"不计算")))</f>
        <v/>
      </c>
      <c r="Q1106" s="172">
        <f>IFERROR(IF(J1106="EI",IF(P1106="低",3,IF(P1106="中",4,6)),IF(J1106="EO",IF(P1106="低",4,IF(P1106="中",5,7)),IF(J1106="EQ",IF(P1106="低",3,IF(P1106="中",4,6)),IF(J1106="ILF",IF(P1106="低",7,IF(P1106="中",10,15)),IF(J1106="EIF",IF(P1106="低",5,IF(P1106="中",7,10)),"不计算")))))*R1106,"不计算")</f>
        <v/>
      </c>
      <c r="R1106" s="172" t="n">
        <v>1</v>
      </c>
      <c r="S1106" s="173">
        <f>调整因子!$F$13</f>
        <v/>
      </c>
      <c r="T1106" s="92" t="n">
        <v>1</v>
      </c>
      <c r="U1106" s="174">
        <f>IFERROR(Q1106*S1106,0)</f>
        <v/>
      </c>
      <c r="V1106" s="178">
        <f>U1106*T1106</f>
        <v/>
      </c>
      <c r="W1106" s="103" t="inlineStr">
        <is>
          <t>漏洞处置单表、漏洞统计数据表、漏洞趋势数据表</t>
        </is>
      </c>
      <c r="X1106" s="103" t="inlineStr"/>
      <c r="Y1106"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Z1106" s="90" t="n"/>
      <c r="AA1106" s="90" t="n"/>
    </row>
    <row r="1107" s="112">
      <c r="A1107" s="72">
        <f>ROW()-1</f>
        <v/>
      </c>
      <c r="B1107" s="175" t="n"/>
      <c r="C1107" s="124" t="n">
        <v>2026</v>
      </c>
      <c r="D1107" s="125" t="n"/>
      <c r="E1107" s="103" t="n"/>
      <c r="F1107" s="175" t="n"/>
      <c r="G1107" s="175" t="n"/>
      <c r="H1107" s="175" t="n"/>
      <c r="I1107" s="103" t="inlineStr">
        <is>
          <t>查询漏洞统计</t>
        </is>
      </c>
      <c r="J1107" s="93" t="inlineStr">
        <is>
          <t>EQ</t>
        </is>
      </c>
      <c r="K1107" s="102" t="n"/>
      <c r="L1107" s="102" t="inlineStr">
        <is>
          <t>处理流程和上行基本一致，为查询功能，未体现详情功能</t>
        </is>
      </c>
      <c r="M1107" s="85">
        <f>IF(OR(Y1107="估算法",Y1107="算法类",Y1107="无法识别"),"",IF(W1107="",IF(OR(J1107="EI",J1107="EO",J1107="EQ"),0,""),LEN(W1107)-LEN(SUBSTITUTE(W1107,"、",""))+1))</f>
        <v/>
      </c>
      <c r="N1107" s="85">
        <f>IF(OR(Y1107="估算法",Y1107="算法类",Y1107="无法识别"),"",IF(X1107="",IF(OR(J1107="ILF",J1107="EIF"),0,""),LEN(X1107)-LEN(SUBSTITUTE(X1107,"、",""))+1))</f>
        <v/>
      </c>
      <c r="O1107" s="85">
        <f>IF(OR(Y1107="估算法",Y1107="算法类",Y1107="无法识别"),"",IF(Y1107="",IF(OR(J1107="ILF",J1107="EIF",J1107="EI",J1107="EO",J1107="EQ"),0,""),LEN(Y1107)-LEN(SUBSTITUTE(SUBSTITUTE(SUBSTITUTE(SUBSTITUTE(SUBSTITUTE(Y1107,"|}","--"),"{|","--"),CHAR(10),""),"、",""),"|",""))+IF(AND(OR(J1107="EI",J1107="EO",J1107="EQ"),$AE$1="NESMA"),2,1)))</f>
        <v/>
      </c>
      <c r="P1107" s="86">
        <f>IF(J1107="EI",IF(OR(Y1107="估算法",Y1107="算法类"),"中",IF(Y1107="无法识别","低",IF(M1107&lt;2,IF(O1107&lt;16,"低","中"),IF(M1107&lt;3,IF(O1107&lt;5,"低",IF(O1107&lt;16,"中","高")),IF(O1107&lt;5,"中","高"))))),IF(OR(J1107="EO",J1107="EQ"),IF(OR(Y1107="估算法",Y1107="算法类"),"中",IF(Y1107="无法识别","低",IF(M1107&lt;2,IF(O1107&lt;20,"低","中"),IF(M1107&lt;4,IF(O1107&lt;6,"低",IF(O1107&lt;20,"中","高")),IF(O1107&lt;6,"中","高"))))),IF(OR(J1107="ILF",J1107="EIF"),IF(OR(Y1107="估算法",Y1107="算法类",Y1107="无法识别"),"低",IF(N1107&lt;2,IF(O1107&lt;51,"低","中"),IF(N1107&lt;6,IF(O1107&lt;20,"低",IF(O1107&lt;51,"中","高")),IF(O1107&lt;20,"中","高")))),"不计算")))</f>
        <v/>
      </c>
      <c r="Q1107" s="172">
        <f>IFERROR(IF(J1107="EI",IF(P1107="低",3,IF(P1107="中",4,6)),IF(J1107="EO",IF(P1107="低",4,IF(P1107="中",5,7)),IF(J1107="EQ",IF(P1107="低",3,IF(P1107="中",4,6)),IF(J1107="ILF",IF(P1107="低",7,IF(P1107="中",10,15)),IF(J1107="EIF",IF(P1107="低",5,IF(P1107="中",7,10)),"不计算")))))*R1107,"不计算")</f>
        <v/>
      </c>
      <c r="R1107" s="172" t="n">
        <v>0.333333333333333</v>
      </c>
      <c r="S1107" s="173">
        <f>调整因子!$F$13</f>
        <v/>
      </c>
      <c r="T1107" s="93" t="n">
        <v>1</v>
      </c>
      <c r="U1107" s="174">
        <f>IFERROR(Q1107*S1107,0)</f>
        <v/>
      </c>
      <c r="V1107" s="178">
        <f>U1107*T1107</f>
        <v/>
      </c>
      <c r="W1107" s="103" t="inlineStr">
        <is>
          <t>漏洞处置单表、漏洞统计数据表、漏洞趋势数据表</t>
        </is>
      </c>
      <c r="X1107" s="103" t="inlineStr"/>
      <c r="Y1107"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is>
      </c>
      <c r="Z1107" s="90" t="n"/>
      <c r="AA1107" s="90" t="n"/>
    </row>
    <row r="1108" s="112">
      <c r="A1108" s="72">
        <f>ROW()-1</f>
        <v/>
      </c>
      <c r="B1108" s="175" t="n"/>
      <c r="C1108" s="124" t="n">
        <v>2026</v>
      </c>
      <c r="D1108" s="125" t="n"/>
      <c r="E1108" s="103" t="n"/>
      <c r="F1108" s="175" t="n"/>
      <c r="G1108" s="176" t="n"/>
      <c r="H1108" s="176" t="n"/>
      <c r="I1108" s="103" t="inlineStr">
        <is>
          <t>查看漏洞分布</t>
        </is>
      </c>
      <c r="J1108" s="93" t="inlineStr">
        <is>
          <t>EQ</t>
        </is>
      </c>
      <c r="K1108" s="102" t="n"/>
      <c r="L1108" s="102" t="inlineStr">
        <is>
          <t>处理流程和上行基本一致，为查询功能，未体现详情功能</t>
        </is>
      </c>
      <c r="M1108" s="85">
        <f>IF(OR(Y1108="估算法",Y1108="算法类",Y1108="无法识别"),"",IF(W1108="",IF(OR(J1108="EI",J1108="EO",J1108="EQ"),0,""),LEN(W1108)-LEN(SUBSTITUTE(W1108,"、",""))+1))</f>
        <v/>
      </c>
      <c r="N1108" s="85">
        <f>IF(OR(Y1108="估算法",Y1108="算法类",Y1108="无法识别"),"",IF(X1108="",IF(OR(J1108="ILF",J1108="EIF"),0,""),LEN(X1108)-LEN(SUBSTITUTE(X1108,"、",""))+1))</f>
        <v/>
      </c>
      <c r="O1108" s="85">
        <f>IF(OR(Y1108="估算法",Y1108="算法类",Y1108="无法识别"),"",IF(Y1108="",IF(OR(J1108="ILF",J1108="EIF",J1108="EI",J1108="EO",J1108="EQ"),0,""),LEN(Y1108)-LEN(SUBSTITUTE(SUBSTITUTE(SUBSTITUTE(SUBSTITUTE(SUBSTITUTE(Y1108,"|}","--"),"{|","--"),CHAR(10),""),"、",""),"|",""))+IF(AND(OR(J1108="EI",J1108="EO",J1108="EQ"),$AE$1="NESMA"),2,1)))</f>
        <v/>
      </c>
      <c r="P1108" s="86">
        <f>IF(J1108="EI",IF(OR(Y1108="估算法",Y1108="算法类"),"中",IF(Y1108="无法识别","低",IF(M1108&lt;2,IF(O1108&lt;16,"低","中"),IF(M1108&lt;3,IF(O1108&lt;5,"低",IF(O1108&lt;16,"中","高")),IF(O1108&lt;5,"中","高"))))),IF(OR(J1108="EO",J1108="EQ"),IF(OR(Y1108="估算法",Y1108="算法类"),"中",IF(Y1108="无法识别","低",IF(M1108&lt;2,IF(O1108&lt;20,"低","中"),IF(M1108&lt;4,IF(O1108&lt;6,"低",IF(O1108&lt;20,"中","高")),IF(O1108&lt;6,"中","高"))))),IF(OR(J1108="ILF",J1108="EIF"),IF(OR(Y1108="估算法",Y1108="算法类",Y1108="无法识别"),"低",IF(N1108&lt;2,IF(O1108&lt;51,"低","中"),IF(N1108&lt;6,IF(O1108&lt;20,"低",IF(O1108&lt;51,"中","高")),IF(O1108&lt;20,"中","高")))),"不计算")))</f>
        <v/>
      </c>
      <c r="Q1108" s="172">
        <f>IFERROR(IF(J1108="EI",IF(P1108="低",3,IF(P1108="中",4,6)),IF(J1108="EO",IF(P1108="低",4,IF(P1108="中",5,7)),IF(J1108="EQ",IF(P1108="低",3,IF(P1108="中",4,6)),IF(J1108="ILF",IF(P1108="低",7,IF(P1108="中",10,15)),IF(J1108="EIF",IF(P1108="低",5,IF(P1108="中",7,10)),"不计算")))))*R1108,"不计算")</f>
        <v/>
      </c>
      <c r="R1108" s="172" t="n">
        <v>0.333333333333333</v>
      </c>
      <c r="S1108" s="173">
        <f>调整因子!$F$13</f>
        <v/>
      </c>
      <c r="T1108" s="92" t="n">
        <v>1</v>
      </c>
      <c r="U1108" s="174">
        <f>IFERROR(Q1108*S1108,0)</f>
        <v/>
      </c>
      <c r="V1108" s="178">
        <f>U1108*T1108</f>
        <v/>
      </c>
      <c r="W1108" s="103" t="inlineStr">
        <is>
          <t>漏洞处置单表、漏洞统计数据表、漏洞趋势数据表、漏洞查询接口配置表、漏洞处置推送接口配置表</t>
        </is>
      </c>
      <c r="X1108" s="103" t="inlineStr"/>
      <c r="Y1108" s="97" t="inlineStr">
        <is>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is>
      </c>
      <c r="Z1108" s="90" t="n"/>
      <c r="AA1108" s="90" t="n"/>
    </row>
    <row r="1109" s="112">
      <c r="A1109" s="72">
        <f>ROW()-1</f>
        <v/>
      </c>
      <c r="B1109" s="175" t="n"/>
      <c r="C1109" s="124" t="n">
        <v>2026</v>
      </c>
      <c r="D1109" s="125" t="n"/>
      <c r="E1109" s="103" t="n"/>
      <c r="F1109" s="175" t="n"/>
      <c r="G1109" s="97" t="inlineStr">
        <is>
          <t>任务故障诊断与日志管理</t>
        </is>
      </c>
      <c r="H1109" s="97" t="inlineStr">
        <is>
          <t>故障诊断管理</t>
        </is>
      </c>
      <c r="I1109" s="103" t="inlineStr">
        <is>
          <t>任务故障记录表</t>
        </is>
      </c>
      <c r="J1109" s="93" t="inlineStr">
        <is>
          <t>ILF</t>
        </is>
      </c>
      <c r="K1109" s="102" t="n"/>
      <c r="L1109" s="102" t="n"/>
      <c r="M1109" s="85">
        <f>IF(OR(Y1109="估算法",Y1109="算法类",Y1109="无法识别"),"",IF(W1109="",IF(OR(J1109="EI",J1109="EO",J1109="EQ"),0,""),LEN(W1109)-LEN(SUBSTITUTE(W1109,"、",""))+1))</f>
        <v/>
      </c>
      <c r="N1109" s="85">
        <f>IF(OR(Y1109="估算法",Y1109="算法类",Y1109="无法识别"),"",IF(X1109="",IF(OR(J1109="ILF",J1109="EIF"),0,""),LEN(X1109)-LEN(SUBSTITUTE(X1109,"、",""))+1))</f>
        <v/>
      </c>
      <c r="O1109" s="85">
        <f>IF(OR(Y1109="估算法",Y1109="算法类",Y1109="无法识别"),"",IF(Y1109="",IF(OR(J1109="ILF",J1109="EIF",J1109="EI",J1109="EO",J1109="EQ"),0,""),LEN(Y1109)-LEN(SUBSTITUTE(SUBSTITUTE(SUBSTITUTE(SUBSTITUTE(SUBSTITUTE(Y1109,"|}","--"),"{|","--"),CHAR(10),""),"、",""),"|",""))+IF(AND(OR(J1109="EI",J1109="EO",J1109="EQ"),$AE$1="NESMA"),2,1)))</f>
        <v/>
      </c>
      <c r="P1109" s="86">
        <f>IF(J1109="EI",IF(OR(Y1109="估算法",Y1109="算法类"),"中",IF(Y1109="无法识别","低",IF(M1109&lt;2,IF(O1109&lt;16,"低","中"),IF(M1109&lt;3,IF(O1109&lt;5,"低",IF(O1109&lt;16,"中","高")),IF(O1109&lt;5,"中","高"))))),IF(OR(J1109="EO",J1109="EQ"),IF(OR(Y1109="估算法",Y1109="算法类"),"中",IF(Y1109="无法识别","低",IF(M1109&lt;2,IF(O1109&lt;20,"低","中"),IF(M1109&lt;4,IF(O1109&lt;6,"低",IF(O1109&lt;20,"中","高")),IF(O1109&lt;6,"中","高"))))),IF(OR(J1109="ILF",J1109="EIF"),IF(OR(Y1109="估算法",Y1109="算法类",Y1109="无法识别"),"低",IF(N1109&lt;2,IF(O1109&lt;51,"低","中"),IF(N1109&lt;6,IF(O1109&lt;20,"低",IF(O1109&lt;51,"中","高")),IF(O1109&lt;20,"中","高")))),"不计算")))</f>
        <v/>
      </c>
      <c r="Q1109" s="172">
        <f>IFERROR(IF(J1109="EI",IF(P1109="低",3,IF(P1109="中",4,6)),IF(J1109="EO",IF(P1109="低",4,IF(P1109="中",5,7)),IF(J1109="EQ",IF(P1109="低",3,IF(P1109="中",4,6)),IF(J1109="ILF",IF(P1109="低",7,IF(P1109="中",10,15)),IF(J1109="EIF",IF(P1109="低",5,IF(P1109="中",7,10)),"不计算")))))*R1109,"不计算")</f>
        <v/>
      </c>
      <c r="R1109" s="172" t="n">
        <v>1</v>
      </c>
      <c r="S1109" s="173">
        <f>调整因子!$F$13</f>
        <v/>
      </c>
      <c r="T1109" s="92" t="n">
        <v>1</v>
      </c>
      <c r="U1109" s="174">
        <f>IFERROR(Q1109*S1109,0)</f>
        <v/>
      </c>
      <c r="V1109" s="178">
        <f>U1109*T1109</f>
        <v/>
      </c>
      <c r="W1109" s="103" t="inlineStr"/>
      <c r="X1109" s="103" t="inlineStr">
        <is>
          <t>扫描任务、发现任务</t>
        </is>
      </c>
      <c r="Y1109" s="97" t="inlineStr">
        <is>
          <t>任务故障记录表{任务ID、任务名称、任务类型|任务ID、任务名称、任务类型、任务状态、创建时间、执行时间}</t>
        </is>
      </c>
      <c r="Z1109" s="90">
        <f>IF(COUNTIFS(W:W,"*"&amp;I1109&amp;"*")&gt;0,"存在","不存在")</f>
        <v/>
      </c>
      <c r="AA1109" s="90">
        <f>IF(COUNTIFS(AB:AB,"*"&amp;I1109&amp;"*")&gt;0,"存在","不存在")</f>
        <v/>
      </c>
    </row>
    <row r="1110" s="112">
      <c r="A1110" s="72">
        <f>ROW()-1</f>
        <v/>
      </c>
      <c r="B1110" s="175" t="n"/>
      <c r="C1110" s="124" t="n">
        <v>2026</v>
      </c>
      <c r="D1110" s="125" t="n"/>
      <c r="E1110" s="103" t="n"/>
      <c r="F1110" s="175" t="n"/>
      <c r="G1110" s="175" t="n"/>
      <c r="H1110" s="175" t="n"/>
      <c r="I1110" s="103" t="inlineStr">
        <is>
          <t>故障诊断结果表</t>
        </is>
      </c>
      <c r="J1110" s="93" t="inlineStr">
        <is>
          <t>ILF</t>
        </is>
      </c>
      <c r="K1110" s="102" t="n"/>
      <c r="L1110" s="102" t="n"/>
      <c r="M1110" s="85">
        <f>IF(OR(Y1110="估算法",Y1110="算法类",Y1110="无法识别"),"",IF(W1110="",IF(OR(J1110="EI",J1110="EO",J1110="EQ"),0,""),LEN(W1110)-LEN(SUBSTITUTE(W1110,"、",""))+1))</f>
        <v/>
      </c>
      <c r="N1110" s="85">
        <f>IF(OR(Y1110="估算法",Y1110="算法类",Y1110="无法识别"),"",IF(X1110="",IF(OR(J1110="ILF",J1110="EIF"),0,""),LEN(X1110)-LEN(SUBSTITUTE(X1110,"、",""))+1))</f>
        <v/>
      </c>
      <c r="O1110" s="85">
        <f>IF(OR(Y1110="估算法",Y1110="算法类",Y1110="无法识别"),"",IF(Y1110="",IF(OR(J1110="ILF",J1110="EIF",J1110="EI",J1110="EO",J1110="EQ"),0,""),LEN(Y1110)-LEN(SUBSTITUTE(SUBSTITUTE(SUBSTITUTE(SUBSTITUTE(SUBSTITUTE(Y1110,"|}","--"),"{|","--"),CHAR(10),""),"、",""),"|",""))+IF(AND(OR(J1110="EI",J1110="EO",J1110="EQ"),$AE$1="NESMA"),2,1)))</f>
        <v/>
      </c>
      <c r="P1110" s="86">
        <f>IF(J1110="EI",IF(OR(Y1110="估算法",Y1110="算法类"),"中",IF(Y1110="无法识别","低",IF(M1110&lt;2,IF(O1110&lt;16,"低","中"),IF(M1110&lt;3,IF(O1110&lt;5,"低",IF(O1110&lt;16,"中","高")),IF(O1110&lt;5,"中","高"))))),IF(OR(J1110="EO",J1110="EQ"),IF(OR(Y1110="估算法",Y1110="算法类"),"中",IF(Y1110="无法识别","低",IF(M1110&lt;2,IF(O1110&lt;20,"低","中"),IF(M1110&lt;4,IF(O1110&lt;6,"低",IF(O1110&lt;20,"中","高")),IF(O1110&lt;6,"中","高"))))),IF(OR(J1110="ILF",J1110="EIF"),IF(OR(Y1110="估算法",Y1110="算法类",Y1110="无法识别"),"低",IF(N1110&lt;2,IF(O1110&lt;51,"低","中"),IF(N1110&lt;6,IF(O1110&lt;20,"低",IF(O1110&lt;51,"中","高")),IF(O1110&lt;20,"中","高")))),"不计算")))</f>
        <v/>
      </c>
      <c r="Q1110" s="172">
        <f>IFERROR(IF(J1110="EI",IF(P1110="低",3,IF(P1110="中",4,6)),IF(J1110="EO",IF(P1110="低",4,IF(P1110="中",5,7)),IF(J1110="EQ",IF(P1110="低",3,IF(P1110="中",4,6)),IF(J1110="ILF",IF(P1110="低",7,IF(P1110="中",10,15)),IF(J1110="EIF",IF(P1110="低",5,IF(P1110="中",7,10)),"不计算")))))*R1110,"不计算")</f>
        <v/>
      </c>
      <c r="R1110" s="172" t="n">
        <v>1</v>
      </c>
      <c r="S1110" s="173">
        <f>调整因子!$F$13</f>
        <v/>
      </c>
      <c r="T1110" s="93" t="n">
        <v>1</v>
      </c>
      <c r="U1110" s="174">
        <f>IFERROR(Q1110*S1110,0)</f>
        <v/>
      </c>
      <c r="V1110" s="178">
        <f>U1110*T1110</f>
        <v/>
      </c>
      <c r="W1110" s="103" t="inlineStr"/>
      <c r="X1110" s="103" t="inlineStr">
        <is>
          <t>数据记录</t>
        </is>
      </c>
      <c r="Y1110" s="97" t="inlineStr">
        <is>
          <t>故障诊断结果表{ID、名称、类型|ID、名称、类型、状态、创建时间、更新时间}</t>
        </is>
      </c>
      <c r="Z1110" s="90">
        <f>IF(COUNTIFS(W:W,"*"&amp;I1110&amp;"*")&gt;0,"存在","不存在")</f>
        <v/>
      </c>
      <c r="AA1110" s="90">
        <f>IF(COUNTIFS(AB:AB,"*"&amp;I1110&amp;"*")&gt;0,"存在","不存在")</f>
        <v/>
      </c>
    </row>
    <row r="1111" s="112">
      <c r="A1111" s="72">
        <f>ROW()-1</f>
        <v/>
      </c>
      <c r="B1111" s="175" t="n"/>
      <c r="C1111" s="124" t="n">
        <v>2026</v>
      </c>
      <c r="D1111" s="125" t="n"/>
      <c r="E1111" s="103" t="n"/>
      <c r="F1111" s="175" t="n"/>
      <c r="G1111" s="175" t="n"/>
      <c r="H1111" s="175" t="n"/>
      <c r="I1111" s="103" t="inlineStr">
        <is>
          <t>故障知识库表</t>
        </is>
      </c>
      <c r="J1111" s="93" t="inlineStr">
        <is>
          <t>ILF</t>
        </is>
      </c>
      <c r="K1111" s="102" t="n"/>
      <c r="L1111" s="102" t="n"/>
      <c r="M1111" s="85">
        <f>IF(OR(Y1111="估算法",Y1111="算法类",Y1111="无法识别"),"",IF(W1111="",IF(OR(J1111="EI",J1111="EO",J1111="EQ"),0,""),LEN(W1111)-LEN(SUBSTITUTE(W1111,"、",""))+1))</f>
        <v/>
      </c>
      <c r="N1111" s="85">
        <f>IF(OR(Y1111="估算法",Y1111="算法类",Y1111="无法识别"),"",IF(X1111="",IF(OR(J1111="ILF",J1111="EIF"),0,""),LEN(X1111)-LEN(SUBSTITUTE(X1111,"、",""))+1))</f>
        <v/>
      </c>
      <c r="O1111" s="85">
        <f>IF(OR(Y1111="估算法",Y1111="算法类",Y1111="无法识别"),"",IF(Y1111="",IF(OR(J1111="ILF",J1111="EIF",J1111="EI",J1111="EO",J1111="EQ"),0,""),LEN(Y1111)-LEN(SUBSTITUTE(SUBSTITUTE(SUBSTITUTE(SUBSTITUTE(SUBSTITUTE(Y1111,"|}","--"),"{|","--"),CHAR(10),""),"、",""),"|",""))+IF(AND(OR(J1111="EI",J1111="EO",J1111="EQ"),$AE$1="NESMA"),2,1)))</f>
        <v/>
      </c>
      <c r="P1111" s="86">
        <f>IF(J1111="EI",IF(OR(Y1111="估算法",Y1111="算法类"),"中",IF(Y1111="无法识别","低",IF(M1111&lt;2,IF(O1111&lt;16,"低","中"),IF(M1111&lt;3,IF(O1111&lt;5,"低",IF(O1111&lt;16,"中","高")),IF(O1111&lt;5,"中","高"))))),IF(OR(J1111="EO",J1111="EQ"),IF(OR(Y1111="估算法",Y1111="算法类"),"中",IF(Y1111="无法识别","低",IF(M1111&lt;2,IF(O1111&lt;20,"低","中"),IF(M1111&lt;4,IF(O1111&lt;6,"低",IF(O1111&lt;20,"中","高")),IF(O1111&lt;6,"中","高"))))),IF(OR(J1111="ILF",J1111="EIF"),IF(OR(Y1111="估算法",Y1111="算法类",Y1111="无法识别"),"低",IF(N1111&lt;2,IF(O1111&lt;51,"低","中"),IF(N1111&lt;6,IF(O1111&lt;20,"低",IF(O1111&lt;51,"中","高")),IF(O1111&lt;20,"中","高")))),"不计算")))</f>
        <v/>
      </c>
      <c r="Q1111" s="172">
        <f>IFERROR(IF(J1111="EI",IF(P1111="低",3,IF(P1111="中",4,6)),IF(J1111="EO",IF(P1111="低",4,IF(P1111="中",5,7)),IF(J1111="EQ",IF(P1111="低",3,IF(P1111="中",4,6)),IF(J1111="ILF",IF(P1111="低",7,IF(P1111="中",10,15)),IF(J1111="EIF",IF(P1111="低",5,IF(P1111="中",7,10)),"不计算")))))*R1111,"不计算")</f>
        <v/>
      </c>
      <c r="R1111" s="172" t="n">
        <v>1</v>
      </c>
      <c r="S1111" s="173">
        <f>调整因子!$F$13</f>
        <v/>
      </c>
      <c r="T1111" s="93" t="n">
        <v>1</v>
      </c>
      <c r="U1111" s="174">
        <f>IFERROR(Q1111*S1111,0)</f>
        <v/>
      </c>
      <c r="V1111" s="178">
        <f>U1111*T1111</f>
        <v/>
      </c>
      <c r="W1111" s="103" t="inlineStr"/>
      <c r="X1111" s="103" t="inlineStr">
        <is>
          <t>数据记录</t>
        </is>
      </c>
      <c r="Y1111" s="97" t="inlineStr">
        <is>
          <t>故障知识库表{ID、名称、类型|ID、名称、类型、状态、创建时间、更新时间}</t>
        </is>
      </c>
      <c r="Z1111" s="90">
        <f>IF(COUNTIFS(W:W,"*"&amp;I1111&amp;"*")&gt;0,"存在","不存在")</f>
        <v/>
      </c>
      <c r="AA1111" s="90">
        <f>IF(COUNTIFS(AB:AB,"*"&amp;I1111&amp;"*")&gt;0,"存在","不存在")</f>
        <v/>
      </c>
    </row>
    <row r="1112" s="112">
      <c r="A1112" s="72">
        <f>ROW()-1</f>
        <v/>
      </c>
      <c r="B1112" s="175" t="n"/>
      <c r="C1112" s="124" t="n">
        <v>2026</v>
      </c>
      <c r="D1112" s="125" t="n"/>
      <c r="E1112" s="103" t="n"/>
      <c r="F1112" s="175" t="n"/>
      <c r="G1112" s="175" t="n"/>
      <c r="H1112" s="175" t="n"/>
      <c r="I1112" s="103" t="inlineStr">
        <is>
          <t>检测任务故障</t>
        </is>
      </c>
      <c r="J1112" s="93" t="inlineStr">
        <is>
          <t>EQ</t>
        </is>
      </c>
      <c r="K1112" s="102" t="n"/>
      <c r="L1112" s="102" t="inlineStr">
        <is>
          <t>查询功能</t>
        </is>
      </c>
      <c r="M1112" s="85">
        <f>IF(OR(Y1112="估算法",Y1112="算法类",Y1112="无法识别"),"",IF(W1112="",IF(OR(J1112="EI",J1112="EO",J1112="EQ"),0,""),LEN(W1112)-LEN(SUBSTITUTE(W1112,"、",""))+1))</f>
        <v/>
      </c>
      <c r="N1112" s="85">
        <f>IF(OR(Y1112="估算法",Y1112="算法类",Y1112="无法识别"),"",IF(X1112="",IF(OR(J1112="ILF",J1112="EIF"),0,""),LEN(X1112)-LEN(SUBSTITUTE(X1112,"、",""))+1))</f>
        <v/>
      </c>
      <c r="O1112" s="85">
        <f>IF(OR(Y1112="估算法",Y1112="算法类",Y1112="无法识别"),"",IF(Y1112="",IF(OR(J1112="ILF",J1112="EIF",J1112="EI",J1112="EO",J1112="EQ"),0,""),LEN(Y1112)-LEN(SUBSTITUTE(SUBSTITUTE(SUBSTITUTE(SUBSTITUTE(SUBSTITUTE(Y1112,"|}","--"),"{|","--"),CHAR(10),""),"、",""),"|",""))+IF(AND(OR(J1112="EI",J1112="EO",J1112="EQ"),$AE$1="NESMA"),2,1)))</f>
        <v/>
      </c>
      <c r="P1112" s="86">
        <f>IF(J1112="EI",IF(OR(Y1112="估算法",Y1112="算法类"),"中",IF(Y1112="无法识别","低",IF(M1112&lt;2,IF(O1112&lt;16,"低","中"),IF(M1112&lt;3,IF(O1112&lt;5,"低",IF(O1112&lt;16,"中","高")),IF(O1112&lt;5,"中","高"))))),IF(OR(J1112="EO",J1112="EQ"),IF(OR(Y1112="估算法",Y1112="算法类"),"中",IF(Y1112="无法识别","低",IF(M1112&lt;2,IF(O1112&lt;20,"低","中"),IF(M1112&lt;4,IF(O1112&lt;6,"低",IF(O1112&lt;20,"中","高")),IF(O1112&lt;6,"中","高"))))),IF(OR(J1112="ILF",J1112="EIF"),IF(OR(Y1112="估算法",Y1112="算法类",Y1112="无法识别"),"低",IF(N1112&lt;2,IF(O1112&lt;51,"低","中"),IF(N1112&lt;6,IF(O1112&lt;20,"低",IF(O1112&lt;51,"中","高")),IF(O1112&lt;20,"中","高")))),"不计算")))</f>
        <v/>
      </c>
      <c r="Q1112" s="172">
        <f>IFERROR(IF(J1112="EI",IF(P1112="低",3,IF(P1112="中",4,6)),IF(J1112="EO",IF(P1112="低",4,IF(P1112="中",5,7)),IF(J1112="EQ",IF(P1112="低",3,IF(P1112="中",4,6)),IF(J1112="ILF",IF(P1112="低",7,IF(P1112="中",10,15)),IF(J1112="EIF",IF(P1112="低",5,IF(P1112="中",7,10)),"不计算")))))*R1112,"不计算")</f>
        <v/>
      </c>
      <c r="R1112" s="172" t="n">
        <v>1</v>
      </c>
      <c r="S1112" s="173">
        <f>调整因子!$F$13</f>
        <v/>
      </c>
      <c r="T1112" s="92" t="n">
        <v>1</v>
      </c>
      <c r="U1112" s="174">
        <f>IFERROR(Q1112*S1112,0)</f>
        <v/>
      </c>
      <c r="V1112" s="178">
        <f>U1112*T1112</f>
        <v/>
      </c>
      <c r="W1112" s="103" t="inlineStr">
        <is>
          <t>数据清洗任务表、资产同步任务表、同步任务调度表</t>
        </is>
      </c>
      <c r="X1112" s="103" t="inlineStr"/>
      <c r="Y1112"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is>
      </c>
      <c r="Z1112" s="90" t="n"/>
      <c r="AA1112" s="90" t="n"/>
    </row>
    <row r="1113" s="112">
      <c r="A1113" s="72">
        <f>ROW()-1</f>
        <v/>
      </c>
      <c r="B1113" s="175" t="n"/>
      <c r="C1113" s="124" t="n">
        <v>2026</v>
      </c>
      <c r="D1113" s="125" t="n"/>
      <c r="E1113" s="103" t="n"/>
      <c r="F1113" s="175" t="n"/>
      <c r="G1113" s="175" t="n"/>
      <c r="H1113" s="175" t="n"/>
      <c r="I1113" s="103" t="inlineStr">
        <is>
          <t>诊断故障原因</t>
        </is>
      </c>
      <c r="J1113" s="93" t="n"/>
      <c r="K1113" s="102" t="n"/>
      <c r="L1113" s="102" t="inlineStr">
        <is>
          <t>和上行合并</t>
        </is>
      </c>
      <c r="M1113" s="85">
        <f>IF(OR(Y1113="估算法",Y1113="算法类",Y1113="无法识别"),"",IF(W1113="",IF(OR(J1113="EI",J1113="EO",J1113="EQ"),0,""),LEN(W1113)-LEN(SUBSTITUTE(W1113,"、",""))+1))</f>
        <v/>
      </c>
      <c r="N1113" s="85">
        <f>IF(OR(Y1113="估算法",Y1113="算法类",Y1113="无法识别"),"",IF(X1113="",IF(OR(J1113="ILF",J1113="EIF"),0,""),LEN(X1113)-LEN(SUBSTITUTE(X1113,"、",""))+1))</f>
        <v/>
      </c>
      <c r="O1113" s="85">
        <f>IF(OR(Y1113="估算法",Y1113="算法类",Y1113="无法识别"),"",IF(Y1113="",IF(OR(J1113="ILF",J1113="EIF",J1113="EI",J1113="EO",J1113="EQ"),0,""),LEN(Y1113)-LEN(SUBSTITUTE(SUBSTITUTE(SUBSTITUTE(SUBSTITUTE(SUBSTITUTE(Y1113,"|}","--"),"{|","--"),CHAR(10),""),"、",""),"|",""))+IF(AND(OR(J1113="EI",J1113="EO",J1113="EQ"),$AE$1="NESMA"),2,1)))</f>
        <v/>
      </c>
      <c r="P1113" s="86">
        <f>IF(J1113="EI",IF(OR(Y1113="估算法",Y1113="算法类"),"中",IF(Y1113="无法识别","低",IF(M1113&lt;2,IF(O1113&lt;16,"低","中"),IF(M1113&lt;3,IF(O1113&lt;5,"低",IF(O1113&lt;16,"中","高")),IF(O1113&lt;5,"中","高"))))),IF(OR(J1113="EO",J1113="EQ"),IF(OR(Y1113="估算法",Y1113="算法类"),"中",IF(Y1113="无法识别","低",IF(M1113&lt;2,IF(O1113&lt;20,"低","中"),IF(M1113&lt;4,IF(O1113&lt;6,"低",IF(O1113&lt;20,"中","高")),IF(O1113&lt;6,"中","高"))))),IF(OR(J1113="ILF",J1113="EIF"),IF(OR(Y1113="估算法",Y1113="算法类",Y1113="无法识别"),"低",IF(N1113&lt;2,IF(O1113&lt;51,"低","中"),IF(N1113&lt;6,IF(O1113&lt;20,"低",IF(O1113&lt;51,"中","高")),IF(O1113&lt;20,"中","高")))),"不计算")))</f>
        <v/>
      </c>
      <c r="Q1113" s="172">
        <f>IFERROR(IF(J1113="EI",IF(P1113="低",3,IF(P1113="中",4,6)),IF(J1113="EO",IF(P1113="低",4,IF(P1113="中",5,7)),IF(J1113="EQ",IF(P1113="低",3,IF(P1113="中",4,6)),IF(J1113="ILF",IF(P1113="低",7,IF(P1113="中",10,15)),IF(J1113="EIF",IF(P1113="低",5,IF(P1113="中",7,10)),"不计算")))))*R1113,"不计算")</f>
        <v/>
      </c>
      <c r="R1113" s="172" t="n">
        <v>1</v>
      </c>
      <c r="S1113" s="173">
        <f>调整因子!$F$13</f>
        <v/>
      </c>
      <c r="T1113" s="92" t="n">
        <v>1</v>
      </c>
      <c r="U1113" s="174">
        <f>IFERROR(Q1113*S1113,0)</f>
        <v/>
      </c>
      <c r="V1113" s="178">
        <f>U1113*T1113</f>
        <v/>
      </c>
      <c r="W1113" s="103" t="inlineStr">
        <is>
          <t>提醒策略配置表、通报配置表、日志查询记录表、推送失败重试表、处置单配置表</t>
        </is>
      </c>
      <c r="X1113" s="103" t="inlineStr"/>
      <c r="Y1113" s="97" t="inlineStr">
        <is>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is>
      </c>
      <c r="Z1113" s="90" t="n"/>
      <c r="AA1113" s="90" t="n"/>
    </row>
    <row r="1114" s="112">
      <c r="A1114" s="72">
        <f>ROW()-1</f>
        <v/>
      </c>
      <c r="B1114" s="175" t="n"/>
      <c r="C1114" s="124" t="n">
        <v>2026</v>
      </c>
      <c r="D1114" s="125" t="n"/>
      <c r="E1114" s="103" t="n"/>
      <c r="F1114" s="175" t="n"/>
      <c r="G1114" s="175" t="n"/>
      <c r="H1114" s="175" t="n"/>
      <c r="I1114" s="103" t="inlineStr">
        <is>
          <t>推荐解决方案</t>
        </is>
      </c>
      <c r="J1114" s="93" t="n"/>
      <c r="K1114" s="102" t="n"/>
      <c r="L1114" s="102" t="inlineStr">
        <is>
          <t>和上行合并</t>
        </is>
      </c>
      <c r="M1114" s="85">
        <f>IF(OR(Y1114="估算法",Y1114="算法类",Y1114="无法识别"),"",IF(W1114="",IF(OR(J1114="EI",J1114="EO",J1114="EQ"),0,""),LEN(W1114)-LEN(SUBSTITUTE(W1114,"、",""))+1))</f>
        <v/>
      </c>
      <c r="N1114" s="85">
        <f>IF(OR(Y1114="估算法",Y1114="算法类",Y1114="无法识别"),"",IF(X1114="",IF(OR(J1114="ILF",J1114="EIF"),0,""),LEN(X1114)-LEN(SUBSTITUTE(X1114,"、",""))+1))</f>
        <v/>
      </c>
      <c r="O1114" s="85">
        <f>IF(OR(Y1114="估算法",Y1114="算法类",Y1114="无法识别"),"",IF(Y1114="",IF(OR(J1114="ILF",J1114="EIF",J1114="EI",J1114="EO",J1114="EQ"),0,""),LEN(Y1114)-LEN(SUBSTITUTE(SUBSTITUTE(SUBSTITUTE(SUBSTITUTE(SUBSTITUTE(Y1114,"|}","--"),"{|","--"),CHAR(10),""),"、",""),"|",""))+IF(AND(OR(J1114="EI",J1114="EO",J1114="EQ"),$AE$1="NESMA"),2,1)))</f>
        <v/>
      </c>
      <c r="P1114" s="86">
        <f>IF(J1114="EI",IF(OR(Y1114="估算法",Y1114="算法类"),"中",IF(Y1114="无法识别","低",IF(M1114&lt;2,IF(O1114&lt;16,"低","中"),IF(M1114&lt;3,IF(O1114&lt;5,"低",IF(O1114&lt;16,"中","高")),IF(O1114&lt;5,"中","高"))))),IF(OR(J1114="EO",J1114="EQ"),IF(OR(Y1114="估算法",Y1114="算法类"),"中",IF(Y1114="无法识别","低",IF(M1114&lt;2,IF(O1114&lt;20,"低","中"),IF(M1114&lt;4,IF(O1114&lt;6,"低",IF(O1114&lt;20,"中","高")),IF(O1114&lt;6,"中","高"))))),IF(OR(J1114="ILF",J1114="EIF"),IF(OR(Y1114="估算法",Y1114="算法类",Y1114="无法识别"),"低",IF(N1114&lt;2,IF(O1114&lt;51,"低","中"),IF(N1114&lt;6,IF(O1114&lt;20,"低",IF(O1114&lt;51,"中","高")),IF(O1114&lt;20,"中","高")))),"不计算")))</f>
        <v/>
      </c>
      <c r="Q1114" s="172">
        <f>IFERROR(IF(J1114="EI",IF(P1114="低",3,IF(P1114="中",4,6)),IF(J1114="EO",IF(P1114="低",4,IF(P1114="中",5,7)),IF(J1114="EQ",IF(P1114="低",3,IF(P1114="中",4,6)),IF(J1114="ILF",IF(P1114="低",7,IF(P1114="中",10,15)),IF(J1114="EIF",IF(P1114="低",5,IF(P1114="中",7,10)),"不计算")))))*R1114,"不计算")</f>
        <v/>
      </c>
      <c r="R1114" s="172" t="n">
        <v>1</v>
      </c>
      <c r="S1114" s="173">
        <f>调整因子!$F$13</f>
        <v/>
      </c>
      <c r="T1114" s="93" t="n">
        <v>1</v>
      </c>
      <c r="U1114" s="174">
        <f>IFERROR(Q1114*S1114,0)</f>
        <v/>
      </c>
      <c r="V1114" s="178">
        <f>U1114*T1114</f>
        <v/>
      </c>
      <c r="W1114" s="103" t="inlineStr">
        <is>
          <t>扫描盲区记录表、报告解析结果表、方案审批表</t>
        </is>
      </c>
      <c r="X1114" s="103" t="inlineStr"/>
      <c r="Y1114" s="97" t="inlineStr">
        <is>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is>
      </c>
      <c r="Z1114" s="90" t="n"/>
      <c r="AA1114" s="90" t="n"/>
    </row>
    <row r="1115" s="112">
      <c r="A1115" s="72">
        <f>ROW()-1</f>
        <v/>
      </c>
      <c r="B1115" s="175" t="n"/>
      <c r="C1115" s="124" t="n">
        <v>2026</v>
      </c>
      <c r="D1115" s="125" t="n"/>
      <c r="E1115" s="103" t="n"/>
      <c r="F1115" s="175" t="n"/>
      <c r="G1115" s="175" t="n"/>
      <c r="H1115" s="175" t="n"/>
      <c r="I1115" s="103" t="inlineStr">
        <is>
          <t>标记故障已解决</t>
        </is>
      </c>
      <c r="J1115" s="93" t="inlineStr">
        <is>
          <t>EI</t>
        </is>
      </c>
      <c r="K1115" s="102" t="n"/>
      <c r="L1115" s="102" t="n"/>
      <c r="M1115" s="85">
        <f>IF(OR(Y1115="估算法",Y1115="算法类",Y1115="无法识别"),"",IF(W1115="",IF(OR(J1115="EI",J1115="EO",J1115="EQ"),0,""),LEN(W1115)-LEN(SUBSTITUTE(W1115,"、",""))+1))</f>
        <v/>
      </c>
      <c r="N1115" s="85">
        <f>IF(OR(Y1115="估算法",Y1115="算法类",Y1115="无法识别"),"",IF(X1115="",IF(OR(J1115="ILF",J1115="EIF"),0,""),LEN(X1115)-LEN(SUBSTITUTE(X1115,"、",""))+1))</f>
        <v/>
      </c>
      <c r="O1115" s="85">
        <f>IF(OR(Y1115="估算法",Y1115="算法类",Y1115="无法识别"),"",IF(Y1115="",IF(OR(J1115="ILF",J1115="EIF",J1115="EI",J1115="EO",J1115="EQ"),0,""),LEN(Y1115)-LEN(SUBSTITUTE(SUBSTITUTE(SUBSTITUTE(SUBSTITUTE(SUBSTITUTE(Y1115,"|}","--"),"{|","--"),CHAR(10),""),"、",""),"|",""))+IF(AND(OR(J1115="EI",J1115="EO",J1115="EQ"),$AE$1="NESMA"),2,1)))</f>
        <v/>
      </c>
      <c r="P1115" s="86">
        <f>IF(J1115="EI",IF(OR(Y1115="估算法",Y1115="算法类"),"中",IF(Y1115="无法识别","低",IF(M1115&lt;2,IF(O1115&lt;16,"低","中"),IF(M1115&lt;3,IF(O1115&lt;5,"低",IF(O1115&lt;16,"中","高")),IF(O1115&lt;5,"中","高"))))),IF(OR(J1115="EO",J1115="EQ"),IF(OR(Y1115="估算法",Y1115="算法类"),"中",IF(Y1115="无法识别","低",IF(M1115&lt;2,IF(O1115&lt;20,"低","中"),IF(M1115&lt;4,IF(O1115&lt;6,"低",IF(O1115&lt;20,"中","高")),IF(O1115&lt;6,"中","高"))))),IF(OR(J1115="ILF",J1115="EIF"),IF(OR(Y1115="估算法",Y1115="算法类",Y1115="无法识别"),"低",IF(N1115&lt;2,IF(O1115&lt;51,"低","中"),IF(N1115&lt;6,IF(O1115&lt;20,"低",IF(O1115&lt;51,"中","高")),IF(O1115&lt;20,"中","高")))),"不计算")))</f>
        <v/>
      </c>
      <c r="Q1115" s="172">
        <f>IFERROR(IF(J1115="EI",IF(P1115="低",3,IF(P1115="中",4,6)),IF(J1115="EO",IF(P1115="低",4,IF(P1115="中",5,7)),IF(J1115="EQ",IF(P1115="低",3,IF(P1115="中",4,6)),IF(J1115="ILF",IF(P1115="低",7,IF(P1115="中",10,15)),IF(J1115="EIF",IF(P1115="低",5,IF(P1115="中",7,10)),"不计算")))))*R1115,"不计算")</f>
        <v/>
      </c>
      <c r="R1115" s="172" t="n">
        <v>1</v>
      </c>
      <c r="S1115" s="173">
        <f>调整因子!$F$13</f>
        <v/>
      </c>
      <c r="T1115" s="92" t="n">
        <v>1</v>
      </c>
      <c r="U1115" s="174">
        <f>IFERROR(Q1115*S1115,0)</f>
        <v/>
      </c>
      <c r="V1115" s="178">
        <f>U1115*T1115</f>
        <v/>
      </c>
      <c r="W1115" s="103" t="inlineStr">
        <is>
          <t>脱敏规则表、处置单配置表、推送日志表、漏洞处置推送接口配置表、加密规则表</t>
        </is>
      </c>
      <c r="X1115" s="103" t="inlineStr"/>
      <c r="Y1115" s="97" t="inlineStr">
        <is>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is>
      </c>
      <c r="Z1115" s="90" t="n"/>
      <c r="AA1115" s="90" t="n"/>
    </row>
    <row r="1116" s="112">
      <c r="A1116" s="72">
        <f>ROW()-1</f>
        <v/>
      </c>
      <c r="B1116" s="175" t="n"/>
      <c r="C1116" s="124" t="n">
        <v>2026</v>
      </c>
      <c r="D1116" s="125" t="n"/>
      <c r="E1116" s="103" t="n"/>
      <c r="F1116" s="175" t="n"/>
      <c r="G1116" s="175" t="n"/>
      <c r="H1116" s="175" t="n"/>
      <c r="I1116" s="103" t="inlineStr">
        <is>
          <t>配置故障规则</t>
        </is>
      </c>
      <c r="J1116" s="93" t="inlineStr">
        <is>
          <t>EI</t>
        </is>
      </c>
      <c r="K1116" s="102" t="n"/>
      <c r="L1116" s="102" t="n"/>
      <c r="M1116" s="85">
        <f>IF(OR(Y1116="估算法",Y1116="算法类",Y1116="无法识别"),"",IF(W1116="",IF(OR(J1116="EI",J1116="EO",J1116="EQ"),0,""),LEN(W1116)-LEN(SUBSTITUTE(W1116,"、",""))+1))</f>
        <v/>
      </c>
      <c r="N1116" s="85">
        <f>IF(OR(Y1116="估算法",Y1116="算法类",Y1116="无法识别"),"",IF(X1116="",IF(OR(J1116="ILF",J1116="EIF"),0,""),LEN(X1116)-LEN(SUBSTITUTE(X1116,"、",""))+1))</f>
        <v/>
      </c>
      <c r="O1116" s="85">
        <f>IF(OR(Y1116="估算法",Y1116="算法类",Y1116="无法识别"),"",IF(Y1116="",IF(OR(J1116="ILF",J1116="EIF",J1116="EI",J1116="EO",J1116="EQ"),0,""),LEN(Y1116)-LEN(SUBSTITUTE(SUBSTITUTE(SUBSTITUTE(SUBSTITUTE(SUBSTITUTE(Y1116,"|}","--"),"{|","--"),CHAR(10),""),"、",""),"|",""))+IF(AND(OR(J1116="EI",J1116="EO",J1116="EQ"),$AE$1="NESMA"),2,1)))</f>
        <v/>
      </c>
      <c r="P1116" s="86">
        <f>IF(J1116="EI",IF(OR(Y1116="估算法",Y1116="算法类"),"中",IF(Y1116="无法识别","低",IF(M1116&lt;2,IF(O1116&lt;16,"低","中"),IF(M1116&lt;3,IF(O1116&lt;5,"低",IF(O1116&lt;16,"中","高")),IF(O1116&lt;5,"中","高"))))),IF(OR(J1116="EO",J1116="EQ"),IF(OR(Y1116="估算法",Y1116="算法类"),"中",IF(Y1116="无法识别","低",IF(M1116&lt;2,IF(O1116&lt;20,"低","中"),IF(M1116&lt;4,IF(O1116&lt;6,"低",IF(O1116&lt;20,"中","高")),IF(O1116&lt;6,"中","高"))))),IF(OR(J1116="ILF",J1116="EIF"),IF(OR(Y1116="估算法",Y1116="算法类",Y1116="无法识别"),"低",IF(N1116&lt;2,IF(O1116&lt;51,"低","中"),IF(N1116&lt;6,IF(O1116&lt;20,"低",IF(O1116&lt;51,"中","高")),IF(O1116&lt;20,"中","高")))),"不计算")))</f>
        <v/>
      </c>
      <c r="Q1116" s="172">
        <f>IFERROR(IF(J1116="EI",IF(P1116="低",3,IF(P1116="中",4,6)),IF(J1116="EO",IF(P1116="低",4,IF(P1116="中",5,7)),IF(J1116="EQ",IF(P1116="低",3,IF(P1116="中",4,6)),IF(J1116="ILF",IF(P1116="低",7,IF(P1116="中",10,15)),IF(J1116="EIF",IF(P1116="低",5,IF(P1116="中",7,10)),"不计算")))))*R1116,"不计算")</f>
        <v/>
      </c>
      <c r="R1116" s="172" t="n">
        <v>1</v>
      </c>
      <c r="S1116" s="173">
        <f>调整因子!$F$13</f>
        <v/>
      </c>
      <c r="T1116" s="92" t="n">
        <v>1</v>
      </c>
      <c r="U1116" s="174">
        <f>IFERROR(Q1116*S1116,0)</f>
        <v/>
      </c>
      <c r="V1116" s="178">
        <f>U1116*T1116</f>
        <v/>
      </c>
      <c r="W1116" s="103" t="inlineStr">
        <is>
          <t>任务优先级配置表、模板参数配置表、处置单配置表、验证配置表</t>
        </is>
      </c>
      <c r="X1116" s="103" t="inlineStr"/>
      <c r="Y1116" s="97" t="inlineStr">
        <is>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is>
      </c>
      <c r="Z1116" s="90" t="n"/>
      <c r="AA1116" s="90" t="n"/>
    </row>
    <row r="1117" s="112">
      <c r="A1117" s="72">
        <f>ROW()-1</f>
        <v/>
      </c>
      <c r="B1117" s="175" t="n"/>
      <c r="C1117" s="124" t="n">
        <v>2026</v>
      </c>
      <c r="D1117" s="125" t="n"/>
      <c r="E1117" s="103" t="n"/>
      <c r="F1117" s="175" t="n"/>
      <c r="G1117" s="175" t="n"/>
      <c r="H1117" s="175" t="n"/>
      <c r="I1117" s="103" t="inlineStr">
        <is>
          <t>导出故障记录</t>
        </is>
      </c>
      <c r="J1117" s="93" t="inlineStr">
        <is>
          <t>EO</t>
        </is>
      </c>
      <c r="K1117" s="102" t="n"/>
      <c r="L1117" s="102" t="n"/>
      <c r="M1117" s="85">
        <f>IF(OR(Y1117="估算法",Y1117="算法类",Y1117="无法识别"),"",IF(W1117="",IF(OR(J1117="EI",J1117="EO",J1117="EQ"),0,""),LEN(W1117)-LEN(SUBSTITUTE(W1117,"、",""))+1))</f>
        <v/>
      </c>
      <c r="N1117" s="85">
        <f>IF(OR(Y1117="估算法",Y1117="算法类",Y1117="无法识别"),"",IF(X1117="",IF(OR(J1117="ILF",J1117="EIF"),0,""),LEN(X1117)-LEN(SUBSTITUTE(X1117,"、",""))+1))</f>
        <v/>
      </c>
      <c r="O1117" s="85">
        <f>IF(OR(Y1117="估算法",Y1117="算法类",Y1117="无法识别"),"",IF(Y1117="",IF(OR(J1117="ILF",J1117="EIF",J1117="EI",J1117="EO",J1117="EQ"),0,""),LEN(Y1117)-LEN(SUBSTITUTE(SUBSTITUTE(SUBSTITUTE(SUBSTITUTE(SUBSTITUTE(Y1117,"|}","--"),"{|","--"),CHAR(10),""),"、",""),"|",""))+IF(AND(OR(J1117="EI",J1117="EO",J1117="EQ"),$AE$1="NESMA"),2,1)))</f>
        <v/>
      </c>
      <c r="P1117" s="86">
        <f>IF(J1117="EI",IF(OR(Y1117="估算法",Y1117="算法类"),"中",IF(Y1117="无法识别","低",IF(M1117&lt;2,IF(O1117&lt;16,"低","中"),IF(M1117&lt;3,IF(O1117&lt;5,"低",IF(O1117&lt;16,"中","高")),IF(O1117&lt;5,"中","高"))))),IF(OR(J1117="EO",J1117="EQ"),IF(OR(Y1117="估算法",Y1117="算法类"),"中",IF(Y1117="无法识别","低",IF(M1117&lt;2,IF(O1117&lt;20,"低","中"),IF(M1117&lt;4,IF(O1117&lt;6,"低",IF(O1117&lt;20,"中","高")),IF(O1117&lt;6,"中","高"))))),IF(OR(J1117="ILF",J1117="EIF"),IF(OR(Y1117="估算法",Y1117="算法类",Y1117="无法识别"),"低",IF(N1117&lt;2,IF(O1117&lt;51,"低","中"),IF(N1117&lt;6,IF(O1117&lt;20,"低",IF(O1117&lt;51,"中","高")),IF(O1117&lt;20,"中","高")))),"不计算")))</f>
        <v/>
      </c>
      <c r="Q1117" s="172">
        <f>IFERROR(IF(J1117="EI",IF(P1117="低",3,IF(P1117="中",4,6)),IF(J1117="EO",IF(P1117="低",4,IF(P1117="中",5,7)),IF(J1117="EQ",IF(P1117="低",3,IF(P1117="中",4,6)),IF(J1117="ILF",IF(P1117="低",7,IF(P1117="中",10,15)),IF(J1117="EIF",IF(P1117="低",5,IF(P1117="中",7,10)),"不计算")))))*R1117,"不计算")</f>
        <v/>
      </c>
      <c r="R1117" s="172" t="n">
        <v>1</v>
      </c>
      <c r="S1117" s="173">
        <f>调整因子!$F$13</f>
        <v/>
      </c>
      <c r="T1117" s="93" t="n">
        <v>1</v>
      </c>
      <c r="U1117" s="174">
        <f>IFERROR(Q1117*S1117,0)</f>
        <v/>
      </c>
      <c r="V1117" s="178">
        <f>U1117*T1117</f>
        <v/>
      </c>
      <c r="W1117" s="103" t="inlineStr">
        <is>
          <t>推送规则表、通报配置表、离线扫描报告表</t>
        </is>
      </c>
      <c r="X1117" s="103" t="inlineStr"/>
      <c r="Y1117" s="97" t="inlineStr">
        <is>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is>
      </c>
      <c r="Z1117" s="90" t="n"/>
      <c r="AA1117" s="90" t="n"/>
    </row>
    <row r="1118" s="112">
      <c r="A1118" s="72">
        <f>ROW()-1</f>
        <v/>
      </c>
      <c r="B1118" s="175" t="n"/>
      <c r="C1118" s="124" t="n">
        <v>2026</v>
      </c>
      <c r="D1118" s="125" t="n"/>
      <c r="E1118" s="103" t="n"/>
      <c r="F1118" s="175" t="n"/>
      <c r="G1118" s="175" t="n"/>
      <c r="H1118" s="175" t="n"/>
      <c r="I1118" s="103" t="inlineStr">
        <is>
          <t>推送故障告警</t>
        </is>
      </c>
      <c r="J1118" s="93" t="inlineStr">
        <is>
          <t>EO</t>
        </is>
      </c>
      <c r="K1118" s="102" t="n"/>
      <c r="L1118" s="102" t="n"/>
      <c r="M1118" s="85">
        <f>IF(OR(Y1118="估算法",Y1118="算法类",Y1118="无法识别"),"",IF(W1118="",IF(OR(J1118="EI",J1118="EO",J1118="EQ"),0,""),LEN(W1118)-LEN(SUBSTITUTE(W1118,"、",""))+1))</f>
        <v/>
      </c>
      <c r="N1118" s="85">
        <f>IF(OR(Y1118="估算法",Y1118="算法类",Y1118="无法识别"),"",IF(X1118="",IF(OR(J1118="ILF",J1118="EIF"),0,""),LEN(X1118)-LEN(SUBSTITUTE(X1118,"、",""))+1))</f>
        <v/>
      </c>
      <c r="O1118" s="85">
        <f>IF(OR(Y1118="估算法",Y1118="算法类",Y1118="无法识别"),"",IF(Y1118="",IF(OR(J1118="ILF",J1118="EIF",J1118="EI",J1118="EO",J1118="EQ"),0,""),LEN(Y1118)-LEN(SUBSTITUTE(SUBSTITUTE(SUBSTITUTE(SUBSTITUTE(SUBSTITUTE(Y1118,"|}","--"),"{|","--"),CHAR(10),""),"、",""),"|",""))+IF(AND(OR(J1118="EI",J1118="EO",J1118="EQ"),$AE$1="NESMA"),2,1)))</f>
        <v/>
      </c>
      <c r="P1118" s="86">
        <f>IF(J1118="EI",IF(OR(Y1118="估算法",Y1118="算法类"),"中",IF(Y1118="无法识别","低",IF(M1118&lt;2,IF(O1118&lt;16,"低","中"),IF(M1118&lt;3,IF(O1118&lt;5,"低",IF(O1118&lt;16,"中","高")),IF(O1118&lt;5,"中","高"))))),IF(OR(J1118="EO",J1118="EQ"),IF(OR(Y1118="估算法",Y1118="算法类"),"中",IF(Y1118="无法识别","低",IF(M1118&lt;2,IF(O1118&lt;20,"低","中"),IF(M1118&lt;4,IF(O1118&lt;6,"低",IF(O1118&lt;20,"中","高")),IF(O1118&lt;6,"中","高"))))),IF(OR(J1118="ILF",J1118="EIF"),IF(OR(Y1118="估算法",Y1118="算法类",Y1118="无法识别"),"低",IF(N1118&lt;2,IF(O1118&lt;51,"低","中"),IF(N1118&lt;6,IF(O1118&lt;20,"低",IF(O1118&lt;51,"中","高")),IF(O1118&lt;20,"中","高")))),"不计算")))</f>
        <v/>
      </c>
      <c r="Q1118" s="172">
        <f>IFERROR(IF(J1118="EI",IF(P1118="低",3,IF(P1118="中",4,6)),IF(J1118="EO",IF(P1118="低",4,IF(P1118="中",5,7)),IF(J1118="EQ",IF(P1118="低",3,IF(P1118="中",4,6)),IF(J1118="ILF",IF(P1118="低",7,IF(P1118="中",10,15)),IF(J1118="EIF",IF(P1118="低",5,IF(P1118="中",7,10)),"不计算")))))*R1118,"不计算")</f>
        <v/>
      </c>
      <c r="R1118" s="172" t="n">
        <v>1</v>
      </c>
      <c r="S1118" s="173">
        <f>调整因子!$F$13</f>
        <v/>
      </c>
      <c r="T1118" s="93" t="n">
        <v>1</v>
      </c>
      <c r="U1118" s="174">
        <f>IFERROR(Q1118*S1118,0)</f>
        <v/>
      </c>
      <c r="V1118" s="178">
        <f>U1118*T1118</f>
        <v/>
      </c>
      <c r="W1118" s="103" t="inlineStr">
        <is>
          <t>任务优先级配置表、验证记录表、提醒规则表、漏洞处置推送接口配置表</t>
        </is>
      </c>
      <c r="X1118" s="103" t="inlineStr"/>
      <c r="Y1118" s="97" t="inlineStr">
        <is>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is>
      </c>
      <c r="Z1118" s="90" t="n"/>
      <c r="AA1118" s="90" t="n"/>
    </row>
    <row r="1119" s="112">
      <c r="A1119" s="72">
        <f>ROW()-1</f>
        <v/>
      </c>
      <c r="B1119" s="175" t="n"/>
      <c r="C1119" s="124" t="n">
        <v>2026</v>
      </c>
      <c r="D1119" s="125" t="n"/>
      <c r="E1119" s="103" t="n"/>
      <c r="F1119" s="175" t="n"/>
      <c r="G1119" s="175" t="n"/>
      <c r="H1119" s="175" t="n"/>
      <c r="I1119" s="103" t="inlineStr">
        <is>
          <t>查询故障记录</t>
        </is>
      </c>
      <c r="J1119" s="93" t="inlineStr">
        <is>
          <t>EQ</t>
        </is>
      </c>
      <c r="K1119" s="102" t="n"/>
      <c r="L1119" s="102" t="inlineStr">
        <is>
          <t>处理流程和上行基本一致，为查询功能，未体现详情功能</t>
        </is>
      </c>
      <c r="M1119" s="85">
        <f>IF(OR(Y1119="估算法",Y1119="算法类",Y1119="无法识别"),"",IF(W1119="",IF(OR(J1119="EI",J1119="EO",J1119="EQ"),0,""),LEN(W1119)-LEN(SUBSTITUTE(W1119,"、",""))+1))</f>
        <v/>
      </c>
      <c r="N1119" s="85">
        <f>IF(OR(Y1119="估算法",Y1119="算法类",Y1119="无法识别"),"",IF(X1119="",IF(OR(J1119="ILF",J1119="EIF"),0,""),LEN(X1119)-LEN(SUBSTITUTE(X1119,"、",""))+1))</f>
        <v/>
      </c>
      <c r="O1119" s="85">
        <f>IF(OR(Y1119="估算法",Y1119="算法类",Y1119="无法识别"),"",IF(Y1119="",IF(OR(J1119="ILF",J1119="EIF",J1119="EI",J1119="EO",J1119="EQ"),0,""),LEN(Y1119)-LEN(SUBSTITUTE(SUBSTITUTE(SUBSTITUTE(SUBSTITUTE(SUBSTITUTE(Y1119,"|}","--"),"{|","--"),CHAR(10),""),"、",""),"|",""))+IF(AND(OR(J1119="EI",J1119="EO",J1119="EQ"),$AE$1="NESMA"),2,1)))</f>
        <v/>
      </c>
      <c r="P1119" s="86">
        <f>IF(J1119="EI",IF(OR(Y1119="估算法",Y1119="算法类"),"中",IF(Y1119="无法识别","低",IF(M1119&lt;2,IF(O1119&lt;16,"低","中"),IF(M1119&lt;3,IF(O1119&lt;5,"低",IF(O1119&lt;16,"中","高")),IF(O1119&lt;5,"中","高"))))),IF(OR(J1119="EO",J1119="EQ"),IF(OR(Y1119="估算法",Y1119="算法类"),"中",IF(Y1119="无法识别","低",IF(M1119&lt;2,IF(O1119&lt;20,"低","中"),IF(M1119&lt;4,IF(O1119&lt;6,"低",IF(O1119&lt;20,"中","高")),IF(O1119&lt;6,"中","高"))))),IF(OR(J1119="ILF",J1119="EIF"),IF(OR(Y1119="估算法",Y1119="算法类",Y1119="无法识别"),"低",IF(N1119&lt;2,IF(O1119&lt;51,"低","中"),IF(N1119&lt;6,IF(O1119&lt;20,"低",IF(O1119&lt;51,"中","高")),IF(O1119&lt;20,"中","高")))),"不计算")))</f>
        <v/>
      </c>
      <c r="Q1119" s="172">
        <f>IFERROR(IF(J1119="EI",IF(P1119="低",3,IF(P1119="中",4,6)),IF(J1119="EO",IF(P1119="低",4,IF(P1119="中",5,7)),IF(J1119="EQ",IF(P1119="低",3,IF(P1119="中",4,6)),IF(J1119="ILF",IF(P1119="低",7,IF(P1119="中",10,15)),IF(J1119="EIF",IF(P1119="低",5,IF(P1119="中",7,10)),"不计算")))))*R1119,"不计算")</f>
        <v/>
      </c>
      <c r="R1119" s="172" t="n">
        <v>0.333333333333333</v>
      </c>
      <c r="S1119" s="173">
        <f>调整因子!$F$13</f>
        <v/>
      </c>
      <c r="T1119" s="92" t="n">
        <v>1</v>
      </c>
      <c r="U1119" s="174">
        <f>IFERROR(Q1119*S1119,0)</f>
        <v/>
      </c>
      <c r="V1119" s="178">
        <f>U1119*T1119</f>
        <v/>
      </c>
      <c r="W1119" s="103" t="inlineStr">
        <is>
          <t>任务统计数据表、处置流程定义表、漏洞统计数据表、态势数据采集表、故障知识库表</t>
        </is>
      </c>
      <c r="X1119" s="103" t="inlineStr"/>
      <c r="Y1119" s="97" t="inlineStr">
        <is>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is>
      </c>
      <c r="Z1119" s="90" t="n"/>
      <c r="AA1119" s="90" t="n"/>
    </row>
    <row r="1120" s="112">
      <c r="A1120" s="72">
        <f>ROW()-1</f>
        <v/>
      </c>
      <c r="B1120" s="175" t="n"/>
      <c r="C1120" s="124" t="n">
        <v>2026</v>
      </c>
      <c r="D1120" s="125" t="n"/>
      <c r="E1120" s="103" t="n"/>
      <c r="F1120" s="175" t="n"/>
      <c r="G1120" s="175" t="n"/>
      <c r="H1120" s="176" t="n"/>
      <c r="I1120" s="103" t="inlineStr">
        <is>
          <t>查看故障详情</t>
        </is>
      </c>
      <c r="J1120" s="93" t="inlineStr">
        <is>
          <t>EQ</t>
        </is>
      </c>
      <c r="K1120" s="102" t="n"/>
      <c r="L1120" s="102" t="inlineStr">
        <is>
          <t>处理流程和上行基本一致，为查询功能，未体现详情功能</t>
        </is>
      </c>
      <c r="M1120" s="85">
        <f>IF(OR(Y1120="估算法",Y1120="算法类",Y1120="无法识别"),"",IF(W1120="",IF(OR(J1120="EI",J1120="EO",J1120="EQ"),0,""),LEN(W1120)-LEN(SUBSTITUTE(W1120,"、",""))+1))</f>
        <v/>
      </c>
      <c r="N1120" s="85">
        <f>IF(OR(Y1120="估算法",Y1120="算法类",Y1120="无法识别"),"",IF(X1120="",IF(OR(J1120="ILF",J1120="EIF"),0,""),LEN(X1120)-LEN(SUBSTITUTE(X1120,"、",""))+1))</f>
        <v/>
      </c>
      <c r="O1120" s="85">
        <f>IF(OR(Y1120="估算法",Y1120="算法类",Y1120="无法识别"),"",IF(Y1120="",IF(OR(J1120="ILF",J1120="EIF",J1120="EI",J1120="EO",J1120="EQ"),0,""),LEN(Y1120)-LEN(SUBSTITUTE(SUBSTITUTE(SUBSTITUTE(SUBSTITUTE(SUBSTITUTE(Y1120,"|}","--"),"{|","--"),CHAR(10),""),"、",""),"|",""))+IF(AND(OR(J1120="EI",J1120="EO",J1120="EQ"),$AE$1="NESMA"),2,1)))</f>
        <v/>
      </c>
      <c r="P1120" s="86">
        <f>IF(J1120="EI",IF(OR(Y1120="估算法",Y1120="算法类"),"中",IF(Y1120="无法识别","低",IF(M1120&lt;2,IF(O1120&lt;16,"低","中"),IF(M1120&lt;3,IF(O1120&lt;5,"低",IF(O1120&lt;16,"中","高")),IF(O1120&lt;5,"中","高"))))),IF(OR(J1120="EO",J1120="EQ"),IF(OR(Y1120="估算法",Y1120="算法类"),"中",IF(Y1120="无法识别","低",IF(M1120&lt;2,IF(O1120&lt;20,"低","中"),IF(M1120&lt;4,IF(O1120&lt;6,"低",IF(O1120&lt;20,"中","高")),IF(O1120&lt;6,"中","高"))))),IF(OR(J1120="ILF",J1120="EIF"),IF(OR(Y1120="估算法",Y1120="算法类",Y1120="无法识别"),"低",IF(N1120&lt;2,IF(O1120&lt;51,"低","中"),IF(N1120&lt;6,IF(O1120&lt;20,"低",IF(O1120&lt;51,"中","高")),IF(O1120&lt;20,"中","高")))),"不计算")))</f>
        <v/>
      </c>
      <c r="Q1120" s="172">
        <f>IFERROR(IF(J1120="EI",IF(P1120="低",3,IF(P1120="中",4,6)),IF(J1120="EO",IF(P1120="低",4,IF(P1120="中",5,7)),IF(J1120="EQ",IF(P1120="低",3,IF(P1120="中",4,6)),IF(J1120="ILF",IF(P1120="低",7,IF(P1120="中",10,15)),IF(J1120="EIF",IF(P1120="低",5,IF(P1120="中",7,10)),"不计算")))))*R1120,"不计算")</f>
        <v/>
      </c>
      <c r="R1120" s="172" t="n">
        <v>0.333333333333333</v>
      </c>
      <c r="S1120" s="173">
        <f>调整因子!$F$13</f>
        <v/>
      </c>
      <c r="T1120" s="92" t="n">
        <v>1</v>
      </c>
      <c r="U1120" s="174">
        <f>IFERROR(Q1120*S1120,0)</f>
        <v/>
      </c>
      <c r="V1120" s="178">
        <f>U1120*T1120</f>
        <v/>
      </c>
      <c r="W1120" s="103" t="inlineStr">
        <is>
          <t>指标权重表、指标阈值表、修复方案表</t>
        </is>
      </c>
      <c r="X1120" s="103" t="inlineStr"/>
      <c r="Y1120" s="97" t="inlineStr">
        <is>
          <t>指标权重表{ID、名称|ID、名称、类型、状态、创建时间、更新时间}
指标阈值表{ID、名称|ID、名称、类型、状态、创建时间、更新时间}
修复方案表{ID、名称|ID、名称、类型、状态、创建时间、更新时间}</t>
        </is>
      </c>
      <c r="Z1120" s="90" t="n"/>
      <c r="AA1120" s="90" t="n"/>
    </row>
    <row r="1121" s="112">
      <c r="A1121" s="72">
        <f>ROW()-1</f>
        <v/>
      </c>
      <c r="B1121" s="175" t="n"/>
      <c r="C1121" s="124" t="n">
        <v>2026</v>
      </c>
      <c r="D1121" s="125" t="n"/>
      <c r="E1121" s="103" t="n"/>
      <c r="F1121" s="175" t="n"/>
      <c r="G1121" s="175" t="n"/>
      <c r="H1121" s="97" t="inlineStr">
        <is>
          <t>任务日志管理</t>
        </is>
      </c>
      <c r="I1121" s="103" t="inlineStr">
        <is>
          <t>任务日志表</t>
        </is>
      </c>
      <c r="J1121" s="93" t="n"/>
      <c r="K1121" s="102" t="n"/>
      <c r="L1121" s="102" t="inlineStr">
        <is>
          <t>非ILF - 日志表</t>
        </is>
      </c>
      <c r="M1121" s="85">
        <f>IF(OR(Y1121="估算法",Y1121="算法类",Y1121="无法识别"),"",IF(W1121="",IF(OR(J1121="EI",J1121="EO",J1121="EQ"),0,""),LEN(W1121)-LEN(SUBSTITUTE(W1121,"、",""))+1))</f>
        <v/>
      </c>
      <c r="N1121" s="85">
        <f>IF(OR(Y1121="估算法",Y1121="算法类",Y1121="无法识别"),"",IF(X1121="",IF(OR(J1121="ILF",J1121="EIF"),0,""),LEN(X1121)-LEN(SUBSTITUTE(X1121,"、",""))+1))</f>
        <v/>
      </c>
      <c r="O1121" s="85">
        <f>IF(OR(Y1121="估算法",Y1121="算法类",Y1121="无法识别"),"",IF(Y1121="",IF(OR(J1121="ILF",J1121="EIF",J1121="EI",J1121="EO",J1121="EQ"),0,""),LEN(Y1121)-LEN(SUBSTITUTE(SUBSTITUTE(SUBSTITUTE(SUBSTITUTE(SUBSTITUTE(Y1121,"|}","--"),"{|","--"),CHAR(10),""),"、",""),"|",""))+IF(AND(OR(J1121="EI",J1121="EO",J1121="EQ"),$AE$1="NESMA"),2,1)))</f>
        <v/>
      </c>
      <c r="P1121" s="86">
        <f>IF(J1121="EI",IF(OR(Y1121="估算法",Y1121="算法类"),"中",IF(Y1121="无法识别","低",IF(M1121&lt;2,IF(O1121&lt;16,"低","中"),IF(M1121&lt;3,IF(O1121&lt;5,"低",IF(O1121&lt;16,"中","高")),IF(O1121&lt;5,"中","高"))))),IF(OR(J1121="EO",J1121="EQ"),IF(OR(Y1121="估算法",Y1121="算法类"),"中",IF(Y1121="无法识别","低",IF(M1121&lt;2,IF(O1121&lt;20,"低","中"),IF(M1121&lt;4,IF(O1121&lt;6,"低",IF(O1121&lt;20,"中","高")),IF(O1121&lt;6,"中","高"))))),IF(OR(J1121="ILF",J1121="EIF"),IF(OR(Y1121="估算法",Y1121="算法类",Y1121="无法识别"),"低",IF(N1121&lt;2,IF(O1121&lt;51,"低","中"),IF(N1121&lt;6,IF(O1121&lt;20,"低",IF(O1121&lt;51,"中","高")),IF(O1121&lt;20,"中","高")))),"不计算")))</f>
        <v/>
      </c>
      <c r="Q1121" s="172">
        <f>IFERROR(IF(J1121="EI",IF(P1121="低",3,IF(P1121="中",4,6)),IF(J1121="EO",IF(P1121="低",4,IF(P1121="中",5,7)),IF(J1121="EQ",IF(P1121="低",3,IF(P1121="中",4,6)),IF(J1121="ILF",IF(P1121="低",7,IF(P1121="中",10,15)),IF(J1121="EIF",IF(P1121="低",5,IF(P1121="中",7,10)),"不计算")))))*R1121,"不计算")</f>
        <v/>
      </c>
      <c r="R1121" s="172" t="n">
        <v>1</v>
      </c>
      <c r="S1121" s="173">
        <f>调整因子!$F$13</f>
        <v/>
      </c>
      <c r="T1121" s="93" t="n">
        <v>1</v>
      </c>
      <c r="U1121" s="174">
        <f>IFERROR(Q1121*S1121,0)</f>
        <v/>
      </c>
      <c r="V1121" s="178">
        <f>U1121*T1121</f>
        <v/>
      </c>
      <c r="W1121" s="103" t="inlineStr"/>
      <c r="X1121" s="103" t="inlineStr">
        <is>
          <t>扫描任务、发现任务</t>
        </is>
      </c>
      <c r="Y1121" s="97" t="inlineStr">
        <is>
          <t>任务日志表{任务ID、任务名称、任务类型|任务ID、任务名称、任务类型、任务状态、创建时间、执行时间}</t>
        </is>
      </c>
      <c r="Z1121" s="90">
        <f>IF(COUNTIFS(W:W,"*"&amp;I1121&amp;"*")&gt;0,"存在","不存在")</f>
        <v/>
      </c>
      <c r="AA1121" s="90">
        <f>IF(COUNTIFS(AB:AB,"*"&amp;I1121&amp;"*")&gt;0,"存在","不存在")</f>
        <v/>
      </c>
    </row>
    <row r="1122" s="112">
      <c r="A1122" s="72">
        <f>ROW()-1</f>
        <v/>
      </c>
      <c r="B1122" s="175" t="n"/>
      <c r="C1122" s="124" t="n">
        <v>2026</v>
      </c>
      <c r="D1122" s="125" t="n"/>
      <c r="E1122" s="103" t="n"/>
      <c r="F1122" s="175" t="n"/>
      <c r="G1122" s="175" t="n"/>
      <c r="H1122" s="175" t="n"/>
      <c r="I1122" s="103" t="inlineStr">
        <is>
          <t>导出任务日志</t>
        </is>
      </c>
      <c r="J1122" s="93" t="inlineStr">
        <is>
          <t>EO</t>
        </is>
      </c>
      <c r="K1122" s="102" t="n"/>
      <c r="L1122" s="102" t="n"/>
      <c r="M1122" s="85">
        <f>IF(OR(Y1122="估算法",Y1122="算法类",Y1122="无法识别"),"",IF(W1122="",IF(OR(J1122="EI",J1122="EO",J1122="EQ"),0,""),LEN(W1122)-LEN(SUBSTITUTE(W1122,"、",""))+1))</f>
        <v/>
      </c>
      <c r="N1122" s="85">
        <f>IF(OR(Y1122="估算法",Y1122="算法类",Y1122="无法识别"),"",IF(X1122="",IF(OR(J1122="ILF",J1122="EIF"),0,""),LEN(X1122)-LEN(SUBSTITUTE(X1122,"、",""))+1))</f>
        <v/>
      </c>
      <c r="O1122" s="85">
        <f>IF(OR(Y1122="估算法",Y1122="算法类",Y1122="无法识别"),"",IF(Y1122="",IF(OR(J1122="ILF",J1122="EIF",J1122="EI",J1122="EO",J1122="EQ"),0,""),LEN(Y1122)-LEN(SUBSTITUTE(SUBSTITUTE(SUBSTITUTE(SUBSTITUTE(SUBSTITUTE(Y1122,"|}","--"),"{|","--"),CHAR(10),""),"、",""),"|",""))+IF(AND(OR(J1122="EI",J1122="EO",J1122="EQ"),$AE$1="NESMA"),2,1)))</f>
        <v/>
      </c>
      <c r="P1122" s="86">
        <f>IF(J1122="EI",IF(OR(Y1122="估算法",Y1122="算法类"),"中",IF(Y1122="无法识别","低",IF(M1122&lt;2,IF(O1122&lt;16,"低","中"),IF(M1122&lt;3,IF(O1122&lt;5,"低",IF(O1122&lt;16,"中","高")),IF(O1122&lt;5,"中","高"))))),IF(OR(J1122="EO",J1122="EQ"),IF(OR(Y1122="估算法",Y1122="算法类"),"中",IF(Y1122="无法识别","低",IF(M1122&lt;2,IF(O1122&lt;20,"低","中"),IF(M1122&lt;4,IF(O1122&lt;6,"低",IF(O1122&lt;20,"中","高")),IF(O1122&lt;6,"中","高"))))),IF(OR(J1122="ILF",J1122="EIF"),IF(OR(Y1122="估算法",Y1122="算法类",Y1122="无法识别"),"低",IF(N1122&lt;2,IF(O1122&lt;51,"低","中"),IF(N1122&lt;6,IF(O1122&lt;20,"低",IF(O1122&lt;51,"中","高")),IF(O1122&lt;20,"中","高")))),"不计算")))</f>
        <v/>
      </c>
      <c r="Q1122" s="172">
        <f>IFERROR(IF(J1122="EI",IF(P1122="低",3,IF(P1122="中",4,6)),IF(J1122="EO",IF(P1122="低",4,IF(P1122="中",5,7)),IF(J1122="EQ",IF(P1122="低",3,IF(P1122="中",4,6)),IF(J1122="ILF",IF(P1122="低",7,IF(P1122="中",10,15)),IF(J1122="EIF",IF(P1122="低",5,IF(P1122="中",7,10)),"不计算")))))*R1122,"不计算")</f>
        <v/>
      </c>
      <c r="R1122" s="172" t="n">
        <v>1</v>
      </c>
      <c r="S1122" s="173">
        <f>调整因子!$F$13</f>
        <v/>
      </c>
      <c r="T1122" s="92" t="n">
        <v>1</v>
      </c>
      <c r="U1122" s="174">
        <f>IFERROR(Q1122*S1122,0)</f>
        <v/>
      </c>
      <c r="V1122" s="178">
        <f>U1122*T1122</f>
        <v/>
      </c>
      <c r="W1122" s="103" t="inlineStr">
        <is>
          <t>数据清洗任务表、资产同步任务表、同步任务调度表、任务统计数据表、任务趋势分析表</t>
        </is>
      </c>
      <c r="X1122" s="103" t="inlineStr"/>
      <c r="Y1122"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122" s="90" t="n"/>
      <c r="AA1122" s="90" t="n"/>
    </row>
    <row r="1123" s="112">
      <c r="A1123" s="72">
        <f>ROW()-1</f>
        <v/>
      </c>
      <c r="B1123" s="175" t="n"/>
      <c r="C1123" s="124" t="n">
        <v>2026</v>
      </c>
      <c r="D1123" s="125" t="n"/>
      <c r="E1123" s="103" t="n"/>
      <c r="F1123" s="175" t="n"/>
      <c r="G1123" s="175" t="n"/>
      <c r="H1123" s="175" t="n"/>
      <c r="I1123" s="103" t="inlineStr">
        <is>
          <t>下载日志文件</t>
        </is>
      </c>
      <c r="J1123" s="93" t="inlineStr">
        <is>
          <t>EO</t>
        </is>
      </c>
      <c r="K1123" s="102" t="n"/>
      <c r="L1123" s="102" t="n"/>
      <c r="M1123" s="85">
        <f>IF(OR(Y1123="估算法",Y1123="算法类",Y1123="无法识别"),"",IF(W1123="",IF(OR(J1123="EI",J1123="EO",J1123="EQ"),0,""),LEN(W1123)-LEN(SUBSTITUTE(W1123,"、",""))+1))</f>
        <v/>
      </c>
      <c r="N1123" s="85">
        <f>IF(OR(Y1123="估算法",Y1123="算法类",Y1123="无法识别"),"",IF(X1123="",IF(OR(J1123="ILF",J1123="EIF"),0,""),LEN(X1123)-LEN(SUBSTITUTE(X1123,"、",""))+1))</f>
        <v/>
      </c>
      <c r="O1123" s="85">
        <f>IF(OR(Y1123="估算法",Y1123="算法类",Y1123="无法识别"),"",IF(Y1123="",IF(OR(J1123="ILF",J1123="EIF",J1123="EI",J1123="EO",J1123="EQ"),0,""),LEN(Y1123)-LEN(SUBSTITUTE(SUBSTITUTE(SUBSTITUTE(SUBSTITUTE(SUBSTITUTE(Y1123,"|}","--"),"{|","--"),CHAR(10),""),"、",""),"|",""))+IF(AND(OR(J1123="EI",J1123="EO",J1123="EQ"),$AE$1="NESMA"),2,1)))</f>
        <v/>
      </c>
      <c r="P1123" s="86">
        <f>IF(J1123="EI",IF(OR(Y1123="估算法",Y1123="算法类"),"中",IF(Y1123="无法识别","低",IF(M1123&lt;2,IF(O1123&lt;16,"低","中"),IF(M1123&lt;3,IF(O1123&lt;5,"低",IF(O1123&lt;16,"中","高")),IF(O1123&lt;5,"中","高"))))),IF(OR(J1123="EO",J1123="EQ"),IF(OR(Y1123="估算法",Y1123="算法类"),"中",IF(Y1123="无法识别","低",IF(M1123&lt;2,IF(O1123&lt;20,"低","中"),IF(M1123&lt;4,IF(O1123&lt;6,"低",IF(O1123&lt;20,"中","高")),IF(O1123&lt;6,"中","高"))))),IF(OR(J1123="ILF",J1123="EIF"),IF(OR(Y1123="估算法",Y1123="算法类",Y1123="无法识别"),"低",IF(N1123&lt;2,IF(O1123&lt;51,"低","中"),IF(N1123&lt;6,IF(O1123&lt;20,"低",IF(O1123&lt;51,"中","高")),IF(O1123&lt;20,"中","高")))),"不计算")))</f>
        <v/>
      </c>
      <c r="Q1123" s="172">
        <f>IFERROR(IF(J1123="EI",IF(P1123="低",3,IF(P1123="中",4,6)),IF(J1123="EO",IF(P1123="低",4,IF(P1123="中",5,7)),IF(J1123="EQ",IF(P1123="低",3,IF(P1123="中",4,6)),IF(J1123="ILF",IF(P1123="低",7,IF(P1123="中",10,15)),IF(J1123="EIF",IF(P1123="低",5,IF(P1123="中",7,10)),"不计算")))))*R1123,"不计算")</f>
        <v/>
      </c>
      <c r="R1123" s="172" t="n">
        <v>1</v>
      </c>
      <c r="S1123" s="173">
        <f>调整因子!$F$13</f>
        <v/>
      </c>
      <c r="T1123" s="92" t="n">
        <v>1</v>
      </c>
      <c r="U1123" s="174">
        <f>IFERROR(Q1123*S1123,0)</f>
        <v/>
      </c>
      <c r="V1123" s="178">
        <f>U1123*T1123</f>
        <v/>
      </c>
      <c r="W1123" s="103" t="inlineStr">
        <is>
          <t>任务日志表、推送日志表、日志加密配置表、审计日志表、日志采集配置表</t>
        </is>
      </c>
      <c r="X1123" s="103" t="inlineStr"/>
      <c r="Y1123" s="97" t="inlineStr">
        <is>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is>
      </c>
      <c r="Z1123" s="90" t="n"/>
      <c r="AA1123" s="90" t="n"/>
    </row>
    <row r="1124" s="112">
      <c r="A1124" s="72">
        <f>ROW()-1</f>
        <v/>
      </c>
      <c r="B1124" s="175" t="n"/>
      <c r="C1124" s="124" t="n">
        <v>2026</v>
      </c>
      <c r="D1124" s="125" t="n"/>
      <c r="E1124" s="103" t="n"/>
      <c r="F1124" s="176" t="n"/>
      <c r="G1124" s="176" t="n"/>
      <c r="H1124" s="176" t="n"/>
      <c r="I1124" s="103" t="inlineStr">
        <is>
          <t>查询任务日志</t>
        </is>
      </c>
      <c r="J1124" s="93" t="inlineStr">
        <is>
          <t>EQ</t>
        </is>
      </c>
      <c r="K1124" s="102" t="n"/>
      <c r="L1124" s="102" t="n"/>
      <c r="M1124" s="85">
        <f>IF(OR(Y1124="估算法",Y1124="算法类",Y1124="无法识别"),"",IF(W1124="",IF(OR(J1124="EI",J1124="EO",J1124="EQ"),0,""),LEN(W1124)-LEN(SUBSTITUTE(W1124,"、",""))+1))</f>
        <v/>
      </c>
      <c r="N1124" s="85">
        <f>IF(OR(Y1124="估算法",Y1124="算法类",Y1124="无法识别"),"",IF(X1124="",IF(OR(J1124="ILF",J1124="EIF"),0,""),LEN(X1124)-LEN(SUBSTITUTE(X1124,"、",""))+1))</f>
        <v/>
      </c>
      <c r="O1124" s="85">
        <f>IF(OR(Y1124="估算法",Y1124="算法类",Y1124="无法识别"),"",IF(Y1124="",IF(OR(J1124="ILF",J1124="EIF",J1124="EI",J1124="EO",J1124="EQ"),0,""),LEN(Y1124)-LEN(SUBSTITUTE(SUBSTITUTE(SUBSTITUTE(SUBSTITUTE(SUBSTITUTE(Y1124,"|}","--"),"{|","--"),CHAR(10),""),"、",""),"|",""))+IF(AND(OR(J1124="EI",J1124="EO",J1124="EQ"),$AE$1="NESMA"),2,1)))</f>
        <v/>
      </c>
      <c r="P1124" s="86">
        <f>IF(J1124="EI",IF(OR(Y1124="估算法",Y1124="算法类"),"中",IF(Y1124="无法识别","低",IF(M1124&lt;2,IF(O1124&lt;16,"低","中"),IF(M1124&lt;3,IF(O1124&lt;5,"低",IF(O1124&lt;16,"中","高")),IF(O1124&lt;5,"中","高"))))),IF(OR(J1124="EO",J1124="EQ"),IF(OR(Y1124="估算法",Y1124="算法类"),"中",IF(Y1124="无法识别","低",IF(M1124&lt;2,IF(O1124&lt;20,"低","中"),IF(M1124&lt;4,IF(O1124&lt;6,"低",IF(O1124&lt;20,"中","高")),IF(O1124&lt;6,"中","高"))))),IF(OR(J1124="ILF",J1124="EIF"),IF(OR(Y1124="估算法",Y1124="算法类",Y1124="无法识别"),"低",IF(N1124&lt;2,IF(O1124&lt;51,"低","中"),IF(N1124&lt;6,IF(O1124&lt;20,"低",IF(O1124&lt;51,"中","高")),IF(O1124&lt;20,"中","高")))),"不计算")))</f>
        <v/>
      </c>
      <c r="Q1124" s="172">
        <f>IFERROR(IF(J1124="EI",IF(P1124="低",3,IF(P1124="中",4,6)),IF(J1124="EO",IF(P1124="低",4,IF(P1124="中",5,7)),IF(J1124="EQ",IF(P1124="低",3,IF(P1124="中",4,6)),IF(J1124="ILF",IF(P1124="低",7,IF(P1124="中",10,15)),IF(J1124="EIF",IF(P1124="低",5,IF(P1124="中",7,10)),"不计算")))))*R1124,"不计算")</f>
        <v/>
      </c>
      <c r="R1124" s="172" t="n">
        <v>1</v>
      </c>
      <c r="S1124" s="173">
        <f>调整因子!$F$13</f>
        <v/>
      </c>
      <c r="T1124" s="93" t="n">
        <v>1</v>
      </c>
      <c r="U1124" s="174">
        <f>IFERROR(Q1124*S1124,0)</f>
        <v/>
      </c>
      <c r="V1124" s="178">
        <f>U1124*T1124</f>
        <v/>
      </c>
      <c r="W1124" s="103" t="inlineStr">
        <is>
          <t>数据清洗任务表、资产同步任务表、同步任务调度表、任务统计数据表、任务趋势分析表</t>
        </is>
      </c>
      <c r="X1124" s="103" t="inlineStr"/>
      <c r="Y1124" s="97" t="inlineStr">
        <is>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is>
      </c>
      <c r="Z1124" s="90" t="n"/>
      <c r="AA1124" s="90" t="n"/>
    </row>
    <row r="1125" s="112">
      <c r="A1125" s="72">
        <f>ROW()-1</f>
        <v/>
      </c>
      <c r="B1125" s="175" t="n"/>
      <c r="C1125" s="124" t="n">
        <v>2026</v>
      </c>
      <c r="D1125" s="130" t="n"/>
      <c r="E1125" s="103" t="n"/>
      <c r="F1125" s="97" t="inlineStr">
        <is>
          <t>扫描调度引擎</t>
        </is>
      </c>
      <c r="G1125" s="97" t="inlineStr">
        <is>
          <t>多扫描器统一适配层</t>
        </is>
      </c>
      <c r="H1125" s="97" t="inlineStr">
        <is>
          <t>扫描器适配管理</t>
        </is>
      </c>
      <c r="I1125" s="103" t="inlineStr">
        <is>
          <t>编辑扫描器配置</t>
        </is>
      </c>
      <c r="J1125" s="93" t="inlineStr">
        <is>
          <t>EI</t>
        </is>
      </c>
      <c r="K1125" s="102" t="n"/>
      <c r="L1125" s="102" t="n"/>
      <c r="M1125" s="85">
        <f>IF(OR(Y1125="估算法",Y1125="算法类",Y1125="无法识别"),"",IF(W1125="",IF(OR(J1125="EI",J1125="EO",J1125="EQ"),0,""),LEN(W1125)-LEN(SUBSTITUTE(W1125,"、",""))+1))</f>
        <v/>
      </c>
      <c r="N1125" s="85">
        <f>IF(OR(Y1125="估算法",Y1125="算法类",Y1125="无法识别"),"",IF(X1125="",IF(OR(J1125="ILF",J1125="EIF"),0,""),LEN(X1125)-LEN(SUBSTITUTE(X1125,"、",""))+1))</f>
        <v/>
      </c>
      <c r="O1125" s="85">
        <f>IF(OR(Y1125="估算法",Y1125="算法类",Y1125="无法识别"),"",IF(Y1125="",IF(OR(J1125="ILF",J1125="EIF",J1125="EI",J1125="EO",J1125="EQ"),0,""),LEN(Y1125)-LEN(SUBSTITUTE(SUBSTITUTE(SUBSTITUTE(SUBSTITUTE(SUBSTITUTE(Y1125,"|}","--"),"{|","--"),CHAR(10),""),"、",""),"|",""))+IF(AND(OR(J1125="EI",J1125="EO",J1125="EQ"),$AE$1="NESMA"),2,1)))</f>
        <v/>
      </c>
      <c r="P1125" s="86">
        <f>IF(J1125="EI",IF(OR(Y1125="估算法",Y1125="算法类"),"中",IF(Y1125="无法识别","低",IF(M1125&lt;2,IF(O1125&lt;16,"低","中"),IF(M1125&lt;3,IF(O1125&lt;5,"低",IF(O1125&lt;16,"中","高")),IF(O1125&lt;5,"中","高"))))),IF(OR(J1125="EO",J1125="EQ"),IF(OR(Y1125="估算法",Y1125="算法类"),"中",IF(Y1125="无法识别","低",IF(M1125&lt;2,IF(O1125&lt;20,"低","中"),IF(M1125&lt;4,IF(O1125&lt;6,"低",IF(O1125&lt;20,"中","高")),IF(O1125&lt;6,"中","高"))))),IF(OR(J1125="ILF",J1125="EIF"),IF(OR(Y1125="估算法",Y1125="算法类",Y1125="无法识别"),"低",IF(N1125&lt;2,IF(O1125&lt;51,"低","中"),IF(N1125&lt;6,IF(O1125&lt;20,"低",IF(O1125&lt;51,"中","高")),IF(O1125&lt;20,"中","高")))),"不计算")))</f>
        <v/>
      </c>
      <c r="Q1125" s="172">
        <f>IFERROR(IF(J1125="EI",IF(P1125="低",3,IF(P1125="中",4,6)),IF(J1125="EO",IF(P1125="低",4,IF(P1125="中",5,7)),IF(J1125="EQ",IF(P1125="低",3,IF(P1125="中",4,6)),IF(J1125="ILF",IF(P1125="低",7,IF(P1125="中",10,15)),IF(J1125="EIF",IF(P1125="低",5,IF(P1125="中",7,10)),"不计算")))))*R1125,"不计算")</f>
        <v/>
      </c>
      <c r="R1125" s="172" t="n">
        <v>1</v>
      </c>
      <c r="S1125" s="173">
        <f>调整因子!$F$13</f>
        <v/>
      </c>
      <c r="T1125" s="93" t="n">
        <v>1</v>
      </c>
      <c r="U1125" s="174">
        <f>IFERROR(Q1125*S1125,0)</f>
        <v/>
      </c>
      <c r="V1125" s="178">
        <f>U1125*T1125</f>
        <v/>
      </c>
      <c r="W1125" s="103" t="inlineStr">
        <is>
          <t>资产扫描覆盖表、扫描盲区记录表、扫描能力缺口表</t>
        </is>
      </c>
      <c r="X1125" s="103" t="inlineStr"/>
      <c r="Y1125"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is>
      </c>
      <c r="Z1125" s="90" t="n"/>
      <c r="AA1125" s="90" t="n"/>
    </row>
    <row r="1126" s="112">
      <c r="A1126" s="72">
        <f>ROW()-1</f>
        <v/>
      </c>
      <c r="B1126" s="175" t="n"/>
      <c r="C1126" s="124" t="n">
        <v>2026</v>
      </c>
      <c r="E1126" s="103" t="n"/>
      <c r="F1126" s="175" t="n"/>
      <c r="G1126" s="175" t="n"/>
      <c r="H1126" s="175" t="n"/>
      <c r="I1126" s="103" t="inlineStr">
        <is>
          <t>删除扫描器配置</t>
        </is>
      </c>
      <c r="J1126" s="93" t="inlineStr">
        <is>
          <t>EI</t>
        </is>
      </c>
      <c r="K1126" s="102" t="n"/>
      <c r="L1126" s="102" t="n"/>
      <c r="M1126" s="85">
        <f>IF(OR(Y1126="估算法",Y1126="算法类",Y1126="无法识别"),"",IF(W1126="",IF(OR(J1126="EI",J1126="EO",J1126="EQ"),0,""),LEN(W1126)-LEN(SUBSTITUTE(W1126,"、",""))+1))</f>
        <v/>
      </c>
      <c r="N1126" s="85">
        <f>IF(OR(Y1126="估算法",Y1126="算法类",Y1126="无法识别"),"",IF(X1126="",IF(OR(J1126="ILF",J1126="EIF"),0,""),LEN(X1126)-LEN(SUBSTITUTE(X1126,"、",""))+1))</f>
        <v/>
      </c>
      <c r="O1126" s="85">
        <f>IF(OR(Y1126="估算法",Y1126="算法类",Y1126="无法识别"),"",IF(Y1126="",IF(OR(J1126="ILF",J1126="EIF",J1126="EI",J1126="EO",J1126="EQ"),0,""),LEN(Y1126)-LEN(SUBSTITUTE(SUBSTITUTE(SUBSTITUTE(SUBSTITUTE(SUBSTITUTE(Y1126,"|}","--"),"{|","--"),CHAR(10),""),"、",""),"|",""))+IF(AND(OR(J1126="EI",J1126="EO",J1126="EQ"),$AE$1="NESMA"),2,1)))</f>
        <v/>
      </c>
      <c r="P1126" s="86">
        <f>IF(J1126="EI",IF(OR(Y1126="估算法",Y1126="算法类"),"中",IF(Y1126="无法识别","低",IF(M1126&lt;2,IF(O1126&lt;16,"低","中"),IF(M1126&lt;3,IF(O1126&lt;5,"低",IF(O1126&lt;16,"中","高")),IF(O1126&lt;5,"中","高"))))),IF(OR(J1126="EO",J1126="EQ"),IF(OR(Y1126="估算法",Y1126="算法类"),"中",IF(Y1126="无法识别","低",IF(M1126&lt;2,IF(O1126&lt;20,"低","中"),IF(M1126&lt;4,IF(O1126&lt;6,"低",IF(O1126&lt;20,"中","高")),IF(O1126&lt;6,"中","高"))))),IF(OR(J1126="ILF",J1126="EIF"),IF(OR(Y1126="估算法",Y1126="算法类",Y1126="无法识别"),"低",IF(N1126&lt;2,IF(O1126&lt;51,"低","中"),IF(N1126&lt;6,IF(O1126&lt;20,"低",IF(O1126&lt;51,"中","高")),IF(O1126&lt;20,"中","高")))),"不计算")))</f>
        <v/>
      </c>
      <c r="Q1126" s="172">
        <f>IFERROR(IF(J1126="EI",IF(P1126="低",3,IF(P1126="中",4,6)),IF(J1126="EO",IF(P1126="低",4,IF(P1126="中",5,7)),IF(J1126="EQ",IF(P1126="低",3,IF(P1126="中",4,6)),IF(J1126="ILF",IF(P1126="低",7,IF(P1126="中",10,15)),IF(J1126="EIF",IF(P1126="低",5,IF(P1126="中",7,10)),"不计算")))))*R1126,"不计算")</f>
        <v/>
      </c>
      <c r="R1126" s="172" t="n">
        <v>0.333333333333333</v>
      </c>
      <c r="S1126" s="173">
        <f>调整因子!$F$13</f>
        <v/>
      </c>
      <c r="T1126" s="92" t="n">
        <v>1</v>
      </c>
      <c r="U1126" s="174">
        <f>IFERROR(Q1126*S1126,0)</f>
        <v/>
      </c>
      <c r="V1126" s="178">
        <f>U1126*T1126</f>
        <v/>
      </c>
      <c r="W1126" s="103" t="inlineStr">
        <is>
          <t>资产扫描覆盖表、扫描盲区记录表、扫描能力缺口表、离线扫描报告表、任务优先级配置表</t>
        </is>
      </c>
      <c r="X1126" s="103" t="inlineStr"/>
      <c r="Y1126"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is>
      </c>
      <c r="Z1126" s="90" t="n"/>
      <c r="AA1126" s="90" t="n"/>
    </row>
    <row r="1127" s="112">
      <c r="A1127" s="72">
        <f>ROW()-1</f>
        <v/>
      </c>
      <c r="B1127" s="175" t="n"/>
      <c r="C1127" s="124" t="n">
        <v>2026</v>
      </c>
      <c r="E1127" s="103" t="n"/>
      <c r="F1127" s="175" t="n"/>
      <c r="G1127" s="175" t="n"/>
      <c r="H1127" s="175" t="n"/>
      <c r="I1127" s="103" t="inlineStr">
        <is>
          <t>启用扫描器适配</t>
        </is>
      </c>
      <c r="J1127" s="93" t="inlineStr">
        <is>
          <t>EI</t>
        </is>
      </c>
      <c r="K1127" s="102" t="n"/>
      <c r="L1127" s="102" t="n"/>
      <c r="M1127" s="85">
        <f>IF(OR(Y1127="估算法",Y1127="算法类",Y1127="无法识别"),"",IF(W1127="",IF(OR(J1127="EI",J1127="EO",J1127="EQ"),0,""),LEN(W1127)-LEN(SUBSTITUTE(W1127,"、",""))+1))</f>
        <v/>
      </c>
      <c r="N1127" s="85">
        <f>IF(OR(Y1127="估算法",Y1127="算法类",Y1127="无法识别"),"",IF(X1127="",IF(OR(J1127="ILF",J1127="EIF"),0,""),LEN(X1127)-LEN(SUBSTITUTE(X1127,"、",""))+1))</f>
        <v/>
      </c>
      <c r="O1127" s="85">
        <f>IF(OR(Y1127="估算法",Y1127="算法类",Y1127="无法识别"),"",IF(Y1127="",IF(OR(J1127="ILF",J1127="EIF",J1127="EI",J1127="EO",J1127="EQ"),0,""),LEN(Y1127)-LEN(SUBSTITUTE(SUBSTITUTE(SUBSTITUTE(SUBSTITUTE(SUBSTITUTE(Y1127,"|}","--"),"{|","--"),CHAR(10),""),"、",""),"|",""))+IF(AND(OR(J1127="EI",J1127="EO",J1127="EQ"),$AE$1="NESMA"),2,1)))</f>
        <v/>
      </c>
      <c r="P1127" s="86">
        <f>IF(J1127="EI",IF(OR(Y1127="估算法",Y1127="算法类"),"中",IF(Y1127="无法识别","低",IF(M1127&lt;2,IF(O1127&lt;16,"低","中"),IF(M1127&lt;3,IF(O1127&lt;5,"低",IF(O1127&lt;16,"中","高")),IF(O1127&lt;5,"中","高"))))),IF(OR(J1127="EO",J1127="EQ"),IF(OR(Y1127="估算法",Y1127="算法类"),"中",IF(Y1127="无法识别","低",IF(M1127&lt;2,IF(O1127&lt;20,"低","中"),IF(M1127&lt;4,IF(O1127&lt;6,"低",IF(O1127&lt;20,"中","高")),IF(O1127&lt;6,"中","高"))))),IF(OR(J1127="ILF",J1127="EIF"),IF(OR(Y1127="估算法",Y1127="算法类",Y1127="无法识别"),"低",IF(N1127&lt;2,IF(O1127&lt;51,"低","中"),IF(N1127&lt;6,IF(O1127&lt;20,"低",IF(O1127&lt;51,"中","高")),IF(O1127&lt;20,"中","高")))),"不计算")))</f>
        <v/>
      </c>
      <c r="Q1127" s="172">
        <f>IFERROR(IF(J1127="EI",IF(P1127="低",3,IF(P1127="中",4,6)),IF(J1127="EO",IF(P1127="低",4,IF(P1127="中",5,7)),IF(J1127="EQ",IF(P1127="低",3,IF(P1127="中",4,6)),IF(J1127="ILF",IF(P1127="低",7,IF(P1127="中",10,15)),IF(J1127="EIF",IF(P1127="低",5,IF(P1127="中",7,10)),"不计算")))))*R1127,"不计算")</f>
        <v/>
      </c>
      <c r="R1127" s="172" t="n">
        <v>1</v>
      </c>
      <c r="S1127" s="173">
        <f>调整因子!$F$13</f>
        <v/>
      </c>
      <c r="T1127" s="92" t="n">
        <v>1</v>
      </c>
      <c r="U1127" s="174">
        <f>IFERROR(Q1127*S1127,0)</f>
        <v/>
      </c>
      <c r="V1127" s="178">
        <f>U1127*T1127</f>
        <v/>
      </c>
      <c r="W1127" s="103" t="inlineStr">
        <is>
          <t>资产扫描覆盖表、扫描盲区记录表、扫描能力缺口表、离线扫描报告表</t>
        </is>
      </c>
      <c r="X1127" s="103" t="inlineStr"/>
      <c r="Y1127"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is>
      </c>
      <c r="Z1127" s="90" t="n"/>
      <c r="AA1127" s="90" t="n"/>
    </row>
    <row r="1128" s="112">
      <c r="A1128" s="72">
        <f>ROW()-1</f>
        <v/>
      </c>
      <c r="B1128" s="175" t="n"/>
      <c r="C1128" s="124" t="n">
        <v>2026</v>
      </c>
      <c r="E1128" s="103" t="n"/>
      <c r="F1128" s="175" t="n"/>
      <c r="G1128" s="175" t="n"/>
      <c r="H1128" s="175" t="n"/>
      <c r="I1128" s="103" t="inlineStr">
        <is>
          <t>停用扫描器适配</t>
        </is>
      </c>
      <c r="J1128" s="93" t="n"/>
      <c r="K1128" s="102" t="n"/>
      <c r="L1128" s="102" t="inlineStr">
        <is>
          <t>和上行合并，启停为相同功能</t>
        </is>
      </c>
      <c r="M1128" s="85">
        <f>IF(OR(Y1128="估算法",Y1128="算法类",Y1128="无法识别"),"",IF(W1128="",IF(OR(J1128="EI",J1128="EO",J1128="EQ"),0,""),LEN(W1128)-LEN(SUBSTITUTE(W1128,"、",""))+1))</f>
        <v/>
      </c>
      <c r="N1128" s="85">
        <f>IF(OR(Y1128="估算法",Y1128="算法类",Y1128="无法识别"),"",IF(X1128="",IF(OR(J1128="ILF",J1128="EIF"),0,""),LEN(X1128)-LEN(SUBSTITUTE(X1128,"、",""))+1))</f>
        <v/>
      </c>
      <c r="O1128" s="85">
        <f>IF(OR(Y1128="估算法",Y1128="算法类",Y1128="无法识别"),"",IF(Y1128="",IF(OR(J1128="ILF",J1128="EIF",J1128="EI",J1128="EO",J1128="EQ"),0,""),LEN(Y1128)-LEN(SUBSTITUTE(SUBSTITUTE(SUBSTITUTE(SUBSTITUTE(SUBSTITUTE(Y1128,"|}","--"),"{|","--"),CHAR(10),""),"、",""),"|",""))+IF(AND(OR(J1128="EI",J1128="EO",J1128="EQ"),$AE$1="NESMA"),2,1)))</f>
        <v/>
      </c>
      <c r="P1128" s="86">
        <f>IF(J1128="EI",IF(OR(Y1128="估算法",Y1128="算法类"),"中",IF(Y1128="无法识别","低",IF(M1128&lt;2,IF(O1128&lt;16,"低","中"),IF(M1128&lt;3,IF(O1128&lt;5,"低",IF(O1128&lt;16,"中","高")),IF(O1128&lt;5,"中","高"))))),IF(OR(J1128="EO",J1128="EQ"),IF(OR(Y1128="估算法",Y1128="算法类"),"中",IF(Y1128="无法识别","低",IF(M1128&lt;2,IF(O1128&lt;20,"低","中"),IF(M1128&lt;4,IF(O1128&lt;6,"低",IF(O1128&lt;20,"中","高")),IF(O1128&lt;6,"中","高"))))),IF(OR(J1128="ILF",J1128="EIF"),IF(OR(Y1128="估算法",Y1128="算法类",Y1128="无法识别"),"低",IF(N1128&lt;2,IF(O1128&lt;51,"低","中"),IF(N1128&lt;6,IF(O1128&lt;20,"低",IF(O1128&lt;51,"中","高")),IF(O1128&lt;20,"中","高")))),"不计算")))</f>
        <v/>
      </c>
      <c r="Q1128" s="172">
        <f>IFERROR(IF(J1128="EI",IF(P1128="低",3,IF(P1128="中",4,6)),IF(J1128="EO",IF(P1128="低",4,IF(P1128="中",5,7)),IF(J1128="EQ",IF(P1128="低",3,IF(P1128="中",4,6)),IF(J1128="ILF",IF(P1128="低",7,IF(P1128="中",10,15)),IF(J1128="EIF",IF(P1128="低",5,IF(P1128="中",7,10)),"不计算")))))*R1128,"不计算")</f>
        <v/>
      </c>
      <c r="R1128" s="172" t="n">
        <v>1</v>
      </c>
      <c r="S1128" s="173">
        <f>调整因子!$F$13</f>
        <v/>
      </c>
      <c r="T1128" s="93" t="n">
        <v>1</v>
      </c>
      <c r="U1128" s="174">
        <f>IFERROR(Q1128*S1128,0)</f>
        <v/>
      </c>
      <c r="V1128" s="178">
        <f>U1128*T1128</f>
        <v/>
      </c>
      <c r="W1128" s="103" t="inlineStr">
        <is>
          <t>资产扫描覆盖表、扫描盲区记录表、扫描能力缺口表、离线扫描报告表、扫描策略模板表</t>
        </is>
      </c>
      <c r="X1128" s="103" t="inlineStr"/>
      <c r="Y1128" s="97" t="inlineStr">
        <is>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is>
      </c>
      <c r="Z1128" s="90" t="n"/>
      <c r="AA1128" s="90" t="n"/>
    </row>
    <row r="1129" s="112">
      <c r="A1129" s="72">
        <f>ROW()-1</f>
        <v/>
      </c>
      <c r="B1129" s="175" t="n"/>
      <c r="C1129" s="124" t="n">
        <v>2026</v>
      </c>
      <c r="E1129" s="103" t="n"/>
      <c r="F1129" s="175" t="n"/>
      <c r="G1129" s="175" t="n"/>
      <c r="H1129" s="175" t="n"/>
      <c r="I1129" s="103" t="inlineStr">
        <is>
          <t>导出适配配置</t>
        </is>
      </c>
      <c r="J1129" s="93" t="inlineStr">
        <is>
          <t>EO</t>
        </is>
      </c>
      <c r="K1129" s="102" t="n"/>
      <c r="L1129" s="102" t="n"/>
      <c r="M1129" s="85">
        <f>IF(OR(Y1129="估算法",Y1129="算法类",Y1129="无法识别"),"",IF(W1129="",IF(OR(J1129="EI",J1129="EO",J1129="EQ"),0,""),LEN(W1129)-LEN(SUBSTITUTE(W1129,"、",""))+1))</f>
        <v/>
      </c>
      <c r="N1129" s="85">
        <f>IF(OR(Y1129="估算法",Y1129="算法类",Y1129="无法识别"),"",IF(X1129="",IF(OR(J1129="ILF",J1129="EIF"),0,""),LEN(X1129)-LEN(SUBSTITUTE(X1129,"、",""))+1))</f>
        <v/>
      </c>
      <c r="O1129" s="85">
        <f>IF(OR(Y1129="估算法",Y1129="算法类",Y1129="无法识别"),"",IF(Y1129="",IF(OR(J1129="ILF",J1129="EIF",J1129="EI",J1129="EO",J1129="EQ"),0,""),LEN(Y1129)-LEN(SUBSTITUTE(SUBSTITUTE(SUBSTITUTE(SUBSTITUTE(SUBSTITUTE(Y1129,"|}","--"),"{|","--"),CHAR(10),""),"、",""),"|",""))+IF(AND(OR(J1129="EI",J1129="EO",J1129="EQ"),$AE$1="NESMA"),2,1)))</f>
        <v/>
      </c>
      <c r="P1129" s="86">
        <f>IF(J1129="EI",IF(OR(Y1129="估算法",Y1129="算法类"),"中",IF(Y1129="无法识别","低",IF(M1129&lt;2,IF(O1129&lt;16,"低","中"),IF(M1129&lt;3,IF(O1129&lt;5,"低",IF(O1129&lt;16,"中","高")),IF(O1129&lt;5,"中","高"))))),IF(OR(J1129="EO",J1129="EQ"),IF(OR(Y1129="估算法",Y1129="算法类"),"中",IF(Y1129="无法识别","低",IF(M1129&lt;2,IF(O1129&lt;20,"低","中"),IF(M1129&lt;4,IF(O1129&lt;6,"低",IF(O1129&lt;20,"中","高")),IF(O1129&lt;6,"中","高"))))),IF(OR(J1129="ILF",J1129="EIF"),IF(OR(Y1129="估算法",Y1129="算法类",Y1129="无法识别"),"低",IF(N1129&lt;2,IF(O1129&lt;51,"低","中"),IF(N1129&lt;6,IF(O1129&lt;20,"低",IF(O1129&lt;51,"中","高")),IF(O1129&lt;20,"中","高")))),"不计算")))</f>
        <v/>
      </c>
      <c r="Q1129" s="172">
        <f>IFERROR(IF(J1129="EI",IF(P1129="低",3,IF(P1129="中",4,6)),IF(J1129="EO",IF(P1129="低",4,IF(P1129="中",5,7)),IF(J1129="EQ",IF(P1129="低",3,IF(P1129="中",4,6)),IF(J1129="ILF",IF(P1129="低",7,IF(P1129="中",10,15)),IF(J1129="EIF",IF(P1129="低",5,IF(P1129="中",7,10)),"不计算")))))*R1129,"不计算")</f>
        <v/>
      </c>
      <c r="R1129" s="172" t="n">
        <v>1</v>
      </c>
      <c r="S1129" s="173">
        <f>调整因子!$F$13</f>
        <v/>
      </c>
      <c r="T1129" s="92" t="n">
        <v>1</v>
      </c>
      <c r="U1129" s="174">
        <f>IFERROR(Q1129*S1129,0)</f>
        <v/>
      </c>
      <c r="V1129" s="178">
        <f>U1129*T1129</f>
        <v/>
      </c>
      <c r="W1129" s="103" t="inlineStr">
        <is>
          <t>任务优先级配置表、模板参数配置表、处置单配置表、验证配置表、复测配置表</t>
        </is>
      </c>
      <c r="X1129" s="103" t="inlineStr"/>
      <c r="Y1129"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129" s="90" t="n"/>
      <c r="AA1129" s="90" t="n"/>
    </row>
    <row r="1130" s="112">
      <c r="A1130" s="72">
        <f>ROW()-1</f>
        <v/>
      </c>
      <c r="B1130" s="175" t="n"/>
      <c r="C1130" s="124" t="n">
        <v>2026</v>
      </c>
      <c r="E1130" s="103" t="n"/>
      <c r="F1130" s="175" t="n"/>
      <c r="G1130" s="175" t="n"/>
      <c r="H1130" s="175" t="n"/>
      <c r="I1130" s="103" t="inlineStr">
        <is>
          <t>查询扫描器列表</t>
        </is>
      </c>
      <c r="J1130" s="93" t="inlineStr">
        <is>
          <t>EO</t>
        </is>
      </c>
      <c r="K1130" s="102" t="n"/>
      <c r="L1130" s="102" t="n"/>
      <c r="M1130" s="85">
        <f>IF(OR(Y1130="估算法",Y1130="算法类",Y1130="无法识别"),"",IF(W1130="",IF(OR(J1130="EI",J1130="EO",J1130="EQ"),0,""),LEN(W1130)-LEN(SUBSTITUTE(W1130,"、",""))+1))</f>
        <v/>
      </c>
      <c r="N1130" s="85">
        <f>IF(OR(Y1130="估算法",Y1130="算法类",Y1130="无法识别"),"",IF(X1130="",IF(OR(J1130="ILF",J1130="EIF"),0,""),LEN(X1130)-LEN(SUBSTITUTE(X1130,"、",""))+1))</f>
        <v/>
      </c>
      <c r="O1130" s="85">
        <f>IF(OR(Y1130="估算法",Y1130="算法类",Y1130="无法识别"),"",IF(Y1130="",IF(OR(J1130="ILF",J1130="EIF",J1130="EI",J1130="EO",J1130="EQ"),0,""),LEN(Y1130)-LEN(SUBSTITUTE(SUBSTITUTE(SUBSTITUTE(SUBSTITUTE(SUBSTITUTE(Y1130,"|}","--"),"{|","--"),CHAR(10),""),"、",""),"|",""))+IF(AND(OR(J1130="EI",J1130="EO",J1130="EQ"),$AE$1="NESMA"),2,1)))</f>
        <v/>
      </c>
      <c r="P1130" s="86">
        <f>IF(J1130="EI",IF(OR(Y1130="估算法",Y1130="算法类"),"中",IF(Y1130="无法识别","低",IF(M1130&lt;2,IF(O1130&lt;16,"低","中"),IF(M1130&lt;3,IF(O1130&lt;5,"低",IF(O1130&lt;16,"中","高")),IF(O1130&lt;5,"中","高"))))),IF(OR(J1130="EO",J1130="EQ"),IF(OR(Y1130="估算法",Y1130="算法类"),"中",IF(Y1130="无法识别","低",IF(M1130&lt;2,IF(O1130&lt;20,"低","中"),IF(M1130&lt;4,IF(O1130&lt;6,"低",IF(O1130&lt;20,"中","高")),IF(O1130&lt;6,"中","高"))))),IF(OR(J1130="ILF",J1130="EIF"),IF(OR(Y1130="估算法",Y1130="算法类",Y1130="无法识别"),"低",IF(N1130&lt;2,IF(O1130&lt;51,"低","中"),IF(N1130&lt;6,IF(O1130&lt;20,"低",IF(O1130&lt;51,"中","高")),IF(O1130&lt;20,"中","高")))),"不计算")))</f>
        <v/>
      </c>
      <c r="Q1130" s="172">
        <f>IFERROR(IF(J1130="EI",IF(P1130="低",3,IF(P1130="中",4,6)),IF(J1130="EO",IF(P1130="低",4,IF(P1130="中",5,7)),IF(J1130="EQ",IF(P1130="低",3,IF(P1130="中",4,6)),IF(J1130="ILF",IF(P1130="低",7,IF(P1130="中",10,15)),IF(J1130="EIF",IF(P1130="低",5,IF(P1130="中",7,10)),"不计算")))))*R1130,"不计算")</f>
        <v/>
      </c>
      <c r="R1130" s="172" t="n">
        <v>1</v>
      </c>
      <c r="S1130" s="173">
        <f>调整因子!$F$13</f>
        <v/>
      </c>
      <c r="T1130" s="92" t="n">
        <v>1</v>
      </c>
      <c r="U1130" s="174">
        <f>IFERROR(Q1130*S1130,0)</f>
        <v/>
      </c>
      <c r="V1130" s="178">
        <f>U1130*T1130</f>
        <v/>
      </c>
      <c r="W1130" s="103" t="inlineStr">
        <is>
          <t>资产扫描覆盖表、扫描盲区记录表、扫描能力缺口表、离线扫描报告表、扫描策略模板表</t>
        </is>
      </c>
      <c r="X1130" s="103" t="inlineStr"/>
      <c r="Y1130" s="97" t="inlineStr">
        <is>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is>
      </c>
      <c r="Z1130" s="90" t="n"/>
      <c r="AA1130" s="90" t="n"/>
    </row>
    <row r="1131" s="112">
      <c r="A1131" s="72">
        <f>ROW()-1</f>
        <v/>
      </c>
      <c r="B1131" s="175" t="n"/>
      <c r="C1131" s="124" t="n">
        <v>2026</v>
      </c>
      <c r="E1131" s="103" t="n"/>
      <c r="F1131" s="175" t="n"/>
      <c r="G1131" s="175" t="n"/>
      <c r="H1131" s="176" t="n"/>
      <c r="I1131" s="103" t="inlineStr">
        <is>
          <t>查看适配详情</t>
        </is>
      </c>
      <c r="J1131" s="93" t="inlineStr">
        <is>
          <t>EQ</t>
        </is>
      </c>
      <c r="K1131" s="102" t="n"/>
      <c r="L1131" s="102" t="n"/>
      <c r="M1131" s="85">
        <f>IF(OR(Y1131="估算法",Y1131="算法类",Y1131="无法识别"),"",IF(W1131="",IF(OR(J1131="EI",J1131="EO",J1131="EQ"),0,""),LEN(W1131)-LEN(SUBSTITUTE(W1131,"、",""))+1))</f>
        <v/>
      </c>
      <c r="N1131" s="85">
        <f>IF(OR(Y1131="估算法",Y1131="算法类",Y1131="无法识别"),"",IF(X1131="",IF(OR(J1131="ILF",J1131="EIF"),0,""),LEN(X1131)-LEN(SUBSTITUTE(X1131,"、",""))+1))</f>
        <v/>
      </c>
      <c r="O1131" s="85">
        <f>IF(OR(Y1131="估算法",Y1131="算法类",Y1131="无法识别"),"",IF(Y1131="",IF(OR(J1131="ILF",J1131="EIF",J1131="EI",J1131="EO",J1131="EQ"),0,""),LEN(Y1131)-LEN(SUBSTITUTE(SUBSTITUTE(SUBSTITUTE(SUBSTITUTE(SUBSTITUTE(Y1131,"|}","--"),"{|","--"),CHAR(10),""),"、",""),"|",""))+IF(AND(OR(J1131="EI",J1131="EO",J1131="EQ"),$AE$1="NESMA"),2,1)))</f>
        <v/>
      </c>
      <c r="P1131" s="86">
        <f>IF(J1131="EI",IF(OR(Y1131="估算法",Y1131="算法类"),"中",IF(Y1131="无法识别","低",IF(M1131&lt;2,IF(O1131&lt;16,"低","中"),IF(M1131&lt;3,IF(O1131&lt;5,"低",IF(O1131&lt;16,"中","高")),IF(O1131&lt;5,"中","高"))))),IF(OR(J1131="EO",J1131="EQ"),IF(OR(Y1131="估算法",Y1131="算法类"),"中",IF(Y1131="无法识别","低",IF(M1131&lt;2,IF(O1131&lt;20,"低","中"),IF(M1131&lt;4,IF(O1131&lt;6,"低",IF(O1131&lt;20,"中","高")),IF(O1131&lt;6,"中","高"))))),IF(OR(J1131="ILF",J1131="EIF"),IF(OR(Y1131="估算法",Y1131="算法类",Y1131="无法识别"),"低",IF(N1131&lt;2,IF(O1131&lt;51,"低","中"),IF(N1131&lt;6,IF(O1131&lt;20,"低",IF(O1131&lt;51,"中","高")),IF(O1131&lt;20,"中","高")))),"不计算")))</f>
        <v/>
      </c>
      <c r="Q1131" s="172">
        <f>IFERROR(IF(J1131="EI",IF(P1131="低",3,IF(P1131="中",4,6)),IF(J1131="EO",IF(P1131="低",4,IF(P1131="中",5,7)),IF(J1131="EQ",IF(P1131="低",3,IF(P1131="中",4,6)),IF(J1131="ILF",IF(P1131="低",7,IF(P1131="中",10,15)),IF(J1131="EIF",IF(P1131="低",5,IF(P1131="中",7,10)),"不计算")))))*R1131,"不计算")</f>
        <v/>
      </c>
      <c r="R1131" s="172" t="n">
        <v>1</v>
      </c>
      <c r="S1131" s="173">
        <f>调整因子!$F$13</f>
        <v/>
      </c>
      <c r="T1131" s="93" t="n">
        <v>1</v>
      </c>
      <c r="U1131" s="174">
        <f>IFERROR(Q1131*S1131,0)</f>
        <v/>
      </c>
      <c r="V1131" s="178">
        <f>U1131*T1131</f>
        <v/>
      </c>
      <c r="W1131" s="103" t="inlineStr">
        <is>
          <t>修复步骤表、推送失败重试表、加密规则表、态势大屏配置表</t>
        </is>
      </c>
      <c r="X1131" s="103" t="inlineStr"/>
      <c r="Y1131" s="97" t="inlineStr">
        <is>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is>
      </c>
      <c r="Z1131" s="90" t="n"/>
      <c r="AA1131" s="90" t="n"/>
    </row>
    <row r="1132" s="112">
      <c r="A1132" s="72">
        <f>ROW()-1</f>
        <v/>
      </c>
      <c r="B1132" s="175" t="n"/>
      <c r="C1132" s="124" t="n">
        <v>2026</v>
      </c>
      <c r="E1132" s="103" t="n"/>
      <c r="F1132" s="175" t="n"/>
      <c r="G1132" s="175" t="n"/>
      <c r="H1132" s="97" t="inlineStr">
        <is>
          <t>能力抽象管理</t>
        </is>
      </c>
      <c r="I1132" s="103" t="inlineStr">
        <is>
          <t>编辑能力抽象</t>
        </is>
      </c>
      <c r="J1132" s="93" t="inlineStr">
        <is>
          <t>EI</t>
        </is>
      </c>
      <c r="K1132" s="102" t="n"/>
      <c r="L1132" s="102" t="n"/>
      <c r="M1132" s="85">
        <f>IF(OR(Y1132="估算法",Y1132="算法类",Y1132="无法识别"),"",IF(W1132="",IF(OR(J1132="EI",J1132="EO",J1132="EQ"),0,""),LEN(W1132)-LEN(SUBSTITUTE(W1132,"、",""))+1))</f>
        <v/>
      </c>
      <c r="N1132" s="85">
        <f>IF(OR(Y1132="估算法",Y1132="算法类",Y1132="无法识别"),"",IF(X1132="",IF(OR(J1132="ILF",J1132="EIF"),0,""),LEN(X1132)-LEN(SUBSTITUTE(X1132,"、",""))+1))</f>
        <v/>
      </c>
      <c r="O1132" s="85">
        <f>IF(OR(Y1132="估算法",Y1132="算法类",Y1132="无法识别"),"",IF(Y1132="",IF(OR(J1132="ILF",J1132="EIF",J1132="EI",J1132="EO",J1132="EQ"),0,""),LEN(Y1132)-LEN(SUBSTITUTE(SUBSTITUTE(SUBSTITUTE(SUBSTITUTE(SUBSTITUTE(Y1132,"|}","--"),"{|","--"),CHAR(10),""),"、",""),"|",""))+IF(AND(OR(J1132="EI",J1132="EO",J1132="EQ"),$AE$1="NESMA"),2,1)))</f>
        <v/>
      </c>
      <c r="P1132" s="86">
        <f>IF(J1132="EI",IF(OR(Y1132="估算法",Y1132="算法类"),"中",IF(Y1132="无法识别","低",IF(M1132&lt;2,IF(O1132&lt;16,"低","中"),IF(M1132&lt;3,IF(O1132&lt;5,"低",IF(O1132&lt;16,"中","高")),IF(O1132&lt;5,"中","高"))))),IF(OR(J1132="EO",J1132="EQ"),IF(OR(Y1132="估算法",Y1132="算法类"),"中",IF(Y1132="无法识别","低",IF(M1132&lt;2,IF(O1132&lt;20,"低","中"),IF(M1132&lt;4,IF(O1132&lt;6,"低",IF(O1132&lt;20,"中","高")),IF(O1132&lt;6,"中","高"))))),IF(OR(J1132="ILF",J1132="EIF"),IF(OR(Y1132="估算法",Y1132="算法类",Y1132="无法识别"),"低",IF(N1132&lt;2,IF(O1132&lt;51,"低","中"),IF(N1132&lt;6,IF(O1132&lt;20,"低",IF(O1132&lt;51,"中","高")),IF(O1132&lt;20,"中","高")))),"不计算")))</f>
        <v/>
      </c>
      <c r="Q1132" s="172">
        <f>IFERROR(IF(J1132="EI",IF(P1132="低",3,IF(P1132="中",4,6)),IF(J1132="EO",IF(P1132="低",4,IF(P1132="中",5,7)),IF(J1132="EQ",IF(P1132="低",3,IF(P1132="中",4,6)),IF(J1132="ILF",IF(P1132="低",7,IF(P1132="中",10,15)),IF(J1132="EIF",IF(P1132="低",5,IF(P1132="中",7,10)),"不计算")))))*R1132,"不计算")</f>
        <v/>
      </c>
      <c r="R1132" s="172" t="n">
        <v>0.333333333333333</v>
      </c>
      <c r="S1132" s="173">
        <f>调整因子!$F$13</f>
        <v/>
      </c>
      <c r="T1132" s="93" t="n">
        <v>1</v>
      </c>
      <c r="U1132" s="174">
        <f>IFERROR(Q1132*S1132,0)</f>
        <v/>
      </c>
      <c r="V1132" s="178">
        <f>U1132*T1132</f>
        <v/>
      </c>
      <c r="W1132" s="103" t="inlineStr">
        <is>
          <t>态势数据采集表、标签定义表、同步失败重试记录表</t>
        </is>
      </c>
      <c r="X1132" s="103" t="inlineStr"/>
      <c r="Y1132" s="97" t="inlineStr">
        <is>
          <t>态势数据采集表{ID、名称、类型、状态、创建时间、更新时间|ID、名称、类型}
标签定义表{ID、名称、类型、状态、创建时间、更新时间|ID、名称、类型}
同步失败重试记录表{ID、名称、类型、状态、创建时间、更新时间|ID、名称、类型}</t>
        </is>
      </c>
      <c r="Z1132" s="90" t="n"/>
      <c r="AA1132" s="90" t="n"/>
    </row>
    <row r="1133" s="112">
      <c r="A1133" s="72">
        <f>ROW()-1</f>
        <v/>
      </c>
      <c r="B1133" s="175" t="n"/>
      <c r="C1133" s="124" t="n">
        <v>2026</v>
      </c>
      <c r="E1133" s="103" t="n"/>
      <c r="F1133" s="175" t="n"/>
      <c r="G1133" s="175" t="n"/>
      <c r="H1133" s="175" t="n"/>
      <c r="I1133" s="103" t="inlineStr">
        <is>
          <t>删除能力抽象</t>
        </is>
      </c>
      <c r="J1133" s="93" t="inlineStr">
        <is>
          <t>EI</t>
        </is>
      </c>
      <c r="K1133" s="102" t="n"/>
      <c r="L1133" s="102" t="n"/>
      <c r="M1133" s="85">
        <f>IF(OR(Y1133="估算法",Y1133="算法类",Y1133="无法识别"),"",IF(W1133="",IF(OR(J1133="EI",J1133="EO",J1133="EQ"),0,""),LEN(W1133)-LEN(SUBSTITUTE(W1133,"、",""))+1))</f>
        <v/>
      </c>
      <c r="N1133" s="85">
        <f>IF(OR(Y1133="估算法",Y1133="算法类",Y1133="无法识别"),"",IF(X1133="",IF(OR(J1133="ILF",J1133="EIF"),0,""),LEN(X1133)-LEN(SUBSTITUTE(X1133,"、",""))+1))</f>
        <v/>
      </c>
      <c r="O1133" s="85">
        <f>IF(OR(Y1133="估算法",Y1133="算法类",Y1133="无法识别"),"",IF(Y1133="",IF(OR(J1133="ILF",J1133="EIF",J1133="EI",J1133="EO",J1133="EQ"),0,""),LEN(Y1133)-LEN(SUBSTITUTE(SUBSTITUTE(SUBSTITUTE(SUBSTITUTE(SUBSTITUTE(Y1133,"|}","--"),"{|","--"),CHAR(10),""),"、",""),"|",""))+IF(AND(OR(J1133="EI",J1133="EO",J1133="EQ"),$AE$1="NESMA"),2,1)))</f>
        <v/>
      </c>
      <c r="P1133" s="86">
        <f>IF(J1133="EI",IF(OR(Y1133="估算法",Y1133="算法类"),"中",IF(Y1133="无法识别","低",IF(M1133&lt;2,IF(O1133&lt;16,"低","中"),IF(M1133&lt;3,IF(O1133&lt;5,"低",IF(O1133&lt;16,"中","高")),IF(O1133&lt;5,"中","高"))))),IF(OR(J1133="EO",J1133="EQ"),IF(OR(Y1133="估算法",Y1133="算法类"),"中",IF(Y1133="无法识别","低",IF(M1133&lt;2,IF(O1133&lt;20,"低","中"),IF(M1133&lt;4,IF(O1133&lt;6,"低",IF(O1133&lt;20,"中","高")),IF(O1133&lt;6,"中","高"))))),IF(OR(J1133="ILF",J1133="EIF"),IF(OR(Y1133="估算法",Y1133="算法类",Y1133="无法识别"),"低",IF(N1133&lt;2,IF(O1133&lt;51,"低","中"),IF(N1133&lt;6,IF(O1133&lt;20,"低",IF(O1133&lt;51,"中","高")),IF(O1133&lt;20,"中","高")))),"不计算")))</f>
        <v/>
      </c>
      <c r="Q1133" s="172">
        <f>IFERROR(IF(J1133="EI",IF(P1133="低",3,IF(P1133="中",4,6)),IF(J1133="EO",IF(P1133="低",4,IF(P1133="中",5,7)),IF(J1133="EQ",IF(P1133="低",3,IF(P1133="中",4,6)),IF(J1133="ILF",IF(P1133="低",7,IF(P1133="中",10,15)),IF(J1133="EIF",IF(P1133="低",5,IF(P1133="中",7,10)),"不计算")))))*R1133,"不计算")</f>
        <v/>
      </c>
      <c r="R1133" s="172" t="n">
        <v>0.333333333333333</v>
      </c>
      <c r="S1133" s="173">
        <f>调整因子!$F$13</f>
        <v/>
      </c>
      <c r="T1133" s="92" t="n">
        <v>1</v>
      </c>
      <c r="U1133" s="174">
        <f>IFERROR(Q1133*S1133,0)</f>
        <v/>
      </c>
      <c r="V1133" s="178">
        <f>U1133*T1133</f>
        <v/>
      </c>
      <c r="W1133" s="103" t="inlineStr">
        <is>
          <t>指标阈值表、任务优先级配置表、验证记录表、分类层级关系表、提醒规则表</t>
        </is>
      </c>
      <c r="X1133" s="103" t="inlineStr"/>
      <c r="Y1133" s="97" t="inlineStr">
        <is>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is>
      </c>
      <c r="Z1133" s="90" t="n"/>
      <c r="AA1133" s="90" t="n"/>
    </row>
    <row r="1134" s="112">
      <c r="A1134" s="72">
        <f>ROW()-1</f>
        <v/>
      </c>
      <c r="B1134" s="175" t="n"/>
      <c r="C1134" s="124" t="n">
        <v>2026</v>
      </c>
      <c r="E1134" s="103" t="n"/>
      <c r="F1134" s="175" t="n"/>
      <c r="G1134" s="175" t="n"/>
      <c r="H1134" s="175" t="n"/>
      <c r="I1134" s="103" t="inlineStr">
        <is>
          <t>启用能力映射</t>
        </is>
      </c>
      <c r="J1134" s="93" t="inlineStr">
        <is>
          <t>EI</t>
        </is>
      </c>
      <c r="K1134" s="102" t="n"/>
      <c r="L1134" s="102" t="n"/>
      <c r="M1134" s="85">
        <f>IF(OR(Y1134="估算法",Y1134="算法类",Y1134="无法识别"),"",IF(W1134="",IF(OR(J1134="EI",J1134="EO",J1134="EQ"),0,""),LEN(W1134)-LEN(SUBSTITUTE(W1134,"、",""))+1))</f>
        <v/>
      </c>
      <c r="N1134" s="85">
        <f>IF(OR(Y1134="估算法",Y1134="算法类",Y1134="无法识别"),"",IF(X1134="",IF(OR(J1134="ILF",J1134="EIF"),0,""),LEN(X1134)-LEN(SUBSTITUTE(X1134,"、",""))+1))</f>
        <v/>
      </c>
      <c r="O1134" s="85">
        <f>IF(OR(Y1134="估算法",Y1134="算法类",Y1134="无法识别"),"",IF(Y1134="",IF(OR(J1134="ILF",J1134="EIF",J1134="EI",J1134="EO",J1134="EQ"),0,""),LEN(Y1134)-LEN(SUBSTITUTE(SUBSTITUTE(SUBSTITUTE(SUBSTITUTE(SUBSTITUTE(Y1134,"|}","--"),"{|","--"),CHAR(10),""),"、",""),"|",""))+IF(AND(OR(J1134="EI",J1134="EO",J1134="EQ"),$AE$1="NESMA"),2,1)))</f>
        <v/>
      </c>
      <c r="P1134" s="86">
        <f>IF(J1134="EI",IF(OR(Y1134="估算法",Y1134="算法类"),"中",IF(Y1134="无法识别","低",IF(M1134&lt;2,IF(O1134&lt;16,"低","中"),IF(M1134&lt;3,IF(O1134&lt;5,"低",IF(O1134&lt;16,"中","高")),IF(O1134&lt;5,"中","高"))))),IF(OR(J1134="EO",J1134="EQ"),IF(OR(Y1134="估算法",Y1134="算法类"),"中",IF(Y1134="无法识别","低",IF(M1134&lt;2,IF(O1134&lt;20,"低","中"),IF(M1134&lt;4,IF(O1134&lt;6,"低",IF(O1134&lt;20,"中","高")),IF(O1134&lt;6,"中","高"))))),IF(OR(J1134="ILF",J1134="EIF"),IF(OR(Y1134="估算法",Y1134="算法类",Y1134="无法识别"),"低",IF(N1134&lt;2,IF(O1134&lt;51,"低","中"),IF(N1134&lt;6,IF(O1134&lt;20,"低",IF(O1134&lt;51,"中","高")),IF(O1134&lt;20,"中","高")))),"不计算")))</f>
        <v/>
      </c>
      <c r="Q1134" s="172">
        <f>IFERROR(IF(J1134="EI",IF(P1134="低",3,IF(P1134="中",4,6)),IF(J1134="EO",IF(P1134="低",4,IF(P1134="中",5,7)),IF(J1134="EQ",IF(P1134="低",3,IF(P1134="中",4,6)),IF(J1134="ILF",IF(P1134="低",7,IF(P1134="中",10,15)),IF(J1134="EIF",IF(P1134="低",5,IF(P1134="中",7,10)),"不计算")))))*R1134,"不计算")</f>
        <v/>
      </c>
      <c r="R1134" s="172" t="n">
        <v>0.333333333333333</v>
      </c>
      <c r="S1134" s="173">
        <f>调整因子!$F$13</f>
        <v/>
      </c>
      <c r="T1134" s="92" t="n">
        <v>1</v>
      </c>
      <c r="U1134" s="174">
        <f>IFERROR(Q1134*S1134,0)</f>
        <v/>
      </c>
      <c r="V1134" s="178">
        <f>U1134*T1134</f>
        <v/>
      </c>
      <c r="W1134" s="103" t="inlineStr">
        <is>
          <t>验证任务表、报告导入记录表、推送配置表</t>
        </is>
      </c>
      <c r="X1134" s="103" t="inlineStr"/>
      <c r="Y1134" s="97" t="inlineStr">
        <is>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is>
      </c>
      <c r="Z1134" s="90" t="n"/>
      <c r="AA1134" s="90" t="n"/>
    </row>
    <row r="1135" s="112">
      <c r="A1135" s="72">
        <f>ROW()-1</f>
        <v/>
      </c>
      <c r="B1135" s="175" t="n"/>
      <c r="C1135" s="124" t="n">
        <v>2026</v>
      </c>
      <c r="E1135" s="103" t="n"/>
      <c r="F1135" s="175" t="n"/>
      <c r="G1135" s="175" t="n"/>
      <c r="H1135" s="175" t="n"/>
      <c r="I1135" s="103" t="inlineStr">
        <is>
          <t>停用能力映射</t>
        </is>
      </c>
      <c r="J1135" s="93" t="n"/>
      <c r="K1135" s="102" t="n"/>
      <c r="L1135" s="102" t="inlineStr">
        <is>
          <t>和上行合并，启停为相同功能</t>
        </is>
      </c>
      <c r="M1135" s="85">
        <f>IF(OR(Y1135="估算法",Y1135="算法类",Y1135="无法识别"),"",IF(W1135="",IF(OR(J1135="EI",J1135="EO",J1135="EQ"),0,""),LEN(W1135)-LEN(SUBSTITUTE(W1135,"、",""))+1))</f>
        <v/>
      </c>
      <c r="N1135" s="85">
        <f>IF(OR(Y1135="估算法",Y1135="算法类",Y1135="无法识别"),"",IF(X1135="",IF(OR(J1135="ILF",J1135="EIF"),0,""),LEN(X1135)-LEN(SUBSTITUTE(X1135,"、",""))+1))</f>
        <v/>
      </c>
      <c r="O1135" s="85">
        <f>IF(OR(Y1135="估算法",Y1135="算法类",Y1135="无法识别"),"",IF(Y1135="",IF(OR(J1135="ILF",J1135="EIF",J1135="EI",J1135="EO",J1135="EQ"),0,""),LEN(Y1135)-LEN(SUBSTITUTE(SUBSTITUTE(SUBSTITUTE(SUBSTITUTE(SUBSTITUTE(Y1135,"|}","--"),"{|","--"),CHAR(10),""),"、",""),"|",""))+IF(AND(OR(J1135="EI",J1135="EO",J1135="EQ"),$AE$1="NESMA"),2,1)))</f>
        <v/>
      </c>
      <c r="P1135" s="86">
        <f>IF(J1135="EI",IF(OR(Y1135="估算法",Y1135="算法类"),"中",IF(Y1135="无法识别","低",IF(M1135&lt;2,IF(O1135&lt;16,"低","中"),IF(M1135&lt;3,IF(O1135&lt;5,"低",IF(O1135&lt;16,"中","高")),IF(O1135&lt;5,"中","高"))))),IF(OR(J1135="EO",J1135="EQ"),IF(OR(Y1135="估算法",Y1135="算法类"),"中",IF(Y1135="无法识别","低",IF(M1135&lt;2,IF(O1135&lt;20,"低","中"),IF(M1135&lt;4,IF(O1135&lt;6,"低",IF(O1135&lt;20,"中","高")),IF(O1135&lt;6,"中","高"))))),IF(OR(J1135="ILF",J1135="EIF"),IF(OR(Y1135="估算法",Y1135="算法类",Y1135="无法识别"),"低",IF(N1135&lt;2,IF(O1135&lt;51,"低","中"),IF(N1135&lt;6,IF(O1135&lt;20,"低",IF(O1135&lt;51,"中","高")),IF(O1135&lt;20,"中","高")))),"不计算")))</f>
        <v/>
      </c>
      <c r="Q1135" s="172">
        <f>IFERROR(IF(J1135="EI",IF(P1135="低",3,IF(P1135="中",4,6)),IF(J1135="EO",IF(P1135="低",4,IF(P1135="中",5,7)),IF(J1135="EQ",IF(P1135="低",3,IF(P1135="中",4,6)),IF(J1135="ILF",IF(P1135="低",7,IF(P1135="中",10,15)),IF(J1135="EIF",IF(P1135="低",5,IF(P1135="中",7,10)),"不计算")))))*R1135,"不计算")</f>
        <v/>
      </c>
      <c r="R1135" s="172" t="n">
        <v>0.333333333333333</v>
      </c>
      <c r="S1135" s="173">
        <f>调整因子!$F$13</f>
        <v/>
      </c>
      <c r="T1135" s="93" t="n">
        <v>1</v>
      </c>
      <c r="U1135" s="174">
        <f>IFERROR(Q1135*S1135,0)</f>
        <v/>
      </c>
      <c r="V1135" s="178">
        <f>U1135*T1135</f>
        <v/>
      </c>
      <c r="W1135" s="103" t="inlineStr">
        <is>
          <t>考核指标配置表、复测任务表、模板配置表、扫描任务接口配置表</t>
        </is>
      </c>
      <c r="X1135" s="103" t="inlineStr"/>
      <c r="Y1135" s="97" t="inlineStr">
        <is>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is>
      </c>
      <c r="Z1135" s="90" t="n"/>
      <c r="AA1135" s="90" t="n"/>
    </row>
    <row r="1136" s="112">
      <c r="A1136" s="72">
        <f>ROW()-1</f>
        <v/>
      </c>
      <c r="B1136" s="175" t="n"/>
      <c r="C1136" s="124" t="n">
        <v>2026</v>
      </c>
      <c r="E1136" s="103" t="n"/>
      <c r="F1136" s="175" t="n"/>
      <c r="G1136" s="175" t="n"/>
      <c r="H1136" s="175" t="n"/>
      <c r="I1136" s="103" t="inlineStr">
        <is>
          <t>导出能力配置</t>
        </is>
      </c>
      <c r="J1136" s="93" t="inlineStr">
        <is>
          <t>EO</t>
        </is>
      </c>
      <c r="K1136" s="102" t="n"/>
      <c r="L1136" s="102" t="n"/>
      <c r="M1136" s="85">
        <f>IF(OR(Y1136="估算法",Y1136="算法类",Y1136="无法识别"),"",IF(W1136="",IF(OR(J1136="EI",J1136="EO",J1136="EQ"),0,""),LEN(W1136)-LEN(SUBSTITUTE(W1136,"、",""))+1))</f>
        <v/>
      </c>
      <c r="N1136" s="85">
        <f>IF(OR(Y1136="估算法",Y1136="算法类",Y1136="无法识别"),"",IF(X1136="",IF(OR(J1136="ILF",J1136="EIF"),0,""),LEN(X1136)-LEN(SUBSTITUTE(X1136,"、",""))+1))</f>
        <v/>
      </c>
      <c r="O1136" s="85">
        <f>IF(OR(Y1136="估算法",Y1136="算法类",Y1136="无法识别"),"",IF(Y1136="",IF(OR(J1136="ILF",J1136="EIF",J1136="EI",J1136="EO",J1136="EQ"),0,""),LEN(Y1136)-LEN(SUBSTITUTE(SUBSTITUTE(SUBSTITUTE(SUBSTITUTE(SUBSTITUTE(Y1136,"|}","--"),"{|","--"),CHAR(10),""),"、",""),"|",""))+IF(AND(OR(J1136="EI",J1136="EO",J1136="EQ"),$AE$1="NESMA"),2,1)))</f>
        <v/>
      </c>
      <c r="P1136" s="86">
        <f>IF(J1136="EI",IF(OR(Y1136="估算法",Y1136="算法类"),"中",IF(Y1136="无法识别","低",IF(M1136&lt;2,IF(O1136&lt;16,"低","中"),IF(M1136&lt;3,IF(O1136&lt;5,"低",IF(O1136&lt;16,"中","高")),IF(O1136&lt;5,"中","高"))))),IF(OR(J1136="EO",J1136="EQ"),IF(OR(Y1136="估算法",Y1136="算法类"),"中",IF(Y1136="无法识别","低",IF(M1136&lt;2,IF(O1136&lt;20,"低","中"),IF(M1136&lt;4,IF(O1136&lt;6,"低",IF(O1136&lt;20,"中","高")),IF(O1136&lt;6,"中","高"))))),IF(OR(J1136="ILF",J1136="EIF"),IF(OR(Y1136="估算法",Y1136="算法类",Y1136="无法识别"),"低",IF(N1136&lt;2,IF(O1136&lt;51,"低","中"),IF(N1136&lt;6,IF(O1136&lt;20,"低",IF(O1136&lt;51,"中","高")),IF(O1136&lt;20,"中","高")))),"不计算")))</f>
        <v/>
      </c>
      <c r="Q1136" s="172">
        <f>IFERROR(IF(J1136="EI",IF(P1136="低",3,IF(P1136="中",4,6)),IF(J1136="EO",IF(P1136="低",4,IF(P1136="中",5,7)),IF(J1136="EQ",IF(P1136="低",3,IF(P1136="中",4,6)),IF(J1136="ILF",IF(P1136="低",7,IF(P1136="中",10,15)),IF(J1136="EIF",IF(P1136="低",5,IF(P1136="中",7,10)),"不计算")))))*R1136,"不计算")</f>
        <v/>
      </c>
      <c r="R1136" s="172" t="n">
        <v>0.333333333333333</v>
      </c>
      <c r="S1136" s="173">
        <f>调整因子!$F$13</f>
        <v/>
      </c>
      <c r="T1136" s="92" t="n">
        <v>1</v>
      </c>
      <c r="U1136" s="174">
        <f>IFERROR(Q1136*S1136,0)</f>
        <v/>
      </c>
      <c r="V1136" s="178">
        <f>U1136*T1136</f>
        <v/>
      </c>
      <c r="W1136" s="103" t="inlineStr">
        <is>
          <t>任务优先级配置表、模板参数配置表、处置单配置表</t>
        </is>
      </c>
      <c r="X1136" s="103" t="inlineStr"/>
      <c r="Y1136"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is>
      </c>
      <c r="Z1136" s="90" t="n"/>
      <c r="AA1136" s="90" t="n"/>
    </row>
    <row r="1137" s="112">
      <c r="A1137" s="72">
        <f>ROW()-1</f>
        <v/>
      </c>
      <c r="B1137" s="175" t="n"/>
      <c r="C1137" s="124" t="n">
        <v>2026</v>
      </c>
      <c r="E1137" s="103" t="n"/>
      <c r="F1137" s="175" t="n"/>
      <c r="G1137" s="175" t="n"/>
      <c r="H1137" s="175" t="n"/>
      <c r="I1137" s="103" t="inlineStr">
        <is>
          <t>查询能力列表</t>
        </is>
      </c>
      <c r="J1137" s="93" t="inlineStr">
        <is>
          <t>EO</t>
        </is>
      </c>
      <c r="K1137" s="102" t="n"/>
      <c r="L1137" s="102" t="n"/>
      <c r="M1137" s="85">
        <f>IF(OR(Y1137="估算法",Y1137="算法类",Y1137="无法识别"),"",IF(W1137="",IF(OR(J1137="EI",J1137="EO",J1137="EQ"),0,""),LEN(W1137)-LEN(SUBSTITUTE(W1137,"、",""))+1))</f>
        <v/>
      </c>
      <c r="N1137" s="85">
        <f>IF(OR(Y1137="估算法",Y1137="算法类",Y1137="无法识别"),"",IF(X1137="",IF(OR(J1137="ILF",J1137="EIF"),0,""),LEN(X1137)-LEN(SUBSTITUTE(X1137,"、",""))+1))</f>
        <v/>
      </c>
      <c r="O1137" s="85">
        <f>IF(OR(Y1137="估算法",Y1137="算法类",Y1137="无法识别"),"",IF(Y1137="",IF(OR(J1137="ILF",J1137="EIF",J1137="EI",J1137="EO",J1137="EQ"),0,""),LEN(Y1137)-LEN(SUBSTITUTE(SUBSTITUTE(SUBSTITUTE(SUBSTITUTE(SUBSTITUTE(Y1137,"|}","--"),"{|","--"),CHAR(10),""),"、",""),"|",""))+IF(AND(OR(J1137="EI",J1137="EO",J1137="EQ"),$AE$1="NESMA"),2,1)))</f>
        <v/>
      </c>
      <c r="P1137" s="86">
        <f>IF(J1137="EI",IF(OR(Y1137="估算法",Y1137="算法类"),"中",IF(Y1137="无法识别","低",IF(M1137&lt;2,IF(O1137&lt;16,"低","中"),IF(M1137&lt;3,IF(O1137&lt;5,"低",IF(O1137&lt;16,"中","高")),IF(O1137&lt;5,"中","高"))))),IF(OR(J1137="EO",J1137="EQ"),IF(OR(Y1137="估算法",Y1137="算法类"),"中",IF(Y1137="无法识别","低",IF(M1137&lt;2,IF(O1137&lt;20,"低","中"),IF(M1137&lt;4,IF(O1137&lt;6,"低",IF(O1137&lt;20,"中","高")),IF(O1137&lt;6,"中","高"))))),IF(OR(J1137="ILF",J1137="EIF"),IF(OR(Y1137="估算法",Y1137="算法类",Y1137="无法识别"),"低",IF(N1137&lt;2,IF(O1137&lt;51,"低","中"),IF(N1137&lt;6,IF(O1137&lt;20,"低",IF(O1137&lt;51,"中","高")),IF(O1137&lt;20,"中","高")))),"不计算")))</f>
        <v/>
      </c>
      <c r="Q1137" s="172">
        <f>IFERROR(IF(J1137="EI",IF(P1137="低",3,IF(P1137="中",4,6)),IF(J1137="EO",IF(P1137="低",4,IF(P1137="中",5,7)),IF(J1137="EQ",IF(P1137="低",3,IF(P1137="中",4,6)),IF(J1137="ILF",IF(P1137="低",7,IF(P1137="中",10,15)),IF(J1137="EIF",IF(P1137="低",5,IF(P1137="中",7,10)),"不计算")))))*R1137,"不计算")</f>
        <v/>
      </c>
      <c r="R1137" s="172" t="n">
        <v>0.333333333333333</v>
      </c>
      <c r="S1137" s="173">
        <f>调整因子!$F$13</f>
        <v/>
      </c>
      <c r="T1137" s="92" t="n">
        <v>1</v>
      </c>
      <c r="U1137" s="174">
        <f>IFERROR(Q1137*S1137,0)</f>
        <v/>
      </c>
      <c r="V1137" s="178">
        <f>U1137*T1137</f>
        <v/>
      </c>
      <c r="W1137" s="103" t="inlineStr">
        <is>
          <t>推送结果表、采集记录表、修复步骤表、修复方案表</t>
        </is>
      </c>
      <c r="X1137" s="103" t="inlineStr"/>
      <c r="Y1137" s="97" t="inlineStr">
        <is>
          <t>推送结果表{ID、名称|ID、名称、类型、状态、创建时间、更新时间}
采集记录表{ID、名称|ID、名称、类型、状态、创建时间、更新时间}
修复步骤表{ID、名称|ID、名称、类型、状态、创建时间、更新时间}
修复方案表{ID、名称|ID、名称、类型、状态、创建时间、更新时间}</t>
        </is>
      </c>
      <c r="Z1137" s="90" t="n"/>
      <c r="AA1137" s="90" t="n"/>
    </row>
    <row r="1138" s="112">
      <c r="A1138" s="72">
        <f>ROW()-1</f>
        <v/>
      </c>
      <c r="B1138" s="175" t="n"/>
      <c r="C1138" s="124" t="n">
        <v>2026</v>
      </c>
      <c r="E1138" s="103" t="n"/>
      <c r="F1138" s="175" t="n"/>
      <c r="G1138" s="175" t="n"/>
      <c r="H1138" s="176" t="n"/>
      <c r="I1138" s="103" t="inlineStr">
        <is>
          <t>查看能力详情</t>
        </is>
      </c>
      <c r="J1138" s="93" t="inlineStr">
        <is>
          <t>EQ</t>
        </is>
      </c>
      <c r="K1138" s="102" t="n"/>
      <c r="L1138" s="102" t="n"/>
      <c r="M1138" s="85">
        <f>IF(OR(Y1138="估算法",Y1138="算法类",Y1138="无法识别"),"",IF(W1138="",IF(OR(J1138="EI",J1138="EO",J1138="EQ"),0,""),LEN(W1138)-LEN(SUBSTITUTE(W1138,"、",""))+1))</f>
        <v/>
      </c>
      <c r="N1138" s="85">
        <f>IF(OR(Y1138="估算法",Y1138="算法类",Y1138="无法识别"),"",IF(X1138="",IF(OR(J1138="ILF",J1138="EIF"),0,""),LEN(X1138)-LEN(SUBSTITUTE(X1138,"、",""))+1))</f>
        <v/>
      </c>
      <c r="O1138" s="85">
        <f>IF(OR(Y1138="估算法",Y1138="算法类",Y1138="无法识别"),"",IF(Y1138="",IF(OR(J1138="ILF",J1138="EIF",J1138="EI",J1138="EO",J1138="EQ"),0,""),LEN(Y1138)-LEN(SUBSTITUTE(SUBSTITUTE(SUBSTITUTE(SUBSTITUTE(SUBSTITUTE(Y1138,"|}","--"),"{|","--"),CHAR(10),""),"、",""),"|",""))+IF(AND(OR(J1138="EI",J1138="EO",J1138="EQ"),$AE$1="NESMA"),2,1)))</f>
        <v/>
      </c>
      <c r="P1138" s="86">
        <f>IF(J1138="EI",IF(OR(Y1138="估算法",Y1138="算法类"),"中",IF(Y1138="无法识别","低",IF(M1138&lt;2,IF(O1138&lt;16,"低","中"),IF(M1138&lt;3,IF(O1138&lt;5,"低",IF(O1138&lt;16,"中","高")),IF(O1138&lt;5,"中","高"))))),IF(OR(J1138="EO",J1138="EQ"),IF(OR(Y1138="估算法",Y1138="算法类"),"中",IF(Y1138="无法识别","低",IF(M1138&lt;2,IF(O1138&lt;20,"低","中"),IF(M1138&lt;4,IF(O1138&lt;6,"低",IF(O1138&lt;20,"中","高")),IF(O1138&lt;6,"中","高"))))),IF(OR(J1138="ILF",J1138="EIF"),IF(OR(Y1138="估算法",Y1138="算法类",Y1138="无法识别"),"低",IF(N1138&lt;2,IF(O1138&lt;51,"低","中"),IF(N1138&lt;6,IF(O1138&lt;20,"低",IF(O1138&lt;51,"中","高")),IF(O1138&lt;20,"中","高")))),"不计算")))</f>
        <v/>
      </c>
      <c r="Q1138" s="172">
        <f>IFERROR(IF(J1138="EI",IF(P1138="低",3,IF(P1138="中",4,6)),IF(J1138="EO",IF(P1138="低",4,IF(P1138="中",5,7)),IF(J1138="EQ",IF(P1138="低",3,IF(P1138="中",4,6)),IF(J1138="ILF",IF(P1138="低",7,IF(P1138="中",10,15)),IF(J1138="EIF",IF(P1138="低",5,IF(P1138="中",7,10)),"不计算")))))*R1138,"不计算")</f>
        <v/>
      </c>
      <c r="R1138" s="172" t="n">
        <v>0.333333333333333</v>
      </c>
      <c r="S1138" s="173">
        <f>调整因子!$F$13</f>
        <v/>
      </c>
      <c r="T1138" s="93" t="n">
        <v>1</v>
      </c>
      <c r="U1138" s="174">
        <f>IFERROR(Q1138*S1138,0)</f>
        <v/>
      </c>
      <c r="V1138" s="178">
        <f>U1138*T1138</f>
        <v/>
      </c>
      <c r="W1138" s="103" t="inlineStr">
        <is>
          <t>扫描策略模板表、验证配置表、标签分类表、处置流程定义表、指标阈值表</t>
        </is>
      </c>
      <c r="X1138" s="103" t="inlineStr"/>
      <c r="Y1138" s="97" t="inlineStr">
        <is>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is>
      </c>
      <c r="Z1138" s="90" t="n"/>
      <c r="AA1138" s="90" t="n"/>
    </row>
    <row r="1139" s="112">
      <c r="A1139" s="72">
        <f>ROW()-1</f>
        <v/>
      </c>
      <c r="B1139" s="175" t="n"/>
      <c r="C1139" s="124" t="n">
        <v>2026</v>
      </c>
      <c r="E1139" s="103" t="n"/>
      <c r="F1139" s="175" t="n"/>
      <c r="G1139" s="175" t="n"/>
      <c r="H1139" s="97" t="inlineStr">
        <is>
          <t>接口封装管理</t>
        </is>
      </c>
      <c r="I1139" s="103" t="inlineStr">
        <is>
          <t>编辑接口封装</t>
        </is>
      </c>
      <c r="J1139" s="93" t="inlineStr">
        <is>
          <t>EI</t>
        </is>
      </c>
      <c r="K1139" s="102" t="n"/>
      <c r="L1139" s="102" t="n"/>
      <c r="M1139" s="85">
        <f>IF(OR(Y1139="估算法",Y1139="算法类",Y1139="无法识别"),"",IF(W1139="",IF(OR(J1139="EI",J1139="EO",J1139="EQ"),0,""),LEN(W1139)-LEN(SUBSTITUTE(W1139,"、",""))+1))</f>
        <v/>
      </c>
      <c r="N1139" s="85">
        <f>IF(OR(Y1139="估算法",Y1139="算法类",Y1139="无法识别"),"",IF(X1139="",IF(OR(J1139="ILF",J1139="EIF"),0,""),LEN(X1139)-LEN(SUBSTITUTE(X1139,"、",""))+1))</f>
        <v/>
      </c>
      <c r="O1139" s="85">
        <f>IF(OR(Y1139="估算法",Y1139="算法类",Y1139="无法识别"),"",IF(Y1139="",IF(OR(J1139="ILF",J1139="EIF",J1139="EI",J1139="EO",J1139="EQ"),0,""),LEN(Y1139)-LEN(SUBSTITUTE(SUBSTITUTE(SUBSTITUTE(SUBSTITUTE(SUBSTITUTE(Y1139,"|}","--"),"{|","--"),CHAR(10),""),"、",""),"|",""))+IF(AND(OR(J1139="EI",J1139="EO",J1139="EQ"),$AE$1="NESMA"),2,1)))</f>
        <v/>
      </c>
      <c r="P1139" s="86">
        <f>IF(J1139="EI",IF(OR(Y1139="估算法",Y1139="算法类"),"中",IF(Y1139="无法识别","低",IF(M1139&lt;2,IF(O1139&lt;16,"低","中"),IF(M1139&lt;3,IF(O1139&lt;5,"低",IF(O1139&lt;16,"中","高")),IF(O1139&lt;5,"中","高"))))),IF(OR(J1139="EO",J1139="EQ"),IF(OR(Y1139="估算法",Y1139="算法类"),"中",IF(Y1139="无法识别","低",IF(M1139&lt;2,IF(O1139&lt;20,"低","中"),IF(M1139&lt;4,IF(O1139&lt;6,"低",IF(O1139&lt;20,"中","高")),IF(O1139&lt;6,"中","高"))))),IF(OR(J1139="ILF",J1139="EIF"),IF(OR(Y1139="估算法",Y1139="算法类",Y1139="无法识别"),"低",IF(N1139&lt;2,IF(O1139&lt;51,"低","中"),IF(N1139&lt;6,IF(O1139&lt;20,"低",IF(O1139&lt;51,"中","高")),IF(O1139&lt;20,"中","高")))),"不计算")))</f>
        <v/>
      </c>
      <c r="Q1139" s="172">
        <f>IFERROR(IF(J1139="EI",IF(P1139="低",3,IF(P1139="中",4,6)),IF(J1139="EO",IF(P1139="低",4,IF(P1139="中",5,7)),IF(J1139="EQ",IF(P1139="低",3,IF(P1139="中",4,6)),IF(J1139="ILF",IF(P1139="低",7,IF(P1139="中",10,15)),IF(J1139="EIF",IF(P1139="低",5,IF(P1139="中",7,10)),"不计算")))))*R1139,"不计算")</f>
        <v/>
      </c>
      <c r="R1139" s="172" t="n">
        <v>0.333333333333333</v>
      </c>
      <c r="S1139" s="173">
        <f>调整因子!$F$13</f>
        <v/>
      </c>
      <c r="T1139" s="93" t="n">
        <v>1</v>
      </c>
      <c r="U1139" s="174">
        <f>IFERROR(Q1139*S1139,0)</f>
        <v/>
      </c>
      <c r="V1139" s="178">
        <f>U1139*T1139</f>
        <v/>
      </c>
      <c r="W1139" s="103" t="inlineStr">
        <is>
          <t>处置单关联表、接口参数配置表、任务日志表、加密算法表</t>
        </is>
      </c>
      <c r="X1139" s="103" t="inlineStr"/>
      <c r="Y1139" s="97" t="inlineStr">
        <is>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is>
      </c>
      <c r="Z1139" s="90" t="n"/>
      <c r="AA1139" s="90" t="n"/>
    </row>
    <row r="1140" s="112">
      <c r="A1140" s="72">
        <f>ROW()-1</f>
        <v/>
      </c>
      <c r="B1140" s="175" t="n"/>
      <c r="C1140" s="124" t="n">
        <v>2026</v>
      </c>
      <c r="E1140" s="103" t="n"/>
      <c r="F1140" s="175" t="n"/>
      <c r="G1140" s="175" t="n"/>
      <c r="H1140" s="175" t="n"/>
      <c r="I1140" s="103" t="inlineStr">
        <is>
          <t>删除接口封装</t>
        </is>
      </c>
      <c r="J1140" s="93" t="inlineStr">
        <is>
          <t>EI</t>
        </is>
      </c>
      <c r="K1140" s="102" t="n"/>
      <c r="L1140" s="102" t="n"/>
      <c r="M1140" s="85">
        <f>IF(OR(Y1140="估算法",Y1140="算法类",Y1140="无法识别"),"",IF(W1140="",IF(OR(J1140="EI",J1140="EO",J1140="EQ"),0,""),LEN(W1140)-LEN(SUBSTITUTE(W1140,"、",""))+1))</f>
        <v/>
      </c>
      <c r="N1140" s="85">
        <f>IF(OR(Y1140="估算法",Y1140="算法类",Y1140="无法识别"),"",IF(X1140="",IF(OR(J1140="ILF",J1140="EIF"),0,""),LEN(X1140)-LEN(SUBSTITUTE(X1140,"、",""))+1))</f>
        <v/>
      </c>
      <c r="O1140" s="85">
        <f>IF(OR(Y1140="估算法",Y1140="算法类",Y1140="无法识别"),"",IF(Y1140="",IF(OR(J1140="ILF",J1140="EIF",J1140="EI",J1140="EO",J1140="EQ"),0,""),LEN(Y1140)-LEN(SUBSTITUTE(SUBSTITUTE(SUBSTITUTE(SUBSTITUTE(SUBSTITUTE(Y1140,"|}","--"),"{|","--"),CHAR(10),""),"、",""),"|",""))+IF(AND(OR(J1140="EI",J1140="EO",J1140="EQ"),$AE$1="NESMA"),2,1)))</f>
        <v/>
      </c>
      <c r="P1140" s="86">
        <f>IF(J1140="EI",IF(OR(Y1140="估算法",Y1140="算法类"),"中",IF(Y1140="无法识别","低",IF(M1140&lt;2,IF(O1140&lt;16,"低","中"),IF(M1140&lt;3,IF(O1140&lt;5,"低",IF(O1140&lt;16,"中","高")),IF(O1140&lt;5,"中","高"))))),IF(OR(J1140="EO",J1140="EQ"),IF(OR(Y1140="估算法",Y1140="算法类"),"中",IF(Y1140="无法识别","低",IF(M1140&lt;2,IF(O1140&lt;20,"低","中"),IF(M1140&lt;4,IF(O1140&lt;6,"低",IF(O1140&lt;20,"中","高")),IF(O1140&lt;6,"中","高"))))),IF(OR(J1140="ILF",J1140="EIF"),IF(OR(Y1140="估算法",Y1140="算法类",Y1140="无法识别"),"低",IF(N1140&lt;2,IF(O1140&lt;51,"低","中"),IF(N1140&lt;6,IF(O1140&lt;20,"低",IF(O1140&lt;51,"中","高")),IF(O1140&lt;20,"中","高")))),"不计算")))</f>
        <v/>
      </c>
      <c r="Q1140" s="172">
        <f>IFERROR(IF(J1140="EI",IF(P1140="低",3,IF(P1140="中",4,6)),IF(J1140="EO",IF(P1140="低",4,IF(P1140="中",5,7)),IF(J1140="EQ",IF(P1140="低",3,IF(P1140="中",4,6)),IF(J1140="ILF",IF(P1140="低",7,IF(P1140="中",10,15)),IF(J1140="EIF",IF(P1140="低",5,IF(P1140="中",7,10)),"不计算")))))*R1140,"不计算")</f>
        <v/>
      </c>
      <c r="R1140" s="172" t="n">
        <v>0.333333333333333</v>
      </c>
      <c r="S1140" s="173">
        <f>调整因子!$F$13</f>
        <v/>
      </c>
      <c r="T1140" s="92" t="n">
        <v>1</v>
      </c>
      <c r="U1140" s="174">
        <f>IFERROR(Q1140*S1140,0)</f>
        <v/>
      </c>
      <c r="V1140" s="178">
        <f>U1140*T1140</f>
        <v/>
      </c>
      <c r="W1140" s="103" t="inlineStr">
        <is>
          <t>日志加密配置表、采集记录表、提醒规则表</t>
        </is>
      </c>
      <c r="X1140" s="103" t="inlineStr"/>
      <c r="Y1140" s="97" t="inlineStr">
        <is>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is>
      </c>
      <c r="Z1140" s="90" t="n"/>
      <c r="AA1140" s="90" t="n"/>
    </row>
    <row r="1141" s="112">
      <c r="A1141" s="72">
        <f>ROW()-1</f>
        <v/>
      </c>
      <c r="B1141" s="175" t="n"/>
      <c r="C1141" s="124" t="n">
        <v>2026</v>
      </c>
      <c r="E1141" s="103" t="n"/>
      <c r="F1141" s="175" t="n"/>
      <c r="G1141" s="175" t="n"/>
      <c r="H1141" s="175" t="n"/>
      <c r="I1141" s="103" t="inlineStr">
        <is>
          <t>启用接口封装</t>
        </is>
      </c>
      <c r="J1141" s="93" t="inlineStr">
        <is>
          <t>EI</t>
        </is>
      </c>
      <c r="K1141" s="102" t="n"/>
      <c r="L1141" s="102" t="n"/>
      <c r="M1141" s="85">
        <f>IF(OR(Y1141="估算法",Y1141="算法类",Y1141="无法识别"),"",IF(W1141="",IF(OR(J1141="EI",J1141="EO",J1141="EQ"),0,""),LEN(W1141)-LEN(SUBSTITUTE(W1141,"、",""))+1))</f>
        <v/>
      </c>
      <c r="N1141" s="85">
        <f>IF(OR(Y1141="估算法",Y1141="算法类",Y1141="无法识别"),"",IF(X1141="",IF(OR(J1141="ILF",J1141="EIF"),0,""),LEN(X1141)-LEN(SUBSTITUTE(X1141,"、",""))+1))</f>
        <v/>
      </c>
      <c r="O1141" s="85">
        <f>IF(OR(Y1141="估算法",Y1141="算法类",Y1141="无法识别"),"",IF(Y1141="",IF(OR(J1141="ILF",J1141="EIF",J1141="EI",J1141="EO",J1141="EQ"),0,""),LEN(Y1141)-LEN(SUBSTITUTE(SUBSTITUTE(SUBSTITUTE(SUBSTITUTE(SUBSTITUTE(Y1141,"|}","--"),"{|","--"),CHAR(10),""),"、",""),"|",""))+IF(AND(OR(J1141="EI",J1141="EO",J1141="EQ"),$AE$1="NESMA"),2,1)))</f>
        <v/>
      </c>
      <c r="P1141" s="86">
        <f>IF(J1141="EI",IF(OR(Y1141="估算法",Y1141="算法类"),"中",IF(Y1141="无法识别","低",IF(M1141&lt;2,IF(O1141&lt;16,"低","中"),IF(M1141&lt;3,IF(O1141&lt;5,"低",IF(O1141&lt;16,"中","高")),IF(O1141&lt;5,"中","高"))))),IF(OR(J1141="EO",J1141="EQ"),IF(OR(Y1141="估算法",Y1141="算法类"),"中",IF(Y1141="无法识别","低",IF(M1141&lt;2,IF(O1141&lt;20,"低","中"),IF(M1141&lt;4,IF(O1141&lt;6,"低",IF(O1141&lt;20,"中","高")),IF(O1141&lt;6,"中","高"))))),IF(OR(J1141="ILF",J1141="EIF"),IF(OR(Y1141="估算法",Y1141="算法类",Y1141="无法识别"),"低",IF(N1141&lt;2,IF(O1141&lt;51,"低","中"),IF(N1141&lt;6,IF(O1141&lt;20,"低",IF(O1141&lt;51,"中","高")),IF(O1141&lt;20,"中","高")))),"不计算")))</f>
        <v/>
      </c>
      <c r="Q1141" s="172">
        <f>IFERROR(IF(J1141="EI",IF(P1141="低",3,IF(P1141="中",4,6)),IF(J1141="EO",IF(P1141="低",4,IF(P1141="中",5,7)),IF(J1141="EQ",IF(P1141="低",3,IF(P1141="中",4,6)),IF(J1141="ILF",IF(P1141="低",7,IF(P1141="中",10,15)),IF(J1141="EIF",IF(P1141="低",5,IF(P1141="中",7,10)),"不计算")))))*R1141,"不计算")</f>
        <v/>
      </c>
      <c r="R1141" s="172" t="n">
        <v>0.333333333333333</v>
      </c>
      <c r="S1141" s="173">
        <f>调整因子!$F$13</f>
        <v/>
      </c>
      <c r="T1141" s="92" t="n">
        <v>1</v>
      </c>
      <c r="U1141" s="174">
        <f>IFERROR(Q1141*S1141,0)</f>
        <v/>
      </c>
      <c r="V1141" s="178">
        <f>U1141*T1141</f>
        <v/>
      </c>
      <c r="W1141" s="103" t="inlineStr">
        <is>
          <t>模板配置表、日志采集配置表、接口参数配置表</t>
        </is>
      </c>
      <c r="X1141" s="103" t="inlineStr"/>
      <c r="Y1141" s="97" t="inlineStr">
        <is>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is>
      </c>
      <c r="Z1141" s="90" t="n"/>
      <c r="AA1141" s="90" t="n"/>
    </row>
    <row r="1142" s="112">
      <c r="A1142" s="72">
        <f>ROW()-1</f>
        <v/>
      </c>
      <c r="B1142" s="175" t="n"/>
      <c r="C1142" s="124" t="n">
        <v>2026</v>
      </c>
      <c r="E1142" s="103" t="n"/>
      <c r="F1142" s="175" t="n"/>
      <c r="G1142" s="175" t="n"/>
      <c r="H1142" s="175" t="n"/>
      <c r="I1142" s="103" t="inlineStr">
        <is>
          <t>停用接口封装</t>
        </is>
      </c>
      <c r="J1142" s="93" t="n"/>
      <c r="K1142" s="102" t="n"/>
      <c r="L1142" s="102" t="inlineStr">
        <is>
          <t>和上行合并，启停为相同功能</t>
        </is>
      </c>
      <c r="M1142" s="85">
        <f>IF(OR(Y1142="估算法",Y1142="算法类",Y1142="无法识别"),"",IF(W1142="",IF(OR(J1142="EI",J1142="EO",J1142="EQ"),0,""),LEN(W1142)-LEN(SUBSTITUTE(W1142,"、",""))+1))</f>
        <v/>
      </c>
      <c r="N1142" s="85">
        <f>IF(OR(Y1142="估算法",Y1142="算法类",Y1142="无法识别"),"",IF(X1142="",IF(OR(J1142="ILF",J1142="EIF"),0,""),LEN(X1142)-LEN(SUBSTITUTE(X1142,"、",""))+1))</f>
        <v/>
      </c>
      <c r="O1142" s="85">
        <f>IF(OR(Y1142="估算法",Y1142="算法类",Y1142="无法识别"),"",IF(Y1142="",IF(OR(J1142="ILF",J1142="EIF",J1142="EI",J1142="EO",J1142="EQ"),0,""),LEN(Y1142)-LEN(SUBSTITUTE(SUBSTITUTE(SUBSTITUTE(SUBSTITUTE(SUBSTITUTE(Y1142,"|}","--"),"{|","--"),CHAR(10),""),"、",""),"|",""))+IF(AND(OR(J1142="EI",J1142="EO",J1142="EQ"),$AE$1="NESMA"),2,1)))</f>
        <v/>
      </c>
      <c r="P1142" s="86">
        <f>IF(J1142="EI",IF(OR(Y1142="估算法",Y1142="算法类"),"中",IF(Y1142="无法识别","低",IF(M1142&lt;2,IF(O1142&lt;16,"低","中"),IF(M1142&lt;3,IF(O1142&lt;5,"低",IF(O1142&lt;16,"中","高")),IF(O1142&lt;5,"中","高"))))),IF(OR(J1142="EO",J1142="EQ"),IF(OR(Y1142="估算法",Y1142="算法类"),"中",IF(Y1142="无法识别","低",IF(M1142&lt;2,IF(O1142&lt;20,"低","中"),IF(M1142&lt;4,IF(O1142&lt;6,"低",IF(O1142&lt;20,"中","高")),IF(O1142&lt;6,"中","高"))))),IF(OR(J1142="ILF",J1142="EIF"),IF(OR(Y1142="估算法",Y1142="算法类",Y1142="无法识别"),"低",IF(N1142&lt;2,IF(O1142&lt;51,"低","中"),IF(N1142&lt;6,IF(O1142&lt;20,"低",IF(O1142&lt;51,"中","高")),IF(O1142&lt;20,"中","高")))),"不计算")))</f>
        <v/>
      </c>
      <c r="Q1142" s="172">
        <f>IFERROR(IF(J1142="EI",IF(P1142="低",3,IF(P1142="中",4,6)),IF(J1142="EO",IF(P1142="低",4,IF(P1142="中",5,7)),IF(J1142="EQ",IF(P1142="低",3,IF(P1142="中",4,6)),IF(J1142="ILF",IF(P1142="低",7,IF(P1142="中",10,15)),IF(J1142="EIF",IF(P1142="低",5,IF(P1142="中",7,10)),"不计算")))))*R1142,"不计算")</f>
        <v/>
      </c>
      <c r="R1142" s="172" t="n">
        <v>0.333333333333333</v>
      </c>
      <c r="S1142" s="173">
        <f>调整因子!$F$13</f>
        <v/>
      </c>
      <c r="T1142" s="93" t="n">
        <v>1</v>
      </c>
      <c r="U1142" s="174">
        <f>IFERROR(Q1142*S1142,0)</f>
        <v/>
      </c>
      <c r="V1142" s="178">
        <f>U1142*T1142</f>
        <v/>
      </c>
      <c r="W1142" s="103" t="inlineStr">
        <is>
          <t>提醒规则表、任务日志表、接口参数表</t>
        </is>
      </c>
      <c r="X1142" s="103" t="inlineStr"/>
      <c r="Y1142" s="97" t="inlineStr">
        <is>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is>
      </c>
      <c r="Z1142" s="90" t="n"/>
      <c r="AA1142" s="90" t="n"/>
    </row>
    <row r="1143" s="112">
      <c r="A1143" s="72">
        <f>ROW()-1</f>
        <v/>
      </c>
      <c r="B1143" s="175" t="n"/>
      <c r="C1143" s="124" t="n">
        <v>2026</v>
      </c>
      <c r="E1143" s="103" t="n"/>
      <c r="F1143" s="175" t="n"/>
      <c r="G1143" s="175" t="n"/>
      <c r="H1143" s="175" t="n"/>
      <c r="I1143" s="103" t="inlineStr">
        <is>
          <t>导出接口配置</t>
        </is>
      </c>
      <c r="J1143" s="93" t="inlineStr">
        <is>
          <t>EO</t>
        </is>
      </c>
      <c r="K1143" s="102" t="n"/>
      <c r="L1143" s="102" t="n"/>
      <c r="M1143" s="85">
        <f>IF(OR(Y1143="估算法",Y1143="算法类",Y1143="无法识别"),"",IF(W1143="",IF(OR(J1143="EI",J1143="EO",J1143="EQ"),0,""),LEN(W1143)-LEN(SUBSTITUTE(W1143,"、",""))+1))</f>
        <v/>
      </c>
      <c r="N1143" s="85">
        <f>IF(OR(Y1143="估算法",Y1143="算法类",Y1143="无法识别"),"",IF(X1143="",IF(OR(J1143="ILF",J1143="EIF"),0,""),LEN(X1143)-LEN(SUBSTITUTE(X1143,"、",""))+1))</f>
        <v/>
      </c>
      <c r="O1143" s="85">
        <f>IF(OR(Y1143="估算法",Y1143="算法类",Y1143="无法识别"),"",IF(Y1143="",IF(OR(J1143="ILF",J1143="EIF",J1143="EI",J1143="EO",J1143="EQ"),0,""),LEN(Y1143)-LEN(SUBSTITUTE(SUBSTITUTE(SUBSTITUTE(SUBSTITUTE(SUBSTITUTE(Y1143,"|}","--"),"{|","--"),CHAR(10),""),"、",""),"|",""))+IF(AND(OR(J1143="EI",J1143="EO",J1143="EQ"),$AE$1="NESMA"),2,1)))</f>
        <v/>
      </c>
      <c r="P1143" s="86">
        <f>IF(J1143="EI",IF(OR(Y1143="估算法",Y1143="算法类"),"中",IF(Y1143="无法识别","低",IF(M1143&lt;2,IF(O1143&lt;16,"低","中"),IF(M1143&lt;3,IF(O1143&lt;5,"低",IF(O1143&lt;16,"中","高")),IF(O1143&lt;5,"中","高"))))),IF(OR(J1143="EO",J1143="EQ"),IF(OR(Y1143="估算法",Y1143="算法类"),"中",IF(Y1143="无法识别","低",IF(M1143&lt;2,IF(O1143&lt;20,"低","中"),IF(M1143&lt;4,IF(O1143&lt;6,"低",IF(O1143&lt;20,"中","高")),IF(O1143&lt;6,"中","高"))))),IF(OR(J1143="ILF",J1143="EIF"),IF(OR(Y1143="估算法",Y1143="算法类",Y1143="无法识别"),"低",IF(N1143&lt;2,IF(O1143&lt;51,"低","中"),IF(N1143&lt;6,IF(O1143&lt;20,"低",IF(O1143&lt;51,"中","高")),IF(O1143&lt;20,"中","高")))),"不计算")))</f>
        <v/>
      </c>
      <c r="Q1143" s="172">
        <f>IFERROR(IF(J1143="EI",IF(P1143="低",3,IF(P1143="中",4,6)),IF(J1143="EO",IF(P1143="低",4,IF(P1143="中",5,7)),IF(J1143="EQ",IF(P1143="低",3,IF(P1143="中",4,6)),IF(J1143="ILF",IF(P1143="低",7,IF(P1143="中",10,15)),IF(J1143="EIF",IF(P1143="低",5,IF(P1143="中",7,10)),"不计算")))))*R1143,"不计算")</f>
        <v/>
      </c>
      <c r="R1143" s="172" t="n">
        <v>0.333333333333333</v>
      </c>
      <c r="S1143" s="173">
        <f>调整因子!$F$13</f>
        <v/>
      </c>
      <c r="T1143" s="92" t="n">
        <v>1</v>
      </c>
      <c r="U1143" s="174">
        <f>IFERROR(Q1143*S1143,0)</f>
        <v/>
      </c>
      <c r="V1143" s="178">
        <f>U1143*T1143</f>
        <v/>
      </c>
      <c r="W1143" s="103" t="inlineStr">
        <is>
          <t>任务优先级配置表、模板参数配置表、处置单配置表、验证配置表、复测配置表</t>
        </is>
      </c>
      <c r="X1143" s="103" t="inlineStr"/>
      <c r="Y1143"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is>
      </c>
      <c r="Z1143" s="90" t="n"/>
      <c r="AA1143" s="90" t="n"/>
    </row>
    <row r="1144" s="112">
      <c r="A1144" s="72">
        <f>ROW()-1</f>
        <v/>
      </c>
      <c r="B1144" s="175" t="n"/>
      <c r="C1144" s="124" t="n">
        <v>2026</v>
      </c>
      <c r="E1144" s="103" t="n"/>
      <c r="F1144" s="175" t="n"/>
      <c r="G1144" s="175" t="n"/>
      <c r="H1144" s="175" t="n"/>
      <c r="I1144" s="103" t="inlineStr">
        <is>
          <t>查询接口列表</t>
        </is>
      </c>
      <c r="J1144" s="93" t="inlineStr">
        <is>
          <t>EO</t>
        </is>
      </c>
      <c r="K1144" s="102" t="n"/>
      <c r="L1144" s="102" t="n"/>
      <c r="M1144" s="85">
        <f>IF(OR(Y1144="估算法",Y1144="算法类",Y1144="无法识别"),"",IF(W1144="",IF(OR(J1144="EI",J1144="EO",J1144="EQ"),0,""),LEN(W1144)-LEN(SUBSTITUTE(W1144,"、",""))+1))</f>
        <v/>
      </c>
      <c r="N1144" s="85">
        <f>IF(OR(Y1144="估算法",Y1144="算法类",Y1144="无法识别"),"",IF(X1144="",IF(OR(J1144="ILF",J1144="EIF"),0,""),LEN(X1144)-LEN(SUBSTITUTE(X1144,"、",""))+1))</f>
        <v/>
      </c>
      <c r="O1144" s="85">
        <f>IF(OR(Y1144="估算法",Y1144="算法类",Y1144="无法识别"),"",IF(Y1144="",IF(OR(J1144="ILF",J1144="EIF",J1144="EI",J1144="EO",J1144="EQ"),0,""),LEN(Y1144)-LEN(SUBSTITUTE(SUBSTITUTE(SUBSTITUTE(SUBSTITUTE(SUBSTITUTE(Y1144,"|}","--"),"{|","--"),CHAR(10),""),"、",""),"|",""))+IF(AND(OR(J1144="EI",J1144="EO",J1144="EQ"),$AE$1="NESMA"),2,1)))</f>
        <v/>
      </c>
      <c r="P1144" s="86">
        <f>IF(J1144="EI",IF(OR(Y1144="估算法",Y1144="算法类"),"中",IF(Y1144="无法识别","低",IF(M1144&lt;2,IF(O1144&lt;16,"低","中"),IF(M1144&lt;3,IF(O1144&lt;5,"低",IF(O1144&lt;16,"中","高")),IF(O1144&lt;5,"中","高"))))),IF(OR(J1144="EO",J1144="EQ"),IF(OR(Y1144="估算法",Y1144="算法类"),"中",IF(Y1144="无法识别","低",IF(M1144&lt;2,IF(O1144&lt;20,"低","中"),IF(M1144&lt;4,IF(O1144&lt;6,"低",IF(O1144&lt;20,"中","高")),IF(O1144&lt;6,"中","高"))))),IF(OR(J1144="ILF",J1144="EIF"),IF(OR(Y1144="估算法",Y1144="算法类",Y1144="无法识别"),"低",IF(N1144&lt;2,IF(O1144&lt;51,"低","中"),IF(N1144&lt;6,IF(O1144&lt;20,"低",IF(O1144&lt;51,"中","高")),IF(O1144&lt;20,"中","高")))),"不计算")))</f>
        <v/>
      </c>
      <c r="Q1144" s="172">
        <f>IFERROR(IF(J1144="EI",IF(P1144="低",3,IF(P1144="中",4,6)),IF(J1144="EO",IF(P1144="低",4,IF(P1144="中",5,7)),IF(J1144="EQ",IF(P1144="低",3,IF(P1144="中",4,6)),IF(J1144="ILF",IF(P1144="低",7,IF(P1144="中",10,15)),IF(J1144="EIF",IF(P1144="低",5,IF(P1144="中",7,10)),"不计算")))))*R1144,"不计算")</f>
        <v/>
      </c>
      <c r="R1144" s="172" t="n">
        <v>0.333333333333333</v>
      </c>
      <c r="S1144" s="173">
        <f>调整因子!$F$13</f>
        <v/>
      </c>
      <c r="T1144" s="92" t="n">
        <v>1</v>
      </c>
      <c r="U1144" s="174">
        <f>IFERROR(Q1144*S1144,0)</f>
        <v/>
      </c>
      <c r="V1144" s="178">
        <f>U1144*T1144</f>
        <v/>
      </c>
      <c r="W1144" s="103" t="inlineStr">
        <is>
          <t>资产查询接口配置表、处置单关联表、漏洞处置单表、加密算法表、同步任务调度表</t>
        </is>
      </c>
      <c r="X1144" s="103" t="inlineStr"/>
      <c r="Y1144" s="97" t="inlineStr">
        <is>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is>
      </c>
      <c r="Z1144" s="90" t="n"/>
      <c r="AA1144" s="90" t="n"/>
    </row>
    <row r="1145" s="112">
      <c r="A1145" s="72">
        <f>ROW()-1</f>
        <v/>
      </c>
      <c r="B1145" s="175" t="n"/>
      <c r="C1145" s="124" t="n">
        <v>2026</v>
      </c>
      <c r="E1145" s="103" t="n"/>
      <c r="F1145" s="175" t="n"/>
      <c r="G1145" s="176" t="n"/>
      <c r="H1145" s="176" t="n"/>
      <c r="I1145" s="103" t="inlineStr">
        <is>
          <t>查看接口详情</t>
        </is>
      </c>
      <c r="J1145" s="93" t="inlineStr">
        <is>
          <t>EQ</t>
        </is>
      </c>
      <c r="K1145" s="102" t="n"/>
      <c r="L1145" s="102" t="n"/>
      <c r="M1145" s="85">
        <f>IF(OR(Y1145="估算法",Y1145="算法类",Y1145="无法识别"),"",IF(W1145="",IF(OR(J1145="EI",J1145="EO",J1145="EQ"),0,""),LEN(W1145)-LEN(SUBSTITUTE(W1145,"、",""))+1))</f>
        <v/>
      </c>
      <c r="N1145" s="85">
        <f>IF(OR(Y1145="估算法",Y1145="算法类",Y1145="无法识别"),"",IF(X1145="",IF(OR(J1145="ILF",J1145="EIF"),0,""),LEN(X1145)-LEN(SUBSTITUTE(X1145,"、",""))+1))</f>
        <v/>
      </c>
      <c r="O1145" s="85">
        <f>IF(OR(Y1145="估算法",Y1145="算法类",Y1145="无法识别"),"",IF(Y1145="",IF(OR(J1145="ILF",J1145="EIF",J1145="EI",J1145="EO",J1145="EQ"),0,""),LEN(Y1145)-LEN(SUBSTITUTE(SUBSTITUTE(SUBSTITUTE(SUBSTITUTE(SUBSTITUTE(Y1145,"|}","--"),"{|","--"),CHAR(10),""),"、",""),"|",""))+IF(AND(OR(J1145="EI",J1145="EO",J1145="EQ"),$AE$1="NESMA"),2,1)))</f>
        <v/>
      </c>
      <c r="P1145" s="86">
        <f>IF(J1145="EI",IF(OR(Y1145="估算法",Y1145="算法类"),"中",IF(Y1145="无法识别","低",IF(M1145&lt;2,IF(O1145&lt;16,"低","中"),IF(M1145&lt;3,IF(O1145&lt;5,"低",IF(O1145&lt;16,"中","高")),IF(O1145&lt;5,"中","高"))))),IF(OR(J1145="EO",J1145="EQ"),IF(OR(Y1145="估算法",Y1145="算法类"),"中",IF(Y1145="无法识别","低",IF(M1145&lt;2,IF(O1145&lt;20,"低","中"),IF(M1145&lt;4,IF(O1145&lt;6,"低",IF(O1145&lt;20,"中","高")),IF(O1145&lt;6,"中","高"))))),IF(OR(J1145="ILF",J1145="EIF"),IF(OR(Y1145="估算法",Y1145="算法类",Y1145="无法识别"),"低",IF(N1145&lt;2,IF(O1145&lt;51,"低","中"),IF(N1145&lt;6,IF(O1145&lt;20,"低",IF(O1145&lt;51,"中","高")),IF(O1145&lt;20,"中","高")))),"不计算")))</f>
        <v/>
      </c>
      <c r="Q1145" s="172">
        <f>IFERROR(IF(J1145="EI",IF(P1145="低",3,IF(P1145="中",4,6)),IF(J1145="EO",IF(P1145="低",4,IF(P1145="中",5,7)),IF(J1145="EQ",IF(P1145="低",3,IF(P1145="中",4,6)),IF(J1145="ILF",IF(P1145="低",7,IF(P1145="中",10,15)),IF(J1145="EIF",IF(P1145="低",5,IF(P1145="中",7,10)),"不计算")))))*R1145,"不计算")</f>
        <v/>
      </c>
      <c r="R1145" s="172" t="n">
        <v>0.333333333333333</v>
      </c>
      <c r="S1145" s="173">
        <f>调整因子!$F$13</f>
        <v/>
      </c>
      <c r="T1145" s="93" t="n">
        <v>1</v>
      </c>
      <c r="U1145" s="174">
        <f>IFERROR(Q1145*S1145,0)</f>
        <v/>
      </c>
      <c r="V1145" s="178">
        <f>U1145*T1145</f>
        <v/>
      </c>
      <c r="W1145" s="103" t="inlineStr">
        <is>
          <t>模板分类表、加密策略表、修复步骤表</t>
        </is>
      </c>
      <c r="X1145" s="103" t="inlineStr"/>
      <c r="Y1145" s="97" t="inlineStr">
        <is>
          <t>模板分类表{ID、名称|ID、名称、类型、状态、创建时间、更新时间}
加密策略表{策略ID、策略名称|策略ID、策略名称、策略类型、策略内容、生效时间}
修复步骤表{ID、名称|ID、名称、类型、状态、创建时间、更新时间}</t>
        </is>
      </c>
      <c r="Z1145" s="90" t="n"/>
      <c r="AA1145" s="90" t="n"/>
    </row>
    <row r="1146" s="112">
      <c r="A1146" s="72">
        <f>ROW()-1</f>
        <v/>
      </c>
      <c r="B1146" s="175" t="n"/>
      <c r="C1146" s="124" t="n">
        <v>2026</v>
      </c>
      <c r="E1146" s="103" t="n"/>
      <c r="F1146" s="175" t="n"/>
      <c r="G1146" s="97" t="inlineStr">
        <is>
          <t>扫描任务优先级与排队策略</t>
        </is>
      </c>
      <c r="H1146" s="97" t="inlineStr">
        <is>
          <t>任务优先级管理</t>
        </is>
      </c>
      <c r="I1146" s="103" t="inlineStr">
        <is>
          <t>任务优先级配置表</t>
        </is>
      </c>
      <c r="J1146" s="93" t="inlineStr">
        <is>
          <t>ILF</t>
        </is>
      </c>
      <c r="K1146" s="102" t="n"/>
      <c r="L1146" s="102" t="n"/>
      <c r="M1146" s="85">
        <f>IF(OR(Y1146="估算法",Y1146="算法类",Y1146="无法识别"),"",IF(W1146="",IF(OR(J1146="EI",J1146="EO",J1146="EQ"),0,""),LEN(W1146)-LEN(SUBSTITUTE(W1146,"、",""))+1))</f>
        <v/>
      </c>
      <c r="N1146" s="85">
        <f>IF(OR(Y1146="估算法",Y1146="算法类",Y1146="无法识别"),"",IF(X1146="",IF(OR(J1146="ILF",J1146="EIF"),0,""),LEN(X1146)-LEN(SUBSTITUTE(X1146,"、",""))+1))</f>
        <v/>
      </c>
      <c r="O1146" s="85">
        <f>IF(OR(Y1146="估算法",Y1146="算法类",Y1146="无法识别"),"",IF(Y1146="",IF(OR(J1146="ILF",J1146="EIF",J1146="EI",J1146="EO",J1146="EQ"),0,""),LEN(Y1146)-LEN(SUBSTITUTE(SUBSTITUTE(SUBSTITUTE(SUBSTITUTE(SUBSTITUTE(Y1146,"|}","--"),"{|","--"),CHAR(10),""),"、",""),"|",""))+IF(AND(OR(J1146="EI",J1146="EO",J1146="EQ"),$AE$1="NESMA"),2,1)))</f>
        <v/>
      </c>
      <c r="P1146" s="86">
        <f>IF(J1146="EI",IF(OR(Y1146="估算法",Y1146="算法类"),"中",IF(Y1146="无法识别","低",IF(M1146&lt;2,IF(O1146&lt;16,"低","中"),IF(M1146&lt;3,IF(O1146&lt;5,"低",IF(O1146&lt;16,"中","高")),IF(O1146&lt;5,"中","高"))))),IF(OR(J1146="EO",J1146="EQ"),IF(OR(Y1146="估算法",Y1146="算法类"),"中",IF(Y1146="无法识别","低",IF(M1146&lt;2,IF(O1146&lt;20,"低","中"),IF(M1146&lt;4,IF(O1146&lt;6,"低",IF(O1146&lt;20,"中","高")),IF(O1146&lt;6,"中","高"))))),IF(OR(J1146="ILF",J1146="EIF"),IF(OR(Y1146="估算法",Y1146="算法类",Y1146="无法识别"),"低",IF(N1146&lt;2,IF(O1146&lt;51,"低","中"),IF(N1146&lt;6,IF(O1146&lt;20,"低",IF(O1146&lt;51,"中","高")),IF(O1146&lt;20,"中","高")))),"不计算")))</f>
        <v/>
      </c>
      <c r="Q1146" s="172">
        <f>IFERROR(IF(J1146="EI",IF(P1146="低",3,IF(P1146="中",4,6)),IF(J1146="EO",IF(P1146="低",4,IF(P1146="中",5,7)),IF(J1146="EQ",IF(P1146="低",3,IF(P1146="中",4,6)),IF(J1146="ILF",IF(P1146="低",7,IF(P1146="中",10,15)),IF(J1146="EIF",IF(P1146="低",5,IF(P1146="中",7,10)),"不计算")))))*R1146,"不计算")</f>
        <v/>
      </c>
      <c r="R1146" s="172" t="n">
        <v>1</v>
      </c>
      <c r="S1146" s="173">
        <f>调整因子!$F$13</f>
        <v/>
      </c>
      <c r="T1146" s="93" t="n">
        <v>1</v>
      </c>
      <c r="U1146" s="174">
        <f>IFERROR(Q1146*S1146,0)</f>
        <v/>
      </c>
      <c r="V1146" s="178">
        <f>U1146*T1146</f>
        <v/>
      </c>
      <c r="W1146" s="103" t="inlineStr"/>
      <c r="X1146" s="103" t="inlineStr">
        <is>
          <t>扫描任务、发现任务</t>
        </is>
      </c>
      <c r="Y1146" s="97" t="inlineStr">
        <is>
          <t>任务优先级配置表{任务ID、任务名称、任务类型|任务ID、任务名称、任务类型、任务状态、创建时间、执行时间}</t>
        </is>
      </c>
      <c r="Z1146" s="90">
        <f>IF(COUNTIFS(W:W,"*"&amp;I1146&amp;"*")&gt;0,"存在","不存在")</f>
        <v/>
      </c>
      <c r="AA1146" s="90">
        <f>IF(COUNTIFS(AB:AB,"*"&amp;I1146&amp;"*")&gt;0,"存在","不存在")</f>
        <v/>
      </c>
    </row>
    <row r="1147" s="112">
      <c r="A1147" s="72">
        <f>ROW()-1</f>
        <v/>
      </c>
      <c r="B1147" s="175" t="n"/>
      <c r="C1147" s="124" t="n">
        <v>2026</v>
      </c>
      <c r="E1147" s="103" t="n"/>
      <c r="F1147" s="175" t="n"/>
      <c r="G1147" s="175" t="n"/>
      <c r="H1147" s="175" t="n"/>
      <c r="I1147" s="103" t="inlineStr">
        <is>
          <t>编辑任务优先级</t>
        </is>
      </c>
      <c r="J1147" s="93" t="inlineStr">
        <is>
          <t>EI</t>
        </is>
      </c>
      <c r="K1147" s="102" t="n"/>
      <c r="L1147" s="102" t="n"/>
      <c r="M1147" s="85">
        <f>IF(OR(Y1147="估算法",Y1147="算法类",Y1147="无法识别"),"",IF(W1147="",IF(OR(J1147="EI",J1147="EO",J1147="EQ"),0,""),LEN(W1147)-LEN(SUBSTITUTE(W1147,"、",""))+1))</f>
        <v/>
      </c>
      <c r="N1147" s="85">
        <f>IF(OR(Y1147="估算法",Y1147="算法类",Y1147="无法识别"),"",IF(X1147="",IF(OR(J1147="ILF",J1147="EIF"),0,""),LEN(X1147)-LEN(SUBSTITUTE(X1147,"、",""))+1))</f>
        <v/>
      </c>
      <c r="O1147" s="85">
        <f>IF(OR(Y1147="估算法",Y1147="算法类",Y1147="无法识别"),"",IF(Y1147="",IF(OR(J1147="ILF",J1147="EIF",J1147="EI",J1147="EO",J1147="EQ"),0,""),LEN(Y1147)-LEN(SUBSTITUTE(SUBSTITUTE(SUBSTITUTE(SUBSTITUTE(SUBSTITUTE(Y1147,"|}","--"),"{|","--"),CHAR(10),""),"、",""),"|",""))+IF(AND(OR(J1147="EI",J1147="EO",J1147="EQ"),$AE$1="NESMA"),2,1)))</f>
        <v/>
      </c>
      <c r="P1147" s="86">
        <f>IF(J1147="EI",IF(OR(Y1147="估算法",Y1147="算法类"),"中",IF(Y1147="无法识别","低",IF(M1147&lt;2,IF(O1147&lt;16,"低","中"),IF(M1147&lt;3,IF(O1147&lt;5,"低",IF(O1147&lt;16,"中","高")),IF(O1147&lt;5,"中","高"))))),IF(OR(J1147="EO",J1147="EQ"),IF(OR(Y1147="估算法",Y1147="算法类"),"中",IF(Y1147="无法识别","低",IF(M1147&lt;2,IF(O1147&lt;20,"低","中"),IF(M1147&lt;4,IF(O1147&lt;6,"低",IF(O1147&lt;20,"中","高")),IF(O1147&lt;6,"中","高"))))),IF(OR(J1147="ILF",J1147="EIF"),IF(OR(Y1147="估算法",Y1147="算法类",Y1147="无法识别"),"低",IF(N1147&lt;2,IF(O1147&lt;51,"低","中"),IF(N1147&lt;6,IF(O1147&lt;20,"低",IF(O1147&lt;51,"中","高")),IF(O1147&lt;20,"中","高")))),"不计算")))</f>
        <v/>
      </c>
      <c r="Q1147" s="172">
        <f>IFERROR(IF(J1147="EI",IF(P1147="低",3,IF(P1147="中",4,6)),IF(J1147="EO",IF(P1147="低",4,IF(P1147="中",5,7)),IF(J1147="EQ",IF(P1147="低",3,IF(P1147="中",4,6)),IF(J1147="ILF",IF(P1147="低",7,IF(P1147="中",10,15)),IF(J1147="EIF",IF(P1147="低",5,IF(P1147="中",7,10)),"不计算")))))*R1147,"不计算")</f>
        <v/>
      </c>
      <c r="R1147" s="172" t="n">
        <v>1</v>
      </c>
      <c r="S1147" s="173">
        <f>调整因子!$F$13</f>
        <v/>
      </c>
      <c r="T1147" s="92" t="n">
        <v>1</v>
      </c>
      <c r="U1147" s="174">
        <f>IFERROR(Q1147*S1147,0)</f>
        <v/>
      </c>
      <c r="V1147" s="178">
        <f>U1147*T1147</f>
        <v/>
      </c>
      <c r="W1147" s="103" t="inlineStr">
        <is>
          <t>数据清洗任务表、资产同步任务表、同步任务调度表、任务统计数据表</t>
        </is>
      </c>
      <c r="X1147" s="103" t="inlineStr"/>
      <c r="Y1147"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147" s="90" t="n"/>
      <c r="AA1147" s="90" t="n"/>
    </row>
    <row r="1148" s="112">
      <c r="A1148" s="72">
        <f>ROW()-1</f>
        <v/>
      </c>
      <c r="B1148" s="175" t="n"/>
      <c r="C1148" s="124" t="n">
        <v>2026</v>
      </c>
      <c r="E1148" s="103" t="n"/>
      <c r="F1148" s="175" t="n"/>
      <c r="G1148" s="175" t="n"/>
      <c r="H1148" s="175" t="n"/>
      <c r="I1148" s="103" t="inlineStr">
        <is>
          <t>删除任务优先级</t>
        </is>
      </c>
      <c r="J1148" s="93" t="inlineStr">
        <is>
          <t>EI</t>
        </is>
      </c>
      <c r="K1148" s="102" t="n"/>
      <c r="L1148" s="102" t="n"/>
      <c r="M1148" s="85">
        <f>IF(OR(Y1148="估算法",Y1148="算法类",Y1148="无法识别"),"",IF(W1148="",IF(OR(J1148="EI",J1148="EO",J1148="EQ"),0,""),LEN(W1148)-LEN(SUBSTITUTE(W1148,"、",""))+1))</f>
        <v/>
      </c>
      <c r="N1148" s="85">
        <f>IF(OR(Y1148="估算法",Y1148="算法类",Y1148="无法识别"),"",IF(X1148="",IF(OR(J1148="ILF",J1148="EIF"),0,""),LEN(X1148)-LEN(SUBSTITUTE(X1148,"、",""))+1))</f>
        <v/>
      </c>
      <c r="O1148" s="85">
        <f>IF(OR(Y1148="估算法",Y1148="算法类",Y1148="无法识别"),"",IF(Y1148="",IF(OR(J1148="ILF",J1148="EIF",J1148="EI",J1148="EO",J1148="EQ"),0,""),LEN(Y1148)-LEN(SUBSTITUTE(SUBSTITUTE(SUBSTITUTE(SUBSTITUTE(SUBSTITUTE(Y1148,"|}","--"),"{|","--"),CHAR(10),""),"、",""),"|",""))+IF(AND(OR(J1148="EI",J1148="EO",J1148="EQ"),$AE$1="NESMA"),2,1)))</f>
        <v/>
      </c>
      <c r="P1148" s="86">
        <f>IF(J1148="EI",IF(OR(Y1148="估算法",Y1148="算法类"),"中",IF(Y1148="无法识别","低",IF(M1148&lt;2,IF(O1148&lt;16,"低","中"),IF(M1148&lt;3,IF(O1148&lt;5,"低",IF(O1148&lt;16,"中","高")),IF(O1148&lt;5,"中","高"))))),IF(OR(J1148="EO",J1148="EQ"),IF(OR(Y1148="估算法",Y1148="算法类"),"中",IF(Y1148="无法识别","低",IF(M1148&lt;2,IF(O1148&lt;20,"低","中"),IF(M1148&lt;4,IF(O1148&lt;6,"低",IF(O1148&lt;20,"中","高")),IF(O1148&lt;6,"中","高"))))),IF(OR(J1148="ILF",J1148="EIF"),IF(OR(Y1148="估算法",Y1148="算法类",Y1148="无法识别"),"低",IF(N1148&lt;2,IF(O1148&lt;51,"低","中"),IF(N1148&lt;6,IF(O1148&lt;20,"低",IF(O1148&lt;51,"中","高")),IF(O1148&lt;20,"中","高")))),"不计算")))</f>
        <v/>
      </c>
      <c r="Q1148" s="172">
        <f>IFERROR(IF(J1148="EI",IF(P1148="低",3,IF(P1148="中",4,6)),IF(J1148="EO",IF(P1148="低",4,IF(P1148="中",5,7)),IF(J1148="EQ",IF(P1148="低",3,IF(P1148="中",4,6)),IF(J1148="ILF",IF(P1148="低",7,IF(P1148="中",10,15)),IF(J1148="EIF",IF(P1148="低",5,IF(P1148="中",7,10)),"不计算")))))*R1148,"不计算")</f>
        <v/>
      </c>
      <c r="R1148" s="172" t="n">
        <v>0.333333333333333</v>
      </c>
      <c r="S1148" s="173">
        <f>调整因子!$F$13</f>
        <v/>
      </c>
      <c r="T1148" s="92" t="n">
        <v>1</v>
      </c>
      <c r="U1148" s="174">
        <f>IFERROR(Q1148*S1148,0)</f>
        <v/>
      </c>
      <c r="V1148" s="178">
        <f>U1148*T1148</f>
        <v/>
      </c>
      <c r="W1148" s="103" t="inlineStr">
        <is>
          <t>数据清洗任务表、资产同步任务表、同步任务调度表、任务统计数据表</t>
        </is>
      </c>
      <c r="X1148" s="103" t="inlineStr"/>
      <c r="Y1148" s="97" t="inlineStr">
        <is>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is>
      </c>
      <c r="Z1148" s="90" t="n"/>
      <c r="AA1148" s="90" t="n"/>
    </row>
    <row r="1149" s="112">
      <c r="A1149" s="72">
        <f>ROW()-1</f>
        <v/>
      </c>
      <c r="B1149" s="175" t="n"/>
      <c r="C1149" s="124" t="n">
        <v>2026</v>
      </c>
      <c r="E1149" s="103" t="n"/>
      <c r="F1149" s="175" t="n"/>
      <c r="G1149" s="175" t="n"/>
      <c r="H1149" s="175" t="n"/>
      <c r="I1149" s="103" t="inlineStr">
        <is>
          <t>启用优先级规则</t>
        </is>
      </c>
      <c r="J1149" s="93" t="inlineStr">
        <is>
          <t>EI</t>
        </is>
      </c>
      <c r="K1149" s="102" t="n"/>
      <c r="L1149" s="102" t="n"/>
      <c r="M1149" s="85">
        <f>IF(OR(Y1149="估算法",Y1149="算法类",Y1149="无法识别"),"",IF(W1149="",IF(OR(J1149="EI",J1149="EO",J1149="EQ"),0,""),LEN(W1149)-LEN(SUBSTITUTE(W1149,"、",""))+1))</f>
        <v/>
      </c>
      <c r="N1149" s="85">
        <f>IF(OR(Y1149="估算法",Y1149="算法类",Y1149="无法识别"),"",IF(X1149="",IF(OR(J1149="ILF",J1149="EIF"),0,""),LEN(X1149)-LEN(SUBSTITUTE(X1149,"、",""))+1))</f>
        <v/>
      </c>
      <c r="O1149" s="85">
        <f>IF(OR(Y1149="估算法",Y1149="算法类",Y1149="无法识别"),"",IF(Y1149="",IF(OR(J1149="ILF",J1149="EIF",J1149="EI",J1149="EO",J1149="EQ"),0,""),LEN(Y1149)-LEN(SUBSTITUTE(SUBSTITUTE(SUBSTITUTE(SUBSTITUTE(SUBSTITUTE(Y1149,"|}","--"),"{|","--"),CHAR(10),""),"、",""),"|",""))+IF(AND(OR(J1149="EI",J1149="EO",J1149="EQ"),$AE$1="NESMA"),2,1)))</f>
        <v/>
      </c>
      <c r="P1149" s="86">
        <f>IF(J1149="EI",IF(OR(Y1149="估算法",Y1149="算法类"),"中",IF(Y1149="无法识别","低",IF(M1149&lt;2,IF(O1149&lt;16,"低","中"),IF(M1149&lt;3,IF(O1149&lt;5,"低",IF(O1149&lt;16,"中","高")),IF(O1149&lt;5,"中","高"))))),IF(OR(J1149="EO",J1149="EQ"),IF(OR(Y1149="估算法",Y1149="算法类"),"中",IF(Y1149="无法识别","低",IF(M1149&lt;2,IF(O1149&lt;20,"低","中"),IF(M1149&lt;4,IF(O1149&lt;6,"低",IF(O1149&lt;20,"中","高")),IF(O1149&lt;6,"中","高"))))),IF(OR(J1149="ILF",J1149="EIF"),IF(OR(Y1149="估算法",Y1149="算法类",Y1149="无法识别"),"低",IF(N1149&lt;2,IF(O1149&lt;51,"低","中"),IF(N1149&lt;6,IF(O1149&lt;20,"低",IF(O1149&lt;51,"中","高")),IF(O1149&lt;20,"中","高")))),"不计算")))</f>
        <v/>
      </c>
      <c r="Q1149" s="172">
        <f>IFERROR(IF(J1149="EI",IF(P1149="低",3,IF(P1149="中",4,6)),IF(J1149="EO",IF(P1149="低",4,IF(P1149="中",5,7)),IF(J1149="EQ",IF(P1149="低",3,IF(P1149="中",4,6)),IF(J1149="ILF",IF(P1149="低",7,IF(P1149="中",10,15)),IF(J1149="EIF",IF(P1149="低",5,IF(P1149="中",7,10)),"不计算")))))*R1149,"不计算")</f>
        <v/>
      </c>
      <c r="R1149" s="172" t="n">
        <v>1</v>
      </c>
      <c r="S1149" s="173">
        <f>调整因子!$F$13</f>
        <v/>
      </c>
      <c r="T1149" s="93" t="n">
        <v>1</v>
      </c>
      <c r="U1149" s="174">
        <f>IFERROR(Q1149*S1149,0)</f>
        <v/>
      </c>
      <c r="V1149" s="178">
        <f>U1149*T1149</f>
        <v/>
      </c>
      <c r="W1149" s="103" t="inlineStr">
        <is>
          <t>推送规则表、提醒规则表、脱敏规则表、加密规则表、同步任务调度表</t>
        </is>
      </c>
      <c r="X1149" s="103" t="inlineStr"/>
      <c r="Y1149"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is>
      </c>
      <c r="Z1149" s="90" t="n"/>
      <c r="AA1149" s="90" t="n"/>
    </row>
    <row r="1150" s="112">
      <c r="A1150" s="72">
        <f>ROW()-1</f>
        <v/>
      </c>
      <c r="B1150" s="175" t="n"/>
      <c r="C1150" s="124" t="n">
        <v>2026</v>
      </c>
      <c r="E1150" s="103" t="n"/>
      <c r="F1150" s="175" t="n"/>
      <c r="G1150" s="175" t="n"/>
      <c r="H1150" s="175" t="n"/>
      <c r="I1150" s="103" t="inlineStr">
        <is>
          <t>停用优先级规则</t>
        </is>
      </c>
      <c r="J1150" s="93" t="n"/>
      <c r="K1150" s="102" t="n"/>
      <c r="L1150" s="102" t="inlineStr">
        <is>
          <t>和上行合并，启停为相同功能</t>
        </is>
      </c>
      <c r="M1150" s="85">
        <f>IF(OR(Y1150="估算法",Y1150="算法类",Y1150="无法识别"),"",IF(W1150="",IF(OR(J1150="EI",J1150="EO",J1150="EQ"),0,""),LEN(W1150)-LEN(SUBSTITUTE(W1150,"、",""))+1))</f>
        <v/>
      </c>
      <c r="N1150" s="85">
        <f>IF(OR(Y1150="估算法",Y1150="算法类",Y1150="无法识别"),"",IF(X1150="",IF(OR(J1150="ILF",J1150="EIF"),0,""),LEN(X1150)-LEN(SUBSTITUTE(X1150,"、",""))+1))</f>
        <v/>
      </c>
      <c r="O1150" s="85">
        <f>IF(OR(Y1150="估算法",Y1150="算法类",Y1150="无法识别"),"",IF(Y1150="",IF(OR(J1150="ILF",J1150="EIF",J1150="EI",J1150="EO",J1150="EQ"),0,""),LEN(Y1150)-LEN(SUBSTITUTE(SUBSTITUTE(SUBSTITUTE(SUBSTITUTE(SUBSTITUTE(Y1150,"|}","--"),"{|","--"),CHAR(10),""),"、",""),"|",""))+IF(AND(OR(J1150="EI",J1150="EO",J1150="EQ"),$AE$1="NESMA"),2,1)))</f>
        <v/>
      </c>
      <c r="P1150" s="86">
        <f>IF(J1150="EI",IF(OR(Y1150="估算法",Y1150="算法类"),"中",IF(Y1150="无法识别","低",IF(M1150&lt;2,IF(O1150&lt;16,"低","中"),IF(M1150&lt;3,IF(O1150&lt;5,"低",IF(O1150&lt;16,"中","高")),IF(O1150&lt;5,"中","高"))))),IF(OR(J1150="EO",J1150="EQ"),IF(OR(Y1150="估算法",Y1150="算法类"),"中",IF(Y1150="无法识别","低",IF(M1150&lt;2,IF(O1150&lt;20,"低","中"),IF(M1150&lt;4,IF(O1150&lt;6,"低",IF(O1150&lt;20,"中","高")),IF(O1150&lt;6,"中","高"))))),IF(OR(J1150="ILF",J1150="EIF"),IF(OR(Y1150="估算法",Y1150="算法类",Y1150="无法识别"),"低",IF(N1150&lt;2,IF(O1150&lt;51,"低","中"),IF(N1150&lt;6,IF(O1150&lt;20,"低",IF(O1150&lt;51,"中","高")),IF(O1150&lt;20,"中","高")))),"不计算")))</f>
        <v/>
      </c>
      <c r="Q1150" s="172">
        <f>IFERROR(IF(J1150="EI",IF(P1150="低",3,IF(P1150="中",4,6)),IF(J1150="EO",IF(P1150="低",4,IF(P1150="中",5,7)),IF(J1150="EQ",IF(P1150="低",3,IF(P1150="中",4,6)),IF(J1150="ILF",IF(P1150="低",7,IF(P1150="中",10,15)),IF(J1150="EIF",IF(P1150="低",5,IF(P1150="中",7,10)),"不计算")))))*R1150,"不计算")</f>
        <v/>
      </c>
      <c r="R1150" s="172" t="n">
        <v>1</v>
      </c>
      <c r="S1150" s="173">
        <f>调整因子!$F$13</f>
        <v/>
      </c>
      <c r="T1150" s="92" t="n">
        <v>1</v>
      </c>
      <c r="U1150" s="174">
        <f>IFERROR(Q1150*S1150,0)</f>
        <v/>
      </c>
      <c r="V1150" s="178">
        <f>U1150*T1150</f>
        <v/>
      </c>
      <c r="W1150" s="103" t="inlineStr">
        <is>
          <t>推送规则表、提醒规则表、脱敏规则表</t>
        </is>
      </c>
      <c r="X1150" s="103" t="inlineStr"/>
      <c r="Y1150" s="97" t="inlineStr">
        <is>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is>
      </c>
      <c r="Z1150" s="90" t="n"/>
      <c r="AA1150" s="90" t="n"/>
    </row>
    <row r="1151" s="112">
      <c r="A1151" s="72">
        <f>ROW()-1</f>
        <v/>
      </c>
      <c r="B1151" s="175" t="n"/>
      <c r="C1151" s="124" t="n">
        <v>2026</v>
      </c>
      <c r="E1151" s="103" t="n"/>
      <c r="F1151" s="175" t="n"/>
      <c r="G1151" s="175" t="n"/>
      <c r="H1151" s="175" t="n"/>
      <c r="I1151" s="103" t="inlineStr">
        <is>
          <t>导出优先级配置</t>
        </is>
      </c>
      <c r="J1151" s="93" t="inlineStr">
        <is>
          <t>EO</t>
        </is>
      </c>
      <c r="K1151" s="102" t="n"/>
      <c r="L1151" s="102" t="n"/>
      <c r="M1151" s="85">
        <f>IF(OR(Y1151="估算法",Y1151="算法类",Y1151="无法识别"),"",IF(W1151="",IF(OR(J1151="EI",J1151="EO",J1151="EQ"),0,""),LEN(W1151)-LEN(SUBSTITUTE(W1151,"、",""))+1))</f>
        <v/>
      </c>
      <c r="N1151" s="85">
        <f>IF(OR(Y1151="估算法",Y1151="算法类",Y1151="无法识别"),"",IF(X1151="",IF(OR(J1151="ILF",J1151="EIF"),0,""),LEN(X1151)-LEN(SUBSTITUTE(X1151,"、",""))+1))</f>
        <v/>
      </c>
      <c r="O1151" s="85">
        <f>IF(OR(Y1151="估算法",Y1151="算法类",Y1151="无法识别"),"",IF(Y1151="",IF(OR(J1151="ILF",J1151="EIF",J1151="EI",J1151="EO",J1151="EQ"),0,""),LEN(Y1151)-LEN(SUBSTITUTE(SUBSTITUTE(SUBSTITUTE(SUBSTITUTE(SUBSTITUTE(Y1151,"|}","--"),"{|","--"),CHAR(10),""),"、",""),"|",""))+IF(AND(OR(J1151="EI",J1151="EO",J1151="EQ"),$AE$1="NESMA"),2,1)))</f>
        <v/>
      </c>
      <c r="P1151" s="86">
        <f>IF(J1151="EI",IF(OR(Y1151="估算法",Y1151="算法类"),"中",IF(Y1151="无法识别","低",IF(M1151&lt;2,IF(O1151&lt;16,"低","中"),IF(M1151&lt;3,IF(O1151&lt;5,"低",IF(O1151&lt;16,"中","高")),IF(O1151&lt;5,"中","高"))))),IF(OR(J1151="EO",J1151="EQ"),IF(OR(Y1151="估算法",Y1151="算法类"),"中",IF(Y1151="无法识别","低",IF(M1151&lt;2,IF(O1151&lt;20,"低","中"),IF(M1151&lt;4,IF(O1151&lt;6,"低",IF(O1151&lt;20,"中","高")),IF(O1151&lt;6,"中","高"))))),IF(OR(J1151="ILF",J1151="EIF"),IF(OR(Y1151="估算法",Y1151="算法类",Y1151="无法识别"),"低",IF(N1151&lt;2,IF(O1151&lt;51,"低","中"),IF(N1151&lt;6,IF(O1151&lt;20,"低",IF(O1151&lt;51,"中","高")),IF(O1151&lt;20,"中","高")))),"不计算")))</f>
        <v/>
      </c>
      <c r="Q1151" s="172">
        <f>IFERROR(IF(J1151="EI",IF(P1151="低",3,IF(P1151="中",4,6)),IF(J1151="EO",IF(P1151="低",4,IF(P1151="中",5,7)),IF(J1151="EQ",IF(P1151="低",3,IF(P1151="中",4,6)),IF(J1151="ILF",IF(P1151="低",7,IF(P1151="中",10,15)),IF(J1151="EIF",IF(P1151="低",5,IF(P1151="中",7,10)),"不计算")))))*R1151,"不计算")</f>
        <v/>
      </c>
      <c r="R1151" s="172" t="n">
        <v>1</v>
      </c>
      <c r="S1151" s="173">
        <f>调整因子!$F$13</f>
        <v/>
      </c>
      <c r="T1151" s="92" t="n">
        <v>1</v>
      </c>
      <c r="U1151" s="174">
        <f>IFERROR(Q1151*S1151,0)</f>
        <v/>
      </c>
      <c r="V1151" s="178">
        <f>U1151*T1151</f>
        <v/>
      </c>
      <c r="W1151" s="103" t="inlineStr">
        <is>
          <t>任务优先级配置表、模板参数配置表、处置单配置表、验证配置表</t>
        </is>
      </c>
      <c r="X1151" s="103" t="inlineStr"/>
      <c r="Y1151" s="97" t="inlineStr">
        <is>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is>
      </c>
      <c r="Z1151" s="90" t="n"/>
      <c r="AA1151" s="90" t="n"/>
    </row>
    <row r="1152" s="112">
      <c r="A1152" s="72">
        <f>ROW()-1</f>
        <v/>
      </c>
      <c r="B1152" s="175" t="n"/>
      <c r="C1152" s="124" t="n">
        <v>2026</v>
      </c>
      <c r="E1152" s="103" t="n"/>
      <c r="F1152" s="175" t="n"/>
      <c r="G1152" s="175" t="n"/>
      <c r="H1152" s="175" t="n"/>
      <c r="I1152" s="103" t="inlineStr">
        <is>
          <t>查询优先级列表</t>
        </is>
      </c>
      <c r="J1152" s="93" t="inlineStr">
        <is>
          <t>EO</t>
        </is>
      </c>
      <c r="K1152" s="102" t="n"/>
      <c r="L1152" s="102" t="n"/>
      <c r="M1152" s="85">
        <f>IF(OR(Y1152="估算法",Y1152="算法类",Y1152="无法识别"),"",IF(W1152="",IF(OR(J1152="EI",J1152="EO",J1152="EQ"),0,""),LEN(W1152)-LEN(SUBSTITUTE(W1152,"、",""))+1))</f>
        <v/>
      </c>
      <c r="N1152" s="85">
        <f>IF(OR(Y1152="估算法",Y1152="算法类",Y1152="无法识别"),"",IF(X1152="",IF(OR(J1152="ILF",J1152="EIF"),0,""),LEN(X1152)-LEN(SUBSTITUTE(X1152,"、",""))+1))</f>
        <v/>
      </c>
      <c r="O1152" s="85">
        <f>IF(OR(Y1152="估算法",Y1152="算法类",Y1152="无法识别"),"",IF(Y1152="",IF(OR(J1152="ILF",J1152="EIF",J1152="EI",J1152="EO",J1152="EQ"),0,""),LEN(Y1152)-LEN(SUBSTITUTE(SUBSTITUTE(SUBSTITUTE(SUBSTITUTE(SUBSTITUTE(Y1152,"|}","--"),"{|","--"),CHAR(10),""),"、",""),"|",""))+IF(AND(OR(J1152="EI",J1152="EO",J1152="EQ"),$AE$1="NESMA"),2,1)))</f>
        <v/>
      </c>
      <c r="P1152" s="86">
        <f>IF(J1152="EI",IF(OR(Y1152="估算法",Y1152="算法类"),"中",IF(Y1152="无法识别","低",IF(M1152&lt;2,IF(O1152&lt;16,"低","中"),IF(M1152&lt;3,IF(O1152&lt;5,"低",IF(O1152&lt;16,"中","高")),IF(O1152&lt;5,"中","高"))))),IF(OR(J1152="EO",J1152="EQ"),IF(OR(Y1152="估算法",Y1152="算法类"),"中",IF(Y1152="无法识别","低",IF(M1152&lt;2,IF(O1152&lt;20,"低","中"),IF(M1152&lt;4,IF(O1152&lt;6,"低",IF(O1152&lt;20,"中","高")),IF(O1152&lt;6,"中","高"))))),IF(OR(J1152="ILF",J1152="EIF"),IF(OR(Y1152="估算法",Y1152="算法类",Y1152="无法识别"),"低",IF(N1152&lt;2,IF(O1152&lt;51,"低","中"),IF(N1152&lt;6,IF(O1152&lt;20,"低",IF(O1152&lt;51,"中","高")),IF(O1152&lt;20,"中","高")))),"不计算")))</f>
        <v/>
      </c>
      <c r="Q1152" s="172">
        <f>IFERROR(IF(J1152="EI",IF(P1152="低",3,IF(P1152="中",4,6)),IF(J1152="EO",IF(P1152="低",4,IF(P1152="中",5,7)),IF(J1152="EQ",IF(P1152="低",3,IF(P1152="中",4,6)),IF(J1152="ILF",IF(P1152="低",7,IF(P1152="中",10,15)),IF(J1152="EIF",IF(P1152="低",5,IF(P1152="中",7,10)),"不计算")))))*R1152,"不计算")</f>
        <v/>
      </c>
      <c r="R1152" s="172" t="n">
        <v>1</v>
      </c>
      <c r="S1152" s="173">
        <f>调整因子!$F$13</f>
        <v/>
      </c>
      <c r="T1152" s="93" t="n">
        <v>1</v>
      </c>
      <c r="U1152" s="174">
        <f>IFERROR(Q1152*S1152,0)</f>
        <v/>
      </c>
      <c r="V1152" s="178">
        <f>U1152*T1152</f>
        <v/>
      </c>
      <c r="W1152" s="103" t="inlineStr">
        <is>
          <t>模板配置表、推送失败重试表、扫描能力缺口表、扫描策略模板表</t>
        </is>
      </c>
      <c r="X1152" s="103" t="inlineStr"/>
      <c r="Y1152" s="97" t="inlineStr">
        <is>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is>
      </c>
      <c r="Z1152" s="90" t="n"/>
      <c r="AA1152" s="90" t="n"/>
    </row>
    <row r="1153" s="112">
      <c r="A1153" s="72">
        <f>ROW()-1</f>
        <v/>
      </c>
      <c r="B1153" s="175" t="n"/>
      <c r="C1153" s="124" t="n">
        <v>2026</v>
      </c>
      <c r="E1153" s="103" t="n"/>
      <c r="F1153" s="175" t="n"/>
      <c r="G1153" s="175" t="n"/>
      <c r="H1153" s="176" t="n"/>
      <c r="I1153" s="103" t="inlineStr">
        <is>
          <t>查看优先级详情</t>
        </is>
      </c>
      <c r="J1153" s="93" t="inlineStr">
        <is>
          <t>EQ</t>
        </is>
      </c>
      <c r="K1153" s="102" t="n"/>
      <c r="L1153" s="102" t="n"/>
      <c r="M1153" s="85">
        <f>IF(OR(Y1153="估算法",Y1153="算法类",Y1153="无法识别"),"",IF(W1153="",IF(OR(J1153="EI",J1153="EO",J1153="EQ"),0,""),LEN(W1153)-LEN(SUBSTITUTE(W1153,"、",""))+1))</f>
        <v/>
      </c>
      <c r="N1153" s="85">
        <f>IF(OR(Y1153="估算法",Y1153="算法类",Y1153="无法识别"),"",IF(X1153="",IF(OR(J1153="ILF",J1153="EIF"),0,""),LEN(X1153)-LEN(SUBSTITUTE(X1153,"、",""))+1))</f>
        <v/>
      </c>
      <c r="O1153" s="85">
        <f>IF(OR(Y1153="估算法",Y1153="算法类",Y1153="无法识别"),"",IF(Y1153="",IF(OR(J1153="ILF",J1153="EIF",J1153="EI",J1153="EO",J1153="EQ"),0,""),LEN(Y1153)-LEN(SUBSTITUTE(SUBSTITUTE(SUBSTITUTE(SUBSTITUTE(SUBSTITUTE(Y1153,"|}","--"),"{|","--"),CHAR(10),""),"、",""),"|",""))+IF(AND(OR(J1153="EI",J1153="EO",J1153="EQ"),$AE$1="NESMA"),2,1)))</f>
        <v/>
      </c>
      <c r="P1153" s="86">
        <f>IF(J1153="EI",IF(OR(Y1153="估算法",Y1153="算法类"),"中",IF(Y1153="无法识别","低",IF(M1153&lt;2,IF(O1153&lt;16,"低","中"),IF(M1153&lt;3,IF(O1153&lt;5,"低",IF(O1153&lt;16,"中","高")),IF(O1153&lt;5,"中","高"))))),IF(OR(J1153="EO",J1153="EQ"),IF(OR(Y1153="估算法",Y1153="算法类"),"中",IF(Y1153="无法识别","低",IF(M1153&lt;2,IF(O1153&lt;20,"低","中"),IF(M1153&lt;4,IF(O1153&lt;6,"低",IF(O1153&lt;20,"中","高")),IF(O1153&lt;6,"中","高"))))),IF(OR(J1153="ILF",J1153="EIF"),IF(OR(Y1153="估算法",Y1153="算法类",Y1153="无法识别"),"低",IF(N1153&lt;2,IF(O1153&lt;51,"低","中"),IF(N1153&lt;6,IF(O1153&lt;20,"低",IF(O1153&lt;51,"中","高")),IF(O1153&lt;20,"中","高")))),"不计算")))</f>
        <v/>
      </c>
      <c r="Q1153" s="172">
        <f>IFERROR(IF(J1153="EI",IF(P1153="低",3,IF(P1153="中",4,6)),IF(J1153="EO",IF(P1153="低",4,IF(P1153="中",5,7)),IF(J1153="EQ",IF(P1153="低",3,IF(P1153="中",4,6)),IF(J1153="ILF",IF(P1153="低",7,IF(P1153="中",10,15)),IF(J1153="EIF",IF(P1153="低",5,IF(P1153="中",7,10)),"不计算")))))*R1153,"不计算")</f>
        <v/>
      </c>
      <c r="R1153" s="172" t="n">
        <v>1</v>
      </c>
      <c r="S1153" s="173">
        <f>调整因子!$F$13</f>
        <v/>
      </c>
      <c r="T1153" s="93" t="n">
        <v>1</v>
      </c>
      <c r="U1153" s="174">
        <f>IFERROR(Q1153*S1153,0)</f>
        <v/>
      </c>
      <c r="V1153" s="178">
        <f>U1153*T1153</f>
        <v/>
      </c>
      <c r="W1153" s="103" t="inlineStr">
        <is>
          <t>考核指标配置表、模板配置表、资产扫描覆盖表</t>
        </is>
      </c>
      <c r="X1153" s="103" t="inlineStr"/>
      <c r="Y1153" s="97" t="inlineStr">
        <is>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is>
      </c>
      <c r="Z1153" s="90" t="n"/>
      <c r="AA1153" s="90" t="n"/>
    </row>
    <row r="1154" s="112">
      <c r="A1154" s="72">
        <f>ROW()-1</f>
        <v/>
      </c>
      <c r="B1154" s="175" t="n"/>
      <c r="C1154" s="124" t="n">
        <v>2026</v>
      </c>
      <c r="E1154" s="103" t="n"/>
      <c r="F1154" s="175" t="n"/>
      <c r="G1154" s="175" t="n"/>
      <c r="H1154" s="97" t="inlineStr">
        <is>
          <t>任务排队管理</t>
        </is>
      </c>
      <c r="I1154" s="103" t="inlineStr">
        <is>
          <t>任务队列表</t>
        </is>
      </c>
      <c r="J1154" s="93" t="inlineStr">
        <is>
          <t>ILF</t>
        </is>
      </c>
      <c r="K1154" s="102" t="n"/>
      <c r="L1154" s="102" t="n"/>
      <c r="M1154" s="85">
        <f>IF(OR(Y1154="估算法",Y1154="算法类",Y1154="无法识别"),"",IF(W1154="",IF(OR(J1154="EI",J1154="EO",J1154="EQ"),0,""),LEN(W1154)-LEN(SUBSTITUTE(W1154,"、",""))+1))</f>
        <v/>
      </c>
      <c r="N1154" s="85">
        <f>IF(OR(Y1154="估算法",Y1154="算法类",Y1154="无法识别"),"",IF(X1154="",IF(OR(J1154="ILF",J1154="EIF"),0,""),LEN(X1154)-LEN(SUBSTITUTE(X1154,"、",""))+1))</f>
        <v/>
      </c>
      <c r="O1154" s="85">
        <f>IF(OR(Y1154="估算法",Y1154="算法类",Y1154="无法识别"),"",IF(Y1154="",IF(OR(J1154="ILF",J1154="EIF",J1154="EI",J1154="EO",J1154="EQ"),0,""),LEN(Y1154)-LEN(SUBSTITUTE(SUBSTITUTE(SUBSTITUTE(SUBSTITUTE(SUBSTITUTE(Y1154,"|}","--"),"{|","--"),CHAR(10),""),"、",""),"|",""))+IF(AND(OR(J1154="EI",J1154="EO",J1154="EQ"),$AE$1="NESMA"),2,1)))</f>
        <v/>
      </c>
      <c r="P1154" s="86">
        <f>IF(J1154="EI",IF(OR(Y1154="估算法",Y1154="算法类"),"中",IF(Y1154="无法识别","低",IF(M1154&lt;2,IF(O1154&lt;16,"低","中"),IF(M1154&lt;3,IF(O1154&lt;5,"低",IF(O1154&lt;16,"中","高")),IF(O1154&lt;5,"中","高"))))),IF(OR(J1154="EO",J1154="EQ"),IF(OR(Y1154="估算法",Y1154="算法类"),"中",IF(Y1154="无法识别","低",IF(M1154&lt;2,IF(O1154&lt;20,"低","中"),IF(M1154&lt;4,IF(O1154&lt;6,"低",IF(O1154&lt;20,"中","高")),IF(O1154&lt;6,"中","高"))))),IF(OR(J1154="ILF",J1154="EIF"),IF(OR(Y1154="估算法",Y1154="算法类",Y1154="无法识别"),"低",IF(N1154&lt;2,IF(O1154&lt;51,"低","中"),IF(N1154&lt;6,IF(O1154&lt;20,"低",IF(O1154&lt;51,"中","高")),IF(O1154&lt;20,"中","高")))),"不计算")))</f>
        <v/>
      </c>
      <c r="Q1154" s="172">
        <f>IFERROR(IF(J1154="EI",IF(P1154="低",3,IF(P1154="中",4,6)),IF(J1154="EO",IF(P1154="低",4,IF(P1154="中",5,7)),IF(J1154="EQ",IF(P1154="低",3,IF(P1154="中",4,6)),IF(J1154="ILF",IF(P1154="低",7,IF(P1154="中",10,15)),IF(J1154="EIF",IF(P1154="低",5,IF(P1154="中",7,10)),"不计算")))))*R1154,"不计算")</f>
        <v/>
      </c>
      <c r="R1154" s="172" t="n">
        <v>0.333333333333333</v>
      </c>
      <c r="S1154" s="173">
        <f>调整因子!$F$13</f>
        <v/>
      </c>
      <c r="T1154" s="92" t="n">
        <v>1</v>
      </c>
      <c r="U1154" s="174">
        <f>IFERROR(Q1154*S1154,0)</f>
        <v/>
      </c>
      <c r="V1154" s="178">
        <f>U1154*T1154</f>
        <v/>
      </c>
      <c r="W1154" s="103" t="inlineStr"/>
      <c r="X1154" s="103" t="inlineStr">
        <is>
          <t>扫描任务、发现任务、口令猜测任务</t>
        </is>
      </c>
      <c r="Y1154" s="97" t="inlineStr">
        <is>
          <t>任务队列表{任务ID、任务名称、任务类型|任务ID、任务名称、任务类型、任务状态、创建时间、执行时间}</t>
        </is>
      </c>
      <c r="Z1154" s="90">
        <f>IF(COUNTIFS(W:W,"*"&amp;I1154&amp;"*")&gt;0,"存在","不存在")</f>
        <v/>
      </c>
      <c r="AA1154" s="90">
        <f>IF(COUNTIFS(AB:AB,"*"&amp;I1154&amp;"*")&gt;0,"存在","不存在")</f>
        <v/>
      </c>
    </row>
    <row r="1155" s="112">
      <c r="A1155" s="72">
        <f>ROW()-1</f>
        <v/>
      </c>
      <c r="B1155" s="175" t="n"/>
      <c r="C1155" s="124" t="n">
        <v>2026</v>
      </c>
      <c r="E1155" s="103" t="n"/>
      <c r="F1155" s="175" t="n"/>
      <c r="G1155" s="175" t="n"/>
      <c r="H1155" s="175" t="n"/>
      <c r="I1155" s="103" t="inlineStr">
        <is>
          <t>编辑排队策略</t>
        </is>
      </c>
      <c r="J1155" s="93" t="inlineStr">
        <is>
          <t>EI</t>
        </is>
      </c>
      <c r="K1155" s="102" t="n"/>
      <c r="L1155" s="102" t="n"/>
      <c r="M1155" s="85">
        <f>IF(OR(Y1155="估算法",Y1155="算法类",Y1155="无法识别"),"",IF(W1155="",IF(OR(J1155="EI",J1155="EO",J1155="EQ"),0,""),LEN(W1155)-LEN(SUBSTITUTE(W1155,"、",""))+1))</f>
        <v/>
      </c>
      <c r="N1155" s="85">
        <f>IF(OR(Y1155="估算法",Y1155="算法类",Y1155="无法识别"),"",IF(X1155="",IF(OR(J1155="ILF",J1155="EIF"),0,""),LEN(X1155)-LEN(SUBSTITUTE(X1155,"、",""))+1))</f>
        <v/>
      </c>
      <c r="O1155" s="85">
        <f>IF(OR(Y1155="估算法",Y1155="算法类",Y1155="无法识别"),"",IF(Y1155="",IF(OR(J1155="ILF",J1155="EIF",J1155="EI",J1155="EO",J1155="EQ"),0,""),LEN(Y1155)-LEN(SUBSTITUTE(SUBSTITUTE(SUBSTITUTE(SUBSTITUTE(SUBSTITUTE(Y1155,"|}","--"),"{|","--"),CHAR(10),""),"、",""),"|",""))+IF(AND(OR(J1155="EI",J1155="EO",J1155="EQ"),$AE$1="NESMA"),2,1)))</f>
        <v/>
      </c>
      <c r="P1155" s="86">
        <f>IF(J1155="EI",IF(OR(Y1155="估算法",Y1155="算法类"),"中",IF(Y1155="无法识别","低",IF(M1155&lt;2,IF(O1155&lt;16,"低","中"),IF(M1155&lt;3,IF(O1155&lt;5,"低",IF(O1155&lt;16,"中","高")),IF(O1155&lt;5,"中","高"))))),IF(OR(J1155="EO",J1155="EQ"),IF(OR(Y1155="估算法",Y1155="算法类"),"中",IF(Y1155="无法识别","低",IF(M1155&lt;2,IF(O1155&lt;20,"低","中"),IF(M1155&lt;4,IF(O1155&lt;6,"低",IF(O1155&lt;20,"中","高")),IF(O1155&lt;6,"中","高"))))),IF(OR(J1155="ILF",J1155="EIF"),IF(OR(Y1155="估算法",Y1155="算法类",Y1155="无法识别"),"低",IF(N1155&lt;2,IF(O1155&lt;51,"低","中"),IF(N1155&lt;6,IF(O1155&lt;20,"低",IF(O1155&lt;51,"中","高")),IF(O1155&lt;20,"中","高")))),"不计算")))</f>
        <v/>
      </c>
      <c r="Q1155" s="172">
        <f>IFERROR(IF(J1155="EI",IF(P1155="低",3,IF(P1155="中",4,6)),IF(J1155="EO",IF(P1155="低",4,IF(P1155="中",5,7)),IF(J1155="EQ",IF(P1155="低",3,IF(P1155="中",4,6)),IF(J1155="ILF",IF(P1155="低",7,IF(P1155="中",10,15)),IF(J1155="EIF",IF(P1155="低",5,IF(P1155="中",7,10)),"不计算")))))*R1155,"不计算")</f>
        <v/>
      </c>
      <c r="R1155" s="172" t="n">
        <v>0.333333333333333</v>
      </c>
      <c r="S1155" s="173">
        <f>调整因子!$F$13</f>
        <v/>
      </c>
      <c r="T1155" s="92" t="n">
        <v>1</v>
      </c>
      <c r="U1155" s="174">
        <f>IFERROR(Q1155*S1155,0)</f>
        <v/>
      </c>
      <c r="V1155" s="178">
        <f>U1155*T1155</f>
        <v/>
      </c>
      <c r="W1155" s="103" t="inlineStr">
        <is>
          <t>扫描策略模板表、提醒策略配置表、加密策略表、提醒策略配置表、模板分类表</t>
        </is>
      </c>
      <c r="X1155" s="103" t="inlineStr"/>
      <c r="Y1155" s="97" t="inlineStr">
        <is>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is>
      </c>
      <c r="Z1155" s="90" t="n"/>
      <c r="AA1155" s="90" t="n"/>
    </row>
    <row r="1156" s="112">
      <c r="A1156" s="72">
        <f>ROW()-1</f>
        <v/>
      </c>
      <c r="B1156" s="175" t="n"/>
      <c r="C1156" s="124" t="n">
        <v>2026</v>
      </c>
      <c r="E1156" s="103" t="n"/>
      <c r="F1156" s="175" t="n"/>
      <c r="G1156" s="175" t="n"/>
      <c r="H1156" s="175" t="n"/>
      <c r="I1156" s="103" t="inlineStr">
        <is>
          <t>删除排队策略</t>
        </is>
      </c>
      <c r="J1156" s="93" t="inlineStr">
        <is>
          <t>EI</t>
        </is>
      </c>
      <c r="K1156" s="102" t="n"/>
      <c r="L1156" s="102" t="n"/>
      <c r="M1156" s="85">
        <f>IF(OR(Y1156="估算法",Y1156="算法类",Y1156="无法识别"),"",IF(W1156="",IF(OR(J1156="EI",J1156="EO",J1156="EQ"),0,""),LEN(W1156)-LEN(SUBSTITUTE(W1156,"、",""))+1))</f>
        <v/>
      </c>
      <c r="N1156" s="85">
        <f>IF(OR(Y1156="估算法",Y1156="算法类",Y1156="无法识别"),"",IF(X1156="",IF(OR(J1156="ILF",J1156="EIF"),0,""),LEN(X1156)-LEN(SUBSTITUTE(X1156,"、",""))+1))</f>
        <v/>
      </c>
      <c r="O1156" s="85">
        <f>IF(OR(Y1156="估算法",Y1156="算法类",Y1156="无法识别"),"",IF(Y1156="",IF(OR(J1156="ILF",J1156="EIF",J1156="EI",J1156="EO",J1156="EQ"),0,""),LEN(Y1156)-LEN(SUBSTITUTE(SUBSTITUTE(SUBSTITUTE(SUBSTITUTE(SUBSTITUTE(Y1156,"|}","--"),"{|","--"),CHAR(10),""),"、",""),"|",""))+IF(AND(OR(J1156="EI",J1156="EO",J1156="EQ"),$AE$1="NESMA"),2,1)))</f>
        <v/>
      </c>
      <c r="P1156" s="86">
        <f>IF(J1156="EI",IF(OR(Y1156="估算法",Y1156="算法类"),"中",IF(Y1156="无法识别","低",IF(M1156&lt;2,IF(O1156&lt;16,"低","中"),IF(M1156&lt;3,IF(O1156&lt;5,"低",IF(O1156&lt;16,"中","高")),IF(O1156&lt;5,"中","高"))))),IF(OR(J1156="EO",J1156="EQ"),IF(OR(Y1156="估算法",Y1156="算法类"),"中",IF(Y1156="无法识别","低",IF(M1156&lt;2,IF(O1156&lt;20,"低","中"),IF(M1156&lt;4,IF(O1156&lt;6,"低",IF(O1156&lt;20,"中","高")),IF(O1156&lt;6,"中","高"))))),IF(OR(J1156="ILF",J1156="EIF"),IF(OR(Y1156="估算法",Y1156="算法类",Y1156="无法识别"),"低",IF(N1156&lt;2,IF(O1156&lt;51,"低","中"),IF(N1156&lt;6,IF(O1156&lt;20,"低",IF(O1156&lt;51,"中","高")),IF(O1156&lt;20,"中","高")))),"不计算")))</f>
        <v/>
      </c>
      <c r="Q1156" s="172">
        <f>IFERROR(IF(J1156="EI",IF(P1156="低",3,IF(P1156="中",4,6)),IF(J1156="EO",IF(P1156="低",4,IF(P1156="中",5,7)),IF(J1156="EQ",IF(P1156="低",3,IF(P1156="中",4,6)),IF(J1156="ILF",IF(P1156="低",7,IF(P1156="中",10,15)),IF(J1156="EIF",IF(P1156="低",5,IF(P1156="中",7,10)),"不计算")))))*R1156,"不计算")</f>
        <v/>
      </c>
      <c r="R1156" s="172" t="n">
        <v>0.333333333333333</v>
      </c>
      <c r="S1156" s="173">
        <f>调整因子!$F$13</f>
        <v/>
      </c>
      <c r="T1156" s="93" t="n">
        <v>1</v>
      </c>
      <c r="U1156" s="174">
        <f>IFERROR(Q1156*S1156,0)</f>
        <v/>
      </c>
      <c r="V1156" s="178">
        <f>U1156*T1156</f>
        <v/>
      </c>
      <c r="W1156" s="103" t="inlineStr">
        <is>
          <t>扫描策略模板表、提醒策略配置表</t>
        </is>
      </c>
      <c r="X1156" s="103" t="inlineStr"/>
      <c r="Y1156" s="97" t="inlineStr">
        <is>
          <t>扫描策略模板表{任务ID、任务名称、任务状态、扫描器类型、开始时间、结束时间、扫描结果|任务ID、任务名称、任务状态}
提醒策略配置表{配置ID、配置名称、配置类型、配置值、创建时间|配置ID、配置名称、配置类型}</t>
        </is>
      </c>
      <c r="Z1156" s="90" t="n"/>
      <c r="AA1156" s="90" t="n"/>
    </row>
    <row r="1157" s="112">
      <c r="A1157" s="72">
        <f>ROW()-1</f>
        <v/>
      </c>
      <c r="B1157" s="175" t="n"/>
      <c r="C1157" s="124" t="n">
        <v>2026</v>
      </c>
      <c r="E1157" s="103" t="n"/>
      <c r="F1157" s="175" t="n"/>
      <c r="G1157" s="175" t="n"/>
      <c r="H1157" s="175" t="n"/>
      <c r="I1157" s="103" t="inlineStr">
        <is>
          <t>启用排队策略</t>
        </is>
      </c>
      <c r="J1157" s="93" t="inlineStr">
        <is>
          <t>EI</t>
        </is>
      </c>
      <c r="K1157" s="102" t="n"/>
      <c r="L1157" s="102" t="n"/>
      <c r="M1157" s="85">
        <f>IF(OR(Y1157="估算法",Y1157="算法类",Y1157="无法识别"),"",IF(W1157="",IF(OR(J1157="EI",J1157="EO",J1157="EQ"),0,""),LEN(W1157)-LEN(SUBSTITUTE(W1157,"、",""))+1))</f>
        <v/>
      </c>
      <c r="N1157" s="85">
        <f>IF(OR(Y1157="估算法",Y1157="算法类",Y1157="无法识别"),"",IF(X1157="",IF(OR(J1157="ILF",J1157="EIF"),0,""),LEN(X1157)-LEN(SUBSTITUTE(X1157,"、",""))+1))</f>
        <v/>
      </c>
      <c r="O1157" s="85">
        <f>IF(OR(Y1157="估算法",Y1157="算法类",Y1157="无法识别"),"",IF(Y1157="",IF(OR(J1157="ILF",J1157="EIF",J1157="EI",J1157="EO",J1157="EQ"),0,""),LEN(Y1157)-LEN(SUBSTITUTE(SUBSTITUTE(SUBSTITUTE(SUBSTITUTE(SUBSTITUTE(Y1157,"|}","--"),"{|","--"),CHAR(10),""),"、",""),"|",""))+IF(AND(OR(J1157="EI",J1157="EO",J1157="EQ"),$AE$1="NESMA"),2,1)))</f>
        <v/>
      </c>
      <c r="P1157" s="86">
        <f>IF(J1157="EI",IF(OR(Y1157="估算法",Y1157="算法类"),"中",IF(Y1157="无法识别","低",IF(M1157&lt;2,IF(O1157&lt;16,"低","中"),IF(M1157&lt;3,IF(O1157&lt;5,"低",IF(O1157&lt;16,"中","高")),IF(O1157&lt;5,"中","高"))))),IF(OR(J1157="EO",J1157="EQ"),IF(OR(Y1157="估算法",Y1157="算法类"),"中",IF(Y1157="无法识别","低",IF(M1157&lt;2,IF(O1157&lt;20,"低","中"),IF(M1157&lt;4,IF(O1157&lt;6,"低",IF(O1157&lt;20,"中","高")),IF(O1157&lt;6,"中","高"))))),IF(OR(J1157="ILF",J1157="EIF"),IF(OR(Y1157="估算法",Y1157="算法类",Y1157="无法识别"),"低",IF(N1157&lt;2,IF(O1157&lt;51,"低","中"),IF(N1157&lt;6,IF(O1157&lt;20,"低",IF(O1157&lt;51,"中","高")),IF(O1157&lt;20,"中","高")))),"不计算")))</f>
        <v/>
      </c>
      <c r="Q1157" s="172">
        <f>IFERROR(IF(J1157="EI",IF(P1157="低",3,IF(P1157="中",4,6)),IF(J1157="EO",IF(P1157="低",4,IF(P1157="中",5,7)),IF(J1157="EQ",IF(P1157="低",3,IF(P1157="中",4,6)),IF(J1157="ILF",IF(P1157="低",7,IF(P1157="中",10,15)),IF(J1157="EIF",IF(P1157="低",5,IF(P1157="中",7,10)),"不计算")))))*R1157,"不计算")</f>
        <v/>
      </c>
      <c r="R1157" s="172" t="n">
        <v>0.333333333333333</v>
      </c>
      <c r="S1157" s="173">
        <f>调整因子!$F$13</f>
        <v/>
      </c>
      <c r="T1157" s="92" t="n">
        <v>1</v>
      </c>
      <c r="U1157" s="174">
        <f>IFERROR(Q1157*S1157,0)</f>
        <v/>
      </c>
      <c r="V1157" s="178">
        <f>U1157*T1157</f>
        <v/>
      </c>
      <c r="W1157" s="103" t="inlineStr">
        <is>
          <t>扫描策略模板表</t>
        </is>
      </c>
      <c r="X1157" s="103" t="inlineStr"/>
      <c r="Y1157" s="97" t="inlineStr">
        <is>
          <t>扫描策略模板表{任务ID、任务名称、任务状态、扫描器类型、开始时间、结束时间、扫描结果|任务ID、任务名称、任务状态}</t>
        </is>
      </c>
      <c r="Z1157" s="90" t="n"/>
      <c r="AA1157" s="90" t="n"/>
    </row>
    <row r="1158" s="112">
      <c r="A1158" s="72">
        <f>ROW()-1</f>
        <v/>
      </c>
      <c r="B1158" s="175" t="n"/>
      <c r="C1158" s="124" t="n">
        <v>2026</v>
      </c>
      <c r="E1158" s="103" t="n"/>
      <c r="F1158" s="175" t="n"/>
      <c r="G1158" s="175" t="n"/>
      <c r="H1158" s="175" t="n"/>
      <c r="I1158" s="103" t="inlineStr">
        <is>
          <t>停用排队策略</t>
        </is>
      </c>
      <c r="J1158" s="93" t="n"/>
      <c r="K1158" s="102" t="n"/>
      <c r="L1158" s="102" t="inlineStr">
        <is>
          <t>和上行合并，启停为相同功能</t>
        </is>
      </c>
      <c r="M1158" s="85">
        <f>IF(OR(Y1158="估算法",Y1158="算法类",Y1158="无法识别"),"",IF(W1158="",IF(OR(J1158="EI",J1158="EO",J1158="EQ"),0,""),LEN(W1158)-LEN(SUBSTITUTE(W1158,"、",""))+1))</f>
        <v/>
      </c>
      <c r="N1158" s="85">
        <f>IF(OR(Y1158="估算法",Y1158="算法类",Y1158="无法识别"),"",IF(X1158="",IF(OR(J1158="ILF",J1158="EIF"),0,""),LEN(X1158)-LEN(SUBSTITUTE(X1158,"、",""))+1))</f>
        <v/>
      </c>
      <c r="O1158" s="85">
        <f>IF(OR(Y1158="估算法",Y1158="算法类",Y1158="无法识别"),"",IF(Y1158="",IF(OR(J1158="ILF",J1158="EIF",J1158="EI",J1158="EO",J1158="EQ"),0,""),LEN(Y1158)-LEN(SUBSTITUTE(SUBSTITUTE(SUBSTITUTE(SUBSTITUTE(SUBSTITUTE(Y1158,"|}","--"),"{|","--"),CHAR(10),""),"、",""),"|",""))+IF(AND(OR(J1158="EI",J1158="EO",J1158="EQ"),$AE$1="NESMA"),2,1)))</f>
        <v/>
      </c>
      <c r="P1158" s="86">
        <f>IF(J1158="EI",IF(OR(Y1158="估算法",Y1158="算法类"),"中",IF(Y1158="无法识别","低",IF(M1158&lt;2,IF(O1158&lt;16,"低","中"),IF(M1158&lt;3,IF(O1158&lt;5,"低",IF(O1158&lt;16,"中","高")),IF(O1158&lt;5,"中","高"))))),IF(OR(J1158="EO",J1158="EQ"),IF(OR(Y1158="估算法",Y1158="算法类"),"中",IF(Y1158="无法识别","低",IF(M1158&lt;2,IF(O1158&lt;20,"低","中"),IF(M1158&lt;4,IF(O1158&lt;6,"低",IF(O1158&lt;20,"中","高")),IF(O1158&lt;6,"中","高"))))),IF(OR(J1158="ILF",J1158="EIF"),IF(OR(Y1158="估算法",Y1158="算法类",Y1158="无法识别"),"低",IF(N1158&lt;2,IF(O1158&lt;51,"低","中"),IF(N1158&lt;6,IF(O1158&lt;20,"低",IF(O1158&lt;51,"中","高")),IF(O1158&lt;20,"中","高")))),"不计算")))</f>
        <v/>
      </c>
      <c r="Q1158" s="172">
        <f>IFERROR(IF(J1158="EI",IF(P1158="低",3,IF(P1158="中",4,6)),IF(J1158="EO",IF(P1158="低",4,IF(P1158="中",5,7)),IF(J1158="EQ",IF(P1158="低",3,IF(P1158="中",4,6)),IF(J1158="ILF",IF(P1158="低",7,IF(P1158="中",10,15)),IF(J1158="EIF",IF(P1158="低",5,IF(P1158="中",7,10)),"不计算")))))*R1158,"不计算")</f>
        <v/>
      </c>
      <c r="R1158" s="172" t="n">
        <v>0.333333333333333</v>
      </c>
      <c r="S1158" s="173">
        <f>调整因子!$F$13</f>
        <v/>
      </c>
      <c r="T1158" s="92" t="n">
        <v>1</v>
      </c>
      <c r="U1158" s="174">
        <f>IFERROR(Q1158*S1158,0)</f>
        <v/>
      </c>
      <c r="V1158" s="178">
        <f>U1158*T1158</f>
        <v/>
      </c>
      <c r="W1158" s="103" t="inlineStr">
        <is>
          <t>扫描策略模板表、提醒策略配置表</t>
        </is>
      </c>
      <c r="X1158" s="103" t="inlineStr"/>
      <c r="Y1158" s="97" t="inlineStr">
        <is>
          <t>扫描策略模板表{任务ID、任务名称、任务状态、扫描器类型、开始时间、结束时间、扫描结果|任务ID、任务名称、任务状态}
提醒策略配置表{配置ID、配置名称、配置类型、配置值、创建时间|配置ID、配置名称、配置类型}</t>
        </is>
      </c>
      <c r="Z1158" s="90" t="n"/>
      <c r="AA1158" s="90" t="n"/>
    </row>
    <row r="1159" s="112">
      <c r="A1159" s="72">
        <f>ROW()-1</f>
        <v/>
      </c>
      <c r="B1159" s="175" t="n"/>
      <c r="C1159" s="124" t="n">
        <v>2026</v>
      </c>
      <c r="E1159" s="103" t="n"/>
      <c r="F1159" s="175" t="n"/>
      <c r="G1159" s="175" t="n"/>
      <c r="H1159" s="175" t="n"/>
      <c r="I1159" s="103" t="inlineStr">
        <is>
          <t>导出队列状态</t>
        </is>
      </c>
      <c r="J1159" s="93" t="inlineStr">
        <is>
          <t>EO</t>
        </is>
      </c>
      <c r="K1159" s="102" t="n"/>
      <c r="L1159" s="102" t="n"/>
      <c r="M1159" s="85">
        <f>IF(OR(Y1159="估算法",Y1159="算法类",Y1159="无法识别"),"",IF(W1159="",IF(OR(J1159="EI",J1159="EO",J1159="EQ"),0,""),LEN(W1159)-LEN(SUBSTITUTE(W1159,"、",""))+1))</f>
        <v/>
      </c>
      <c r="N1159" s="85">
        <f>IF(OR(Y1159="估算法",Y1159="算法类",Y1159="无法识别"),"",IF(X1159="",IF(OR(J1159="ILF",J1159="EIF"),0,""),LEN(X1159)-LEN(SUBSTITUTE(X1159,"、",""))+1))</f>
        <v/>
      </c>
      <c r="O1159" s="85">
        <f>IF(OR(Y1159="估算法",Y1159="算法类",Y1159="无法识别"),"",IF(Y1159="",IF(OR(J1159="ILF",J1159="EIF",J1159="EI",J1159="EO",J1159="EQ"),0,""),LEN(Y1159)-LEN(SUBSTITUTE(SUBSTITUTE(SUBSTITUTE(SUBSTITUTE(SUBSTITUTE(Y1159,"|}","--"),"{|","--"),CHAR(10),""),"、",""),"|",""))+IF(AND(OR(J1159="EI",J1159="EO",J1159="EQ"),$AE$1="NESMA"),2,1)))</f>
        <v/>
      </c>
      <c r="P1159" s="86">
        <f>IF(J1159="EI",IF(OR(Y1159="估算法",Y1159="算法类"),"中",IF(Y1159="无法识别","低",IF(M1159&lt;2,IF(O1159&lt;16,"低","中"),IF(M1159&lt;3,IF(O1159&lt;5,"低",IF(O1159&lt;16,"中","高")),IF(O1159&lt;5,"中","高"))))),IF(OR(J1159="EO",J1159="EQ"),IF(OR(Y1159="估算法",Y1159="算法类"),"中",IF(Y1159="无法识别","低",IF(M1159&lt;2,IF(O1159&lt;20,"低","中"),IF(M1159&lt;4,IF(O1159&lt;6,"低",IF(O1159&lt;20,"中","高")),IF(O1159&lt;6,"中","高"))))),IF(OR(J1159="ILF",J1159="EIF"),IF(OR(Y1159="估算法",Y1159="算法类",Y1159="无法识别"),"低",IF(N1159&lt;2,IF(O1159&lt;51,"低","中"),IF(N1159&lt;6,IF(O1159&lt;20,"低",IF(O1159&lt;51,"中","高")),IF(O1159&lt;20,"中","高")))),"不计算")))</f>
        <v/>
      </c>
      <c r="Q1159" s="172">
        <f>IFERROR(IF(J1159="EI",IF(P1159="低",3,IF(P1159="中",4,6)),IF(J1159="EO",IF(P1159="低",4,IF(P1159="中",5,7)),IF(J1159="EQ",IF(P1159="低",3,IF(P1159="中",4,6)),IF(J1159="ILF",IF(P1159="低",7,IF(P1159="中",10,15)),IF(J1159="EIF",IF(P1159="低",5,IF(P1159="中",7,10)),"不计算")))))*R1159,"不计算")</f>
        <v/>
      </c>
      <c r="R1159" s="172" t="n">
        <v>0.333333333333333</v>
      </c>
      <c r="S1159" s="173">
        <f>调整因子!$F$13</f>
        <v/>
      </c>
      <c r="T1159" s="93" t="n">
        <v>1</v>
      </c>
      <c r="U1159" s="174">
        <f>IFERROR(Q1159*S1159,0)</f>
        <v/>
      </c>
      <c r="V1159" s="178">
        <f>U1159*T1159</f>
        <v/>
      </c>
      <c r="W1159" s="103" t="inlineStr">
        <is>
          <t>同步任务调度表</t>
        </is>
      </c>
      <c r="X1159" s="103" t="inlineStr"/>
      <c r="Y1159" s="97" t="inlineStr">
        <is>
          <t>同步任务调度表{任务ID、任务名称|任务ID、任务名称、任务类型、任务状态、创建时间、执行时间}</t>
        </is>
      </c>
      <c r="Z1159" s="90" t="n"/>
      <c r="AA1159" s="90" t="n"/>
    </row>
    <row r="1160" s="112">
      <c r="A1160" s="72">
        <f>ROW()-1</f>
        <v/>
      </c>
      <c r="B1160" s="175" t="n"/>
      <c r="C1160" s="124" t="n">
        <v>2026</v>
      </c>
      <c r="E1160" s="103" t="n"/>
      <c r="F1160" s="175" t="n"/>
      <c r="G1160" s="175" t="n"/>
      <c r="H1160" s="175" t="n"/>
      <c r="I1160" s="103" t="inlineStr">
        <is>
          <t>查询队列列表</t>
        </is>
      </c>
      <c r="J1160" s="93" t="inlineStr">
        <is>
          <t>EO</t>
        </is>
      </c>
      <c r="K1160" s="102" t="n"/>
      <c r="L1160" s="102" t="n"/>
      <c r="M1160" s="85">
        <f>IF(OR(Y1160="估算法",Y1160="算法类",Y1160="无法识别"),"",IF(W1160="",IF(OR(J1160="EI",J1160="EO",J1160="EQ"),0,""),LEN(W1160)-LEN(SUBSTITUTE(W1160,"、",""))+1))</f>
        <v/>
      </c>
      <c r="N1160" s="85">
        <f>IF(OR(Y1160="估算法",Y1160="算法类",Y1160="无法识别"),"",IF(X1160="",IF(OR(J1160="ILF",J1160="EIF"),0,""),LEN(X1160)-LEN(SUBSTITUTE(X1160,"、",""))+1))</f>
        <v/>
      </c>
      <c r="O1160" s="85">
        <f>IF(OR(Y1160="估算法",Y1160="算法类",Y1160="无法识别"),"",IF(Y1160="",IF(OR(J1160="ILF",J1160="EIF",J1160="EI",J1160="EO",J1160="EQ"),0,""),LEN(Y1160)-LEN(SUBSTITUTE(SUBSTITUTE(SUBSTITUTE(SUBSTITUTE(SUBSTITUTE(Y1160,"|}","--"),"{|","--"),CHAR(10),""),"、",""),"|",""))+IF(AND(OR(J1160="EI",J1160="EO",J1160="EQ"),$AE$1="NESMA"),2,1)))</f>
        <v/>
      </c>
      <c r="P1160" s="86">
        <f>IF(J1160="EI",IF(OR(Y1160="估算法",Y1160="算法类"),"中",IF(Y1160="无法识别","低",IF(M1160&lt;2,IF(O1160&lt;16,"低","中"),IF(M1160&lt;3,IF(O1160&lt;5,"低",IF(O1160&lt;16,"中","高")),IF(O1160&lt;5,"中","高"))))),IF(OR(J1160="EO",J1160="EQ"),IF(OR(Y1160="估算法",Y1160="算法类"),"中",IF(Y1160="无法识别","低",IF(M1160&lt;2,IF(O1160&lt;20,"低","中"),IF(M1160&lt;4,IF(O1160&lt;6,"低",IF(O1160&lt;20,"中","高")),IF(O1160&lt;6,"中","高"))))),IF(OR(J1160="ILF",J1160="EIF"),IF(OR(Y1160="估算法",Y1160="算法类",Y1160="无法识别"),"低",IF(N1160&lt;2,IF(O1160&lt;51,"低","中"),IF(N1160&lt;6,IF(O1160&lt;20,"低",IF(O1160&lt;51,"中","高")),IF(O1160&lt;20,"中","高")))),"不计算")))</f>
        <v/>
      </c>
      <c r="Q1160" s="172">
        <f>IFERROR(IF(J1160="EI",IF(P1160="低",3,IF(P1160="中",4,6)),IF(J1160="EO",IF(P1160="低",4,IF(P1160="中",5,7)),IF(J1160="EQ",IF(P1160="低",3,IF(P1160="中",4,6)),IF(J1160="ILF",IF(P1160="低",7,IF(P1160="中",10,15)),IF(J1160="EIF",IF(P1160="低",5,IF(P1160="中",7,10)),"不计算")))))*R1160,"不计算")</f>
        <v/>
      </c>
      <c r="R1160" s="172" t="n">
        <v>0.333333333333333</v>
      </c>
      <c r="S1160" s="173">
        <f>调整因子!$F$13</f>
        <v/>
      </c>
      <c r="T1160" s="93" t="n">
        <v>1</v>
      </c>
      <c r="U1160" s="174">
        <f>IFERROR(Q1160*S1160,0)</f>
        <v/>
      </c>
      <c r="V1160" s="178">
        <f>U1160*T1160</f>
        <v/>
      </c>
      <c r="W1160" s="103" t="inlineStr">
        <is>
          <t>漏洞趋势数据表、复测配置表、资产查询接口配置表、修复步骤表、任务优先级配置表</t>
        </is>
      </c>
      <c r="X1160" s="103" t="inlineStr"/>
      <c r="Y1160" s="97" t="inlineStr">
        <is>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is>
      </c>
      <c r="Z1160" s="90" t="n"/>
      <c r="AA1160" s="90" t="n"/>
    </row>
    <row r="1161" s="112">
      <c r="A1161" s="72">
        <f>ROW()-1</f>
        <v/>
      </c>
      <c r="B1161" s="175" t="n"/>
      <c r="C1161" s="124" t="n">
        <v>2026</v>
      </c>
      <c r="E1161" s="103" t="n"/>
      <c r="F1161" s="175" t="n"/>
      <c r="G1161" s="176" t="n"/>
      <c r="H1161" s="176" t="n"/>
      <c r="I1161" s="103" t="inlineStr">
        <is>
          <t>查看队列详情</t>
        </is>
      </c>
      <c r="J1161" s="93" t="inlineStr">
        <is>
          <t>EQ</t>
        </is>
      </c>
      <c r="K1161" s="102" t="n"/>
      <c r="L1161" s="102" t="n"/>
      <c r="M1161" s="85">
        <f>IF(OR(Y1161="估算法",Y1161="算法类",Y1161="无法识别"),"",IF(W1161="",IF(OR(J1161="EI",J1161="EO",J1161="EQ"),0,""),LEN(W1161)-LEN(SUBSTITUTE(W1161,"、",""))+1))</f>
        <v/>
      </c>
      <c r="N1161" s="85">
        <f>IF(OR(Y1161="估算法",Y1161="算法类",Y1161="无法识别"),"",IF(X1161="",IF(OR(J1161="ILF",J1161="EIF"),0,""),LEN(X1161)-LEN(SUBSTITUTE(X1161,"、",""))+1))</f>
        <v/>
      </c>
      <c r="O1161" s="85">
        <f>IF(OR(Y1161="估算法",Y1161="算法类",Y1161="无法识别"),"",IF(Y1161="",IF(OR(J1161="ILF",J1161="EIF",J1161="EI",J1161="EO",J1161="EQ"),0,""),LEN(Y1161)-LEN(SUBSTITUTE(SUBSTITUTE(SUBSTITUTE(SUBSTITUTE(SUBSTITUTE(Y1161,"|}","--"),"{|","--"),CHAR(10),""),"、",""),"|",""))+IF(AND(OR(J1161="EI",J1161="EO",J1161="EQ"),$AE$1="NESMA"),2,1)))</f>
        <v/>
      </c>
      <c r="P1161" s="86">
        <f>IF(J1161="EI",IF(OR(Y1161="估算法",Y1161="算法类"),"中",IF(Y1161="无法识别","低",IF(M1161&lt;2,IF(O1161&lt;16,"低","中"),IF(M1161&lt;3,IF(O1161&lt;5,"低",IF(O1161&lt;16,"中","高")),IF(O1161&lt;5,"中","高"))))),IF(OR(J1161="EO",J1161="EQ"),IF(OR(Y1161="估算法",Y1161="算法类"),"中",IF(Y1161="无法识别","低",IF(M1161&lt;2,IF(O1161&lt;20,"低","中"),IF(M1161&lt;4,IF(O1161&lt;6,"低",IF(O1161&lt;20,"中","高")),IF(O1161&lt;6,"中","高"))))),IF(OR(J1161="ILF",J1161="EIF"),IF(OR(Y1161="估算法",Y1161="算法类",Y1161="无法识别"),"低",IF(N1161&lt;2,IF(O1161&lt;51,"低","中"),IF(N1161&lt;6,IF(O1161&lt;20,"低",IF(O1161&lt;51,"中","高")),IF(O1161&lt;20,"中","高")))),"不计算")))</f>
        <v/>
      </c>
      <c r="Q1161" s="172">
        <f>IFERROR(IF(J1161="EI",IF(P1161="低",3,IF(P1161="中",4,6)),IF(J1161="EO",IF(P1161="低",4,IF(P1161="中",5,7)),IF(J1161="EQ",IF(P1161="低",3,IF(P1161="中",4,6)),IF(J1161="ILF",IF(P1161="低",7,IF(P1161="中",10,15)),IF(J1161="EIF",IF(P1161="低",5,IF(P1161="中",7,10)),"不计算")))))*R1161,"不计算")</f>
        <v/>
      </c>
      <c r="R1161" s="172" t="n">
        <v>0.333333333333333</v>
      </c>
      <c r="S1161" s="173">
        <f>调整因子!$F$13</f>
        <v/>
      </c>
      <c r="T1161" s="92" t="n">
        <v>1</v>
      </c>
      <c r="U1161" s="174">
        <f>IFERROR(Q1161*S1161,0)</f>
        <v/>
      </c>
      <c r="V1161" s="178">
        <f>U1161*T1161</f>
        <v/>
      </c>
      <c r="W1161" s="103" t="inlineStr">
        <is>
          <t>日志查询记录表、方案审批表、态势大屏配置表、考核指标配置表</t>
        </is>
      </c>
      <c r="X1161" s="103" t="inlineStr"/>
      <c r="Y1161" s="97" t="inlineStr">
        <is>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is>
      </c>
      <c r="Z1161" s="90" t="n"/>
      <c r="AA1161" s="90" t="n"/>
    </row>
    <row r="1162" s="112">
      <c r="A1162" s="72">
        <f>ROW()-1</f>
        <v/>
      </c>
      <c r="B1162" s="175" t="n"/>
      <c r="C1162" s="124" t="n">
        <v>2026</v>
      </c>
      <c r="E1162" s="103" t="n"/>
      <c r="F1162" s="175" t="n"/>
      <c r="G1162" s="97" t="inlineStr">
        <is>
          <t>扫描任务失败自动重试与转移</t>
        </is>
      </c>
      <c r="H1162" s="97" t="inlineStr">
        <is>
          <t>失败重试管理</t>
        </is>
      </c>
      <c r="I1162" s="103" t="inlineStr">
        <is>
          <t>编辑重试策略</t>
        </is>
      </c>
      <c r="J1162" s="93" t="inlineStr">
        <is>
          <t>EI</t>
        </is>
      </c>
      <c r="K1162" s="102" t="n"/>
      <c r="L1162" s="102" t="n"/>
      <c r="M1162" s="85">
        <f>IF(OR(Y1162="估算法",Y1162="算法类",Y1162="无法识别"),"",IF(W1162="",IF(OR(J1162="EI",J1162="EO",J1162="EQ"),0,""),LEN(W1162)-LEN(SUBSTITUTE(W1162,"、",""))+1))</f>
        <v/>
      </c>
      <c r="N1162" s="85">
        <f>IF(OR(Y1162="估算法",Y1162="算法类",Y1162="无法识别"),"",IF(X1162="",IF(OR(J1162="ILF",J1162="EIF"),0,""),LEN(X1162)-LEN(SUBSTITUTE(X1162,"、",""))+1))</f>
        <v/>
      </c>
      <c r="O1162" s="85">
        <f>IF(OR(Y1162="估算法",Y1162="算法类",Y1162="无法识别"),"",IF(Y1162="",IF(OR(J1162="ILF",J1162="EIF",J1162="EI",J1162="EO",J1162="EQ"),0,""),LEN(Y1162)-LEN(SUBSTITUTE(SUBSTITUTE(SUBSTITUTE(SUBSTITUTE(SUBSTITUTE(Y1162,"|}","--"),"{|","--"),CHAR(10),""),"、",""),"|",""))+IF(AND(OR(J1162="EI",J1162="EO",J1162="EQ"),$AE$1="NESMA"),2,1)))</f>
        <v/>
      </c>
      <c r="P1162" s="86">
        <f>IF(J1162="EI",IF(OR(Y1162="估算法",Y1162="算法类"),"中",IF(Y1162="无法识别","低",IF(M1162&lt;2,IF(O1162&lt;16,"低","中"),IF(M1162&lt;3,IF(O1162&lt;5,"低",IF(O1162&lt;16,"中","高")),IF(O1162&lt;5,"中","高"))))),IF(OR(J1162="EO",J1162="EQ"),IF(OR(Y1162="估算法",Y1162="算法类"),"中",IF(Y1162="无法识别","低",IF(M1162&lt;2,IF(O1162&lt;20,"低","中"),IF(M1162&lt;4,IF(O1162&lt;6,"低",IF(O1162&lt;20,"中","高")),IF(O1162&lt;6,"中","高"))))),IF(OR(J1162="ILF",J1162="EIF"),IF(OR(Y1162="估算法",Y1162="算法类",Y1162="无法识别"),"低",IF(N1162&lt;2,IF(O1162&lt;51,"低","中"),IF(N1162&lt;6,IF(O1162&lt;20,"低",IF(O1162&lt;51,"中","高")),IF(O1162&lt;20,"中","高")))),"不计算")))</f>
        <v/>
      </c>
      <c r="Q1162" s="172">
        <f>IFERROR(IF(J1162="EI",IF(P1162="低",3,IF(P1162="中",4,6)),IF(J1162="EO",IF(P1162="低",4,IF(P1162="中",5,7)),IF(J1162="EQ",IF(P1162="低",3,IF(P1162="中",4,6)),IF(J1162="ILF",IF(P1162="低",7,IF(P1162="中",10,15)),IF(J1162="EIF",IF(P1162="低",5,IF(P1162="中",7,10)),"不计算")))))*R1162,"不计算")</f>
        <v/>
      </c>
      <c r="R1162" s="172" t="n">
        <v>1</v>
      </c>
      <c r="S1162" s="173">
        <f>调整因子!$F$13</f>
        <v/>
      </c>
      <c r="T1162" s="92" t="n">
        <v>1</v>
      </c>
      <c r="U1162" s="174">
        <f>IFERROR(Q1162*S1162,0)</f>
        <v/>
      </c>
      <c r="V1162" s="178">
        <f>U1162*T1162</f>
        <v/>
      </c>
      <c r="W1162" s="103" t="inlineStr">
        <is>
          <t>扫描策略模板表、提醒策略配置表</t>
        </is>
      </c>
      <c r="X1162" s="103" t="inlineStr"/>
      <c r="Y1162" s="97" t="inlineStr">
        <is>
          <t>扫描策略模板表{任务ID、任务名称、任务状态、扫描器类型、开始时间、结束时间、扫描结果|任务ID、任务名称、任务状态}
提醒策略配置表{配置ID、配置名称、配置类型、配置值、创建时间|配置ID、配置名称、配置类型}</t>
        </is>
      </c>
      <c r="Z1162" s="90" t="n"/>
      <c r="AA1162" s="90" t="n"/>
    </row>
    <row r="1163" s="112">
      <c r="A1163" s="72">
        <f>ROW()-1</f>
        <v/>
      </c>
      <c r="B1163" s="175" t="n"/>
      <c r="C1163" s="124" t="n">
        <v>2026</v>
      </c>
      <c r="E1163" s="103" t="n"/>
      <c r="F1163" s="175" t="n"/>
      <c r="G1163" s="175" t="n"/>
      <c r="H1163" s="175" t="n"/>
      <c r="I1163" s="103" t="inlineStr">
        <is>
          <t>删除重试策略</t>
        </is>
      </c>
      <c r="J1163" s="93" t="inlineStr">
        <is>
          <t>EI</t>
        </is>
      </c>
      <c r="K1163" s="102" t="n"/>
      <c r="L1163" s="102" t="n"/>
      <c r="M1163" s="85">
        <f>IF(OR(Y1163="估算法",Y1163="算法类",Y1163="无法识别"),"",IF(W1163="",IF(OR(J1163="EI",J1163="EO",J1163="EQ"),0,""),LEN(W1163)-LEN(SUBSTITUTE(W1163,"、",""))+1))</f>
        <v/>
      </c>
      <c r="N1163" s="85">
        <f>IF(OR(Y1163="估算法",Y1163="算法类",Y1163="无法识别"),"",IF(X1163="",IF(OR(J1163="ILF",J1163="EIF"),0,""),LEN(X1163)-LEN(SUBSTITUTE(X1163,"、",""))+1))</f>
        <v/>
      </c>
      <c r="O1163" s="85">
        <f>IF(OR(Y1163="估算法",Y1163="算法类",Y1163="无法识别"),"",IF(Y1163="",IF(OR(J1163="ILF",J1163="EIF",J1163="EI",J1163="EO",J1163="EQ"),0,""),LEN(Y1163)-LEN(SUBSTITUTE(SUBSTITUTE(SUBSTITUTE(SUBSTITUTE(SUBSTITUTE(Y1163,"|}","--"),"{|","--"),CHAR(10),""),"、",""),"|",""))+IF(AND(OR(J1163="EI",J1163="EO",J1163="EQ"),$AE$1="NESMA"),2,1)))</f>
        <v/>
      </c>
      <c r="P1163" s="86">
        <f>IF(J1163="EI",IF(OR(Y1163="估算法",Y1163="算法类"),"中",IF(Y1163="无法识别","低",IF(M1163&lt;2,IF(O1163&lt;16,"低","中"),IF(M1163&lt;3,IF(O1163&lt;5,"低",IF(O1163&lt;16,"中","高")),IF(O1163&lt;5,"中","高"))))),IF(OR(J1163="EO",J1163="EQ"),IF(OR(Y1163="估算法",Y1163="算法类"),"中",IF(Y1163="无法识别","低",IF(M1163&lt;2,IF(O1163&lt;20,"低","中"),IF(M1163&lt;4,IF(O1163&lt;6,"低",IF(O1163&lt;20,"中","高")),IF(O1163&lt;6,"中","高"))))),IF(OR(J1163="ILF",J1163="EIF"),IF(OR(Y1163="估算法",Y1163="算法类",Y1163="无法识别"),"低",IF(N1163&lt;2,IF(O1163&lt;51,"低","中"),IF(N1163&lt;6,IF(O1163&lt;20,"低",IF(O1163&lt;51,"中","高")),IF(O1163&lt;20,"中","高")))),"不计算")))</f>
        <v/>
      </c>
      <c r="Q1163" s="172">
        <f>IFERROR(IF(J1163="EI",IF(P1163="低",3,IF(P1163="中",4,6)),IF(J1163="EO",IF(P1163="低",4,IF(P1163="中",5,7)),IF(J1163="EQ",IF(P1163="低",3,IF(P1163="中",4,6)),IF(J1163="ILF",IF(P1163="低",7,IF(P1163="中",10,15)),IF(J1163="EIF",IF(P1163="低",5,IF(P1163="中",7,10)),"不计算")))))*R1163,"不计算")</f>
        <v/>
      </c>
      <c r="R1163" s="172" t="n">
        <v>0.333333333333333</v>
      </c>
      <c r="S1163" s="173">
        <f>调整因子!$F$13</f>
        <v/>
      </c>
      <c r="T1163" s="93" t="n">
        <v>1</v>
      </c>
      <c r="U1163" s="174">
        <f>IFERROR(Q1163*S1163,0)</f>
        <v/>
      </c>
      <c r="V1163" s="178">
        <f>U1163*T1163</f>
        <v/>
      </c>
      <c r="W1163" s="103" t="inlineStr">
        <is>
          <t>扫描策略模板表</t>
        </is>
      </c>
      <c r="X1163" s="103" t="inlineStr"/>
      <c r="Y1163" s="97" t="inlineStr">
        <is>
          <t>扫描策略模板表{任务ID、任务名称、任务状态、扫描器类型、开始时间、结束时间、扫描结果|任务ID、任务名称、任务状态}</t>
        </is>
      </c>
      <c r="Z1163" s="90" t="n"/>
      <c r="AA1163" s="90" t="n"/>
    </row>
    <row r="1164" s="112">
      <c r="A1164" s="72">
        <f>ROW()-1</f>
        <v/>
      </c>
      <c r="B1164" s="175" t="n"/>
      <c r="C1164" s="124" t="n">
        <v>2026</v>
      </c>
      <c r="E1164" s="103" t="n"/>
      <c r="F1164" s="175" t="n"/>
      <c r="G1164" s="175" t="n"/>
      <c r="H1164" s="175" t="n"/>
      <c r="I1164" s="103" t="inlineStr">
        <is>
          <t>启用自动重试</t>
        </is>
      </c>
      <c r="J1164" s="93" t="inlineStr">
        <is>
          <t>EI</t>
        </is>
      </c>
      <c r="K1164" s="102" t="n"/>
      <c r="L1164" s="102" t="n"/>
      <c r="M1164" s="85">
        <f>IF(OR(Y1164="估算法",Y1164="算法类",Y1164="无法识别"),"",IF(W1164="",IF(OR(J1164="EI",J1164="EO",J1164="EQ"),0,""),LEN(W1164)-LEN(SUBSTITUTE(W1164,"、",""))+1))</f>
        <v/>
      </c>
      <c r="N1164" s="85">
        <f>IF(OR(Y1164="估算法",Y1164="算法类",Y1164="无法识别"),"",IF(X1164="",IF(OR(J1164="ILF",J1164="EIF"),0,""),LEN(X1164)-LEN(SUBSTITUTE(X1164,"、",""))+1))</f>
        <v/>
      </c>
      <c r="O1164" s="85">
        <f>IF(OR(Y1164="估算法",Y1164="算法类",Y1164="无法识别"),"",IF(Y1164="",IF(OR(J1164="ILF",J1164="EIF",J1164="EI",J1164="EO",J1164="EQ"),0,""),LEN(Y1164)-LEN(SUBSTITUTE(SUBSTITUTE(SUBSTITUTE(SUBSTITUTE(SUBSTITUTE(Y1164,"|}","--"),"{|","--"),CHAR(10),""),"、",""),"|",""))+IF(AND(OR(J1164="EI",J1164="EO",J1164="EQ"),$AE$1="NESMA"),2,1)))</f>
        <v/>
      </c>
      <c r="P1164" s="86">
        <f>IF(J1164="EI",IF(OR(Y1164="估算法",Y1164="算法类"),"中",IF(Y1164="无法识别","低",IF(M1164&lt;2,IF(O1164&lt;16,"低","中"),IF(M1164&lt;3,IF(O1164&lt;5,"低",IF(O1164&lt;16,"中","高")),IF(O1164&lt;5,"中","高"))))),IF(OR(J1164="EO",J1164="EQ"),IF(OR(Y1164="估算法",Y1164="算法类"),"中",IF(Y1164="无法识别","低",IF(M1164&lt;2,IF(O1164&lt;20,"低","中"),IF(M1164&lt;4,IF(O1164&lt;6,"低",IF(O1164&lt;20,"中","高")),IF(O1164&lt;6,"中","高"))))),IF(OR(J1164="ILF",J1164="EIF"),IF(OR(Y1164="估算法",Y1164="算法类",Y1164="无法识别"),"低",IF(N1164&lt;2,IF(O1164&lt;51,"低","中"),IF(N1164&lt;6,IF(O1164&lt;20,"低",IF(O1164&lt;51,"中","高")),IF(O1164&lt;20,"中","高")))),"不计算")))</f>
        <v/>
      </c>
      <c r="Q1164" s="172">
        <f>IFERROR(IF(J1164="EI",IF(P1164="低",3,IF(P1164="中",4,6)),IF(J1164="EO",IF(P1164="低",4,IF(P1164="中",5,7)),IF(J1164="EQ",IF(P1164="低",3,IF(P1164="中",4,6)),IF(J1164="ILF",IF(P1164="低",7,IF(P1164="中",10,15)),IF(J1164="EIF",IF(P1164="低",5,IF(P1164="中",7,10)),"不计算")))))*R1164,"不计算")</f>
        <v/>
      </c>
      <c r="R1164" s="172" t="n">
        <v>1</v>
      </c>
      <c r="S1164" s="173">
        <f>调整因子!$F$13</f>
        <v/>
      </c>
      <c r="T1164" s="92" t="n">
        <v>1</v>
      </c>
      <c r="U1164" s="174">
        <f>IFERROR(Q1164*S1164,0)</f>
        <v/>
      </c>
      <c r="V1164" s="178">
        <f>U1164*T1164</f>
        <v/>
      </c>
      <c r="W1164" s="103" t="inlineStr">
        <is>
          <t>验证任务表</t>
        </is>
      </c>
      <c r="X1164" s="103" t="inlineStr"/>
      <c r="Y1164" s="97" t="inlineStr">
        <is>
          <t>验证任务表{任务ID、任务名称、任务类型、任务状态、创建时间、执行时间|任务ID、任务名称、任务类型}</t>
        </is>
      </c>
      <c r="Z1164" s="90" t="n"/>
      <c r="AA1164" s="90" t="n"/>
    </row>
    <row r="1165" s="112">
      <c r="A1165" s="72">
        <f>ROW()-1</f>
        <v/>
      </c>
      <c r="B1165" s="175" t="n"/>
      <c r="C1165" s="124" t="n">
        <v>2026</v>
      </c>
      <c r="E1165" s="103" t="n"/>
      <c r="F1165" s="175" t="n"/>
      <c r="G1165" s="175" t="n"/>
      <c r="H1165" s="175" t="n"/>
      <c r="I1165" s="103" t="inlineStr">
        <is>
          <t>停用自动重试</t>
        </is>
      </c>
      <c r="J1165" s="93" t="n"/>
      <c r="K1165" s="102" t="n"/>
      <c r="L1165" s="102" t="inlineStr">
        <is>
          <t>和上行合并，启停为相同功能</t>
        </is>
      </c>
      <c r="M1165" s="85">
        <f>IF(OR(Y1165="估算法",Y1165="算法类",Y1165="无法识别"),"",IF(W1165="",IF(OR(J1165="EI",J1165="EO",J1165="EQ"),0,""),LEN(W1165)-LEN(SUBSTITUTE(W1165,"、",""))+1))</f>
        <v/>
      </c>
      <c r="N1165" s="85">
        <f>IF(OR(Y1165="估算法",Y1165="算法类",Y1165="无法识别"),"",IF(X1165="",IF(OR(J1165="ILF",J1165="EIF"),0,""),LEN(X1165)-LEN(SUBSTITUTE(X1165,"、",""))+1))</f>
        <v/>
      </c>
      <c r="O1165" s="85">
        <f>IF(OR(Y1165="估算法",Y1165="算法类",Y1165="无法识别"),"",IF(Y1165="",IF(OR(J1165="ILF",J1165="EIF",J1165="EI",J1165="EO",J1165="EQ"),0,""),LEN(Y1165)-LEN(SUBSTITUTE(SUBSTITUTE(SUBSTITUTE(SUBSTITUTE(SUBSTITUTE(Y1165,"|}","--"),"{|","--"),CHAR(10),""),"、",""),"|",""))+IF(AND(OR(J1165="EI",J1165="EO",J1165="EQ"),$AE$1="NESMA"),2,1)))</f>
        <v/>
      </c>
      <c r="P1165" s="86">
        <f>IF(J1165="EI",IF(OR(Y1165="估算法",Y1165="算法类"),"中",IF(Y1165="无法识别","低",IF(M1165&lt;2,IF(O1165&lt;16,"低","中"),IF(M1165&lt;3,IF(O1165&lt;5,"低",IF(O1165&lt;16,"中","高")),IF(O1165&lt;5,"中","高"))))),IF(OR(J1165="EO",J1165="EQ"),IF(OR(Y1165="估算法",Y1165="算法类"),"中",IF(Y1165="无法识别","低",IF(M1165&lt;2,IF(O1165&lt;20,"低","中"),IF(M1165&lt;4,IF(O1165&lt;6,"低",IF(O1165&lt;20,"中","高")),IF(O1165&lt;6,"中","高"))))),IF(OR(J1165="ILF",J1165="EIF"),IF(OR(Y1165="估算法",Y1165="算法类",Y1165="无法识别"),"低",IF(N1165&lt;2,IF(O1165&lt;51,"低","中"),IF(N1165&lt;6,IF(O1165&lt;20,"低",IF(O1165&lt;51,"中","高")),IF(O1165&lt;20,"中","高")))),"不计算")))</f>
        <v/>
      </c>
      <c r="Q1165" s="172">
        <f>IFERROR(IF(J1165="EI",IF(P1165="低",3,IF(P1165="中",4,6)),IF(J1165="EO",IF(P1165="低",4,IF(P1165="中",5,7)),IF(J1165="EQ",IF(P1165="低",3,IF(P1165="中",4,6)),IF(J1165="ILF",IF(P1165="低",7,IF(P1165="中",10,15)),IF(J1165="EIF",IF(P1165="低",5,IF(P1165="中",7,10)),"不计算")))))*R1165,"不计算")</f>
        <v/>
      </c>
      <c r="R1165" s="172" t="n">
        <v>1</v>
      </c>
      <c r="S1165" s="173">
        <f>调整因子!$F$13</f>
        <v/>
      </c>
      <c r="T1165" s="92" t="n">
        <v>1</v>
      </c>
      <c r="U1165" s="174">
        <f>IFERROR(Q1165*S1165,0)</f>
        <v/>
      </c>
      <c r="V1165" s="178">
        <f>U1165*T1165</f>
        <v/>
      </c>
      <c r="W1165" s="103" t="inlineStr">
        <is>
          <t>同步失败重试记录表、提醒规则表</t>
        </is>
      </c>
      <c r="X1165" s="103" t="inlineStr"/>
      <c r="Y1165" s="97" t="inlineStr">
        <is>
          <t>同步失败重试记录表{ID、名称、类型、状态、创建时间、更新时间|ID、名称、类型}
提醒规则表{规则ID、规则名称、规则类型、规则条件、创建时间|规则ID、规则名称、规则类型}</t>
        </is>
      </c>
      <c r="Z1165" s="90" t="n"/>
      <c r="AA1165" s="90" t="n"/>
    </row>
    <row r="1166" s="112">
      <c r="A1166" s="72">
        <f>ROW()-1</f>
        <v/>
      </c>
      <c r="B1166" s="175" t="n"/>
      <c r="C1166" s="124" t="n">
        <v>2026</v>
      </c>
      <c r="E1166" s="103" t="n"/>
      <c r="F1166" s="175" t="n"/>
      <c r="G1166" s="175" t="n"/>
      <c r="H1166" s="175" t="n"/>
      <c r="I1166" s="103" t="inlineStr">
        <is>
          <t>导出重试记录</t>
        </is>
      </c>
      <c r="J1166" s="93" t="inlineStr">
        <is>
          <t>EO</t>
        </is>
      </c>
      <c r="K1166" s="102" t="n"/>
      <c r="L1166" s="102" t="n"/>
      <c r="M1166" s="85">
        <f>IF(OR(Y1166="估算法",Y1166="算法类",Y1166="无法识别"),"",IF(W1166="",IF(OR(J1166="EI",J1166="EO",J1166="EQ"),0,""),LEN(W1166)-LEN(SUBSTITUTE(W1166,"、",""))+1))</f>
        <v/>
      </c>
      <c r="N1166" s="85">
        <f>IF(OR(Y1166="估算法",Y1166="算法类",Y1166="无法识别"),"",IF(X1166="",IF(OR(J1166="ILF",J1166="EIF"),0,""),LEN(X1166)-LEN(SUBSTITUTE(X1166,"、",""))+1))</f>
        <v/>
      </c>
      <c r="O1166" s="85">
        <f>IF(OR(Y1166="估算法",Y1166="算法类",Y1166="无法识别"),"",IF(Y1166="",IF(OR(J1166="ILF",J1166="EIF",J1166="EI",J1166="EO",J1166="EQ"),0,""),LEN(Y1166)-LEN(SUBSTITUTE(SUBSTITUTE(SUBSTITUTE(SUBSTITUTE(SUBSTITUTE(Y1166,"|}","--"),"{|","--"),CHAR(10),""),"、",""),"|",""))+IF(AND(OR(J1166="EI",J1166="EO",J1166="EQ"),$AE$1="NESMA"),2,1)))</f>
        <v/>
      </c>
      <c r="P1166" s="86">
        <f>IF(J1166="EI",IF(OR(Y1166="估算法",Y1166="算法类"),"中",IF(Y1166="无法识别","低",IF(M1166&lt;2,IF(O1166&lt;16,"低","中"),IF(M1166&lt;3,IF(O1166&lt;5,"低",IF(O1166&lt;16,"中","高")),IF(O1166&lt;5,"中","高"))))),IF(OR(J1166="EO",J1166="EQ"),IF(OR(Y1166="估算法",Y1166="算法类"),"中",IF(Y1166="无法识别","低",IF(M1166&lt;2,IF(O1166&lt;20,"低","中"),IF(M1166&lt;4,IF(O1166&lt;6,"低",IF(O1166&lt;20,"中","高")),IF(O1166&lt;6,"中","高"))))),IF(OR(J1166="ILF",J1166="EIF"),IF(OR(Y1166="估算法",Y1166="算法类",Y1166="无法识别"),"低",IF(N1166&lt;2,IF(O1166&lt;51,"低","中"),IF(N1166&lt;6,IF(O1166&lt;20,"低",IF(O1166&lt;51,"中","高")),IF(O1166&lt;20,"中","高")))),"不计算")))</f>
        <v/>
      </c>
      <c r="Q1166" s="172">
        <f>IFERROR(IF(J1166="EI",IF(P1166="低",3,IF(P1166="中",4,6)),IF(J1166="EO",IF(P1166="低",4,IF(P1166="中",5,7)),IF(J1166="EQ",IF(P1166="低",3,IF(P1166="中",4,6)),IF(J1166="ILF",IF(P1166="低",7,IF(P1166="中",10,15)),IF(J1166="EIF",IF(P1166="低",5,IF(P1166="中",7,10)),"不计算")))))*R1166,"不计算")</f>
        <v/>
      </c>
      <c r="R1166" s="172" t="n">
        <v>1</v>
      </c>
      <c r="S1166" s="173">
        <f>调整因子!$F$13</f>
        <v/>
      </c>
      <c r="T1166" s="93" t="n">
        <v>1</v>
      </c>
      <c r="U1166" s="174">
        <f>IFERROR(Q1166*S1166,0)</f>
        <v/>
      </c>
      <c r="V1166" s="178">
        <f>U1166*T1166</f>
        <v/>
      </c>
      <c r="W1166" s="103" t="inlineStr">
        <is>
          <t>标签定义表、修复方案表</t>
        </is>
      </c>
      <c r="X1166" s="103" t="inlineStr"/>
      <c r="Y1166" s="97" t="inlineStr">
        <is>
          <t>标签定义表{ID、名称|ID、名称、类型、状态、创建时间、更新时间}
修复方案表{ID、名称|ID、名称、类型、状态、创建时间、更新时间}</t>
        </is>
      </c>
      <c r="Z1166" s="90" t="n"/>
      <c r="AA1166" s="90" t="n"/>
    </row>
    <row r="1167" s="112">
      <c r="A1167" s="72">
        <f>ROW()-1</f>
        <v/>
      </c>
      <c r="B1167" s="175" t="n"/>
      <c r="C1167" s="124" t="n">
        <v>2026</v>
      </c>
      <c r="E1167" s="103" t="n"/>
      <c r="F1167" s="175" t="n"/>
      <c r="G1167" s="175" t="n"/>
      <c r="H1167" s="175" t="n"/>
      <c r="I1167" s="103" t="inlineStr">
        <is>
          <t>查询重试记录</t>
        </is>
      </c>
      <c r="J1167" s="93" t="inlineStr">
        <is>
          <t>EO</t>
        </is>
      </c>
      <c r="K1167" s="102" t="n"/>
      <c r="L1167" s="102" t="n"/>
      <c r="M1167" s="85">
        <f>IF(OR(Y1167="估算法",Y1167="算法类",Y1167="无法识别"),"",IF(W1167="",IF(OR(J1167="EI",J1167="EO",J1167="EQ"),0,""),LEN(W1167)-LEN(SUBSTITUTE(W1167,"、",""))+1))</f>
        <v/>
      </c>
      <c r="N1167" s="85">
        <f>IF(OR(Y1167="估算法",Y1167="算法类",Y1167="无法识别"),"",IF(X1167="",IF(OR(J1167="ILF",J1167="EIF"),0,""),LEN(X1167)-LEN(SUBSTITUTE(X1167,"、",""))+1))</f>
        <v/>
      </c>
      <c r="O1167" s="85">
        <f>IF(OR(Y1167="估算法",Y1167="算法类",Y1167="无法识别"),"",IF(Y1167="",IF(OR(J1167="ILF",J1167="EIF",J1167="EI",J1167="EO",J1167="EQ"),0,""),LEN(Y1167)-LEN(SUBSTITUTE(SUBSTITUTE(SUBSTITUTE(SUBSTITUTE(SUBSTITUTE(Y1167,"|}","--"),"{|","--"),CHAR(10),""),"、",""),"|",""))+IF(AND(OR(J1167="EI",J1167="EO",J1167="EQ"),$AE$1="NESMA"),2,1)))</f>
        <v/>
      </c>
      <c r="P1167" s="86">
        <f>IF(J1167="EI",IF(OR(Y1167="估算法",Y1167="算法类"),"中",IF(Y1167="无法识别","低",IF(M1167&lt;2,IF(O1167&lt;16,"低","中"),IF(M1167&lt;3,IF(O1167&lt;5,"低",IF(O1167&lt;16,"中","高")),IF(O1167&lt;5,"中","高"))))),IF(OR(J1167="EO",J1167="EQ"),IF(OR(Y1167="估算法",Y1167="算法类"),"中",IF(Y1167="无法识别","低",IF(M1167&lt;2,IF(O1167&lt;20,"低","中"),IF(M1167&lt;4,IF(O1167&lt;6,"低",IF(O1167&lt;20,"中","高")),IF(O1167&lt;6,"中","高"))))),IF(OR(J1167="ILF",J1167="EIF"),IF(OR(Y1167="估算法",Y1167="算法类",Y1167="无法识别"),"低",IF(N1167&lt;2,IF(O1167&lt;51,"低","中"),IF(N1167&lt;6,IF(O1167&lt;20,"低",IF(O1167&lt;51,"中","高")),IF(O1167&lt;20,"中","高")))),"不计算")))</f>
        <v/>
      </c>
      <c r="Q1167" s="172">
        <f>IFERROR(IF(J1167="EI",IF(P1167="低",3,IF(P1167="中",4,6)),IF(J1167="EO",IF(P1167="低",4,IF(P1167="中",5,7)),IF(J1167="EQ",IF(P1167="低",3,IF(P1167="中",4,6)),IF(J1167="ILF",IF(P1167="低",7,IF(P1167="中",10,15)),IF(J1167="EIF",IF(P1167="低",5,IF(P1167="中",7,10)),"不计算")))))*R1167,"不计算")</f>
        <v/>
      </c>
      <c r="R1167" s="172" t="n">
        <v>1</v>
      </c>
      <c r="S1167" s="173">
        <f>调整因子!$F$13</f>
        <v/>
      </c>
      <c r="T1167" s="93" t="n">
        <v>1</v>
      </c>
      <c r="U1167" s="174">
        <f>IFERROR(Q1167*S1167,0)</f>
        <v/>
      </c>
      <c r="V1167" s="178">
        <f>U1167*T1167</f>
        <v/>
      </c>
      <c r="W1167" s="103" t="inlineStr">
        <is>
          <t>资产同步任务表、模板配置表、报告模板表、任务队列表</t>
        </is>
      </c>
      <c r="X1167" s="103" t="inlineStr"/>
      <c r="Y1167" s="97" t="inlineStr">
        <is>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is>
      </c>
      <c r="Z1167" s="90" t="n"/>
      <c r="AA1167" s="90" t="n"/>
    </row>
    <row r="1168" s="112">
      <c r="A1168" s="72">
        <f>ROW()-1</f>
        <v/>
      </c>
      <c r="B1168" s="175" t="n"/>
      <c r="C1168" s="124" t="n">
        <v>2026</v>
      </c>
      <c r="E1168" s="103" t="n"/>
      <c r="F1168" s="175" t="n"/>
      <c r="G1168" s="175" t="n"/>
      <c r="H1168" s="176" t="n"/>
      <c r="I1168" s="103" t="inlineStr">
        <is>
          <t>查看重试详情</t>
        </is>
      </c>
      <c r="J1168" s="93" t="inlineStr">
        <is>
          <t>EQ</t>
        </is>
      </c>
      <c r="K1168" s="102" t="n"/>
      <c r="L1168" s="102" t="n"/>
      <c r="M1168" s="85">
        <f>IF(OR(Y1168="估算法",Y1168="算法类",Y1168="无法识别"),"",IF(W1168="",IF(OR(J1168="EI",J1168="EO",J1168="EQ"),0,""),LEN(W1168)-LEN(SUBSTITUTE(W1168,"、",""))+1))</f>
        <v/>
      </c>
      <c r="N1168" s="85">
        <f>IF(OR(Y1168="估算法",Y1168="算法类",Y1168="无法识别"),"",IF(X1168="",IF(OR(J1168="ILF",J1168="EIF"),0,""),LEN(X1168)-LEN(SUBSTITUTE(X1168,"、",""))+1))</f>
        <v/>
      </c>
      <c r="O1168" s="85">
        <f>IF(OR(Y1168="估算法",Y1168="算法类",Y1168="无法识别"),"",IF(Y1168="",IF(OR(J1168="ILF",J1168="EIF",J1168="EI",J1168="EO",J1168="EQ"),0,""),LEN(Y1168)-LEN(SUBSTITUTE(SUBSTITUTE(SUBSTITUTE(SUBSTITUTE(SUBSTITUTE(Y1168,"|}","--"),"{|","--"),CHAR(10),""),"、",""),"|",""))+IF(AND(OR(J1168="EI",J1168="EO",J1168="EQ"),$AE$1="NESMA"),2,1)))</f>
        <v/>
      </c>
      <c r="P1168" s="86">
        <f>IF(J1168="EI",IF(OR(Y1168="估算法",Y1168="算法类"),"中",IF(Y1168="无法识别","低",IF(M1168&lt;2,IF(O1168&lt;16,"低","中"),IF(M1168&lt;3,IF(O1168&lt;5,"低",IF(O1168&lt;16,"中","高")),IF(O1168&lt;5,"中","高"))))),IF(OR(J1168="EO",J1168="EQ"),IF(OR(Y1168="估算法",Y1168="算法类"),"中",IF(Y1168="无法识别","低",IF(M1168&lt;2,IF(O1168&lt;20,"低","中"),IF(M1168&lt;4,IF(O1168&lt;6,"低",IF(O1168&lt;20,"中","高")),IF(O1168&lt;6,"中","高"))))),IF(OR(J1168="ILF",J1168="EIF"),IF(OR(Y1168="估算法",Y1168="算法类",Y1168="无法识别"),"低",IF(N1168&lt;2,IF(O1168&lt;51,"低","中"),IF(N1168&lt;6,IF(O1168&lt;20,"低",IF(O1168&lt;51,"中","高")),IF(O1168&lt;20,"中","高")))),"不计算")))</f>
        <v/>
      </c>
      <c r="Q1168" s="172">
        <f>IFERROR(IF(J1168="EI",IF(P1168="低",3,IF(P1168="中",4,6)),IF(J1168="EO",IF(P1168="低",4,IF(P1168="中",5,7)),IF(J1168="EQ",IF(P1168="低",3,IF(P1168="中",4,6)),IF(J1168="ILF",IF(P1168="低",7,IF(P1168="中",10,15)),IF(J1168="EIF",IF(P1168="低",5,IF(P1168="中",7,10)),"不计算")))))*R1168,"不计算")</f>
        <v/>
      </c>
      <c r="R1168" s="172" t="n">
        <v>1</v>
      </c>
      <c r="S1168" s="173">
        <f>调整因子!$F$13</f>
        <v/>
      </c>
      <c r="T1168" s="92" t="n">
        <v>1</v>
      </c>
      <c r="U1168" s="174">
        <f>IFERROR(Q1168*S1168,0)</f>
        <v/>
      </c>
      <c r="V1168" s="178">
        <f>U1168*T1168</f>
        <v/>
      </c>
      <c r="W1168" s="103" t="inlineStr">
        <is>
          <t>日志加密配置表</t>
        </is>
      </c>
      <c r="X1168" s="103" t="inlineStr"/>
      <c r="Y1168" s="97" t="inlineStr">
        <is>
          <t>日志加密配置表{配置ID、配置名称|配置ID、配置名称、配置类型、配置值、创建时间}</t>
        </is>
      </c>
      <c r="Z1168" s="90" t="n"/>
      <c r="AA1168" s="90" t="n"/>
    </row>
    <row r="1169" s="112">
      <c r="A1169" s="72">
        <f>ROW()-1</f>
        <v/>
      </c>
      <c r="B1169" s="175" t="n"/>
      <c r="C1169" s="124" t="n">
        <v>2026</v>
      </c>
      <c r="E1169" s="103" t="n"/>
      <c r="F1169" s="175" t="n"/>
      <c r="G1169" s="175" t="n"/>
      <c r="H1169" s="97" t="inlineStr">
        <is>
          <t>任务转移管理</t>
        </is>
      </c>
      <c r="I1169" s="103" t="inlineStr">
        <is>
          <t>编辑任务转移</t>
        </is>
      </c>
      <c r="J1169" s="93" t="inlineStr">
        <is>
          <t>EI</t>
        </is>
      </c>
      <c r="K1169" s="102" t="n"/>
      <c r="L1169" s="102" t="n"/>
      <c r="M1169" s="85">
        <f>IF(OR(Y1169="估算法",Y1169="算法类",Y1169="无法识别"),"",IF(W1169="",IF(OR(J1169="EI",J1169="EO",J1169="EQ"),0,""),LEN(W1169)-LEN(SUBSTITUTE(W1169,"、",""))+1))</f>
        <v/>
      </c>
      <c r="N1169" s="85">
        <f>IF(OR(Y1169="估算法",Y1169="算法类",Y1169="无法识别"),"",IF(X1169="",IF(OR(J1169="ILF",J1169="EIF"),0,""),LEN(X1169)-LEN(SUBSTITUTE(X1169,"、",""))+1))</f>
        <v/>
      </c>
      <c r="O1169" s="85">
        <f>IF(OR(Y1169="估算法",Y1169="算法类",Y1169="无法识别"),"",IF(Y1169="",IF(OR(J1169="ILF",J1169="EIF",J1169="EI",J1169="EO",J1169="EQ"),0,""),LEN(Y1169)-LEN(SUBSTITUTE(SUBSTITUTE(SUBSTITUTE(SUBSTITUTE(SUBSTITUTE(Y1169,"|}","--"),"{|","--"),CHAR(10),""),"、",""),"|",""))+IF(AND(OR(J1169="EI",J1169="EO",J1169="EQ"),$AE$1="NESMA"),2,1)))</f>
        <v/>
      </c>
      <c r="P1169" s="86">
        <f>IF(J1169="EI",IF(OR(Y1169="估算法",Y1169="算法类"),"中",IF(Y1169="无法识别","低",IF(M1169&lt;2,IF(O1169&lt;16,"低","中"),IF(M1169&lt;3,IF(O1169&lt;5,"低",IF(O1169&lt;16,"中","高")),IF(O1169&lt;5,"中","高"))))),IF(OR(J1169="EO",J1169="EQ"),IF(OR(Y1169="估算法",Y1169="算法类"),"中",IF(Y1169="无法识别","低",IF(M1169&lt;2,IF(O1169&lt;20,"低","中"),IF(M1169&lt;4,IF(O1169&lt;6,"低",IF(O1169&lt;20,"中","高")),IF(O1169&lt;6,"中","高"))))),IF(OR(J1169="ILF",J1169="EIF"),IF(OR(Y1169="估算法",Y1169="算法类",Y1169="无法识别"),"低",IF(N1169&lt;2,IF(O1169&lt;51,"低","中"),IF(N1169&lt;6,IF(O1169&lt;20,"低",IF(O1169&lt;51,"中","高")),IF(O1169&lt;20,"中","高")))),"不计算")))</f>
        <v/>
      </c>
      <c r="Q1169" s="172">
        <f>IFERROR(IF(J1169="EI",IF(P1169="低",3,IF(P1169="中",4,6)),IF(J1169="EO",IF(P1169="低",4,IF(P1169="中",5,7)),IF(J1169="EQ",IF(P1169="低",3,IF(P1169="中",4,6)),IF(J1169="ILF",IF(P1169="低",7,IF(P1169="中",10,15)),IF(J1169="EIF",IF(P1169="低",5,IF(P1169="中",7,10)),"不计算")))))*R1169,"不计算")</f>
        <v/>
      </c>
      <c r="R1169" s="172" t="n">
        <v>0.333333333333333</v>
      </c>
      <c r="S1169" s="173">
        <f>调整因子!$F$13</f>
        <v/>
      </c>
      <c r="T1169" s="92" t="n">
        <v>1</v>
      </c>
      <c r="U1169" s="174">
        <f>IFERROR(Q1169*S1169,0)</f>
        <v/>
      </c>
      <c r="V1169" s="178">
        <f>U1169*T1169</f>
        <v/>
      </c>
      <c r="W1169" s="103" t="inlineStr">
        <is>
          <t>数据清洗任务表、资产同步任务表</t>
        </is>
      </c>
      <c r="X1169" s="103" t="inlineStr"/>
      <c r="Y1169"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69" s="90" t="n"/>
      <c r="AA1169" s="90" t="n"/>
    </row>
    <row r="1170" s="112">
      <c r="A1170" s="72">
        <f>ROW()-1</f>
        <v/>
      </c>
      <c r="B1170" s="175" t="n"/>
      <c r="C1170" s="124" t="n">
        <v>2026</v>
      </c>
      <c r="E1170" s="103" t="n"/>
      <c r="F1170" s="175" t="n"/>
      <c r="G1170" s="175" t="n"/>
      <c r="H1170" s="175" t="n"/>
      <c r="I1170" s="103" t="inlineStr">
        <is>
          <t>删除任务转移</t>
        </is>
      </c>
      <c r="J1170" s="93" t="inlineStr">
        <is>
          <t>EI</t>
        </is>
      </c>
      <c r="K1170" s="102" t="n"/>
      <c r="L1170" s="102" t="n"/>
      <c r="M1170" s="85">
        <f>IF(OR(Y1170="估算法",Y1170="算法类",Y1170="无法识别"),"",IF(W1170="",IF(OR(J1170="EI",J1170="EO",J1170="EQ"),0,""),LEN(W1170)-LEN(SUBSTITUTE(W1170,"、",""))+1))</f>
        <v/>
      </c>
      <c r="N1170" s="85">
        <f>IF(OR(Y1170="估算法",Y1170="算法类",Y1170="无法识别"),"",IF(X1170="",IF(OR(J1170="ILF",J1170="EIF"),0,""),LEN(X1170)-LEN(SUBSTITUTE(X1170,"、",""))+1))</f>
        <v/>
      </c>
      <c r="O1170" s="85">
        <f>IF(OR(Y1170="估算法",Y1170="算法类",Y1170="无法识别"),"",IF(Y1170="",IF(OR(J1170="ILF",J1170="EIF",J1170="EI",J1170="EO",J1170="EQ"),0,""),LEN(Y1170)-LEN(SUBSTITUTE(SUBSTITUTE(SUBSTITUTE(SUBSTITUTE(SUBSTITUTE(Y1170,"|}","--"),"{|","--"),CHAR(10),""),"、",""),"|",""))+IF(AND(OR(J1170="EI",J1170="EO",J1170="EQ"),$AE$1="NESMA"),2,1)))</f>
        <v/>
      </c>
      <c r="P1170" s="86">
        <f>IF(J1170="EI",IF(OR(Y1170="估算法",Y1170="算法类"),"中",IF(Y1170="无法识别","低",IF(M1170&lt;2,IF(O1170&lt;16,"低","中"),IF(M1170&lt;3,IF(O1170&lt;5,"低",IF(O1170&lt;16,"中","高")),IF(O1170&lt;5,"中","高"))))),IF(OR(J1170="EO",J1170="EQ"),IF(OR(Y1170="估算法",Y1170="算法类"),"中",IF(Y1170="无法识别","低",IF(M1170&lt;2,IF(O1170&lt;20,"低","中"),IF(M1170&lt;4,IF(O1170&lt;6,"低",IF(O1170&lt;20,"中","高")),IF(O1170&lt;6,"中","高"))))),IF(OR(J1170="ILF",J1170="EIF"),IF(OR(Y1170="估算法",Y1170="算法类",Y1170="无法识别"),"低",IF(N1170&lt;2,IF(O1170&lt;51,"低","中"),IF(N1170&lt;6,IF(O1170&lt;20,"低",IF(O1170&lt;51,"中","高")),IF(O1170&lt;20,"中","高")))),"不计算")))</f>
        <v/>
      </c>
      <c r="Q1170" s="172">
        <f>IFERROR(IF(J1170="EI",IF(P1170="低",3,IF(P1170="中",4,6)),IF(J1170="EO",IF(P1170="低",4,IF(P1170="中",5,7)),IF(J1170="EQ",IF(P1170="低",3,IF(P1170="中",4,6)),IF(J1170="ILF",IF(P1170="低",7,IF(P1170="中",10,15)),IF(J1170="EIF",IF(P1170="低",5,IF(P1170="中",7,10)),"不计算")))))*R1170,"不计算")</f>
        <v/>
      </c>
      <c r="R1170" s="172" t="n">
        <v>0.333333333333333</v>
      </c>
      <c r="S1170" s="173">
        <f>调整因子!$F$13</f>
        <v/>
      </c>
      <c r="T1170" s="93" t="n">
        <v>1</v>
      </c>
      <c r="U1170" s="174">
        <f>IFERROR(Q1170*S1170,0)</f>
        <v/>
      </c>
      <c r="V1170" s="178">
        <f>U1170*T1170</f>
        <v/>
      </c>
      <c r="W1170" s="103" t="inlineStr">
        <is>
          <t>数据清洗任务表、资产同步任务表</t>
        </is>
      </c>
      <c r="X1170" s="103" t="inlineStr"/>
      <c r="Y1170"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70" s="90" t="n"/>
      <c r="AA1170" s="90" t="n"/>
    </row>
    <row r="1171" s="112">
      <c r="A1171" s="72">
        <f>ROW()-1</f>
        <v/>
      </c>
      <c r="B1171" s="175" t="n"/>
      <c r="C1171" s="124" t="n">
        <v>2026</v>
      </c>
      <c r="E1171" s="103" t="n"/>
      <c r="F1171" s="175" t="n"/>
      <c r="G1171" s="175" t="n"/>
      <c r="H1171" s="175" t="n"/>
      <c r="I1171" s="103" t="inlineStr">
        <is>
          <t>启用任务转移</t>
        </is>
      </c>
      <c r="J1171" s="93" t="inlineStr">
        <is>
          <t>EI</t>
        </is>
      </c>
      <c r="K1171" s="102" t="n"/>
      <c r="L1171" s="102" t="n"/>
      <c r="M1171" s="85">
        <f>IF(OR(Y1171="估算法",Y1171="算法类",Y1171="无法识别"),"",IF(W1171="",IF(OR(J1171="EI",J1171="EO",J1171="EQ"),0,""),LEN(W1171)-LEN(SUBSTITUTE(W1171,"、",""))+1))</f>
        <v/>
      </c>
      <c r="N1171" s="85">
        <f>IF(OR(Y1171="估算法",Y1171="算法类",Y1171="无法识别"),"",IF(X1171="",IF(OR(J1171="ILF",J1171="EIF"),0,""),LEN(X1171)-LEN(SUBSTITUTE(X1171,"、",""))+1))</f>
        <v/>
      </c>
      <c r="O1171" s="85">
        <f>IF(OR(Y1171="估算法",Y1171="算法类",Y1171="无法识别"),"",IF(Y1171="",IF(OR(J1171="ILF",J1171="EIF",J1171="EI",J1171="EO",J1171="EQ"),0,""),LEN(Y1171)-LEN(SUBSTITUTE(SUBSTITUTE(SUBSTITUTE(SUBSTITUTE(SUBSTITUTE(Y1171,"|}","--"),"{|","--"),CHAR(10),""),"、",""),"|",""))+IF(AND(OR(J1171="EI",J1171="EO",J1171="EQ"),$AE$1="NESMA"),2,1)))</f>
        <v/>
      </c>
      <c r="P1171" s="86">
        <f>IF(J1171="EI",IF(OR(Y1171="估算法",Y1171="算法类"),"中",IF(Y1171="无法识别","低",IF(M1171&lt;2,IF(O1171&lt;16,"低","中"),IF(M1171&lt;3,IF(O1171&lt;5,"低",IF(O1171&lt;16,"中","高")),IF(O1171&lt;5,"中","高"))))),IF(OR(J1171="EO",J1171="EQ"),IF(OR(Y1171="估算法",Y1171="算法类"),"中",IF(Y1171="无法识别","低",IF(M1171&lt;2,IF(O1171&lt;20,"低","中"),IF(M1171&lt;4,IF(O1171&lt;6,"低",IF(O1171&lt;20,"中","高")),IF(O1171&lt;6,"中","高"))))),IF(OR(J1171="ILF",J1171="EIF"),IF(OR(Y1171="估算法",Y1171="算法类",Y1171="无法识别"),"低",IF(N1171&lt;2,IF(O1171&lt;51,"低","中"),IF(N1171&lt;6,IF(O1171&lt;20,"低",IF(O1171&lt;51,"中","高")),IF(O1171&lt;20,"中","高")))),"不计算")))</f>
        <v/>
      </c>
      <c r="Q1171" s="172">
        <f>IFERROR(IF(J1171="EI",IF(P1171="低",3,IF(P1171="中",4,6)),IF(J1171="EO",IF(P1171="低",4,IF(P1171="中",5,7)),IF(J1171="EQ",IF(P1171="低",3,IF(P1171="中",4,6)),IF(J1171="ILF",IF(P1171="低",7,IF(P1171="中",10,15)),IF(J1171="EIF",IF(P1171="低",5,IF(P1171="中",7,10)),"不计算")))))*R1171,"不计算")</f>
        <v/>
      </c>
      <c r="R1171" s="172" t="n">
        <v>0.333333333333333</v>
      </c>
      <c r="S1171" s="173">
        <f>调整因子!$F$13</f>
        <v/>
      </c>
      <c r="T1171" s="92" t="n">
        <v>1</v>
      </c>
      <c r="U1171" s="174">
        <f>IFERROR(Q1171*S1171,0)</f>
        <v/>
      </c>
      <c r="V1171" s="178">
        <f>U1171*T1171</f>
        <v/>
      </c>
      <c r="W1171" s="103" t="inlineStr">
        <is>
          <t>数据清洗任务表</t>
        </is>
      </c>
      <c r="X1171" s="103" t="inlineStr"/>
      <c r="Y1171" s="97" t="inlineStr">
        <is>
          <t>数据清洗任务表{任务ID、任务名称、任务类型、任务状态、创建时间、执行时间|任务ID、任务名称、任务类型}</t>
        </is>
      </c>
      <c r="Z1171" s="90" t="n"/>
      <c r="AA1171" s="90" t="n"/>
    </row>
    <row r="1172" s="112">
      <c r="A1172" s="72">
        <f>ROW()-1</f>
        <v/>
      </c>
      <c r="B1172" s="175" t="n"/>
      <c r="C1172" s="124" t="n">
        <v>2026</v>
      </c>
      <c r="E1172" s="103" t="n"/>
      <c r="F1172" s="175" t="n"/>
      <c r="G1172" s="175" t="n"/>
      <c r="H1172" s="175" t="n"/>
      <c r="I1172" s="103" t="inlineStr">
        <is>
          <t>停用任务转移</t>
        </is>
      </c>
      <c r="J1172" s="93" t="n"/>
      <c r="K1172" s="102" t="n"/>
      <c r="L1172" s="102" t="inlineStr">
        <is>
          <t>和上行合并，启停为相同功能</t>
        </is>
      </c>
      <c r="M1172" s="85">
        <f>IF(OR(Y1172="估算法",Y1172="算法类",Y1172="无法识别"),"",IF(W1172="",IF(OR(J1172="EI",J1172="EO",J1172="EQ"),0,""),LEN(W1172)-LEN(SUBSTITUTE(W1172,"、",""))+1))</f>
        <v/>
      </c>
      <c r="N1172" s="85">
        <f>IF(OR(Y1172="估算法",Y1172="算法类",Y1172="无法识别"),"",IF(X1172="",IF(OR(J1172="ILF",J1172="EIF"),0,""),LEN(X1172)-LEN(SUBSTITUTE(X1172,"、",""))+1))</f>
        <v/>
      </c>
      <c r="O1172" s="85">
        <f>IF(OR(Y1172="估算法",Y1172="算法类",Y1172="无法识别"),"",IF(Y1172="",IF(OR(J1172="ILF",J1172="EIF",J1172="EI",J1172="EO",J1172="EQ"),0,""),LEN(Y1172)-LEN(SUBSTITUTE(SUBSTITUTE(SUBSTITUTE(SUBSTITUTE(SUBSTITUTE(Y1172,"|}","--"),"{|","--"),CHAR(10),""),"、",""),"|",""))+IF(AND(OR(J1172="EI",J1172="EO",J1172="EQ"),$AE$1="NESMA"),2,1)))</f>
        <v/>
      </c>
      <c r="P1172" s="86">
        <f>IF(J1172="EI",IF(OR(Y1172="估算法",Y1172="算法类"),"中",IF(Y1172="无法识别","低",IF(M1172&lt;2,IF(O1172&lt;16,"低","中"),IF(M1172&lt;3,IF(O1172&lt;5,"低",IF(O1172&lt;16,"中","高")),IF(O1172&lt;5,"中","高"))))),IF(OR(J1172="EO",J1172="EQ"),IF(OR(Y1172="估算法",Y1172="算法类"),"中",IF(Y1172="无法识别","低",IF(M1172&lt;2,IF(O1172&lt;20,"低","中"),IF(M1172&lt;4,IF(O1172&lt;6,"低",IF(O1172&lt;20,"中","高")),IF(O1172&lt;6,"中","高"))))),IF(OR(J1172="ILF",J1172="EIF"),IF(OR(Y1172="估算法",Y1172="算法类",Y1172="无法识别"),"低",IF(N1172&lt;2,IF(O1172&lt;51,"低","中"),IF(N1172&lt;6,IF(O1172&lt;20,"低",IF(O1172&lt;51,"中","高")),IF(O1172&lt;20,"中","高")))),"不计算")))</f>
        <v/>
      </c>
      <c r="Q1172" s="172">
        <f>IFERROR(IF(J1172="EI",IF(P1172="低",3,IF(P1172="中",4,6)),IF(J1172="EO",IF(P1172="低",4,IF(P1172="中",5,7)),IF(J1172="EQ",IF(P1172="低",3,IF(P1172="中",4,6)),IF(J1172="ILF",IF(P1172="低",7,IF(P1172="中",10,15)),IF(J1172="EIF",IF(P1172="低",5,IF(P1172="中",7,10)),"不计算")))))*R1172,"不计算")</f>
        <v/>
      </c>
      <c r="R1172" s="172" t="n">
        <v>0.333333333333333</v>
      </c>
      <c r="S1172" s="173">
        <f>调整因子!$F$13</f>
        <v/>
      </c>
      <c r="T1172" s="92" t="n">
        <v>1</v>
      </c>
      <c r="U1172" s="174">
        <f>IFERROR(Q1172*S1172,0)</f>
        <v/>
      </c>
      <c r="V1172" s="178">
        <f>U1172*T1172</f>
        <v/>
      </c>
      <c r="W1172" s="103" t="inlineStr">
        <is>
          <t>数据清洗任务表、资产同步任务表</t>
        </is>
      </c>
      <c r="X1172" s="103" t="inlineStr"/>
      <c r="Y117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72" s="90" t="n"/>
      <c r="AA1172" s="90" t="n"/>
    </row>
    <row r="1173" s="112">
      <c r="A1173" s="72">
        <f>ROW()-1</f>
        <v/>
      </c>
      <c r="B1173" s="175" t="n"/>
      <c r="C1173" s="124" t="n">
        <v>2026</v>
      </c>
      <c r="E1173" s="103" t="n"/>
      <c r="F1173" s="175" t="n"/>
      <c r="G1173" s="175" t="n"/>
      <c r="H1173" s="175" t="n"/>
      <c r="I1173" s="103" t="inlineStr">
        <is>
          <t>导出转移记录</t>
        </is>
      </c>
      <c r="J1173" s="93" t="inlineStr">
        <is>
          <t>EO</t>
        </is>
      </c>
      <c r="K1173" s="102" t="n"/>
      <c r="L1173" s="102" t="n"/>
      <c r="M1173" s="85">
        <f>IF(OR(Y1173="估算法",Y1173="算法类",Y1173="无法识别"),"",IF(W1173="",IF(OR(J1173="EI",J1173="EO",J1173="EQ"),0,""),LEN(W1173)-LEN(SUBSTITUTE(W1173,"、",""))+1))</f>
        <v/>
      </c>
      <c r="N1173" s="85">
        <f>IF(OR(Y1173="估算法",Y1173="算法类",Y1173="无法识别"),"",IF(X1173="",IF(OR(J1173="ILF",J1173="EIF"),0,""),LEN(X1173)-LEN(SUBSTITUTE(X1173,"、",""))+1))</f>
        <v/>
      </c>
      <c r="O1173" s="85">
        <f>IF(OR(Y1173="估算法",Y1173="算法类",Y1173="无法识别"),"",IF(Y1173="",IF(OR(J1173="ILF",J1173="EIF",J1173="EI",J1173="EO",J1173="EQ"),0,""),LEN(Y1173)-LEN(SUBSTITUTE(SUBSTITUTE(SUBSTITUTE(SUBSTITUTE(SUBSTITUTE(Y1173,"|}","--"),"{|","--"),CHAR(10),""),"、",""),"|",""))+IF(AND(OR(J1173="EI",J1173="EO",J1173="EQ"),$AE$1="NESMA"),2,1)))</f>
        <v/>
      </c>
      <c r="P1173" s="86">
        <f>IF(J1173="EI",IF(OR(Y1173="估算法",Y1173="算法类"),"中",IF(Y1173="无法识别","低",IF(M1173&lt;2,IF(O1173&lt;16,"低","中"),IF(M1173&lt;3,IF(O1173&lt;5,"低",IF(O1173&lt;16,"中","高")),IF(O1173&lt;5,"中","高"))))),IF(OR(J1173="EO",J1173="EQ"),IF(OR(Y1173="估算法",Y1173="算法类"),"中",IF(Y1173="无法识别","低",IF(M1173&lt;2,IF(O1173&lt;20,"低","中"),IF(M1173&lt;4,IF(O1173&lt;6,"低",IF(O1173&lt;20,"中","高")),IF(O1173&lt;6,"中","高"))))),IF(OR(J1173="ILF",J1173="EIF"),IF(OR(Y1173="估算法",Y1173="算法类",Y1173="无法识别"),"低",IF(N1173&lt;2,IF(O1173&lt;51,"低","中"),IF(N1173&lt;6,IF(O1173&lt;20,"低",IF(O1173&lt;51,"中","高")),IF(O1173&lt;20,"中","高")))),"不计算")))</f>
        <v/>
      </c>
      <c r="Q1173" s="172">
        <f>IFERROR(IF(J1173="EI",IF(P1173="低",3,IF(P1173="中",4,6)),IF(J1173="EO",IF(P1173="低",4,IF(P1173="中",5,7)),IF(J1173="EQ",IF(P1173="低",3,IF(P1173="中",4,6)),IF(J1173="ILF",IF(P1173="低",7,IF(P1173="中",10,15)),IF(J1173="EIF",IF(P1173="低",5,IF(P1173="中",7,10)),"不计算")))))*R1173,"不计算")</f>
        <v/>
      </c>
      <c r="R1173" s="172" t="n">
        <v>0.333333333333333</v>
      </c>
      <c r="S1173" s="173">
        <f>调整因子!$F$13</f>
        <v/>
      </c>
      <c r="T1173" s="93" t="n">
        <v>1</v>
      </c>
      <c r="U1173" s="174">
        <f>IFERROR(Q1173*S1173,0)</f>
        <v/>
      </c>
      <c r="V1173" s="178">
        <f>U1173*T1173</f>
        <v/>
      </c>
      <c r="W1173" s="103" t="inlineStr">
        <is>
          <t>报告解析结果表、漏洞处置单表</t>
        </is>
      </c>
      <c r="X1173" s="103" t="inlineStr"/>
      <c r="Y1173" s="97" t="inlineStr">
        <is>
          <t>报告解析结果表{ID、名称|ID、名称、类型、状态、创建时间、更新时间}
漏洞处置单表{漏洞ID、漏洞名称|漏洞ID、漏洞名称、漏洞等级、漏洞类型、CVE编号、发现时间、修复状态}</t>
        </is>
      </c>
      <c r="Z1173" s="90" t="n"/>
      <c r="AA1173" s="90" t="n"/>
    </row>
    <row r="1174" s="112">
      <c r="A1174" s="72">
        <f>ROW()-1</f>
        <v/>
      </c>
      <c r="B1174" s="175" t="n"/>
      <c r="C1174" s="124" t="n">
        <v>2026</v>
      </c>
      <c r="E1174" s="103" t="n"/>
      <c r="F1174" s="175" t="n"/>
      <c r="G1174" s="175" t="n"/>
      <c r="H1174" s="175" t="n"/>
      <c r="I1174" s="103" t="inlineStr">
        <is>
          <t>查询转移记录</t>
        </is>
      </c>
      <c r="J1174" s="93" t="inlineStr">
        <is>
          <t>EO</t>
        </is>
      </c>
      <c r="K1174" s="102" t="n"/>
      <c r="L1174" s="102" t="n"/>
      <c r="M1174" s="85">
        <f>IF(OR(Y1174="估算法",Y1174="算法类",Y1174="无法识别"),"",IF(W1174="",IF(OR(J1174="EI",J1174="EO",J1174="EQ"),0,""),LEN(W1174)-LEN(SUBSTITUTE(W1174,"、",""))+1))</f>
        <v/>
      </c>
      <c r="N1174" s="85">
        <f>IF(OR(Y1174="估算法",Y1174="算法类",Y1174="无法识别"),"",IF(X1174="",IF(OR(J1174="ILF",J1174="EIF"),0,""),LEN(X1174)-LEN(SUBSTITUTE(X1174,"、",""))+1))</f>
        <v/>
      </c>
      <c r="O1174" s="85">
        <f>IF(OR(Y1174="估算法",Y1174="算法类",Y1174="无法识别"),"",IF(Y1174="",IF(OR(J1174="ILF",J1174="EIF",J1174="EI",J1174="EO",J1174="EQ"),0,""),LEN(Y1174)-LEN(SUBSTITUTE(SUBSTITUTE(SUBSTITUTE(SUBSTITUTE(SUBSTITUTE(Y1174,"|}","--"),"{|","--"),CHAR(10),""),"、",""),"|",""))+IF(AND(OR(J1174="EI",J1174="EO",J1174="EQ"),$AE$1="NESMA"),2,1)))</f>
        <v/>
      </c>
      <c r="P1174" s="86">
        <f>IF(J1174="EI",IF(OR(Y1174="估算法",Y1174="算法类"),"中",IF(Y1174="无法识别","低",IF(M1174&lt;2,IF(O1174&lt;16,"低","中"),IF(M1174&lt;3,IF(O1174&lt;5,"低",IF(O1174&lt;16,"中","高")),IF(O1174&lt;5,"中","高"))))),IF(OR(J1174="EO",J1174="EQ"),IF(OR(Y1174="估算法",Y1174="算法类"),"中",IF(Y1174="无法识别","低",IF(M1174&lt;2,IF(O1174&lt;20,"低","中"),IF(M1174&lt;4,IF(O1174&lt;6,"低",IF(O1174&lt;20,"中","高")),IF(O1174&lt;6,"中","高"))))),IF(OR(J1174="ILF",J1174="EIF"),IF(OR(Y1174="估算法",Y1174="算法类",Y1174="无法识别"),"低",IF(N1174&lt;2,IF(O1174&lt;51,"低","中"),IF(N1174&lt;6,IF(O1174&lt;20,"低",IF(O1174&lt;51,"中","高")),IF(O1174&lt;20,"中","高")))),"不计算")))</f>
        <v/>
      </c>
      <c r="Q1174" s="172">
        <f>IFERROR(IF(J1174="EI",IF(P1174="低",3,IF(P1174="中",4,6)),IF(J1174="EO",IF(P1174="低",4,IF(P1174="中",5,7)),IF(J1174="EQ",IF(P1174="低",3,IF(P1174="中",4,6)),IF(J1174="ILF",IF(P1174="低",7,IF(P1174="中",10,15)),IF(J1174="EIF",IF(P1174="低",5,IF(P1174="中",7,10)),"不计算")))))*R1174,"不计算")</f>
        <v/>
      </c>
      <c r="R1174" s="172" t="n">
        <v>0.333333333333333</v>
      </c>
      <c r="S1174" s="173">
        <f>调整因子!$F$13</f>
        <v/>
      </c>
      <c r="T1174" s="93" t="n">
        <v>1</v>
      </c>
      <c r="U1174" s="174">
        <f>IFERROR(Q1174*S1174,0)</f>
        <v/>
      </c>
      <c r="V1174" s="178">
        <f>U1174*T1174</f>
        <v/>
      </c>
      <c r="W1174" s="103" t="inlineStr">
        <is>
          <t>资产扫描覆盖表、指标阈值表</t>
        </is>
      </c>
      <c r="X1174" s="103" t="inlineStr"/>
      <c r="Y1174" s="97" t="inlineStr">
        <is>
          <t>资产扫描覆盖表{资产ID、资产名称|资产ID、资产名称、IP地址、资产类型、资产状态、创建时间}
指标阈值表{ID、名称|ID、名称、类型、状态、创建时间、更新时间}</t>
        </is>
      </c>
      <c r="Z1174" s="90" t="n"/>
      <c r="AA1174" s="90" t="n"/>
    </row>
    <row r="1175" s="112">
      <c r="A1175" s="72">
        <f>ROW()-1</f>
        <v/>
      </c>
      <c r="B1175" s="175" t="n"/>
      <c r="C1175" s="124" t="n">
        <v>2026</v>
      </c>
      <c r="E1175" s="103" t="n"/>
      <c r="F1175" s="175" t="n"/>
      <c r="G1175" s="175" t="n"/>
      <c r="H1175" s="176" t="n"/>
      <c r="I1175" s="103" t="inlineStr">
        <is>
          <t>查看转移详情</t>
        </is>
      </c>
      <c r="J1175" s="93" t="inlineStr">
        <is>
          <t>EQ</t>
        </is>
      </c>
      <c r="K1175" s="102" t="n"/>
      <c r="L1175" s="102" t="n"/>
      <c r="M1175" s="85">
        <f>IF(OR(Y1175="估算法",Y1175="算法类",Y1175="无法识别"),"",IF(W1175="",IF(OR(J1175="EI",J1175="EO",J1175="EQ"),0,""),LEN(W1175)-LEN(SUBSTITUTE(W1175,"、",""))+1))</f>
        <v/>
      </c>
      <c r="N1175" s="85">
        <f>IF(OR(Y1175="估算法",Y1175="算法类",Y1175="无法识别"),"",IF(X1175="",IF(OR(J1175="ILF",J1175="EIF"),0,""),LEN(X1175)-LEN(SUBSTITUTE(X1175,"、",""))+1))</f>
        <v/>
      </c>
      <c r="O1175" s="85">
        <f>IF(OR(Y1175="估算法",Y1175="算法类",Y1175="无法识别"),"",IF(Y1175="",IF(OR(J1175="ILF",J1175="EIF",J1175="EI",J1175="EO",J1175="EQ"),0,""),LEN(Y1175)-LEN(SUBSTITUTE(SUBSTITUTE(SUBSTITUTE(SUBSTITUTE(SUBSTITUTE(Y1175,"|}","--"),"{|","--"),CHAR(10),""),"、",""),"|",""))+IF(AND(OR(J1175="EI",J1175="EO",J1175="EQ"),$AE$1="NESMA"),2,1)))</f>
        <v/>
      </c>
      <c r="P1175" s="86">
        <f>IF(J1175="EI",IF(OR(Y1175="估算法",Y1175="算法类"),"中",IF(Y1175="无法识别","低",IF(M1175&lt;2,IF(O1175&lt;16,"低","中"),IF(M1175&lt;3,IF(O1175&lt;5,"低",IF(O1175&lt;16,"中","高")),IF(O1175&lt;5,"中","高"))))),IF(OR(J1175="EO",J1175="EQ"),IF(OR(Y1175="估算法",Y1175="算法类"),"中",IF(Y1175="无法识别","低",IF(M1175&lt;2,IF(O1175&lt;20,"低","中"),IF(M1175&lt;4,IF(O1175&lt;6,"低",IF(O1175&lt;20,"中","高")),IF(O1175&lt;6,"中","高"))))),IF(OR(J1175="ILF",J1175="EIF"),IF(OR(Y1175="估算法",Y1175="算法类",Y1175="无法识别"),"低",IF(N1175&lt;2,IF(O1175&lt;51,"低","中"),IF(N1175&lt;6,IF(O1175&lt;20,"低",IF(O1175&lt;51,"中","高")),IF(O1175&lt;20,"中","高")))),"不计算")))</f>
        <v/>
      </c>
      <c r="Q1175" s="172">
        <f>IFERROR(IF(J1175="EI",IF(P1175="低",3,IF(P1175="中",4,6)),IF(J1175="EO",IF(P1175="低",4,IF(P1175="中",5,7)),IF(J1175="EQ",IF(P1175="低",3,IF(P1175="中",4,6)),IF(J1175="ILF",IF(P1175="低",7,IF(P1175="中",10,15)),IF(J1175="EIF",IF(P1175="低",5,IF(P1175="中",7,10)),"不计算")))))*R1175,"不计算")</f>
        <v/>
      </c>
      <c r="R1175" s="172" t="n">
        <v>0.333333333333333</v>
      </c>
      <c r="S1175" s="173">
        <f>调整因子!$F$13</f>
        <v/>
      </c>
      <c r="T1175" s="92" t="n">
        <v>1</v>
      </c>
      <c r="U1175" s="174">
        <f>IFERROR(Q1175*S1175,0)</f>
        <v/>
      </c>
      <c r="V1175" s="178">
        <f>U1175*T1175</f>
        <v/>
      </c>
      <c r="W1175" s="103" t="inlineStr">
        <is>
          <t>扫描策略模板表</t>
        </is>
      </c>
      <c r="X1175" s="103" t="inlineStr"/>
      <c r="Y1175" s="97" t="inlineStr">
        <is>
          <t>扫描策略模板表{任务ID、任务名称|任务ID、任务名称、任务状态、扫描器类型、开始时间、结束时间、扫描结果}</t>
        </is>
      </c>
      <c r="Z1175" s="90" t="n"/>
      <c r="AA1175" s="90" t="n"/>
    </row>
    <row r="1176" s="112">
      <c r="A1176" s="72">
        <f>ROW()-1</f>
        <v/>
      </c>
      <c r="B1176" s="175" t="n"/>
      <c r="C1176" s="124" t="n">
        <v>2026</v>
      </c>
      <c r="E1176" s="103" t="n"/>
      <c r="F1176" s="175" t="n"/>
      <c r="G1176" s="175" t="n"/>
      <c r="H1176" s="97" t="inlineStr">
        <is>
          <t>失败分析管理</t>
        </is>
      </c>
      <c r="I1176" s="103" t="inlineStr">
        <is>
          <t>导出失败分析</t>
        </is>
      </c>
      <c r="J1176" s="93" t="inlineStr">
        <is>
          <t>EO</t>
        </is>
      </c>
      <c r="K1176" s="102" t="n"/>
      <c r="L1176" s="102" t="n"/>
      <c r="M1176" s="85">
        <f>IF(OR(Y1176="估算法",Y1176="算法类",Y1176="无法识别"),"",IF(W1176="",IF(OR(J1176="EI",J1176="EO",J1176="EQ"),0,""),LEN(W1176)-LEN(SUBSTITUTE(W1176,"、",""))+1))</f>
        <v/>
      </c>
      <c r="N1176" s="85">
        <f>IF(OR(Y1176="估算法",Y1176="算法类",Y1176="无法识别"),"",IF(X1176="",IF(OR(J1176="ILF",J1176="EIF"),0,""),LEN(X1176)-LEN(SUBSTITUTE(X1176,"、",""))+1))</f>
        <v/>
      </c>
      <c r="O1176" s="85">
        <f>IF(OR(Y1176="估算法",Y1176="算法类",Y1176="无法识别"),"",IF(Y1176="",IF(OR(J1176="ILF",J1176="EIF",J1176="EI",J1176="EO",J1176="EQ"),0,""),LEN(Y1176)-LEN(SUBSTITUTE(SUBSTITUTE(SUBSTITUTE(SUBSTITUTE(SUBSTITUTE(Y1176,"|}","--"),"{|","--"),CHAR(10),""),"、",""),"|",""))+IF(AND(OR(J1176="EI",J1176="EO",J1176="EQ"),$AE$1="NESMA"),2,1)))</f>
        <v/>
      </c>
      <c r="P1176" s="86">
        <f>IF(J1176="EI",IF(OR(Y1176="估算法",Y1176="算法类"),"中",IF(Y1176="无法识别","低",IF(M1176&lt;2,IF(O1176&lt;16,"低","中"),IF(M1176&lt;3,IF(O1176&lt;5,"低",IF(O1176&lt;16,"中","高")),IF(O1176&lt;5,"中","高"))))),IF(OR(J1176="EO",J1176="EQ"),IF(OR(Y1176="估算法",Y1176="算法类"),"中",IF(Y1176="无法识别","低",IF(M1176&lt;2,IF(O1176&lt;20,"低","中"),IF(M1176&lt;4,IF(O1176&lt;6,"低",IF(O1176&lt;20,"中","高")),IF(O1176&lt;6,"中","高"))))),IF(OR(J1176="ILF",J1176="EIF"),IF(OR(Y1176="估算法",Y1176="算法类",Y1176="无法识别"),"低",IF(N1176&lt;2,IF(O1176&lt;51,"低","中"),IF(N1176&lt;6,IF(O1176&lt;20,"低",IF(O1176&lt;51,"中","高")),IF(O1176&lt;20,"中","高")))),"不计算")))</f>
        <v/>
      </c>
      <c r="Q1176" s="172">
        <f>IFERROR(IF(J1176="EI",IF(P1176="低",3,IF(P1176="中",4,6)),IF(J1176="EO",IF(P1176="低",4,IF(P1176="中",5,7)),IF(J1176="EQ",IF(P1176="低",3,IF(P1176="中",4,6)),IF(J1176="ILF",IF(P1176="低",7,IF(P1176="中",10,15)),IF(J1176="EIF",IF(P1176="低",5,IF(P1176="中",7,10)),"不计算")))))*R1176,"不计算")</f>
        <v/>
      </c>
      <c r="R1176" s="172" t="n">
        <v>1</v>
      </c>
      <c r="S1176" s="173">
        <f>调整因子!$F$13</f>
        <v/>
      </c>
      <c r="T1176" s="92" t="n">
        <v>1</v>
      </c>
      <c r="U1176" s="174">
        <f>IFERROR(Q1176*S1176,0)</f>
        <v/>
      </c>
      <c r="V1176" s="178">
        <f>U1176*T1176</f>
        <v/>
      </c>
      <c r="W1176" s="103" t="inlineStr">
        <is>
          <t>任务趋势分析表</t>
        </is>
      </c>
      <c r="X1176" s="103" t="inlineStr"/>
      <c r="Y1176" s="97" t="inlineStr">
        <is>
          <t>任务趋势分析表{任务ID、任务名称|任务ID、任务名称、任务类型、任务状态、创建时间、执行时间}</t>
        </is>
      </c>
      <c r="Z1176" s="90" t="n"/>
      <c r="AA1176" s="90" t="n"/>
    </row>
    <row r="1177" s="112">
      <c r="A1177" s="72">
        <f>ROW()-1</f>
        <v/>
      </c>
      <c r="B1177" s="175" t="n"/>
      <c r="C1177" s="124" t="n">
        <v>2026</v>
      </c>
      <c r="E1177" s="103" t="n"/>
      <c r="F1177" s="175" t="n"/>
      <c r="G1177" s="175" t="n"/>
      <c r="H1177" s="175" t="n"/>
      <c r="I1177" s="103" t="inlineStr">
        <is>
          <t>下载失败报告</t>
        </is>
      </c>
      <c r="J1177" s="93" t="inlineStr">
        <is>
          <t>EO</t>
        </is>
      </c>
      <c r="K1177" s="102" t="n"/>
      <c r="L1177" s="102" t="n"/>
      <c r="M1177" s="85">
        <f>IF(OR(Y1177="估算法",Y1177="算法类",Y1177="无法识别"),"",IF(W1177="",IF(OR(J1177="EI",J1177="EO",J1177="EQ"),0,""),LEN(W1177)-LEN(SUBSTITUTE(W1177,"、",""))+1))</f>
        <v/>
      </c>
      <c r="N1177" s="85">
        <f>IF(OR(Y1177="估算法",Y1177="算法类",Y1177="无法识别"),"",IF(X1177="",IF(OR(J1177="ILF",J1177="EIF"),0,""),LEN(X1177)-LEN(SUBSTITUTE(X1177,"、",""))+1))</f>
        <v/>
      </c>
      <c r="O1177" s="85">
        <f>IF(OR(Y1177="估算法",Y1177="算法类",Y1177="无法识别"),"",IF(Y1177="",IF(OR(J1177="ILF",J1177="EIF",J1177="EI",J1177="EO",J1177="EQ"),0,""),LEN(Y1177)-LEN(SUBSTITUTE(SUBSTITUTE(SUBSTITUTE(SUBSTITUTE(SUBSTITUTE(Y1177,"|}","--"),"{|","--"),CHAR(10),""),"、",""),"|",""))+IF(AND(OR(J1177="EI",J1177="EO",J1177="EQ"),$AE$1="NESMA"),2,1)))</f>
        <v/>
      </c>
      <c r="P1177" s="86">
        <f>IF(J1177="EI",IF(OR(Y1177="估算法",Y1177="算法类"),"中",IF(Y1177="无法识别","低",IF(M1177&lt;2,IF(O1177&lt;16,"低","中"),IF(M1177&lt;3,IF(O1177&lt;5,"低",IF(O1177&lt;16,"中","高")),IF(O1177&lt;5,"中","高"))))),IF(OR(J1177="EO",J1177="EQ"),IF(OR(Y1177="估算法",Y1177="算法类"),"中",IF(Y1177="无法识别","低",IF(M1177&lt;2,IF(O1177&lt;20,"低","中"),IF(M1177&lt;4,IF(O1177&lt;6,"低",IF(O1177&lt;20,"中","高")),IF(O1177&lt;6,"中","高"))))),IF(OR(J1177="ILF",J1177="EIF"),IF(OR(Y1177="估算法",Y1177="算法类",Y1177="无法识别"),"低",IF(N1177&lt;2,IF(O1177&lt;51,"低","中"),IF(N1177&lt;6,IF(O1177&lt;20,"低",IF(O1177&lt;51,"中","高")),IF(O1177&lt;20,"中","高")))),"不计算")))</f>
        <v/>
      </c>
      <c r="Q1177" s="172">
        <f>IFERROR(IF(J1177="EI",IF(P1177="低",3,IF(P1177="中",4,6)),IF(J1177="EO",IF(P1177="低",4,IF(P1177="中",5,7)),IF(J1177="EQ",IF(P1177="低",3,IF(P1177="中",4,6)),IF(J1177="ILF",IF(P1177="低",7,IF(P1177="中",10,15)),IF(J1177="EIF",IF(P1177="低",5,IF(P1177="中",7,10)),"不计算")))))*R1177,"不计算")</f>
        <v/>
      </c>
      <c r="R1177" s="172" t="n">
        <v>1</v>
      </c>
      <c r="S1177" s="173">
        <f>调整因子!$F$13</f>
        <v/>
      </c>
      <c r="T1177" s="93" t="n">
        <v>1</v>
      </c>
      <c r="U1177" s="174">
        <f>IFERROR(Q1177*S1177,0)</f>
        <v/>
      </c>
      <c r="V1177" s="178">
        <f>U1177*T1177</f>
        <v/>
      </c>
      <c r="W1177" s="103" t="inlineStr">
        <is>
          <t>推送失败重试表</t>
        </is>
      </c>
      <c r="X1177" s="103" t="inlineStr"/>
      <c r="Y1177" s="97" t="inlineStr">
        <is>
          <t>推送失败重试表{ID、名称|ID、名称、类型、状态、创建时间、更新时间}</t>
        </is>
      </c>
      <c r="Z1177" s="90" t="n"/>
      <c r="AA1177" s="90" t="n"/>
    </row>
    <row r="1178" s="112">
      <c r="A1178" s="72">
        <f>ROW()-1</f>
        <v/>
      </c>
      <c r="B1178" s="175" t="n"/>
      <c r="C1178" s="124" t="n">
        <v>2026</v>
      </c>
      <c r="E1178" s="103" t="n"/>
      <c r="F1178" s="175" t="n"/>
      <c r="G1178" s="175" t="n"/>
      <c r="H1178" s="175" t="n"/>
      <c r="I1178" s="103" t="inlineStr">
        <is>
          <t>查询失败原因</t>
        </is>
      </c>
      <c r="J1178" s="93" t="inlineStr">
        <is>
          <t>EO</t>
        </is>
      </c>
      <c r="K1178" s="102" t="n"/>
      <c r="L1178" s="102" t="n"/>
      <c r="M1178" s="85">
        <f>IF(OR(Y1178="估算法",Y1178="算法类",Y1178="无法识别"),"",IF(W1178="",IF(OR(J1178="EI",J1178="EO",J1178="EQ"),0,""),LEN(W1178)-LEN(SUBSTITUTE(W1178,"、",""))+1))</f>
        <v/>
      </c>
      <c r="N1178" s="85">
        <f>IF(OR(Y1178="估算法",Y1178="算法类",Y1178="无法识别"),"",IF(X1178="",IF(OR(J1178="ILF",J1178="EIF"),0,""),LEN(X1178)-LEN(SUBSTITUTE(X1178,"、",""))+1))</f>
        <v/>
      </c>
      <c r="O1178" s="85">
        <f>IF(OR(Y1178="估算法",Y1178="算法类",Y1178="无法识别"),"",IF(Y1178="",IF(OR(J1178="ILF",J1178="EIF",J1178="EI",J1178="EO",J1178="EQ"),0,""),LEN(Y1178)-LEN(SUBSTITUTE(SUBSTITUTE(SUBSTITUTE(SUBSTITUTE(SUBSTITUTE(Y1178,"|}","--"),"{|","--"),CHAR(10),""),"、",""),"|",""))+IF(AND(OR(J1178="EI",J1178="EO",J1178="EQ"),$AE$1="NESMA"),2,1)))</f>
        <v/>
      </c>
      <c r="P1178" s="86">
        <f>IF(J1178="EI",IF(OR(Y1178="估算法",Y1178="算法类"),"中",IF(Y1178="无法识别","低",IF(M1178&lt;2,IF(O1178&lt;16,"低","中"),IF(M1178&lt;3,IF(O1178&lt;5,"低",IF(O1178&lt;16,"中","高")),IF(O1178&lt;5,"中","高"))))),IF(OR(J1178="EO",J1178="EQ"),IF(OR(Y1178="估算法",Y1178="算法类"),"中",IF(Y1178="无法识别","低",IF(M1178&lt;2,IF(O1178&lt;20,"低","中"),IF(M1178&lt;4,IF(O1178&lt;6,"低",IF(O1178&lt;20,"中","高")),IF(O1178&lt;6,"中","高"))))),IF(OR(J1178="ILF",J1178="EIF"),IF(OR(Y1178="估算法",Y1178="算法类",Y1178="无法识别"),"低",IF(N1178&lt;2,IF(O1178&lt;51,"低","中"),IF(N1178&lt;6,IF(O1178&lt;20,"低",IF(O1178&lt;51,"中","高")),IF(O1178&lt;20,"中","高")))),"不计算")))</f>
        <v/>
      </c>
      <c r="Q1178" s="172">
        <f>IFERROR(IF(J1178="EI",IF(P1178="低",3,IF(P1178="中",4,6)),IF(J1178="EO",IF(P1178="低",4,IF(P1178="中",5,7)),IF(J1178="EQ",IF(P1178="低",3,IF(P1178="中",4,6)),IF(J1178="ILF",IF(P1178="低",7,IF(P1178="中",10,15)),IF(J1178="EIF",IF(P1178="低",5,IF(P1178="中",7,10)),"不计算")))))*R1178,"不计算")</f>
        <v/>
      </c>
      <c r="R1178" s="172" t="n">
        <v>1</v>
      </c>
      <c r="S1178" s="173">
        <f>调整因子!$F$13</f>
        <v/>
      </c>
      <c r="T1178" s="92" t="n">
        <v>1</v>
      </c>
      <c r="U1178" s="174">
        <f>IFERROR(Q1178*S1178,0)</f>
        <v/>
      </c>
      <c r="V1178" s="178">
        <f>U1178*T1178</f>
        <v/>
      </c>
      <c r="W1178" s="103" t="inlineStr">
        <is>
          <t>修复方案表</t>
        </is>
      </c>
      <c r="X1178" s="103" t="inlineStr"/>
      <c r="Y1178" s="97" t="inlineStr">
        <is>
          <t>修复方案表{ID、名称|ID、名称、类型、状态、创建时间、更新时间}</t>
        </is>
      </c>
      <c r="Z1178" s="90" t="n"/>
      <c r="AA1178" s="90" t="n"/>
    </row>
    <row r="1179" s="112">
      <c r="A1179" s="72">
        <f>ROW()-1</f>
        <v/>
      </c>
      <c r="B1179" s="175" t="n"/>
      <c r="C1179" s="124" t="n">
        <v>2026</v>
      </c>
      <c r="E1179" s="103" t="n"/>
      <c r="F1179" s="175" t="n"/>
      <c r="G1179" s="176" t="n"/>
      <c r="H1179" s="176" t="n"/>
      <c r="I1179" s="103" t="inlineStr">
        <is>
          <t>查看失败详情</t>
        </is>
      </c>
      <c r="J1179" s="93" t="inlineStr">
        <is>
          <t>EQ</t>
        </is>
      </c>
      <c r="K1179" s="102" t="n"/>
      <c r="L1179" s="102" t="n"/>
      <c r="M1179" s="85">
        <f>IF(OR(Y1179="估算法",Y1179="算法类",Y1179="无法识别"),"",IF(W1179="",IF(OR(J1179="EI",J1179="EO",J1179="EQ"),0,""),LEN(W1179)-LEN(SUBSTITUTE(W1179,"、",""))+1))</f>
        <v/>
      </c>
      <c r="N1179" s="85">
        <f>IF(OR(Y1179="估算法",Y1179="算法类",Y1179="无法识别"),"",IF(X1179="",IF(OR(J1179="ILF",J1179="EIF"),0,""),LEN(X1179)-LEN(SUBSTITUTE(X1179,"、",""))+1))</f>
        <v/>
      </c>
      <c r="O1179" s="85">
        <f>IF(OR(Y1179="估算法",Y1179="算法类",Y1179="无法识别"),"",IF(Y1179="",IF(OR(J1179="ILF",J1179="EIF",J1179="EI",J1179="EO",J1179="EQ"),0,""),LEN(Y1179)-LEN(SUBSTITUTE(SUBSTITUTE(SUBSTITUTE(SUBSTITUTE(SUBSTITUTE(Y1179,"|}","--"),"{|","--"),CHAR(10),""),"、",""),"|",""))+IF(AND(OR(J1179="EI",J1179="EO",J1179="EQ"),$AE$1="NESMA"),2,1)))</f>
        <v/>
      </c>
      <c r="P1179" s="86">
        <f>IF(J1179="EI",IF(OR(Y1179="估算法",Y1179="算法类"),"中",IF(Y1179="无法识别","低",IF(M1179&lt;2,IF(O1179&lt;16,"低","中"),IF(M1179&lt;3,IF(O1179&lt;5,"低",IF(O1179&lt;16,"中","高")),IF(O1179&lt;5,"中","高"))))),IF(OR(J1179="EO",J1179="EQ"),IF(OR(Y1179="估算法",Y1179="算法类"),"中",IF(Y1179="无法识别","低",IF(M1179&lt;2,IF(O1179&lt;20,"低","中"),IF(M1179&lt;4,IF(O1179&lt;6,"低",IF(O1179&lt;20,"中","高")),IF(O1179&lt;6,"中","高"))))),IF(OR(J1179="ILF",J1179="EIF"),IF(OR(Y1179="估算法",Y1179="算法类",Y1179="无法识别"),"低",IF(N1179&lt;2,IF(O1179&lt;51,"低","中"),IF(N1179&lt;6,IF(O1179&lt;20,"低",IF(O1179&lt;51,"中","高")),IF(O1179&lt;20,"中","高")))),"不计算")))</f>
        <v/>
      </c>
      <c r="Q1179" s="172">
        <f>IFERROR(IF(J1179="EI",IF(P1179="低",3,IF(P1179="中",4,6)),IF(J1179="EO",IF(P1179="低",4,IF(P1179="中",5,7)),IF(J1179="EQ",IF(P1179="低",3,IF(P1179="中",4,6)),IF(J1179="ILF",IF(P1179="低",7,IF(P1179="中",10,15)),IF(J1179="EIF",IF(P1179="低",5,IF(P1179="中",7,10)),"不计算")))))*R1179,"不计算")</f>
        <v/>
      </c>
      <c r="R1179" s="172" t="n">
        <v>1</v>
      </c>
      <c r="S1179" s="173">
        <f>调整因子!$F$13</f>
        <v/>
      </c>
      <c r="T1179" s="92" t="n">
        <v>1</v>
      </c>
      <c r="U1179" s="174">
        <f>IFERROR(Q1179*S1179,0)</f>
        <v/>
      </c>
      <c r="V1179" s="178">
        <f>U1179*T1179</f>
        <v/>
      </c>
      <c r="W1179" s="103" t="inlineStr">
        <is>
          <t>复测配置表</t>
        </is>
      </c>
      <c r="X1179" s="103" t="inlineStr"/>
      <c r="Y1179" s="97" t="inlineStr">
        <is>
          <t>复测配置表{配置ID、配置名称|配置ID、配置名称、配置类型、配置值、创建时间}</t>
        </is>
      </c>
      <c r="Z1179" s="90" t="n"/>
      <c r="AA1179" s="90" t="n"/>
    </row>
    <row r="1180" s="112">
      <c r="A1180" s="72">
        <f>ROW()-1</f>
        <v/>
      </c>
      <c r="B1180" s="175" t="n"/>
      <c r="C1180" s="124" t="n">
        <v>2026</v>
      </c>
      <c r="E1180" s="103" t="n"/>
      <c r="F1180" s="175" t="n"/>
      <c r="G1180" s="97" t="inlineStr">
        <is>
          <t>扫描策略模板库</t>
        </is>
      </c>
      <c r="H1180" s="97" t="inlineStr">
        <is>
          <t>策略模板管理</t>
        </is>
      </c>
      <c r="I1180" s="103" t="inlineStr">
        <is>
          <t>扫描策略模板表</t>
        </is>
      </c>
      <c r="J1180" s="93" t="inlineStr">
        <is>
          <t>ILF</t>
        </is>
      </c>
      <c r="K1180" s="102" t="n"/>
      <c r="L1180" s="102" t="n"/>
      <c r="M1180" s="85">
        <f>IF(OR(Y1180="估算法",Y1180="算法类",Y1180="无法识别"),"",IF(W1180="",IF(OR(J1180="EI",J1180="EO",J1180="EQ"),0,""),LEN(W1180)-LEN(SUBSTITUTE(W1180,"、",""))+1))</f>
        <v/>
      </c>
      <c r="N1180" s="85">
        <f>IF(OR(Y1180="估算法",Y1180="算法类",Y1180="无法识别"),"",IF(X1180="",IF(OR(J1180="ILF",J1180="EIF"),0,""),LEN(X1180)-LEN(SUBSTITUTE(X1180,"、",""))+1))</f>
        <v/>
      </c>
      <c r="O1180" s="85">
        <f>IF(OR(Y1180="估算法",Y1180="算法类",Y1180="无法识别"),"",IF(Y1180="",IF(OR(J1180="ILF",J1180="EIF",J1180="EI",J1180="EO",J1180="EQ"),0,""),LEN(Y1180)-LEN(SUBSTITUTE(SUBSTITUTE(SUBSTITUTE(SUBSTITUTE(SUBSTITUTE(Y1180,"|}","--"),"{|","--"),CHAR(10),""),"、",""),"|",""))+IF(AND(OR(J1180="EI",J1180="EO",J1180="EQ"),$AE$1="NESMA"),2,1)))</f>
        <v/>
      </c>
      <c r="P1180" s="86">
        <f>IF(J1180="EI",IF(OR(Y1180="估算法",Y1180="算法类"),"中",IF(Y1180="无法识别","低",IF(M1180&lt;2,IF(O1180&lt;16,"低","中"),IF(M1180&lt;3,IF(O1180&lt;5,"低",IF(O1180&lt;16,"中","高")),IF(O1180&lt;5,"中","高"))))),IF(OR(J1180="EO",J1180="EQ"),IF(OR(Y1180="估算法",Y1180="算法类"),"中",IF(Y1180="无法识别","低",IF(M1180&lt;2,IF(O1180&lt;20,"低","中"),IF(M1180&lt;4,IF(O1180&lt;6,"低",IF(O1180&lt;20,"中","高")),IF(O1180&lt;6,"中","高"))))),IF(OR(J1180="ILF",J1180="EIF"),IF(OR(Y1180="估算法",Y1180="算法类",Y1180="无法识别"),"低",IF(N1180&lt;2,IF(O1180&lt;51,"低","中"),IF(N1180&lt;6,IF(O1180&lt;20,"低",IF(O1180&lt;51,"中","高")),IF(O1180&lt;20,"中","高")))),"不计算")))</f>
        <v/>
      </c>
      <c r="Q1180" s="172">
        <f>IFERROR(IF(J1180="EI",IF(P1180="低",3,IF(P1180="中",4,6)),IF(J1180="EO",IF(P1180="低",4,IF(P1180="中",5,7)),IF(J1180="EQ",IF(P1180="低",3,IF(P1180="中",4,6)),IF(J1180="ILF",IF(P1180="低",7,IF(P1180="中",10,15)),IF(J1180="EIF",IF(P1180="低",5,IF(P1180="中",7,10)),"不计算")))))*R1180,"不计算")</f>
        <v/>
      </c>
      <c r="R1180" s="172" t="n">
        <v>1</v>
      </c>
      <c r="S1180" s="173">
        <f>调整因子!$F$13</f>
        <v/>
      </c>
      <c r="T1180" s="93" t="n">
        <v>1</v>
      </c>
      <c r="U1180" s="174">
        <f>IFERROR(Q1180*S1180,0)</f>
        <v/>
      </c>
      <c r="V1180" s="178">
        <f>U1180*T1180</f>
        <v/>
      </c>
      <c r="W1180" s="103" t="inlineStr"/>
      <c r="X1180" s="103" t="inlineStr">
        <is>
          <t>扫描任务、发现任务、口令猜测任务</t>
        </is>
      </c>
      <c r="Y1180" s="97" t="inlineStr">
        <is>
          <t>扫描策略模板表{任务ID、任务名称、任务状态|任务ID、任务名称、任务状态、扫描器类型、开始时间、结束时间、扫描结果}</t>
        </is>
      </c>
      <c r="Z1180" s="90">
        <f>IF(COUNTIFS(W:W,"*"&amp;I1180&amp;"*")&gt;0,"存在","不存在")</f>
        <v/>
      </c>
      <c r="AA1180" s="90">
        <f>IF(COUNTIFS(AB:AB,"*"&amp;I1180&amp;"*")&gt;0,"存在","不存在")</f>
        <v/>
      </c>
    </row>
    <row r="1181" s="112">
      <c r="A1181" s="72">
        <f>ROW()-1</f>
        <v/>
      </c>
      <c r="B1181" s="175" t="n"/>
      <c r="C1181" s="124" t="n">
        <v>2026</v>
      </c>
      <c r="E1181" s="103" t="n"/>
      <c r="F1181" s="175" t="n"/>
      <c r="G1181" s="175" t="n"/>
      <c r="H1181" s="175" t="n"/>
      <c r="I1181" s="103" t="inlineStr">
        <is>
          <t>模板分类表</t>
        </is>
      </c>
      <c r="J1181" s="93" t="inlineStr">
        <is>
          <t>ILF</t>
        </is>
      </c>
      <c r="K1181" s="102" t="n"/>
      <c r="L1181" s="102" t="n"/>
      <c r="M1181" s="85">
        <f>IF(OR(Y1181="估算法",Y1181="算法类",Y1181="无法识别"),"",IF(W1181="",IF(OR(J1181="EI",J1181="EO",J1181="EQ"),0,""),LEN(W1181)-LEN(SUBSTITUTE(W1181,"、",""))+1))</f>
        <v/>
      </c>
      <c r="N1181" s="85">
        <f>IF(OR(Y1181="估算法",Y1181="算法类",Y1181="无法识别"),"",IF(X1181="",IF(OR(J1181="ILF",J1181="EIF"),0,""),LEN(X1181)-LEN(SUBSTITUTE(X1181,"、",""))+1))</f>
        <v/>
      </c>
      <c r="O1181" s="85">
        <f>IF(OR(Y1181="估算法",Y1181="算法类",Y1181="无法识别"),"",IF(Y1181="",IF(OR(J1181="ILF",J1181="EIF",J1181="EI",J1181="EO",J1181="EQ"),0,""),LEN(Y1181)-LEN(SUBSTITUTE(SUBSTITUTE(SUBSTITUTE(SUBSTITUTE(SUBSTITUTE(Y1181,"|}","--"),"{|","--"),CHAR(10),""),"、",""),"|",""))+IF(AND(OR(J1181="EI",J1181="EO",J1181="EQ"),$AE$1="NESMA"),2,1)))</f>
        <v/>
      </c>
      <c r="P1181" s="86">
        <f>IF(J1181="EI",IF(OR(Y1181="估算法",Y1181="算法类"),"中",IF(Y1181="无法识别","低",IF(M1181&lt;2,IF(O1181&lt;16,"低","中"),IF(M1181&lt;3,IF(O1181&lt;5,"低",IF(O1181&lt;16,"中","高")),IF(O1181&lt;5,"中","高"))))),IF(OR(J1181="EO",J1181="EQ"),IF(OR(Y1181="估算法",Y1181="算法类"),"中",IF(Y1181="无法识别","低",IF(M1181&lt;2,IF(O1181&lt;20,"低","中"),IF(M1181&lt;4,IF(O1181&lt;6,"低",IF(O1181&lt;20,"中","高")),IF(O1181&lt;6,"中","高"))))),IF(OR(J1181="ILF",J1181="EIF"),IF(OR(Y1181="估算法",Y1181="算法类",Y1181="无法识别"),"低",IF(N1181&lt;2,IF(O1181&lt;51,"低","中"),IF(N1181&lt;6,IF(O1181&lt;20,"低",IF(O1181&lt;51,"中","高")),IF(O1181&lt;20,"中","高")))),"不计算")))</f>
        <v/>
      </c>
      <c r="Q1181" s="172">
        <f>IFERROR(IF(J1181="EI",IF(P1181="低",3,IF(P1181="中",4,6)),IF(J1181="EO",IF(P1181="低",4,IF(P1181="中",5,7)),IF(J1181="EQ",IF(P1181="低",3,IF(P1181="中",4,6)),IF(J1181="ILF",IF(P1181="低",7,IF(P1181="中",10,15)),IF(J1181="EIF",IF(P1181="低",5,IF(P1181="中",7,10)),"不计算")))))*R1181,"不计算")</f>
        <v/>
      </c>
      <c r="R1181" s="172" t="n">
        <v>1</v>
      </c>
      <c r="S1181" s="173">
        <f>调整因子!$F$13</f>
        <v/>
      </c>
      <c r="T1181" s="93" t="n">
        <v>1</v>
      </c>
      <c r="U1181" s="174">
        <f>IFERROR(Q1181*S1181,0)</f>
        <v/>
      </c>
      <c r="V1181" s="178">
        <f>U1181*T1181</f>
        <v/>
      </c>
      <c r="W1181" s="103" t="inlineStr"/>
      <c r="X1181" s="103" t="inlineStr">
        <is>
          <t>数据记录</t>
        </is>
      </c>
      <c r="Y1181" s="97" t="inlineStr">
        <is>
          <t>模板分类表{ID、名称、类型|ID、名称、类型、状态、创建时间、更新时间}</t>
        </is>
      </c>
      <c r="Z1181" s="90">
        <f>IF(COUNTIFS(W:W,"*"&amp;I1181&amp;"*")&gt;0,"存在","不存在")</f>
        <v/>
      </c>
      <c r="AA1181" s="90">
        <f>IF(COUNTIFS(AB:AB,"*"&amp;I1181&amp;"*")&gt;0,"存在","不存在")</f>
        <v/>
      </c>
    </row>
    <row r="1182" s="112">
      <c r="A1182" s="72">
        <f>ROW()-1</f>
        <v/>
      </c>
      <c r="B1182" s="175" t="n"/>
      <c r="C1182" s="124" t="n">
        <v>2026</v>
      </c>
      <c r="E1182" s="103" t="n"/>
      <c r="F1182" s="175" t="n"/>
      <c r="G1182" s="175" t="n"/>
      <c r="H1182" s="175" t="n"/>
      <c r="I1182" s="103" t="inlineStr">
        <is>
          <t>模板参数配置表</t>
        </is>
      </c>
      <c r="J1182" s="93" t="inlineStr">
        <is>
          <t>ILF</t>
        </is>
      </c>
      <c r="K1182" s="102" t="n"/>
      <c r="L1182" s="102" t="n"/>
      <c r="M1182" s="85">
        <f>IF(OR(Y1182="估算法",Y1182="算法类",Y1182="无法识别"),"",IF(W1182="",IF(OR(J1182="EI",J1182="EO",J1182="EQ"),0,""),LEN(W1182)-LEN(SUBSTITUTE(W1182,"、",""))+1))</f>
        <v/>
      </c>
      <c r="N1182" s="85">
        <f>IF(OR(Y1182="估算法",Y1182="算法类",Y1182="无法识别"),"",IF(X1182="",IF(OR(J1182="ILF",J1182="EIF"),0,""),LEN(X1182)-LEN(SUBSTITUTE(X1182,"、",""))+1))</f>
        <v/>
      </c>
      <c r="O1182" s="85">
        <f>IF(OR(Y1182="估算法",Y1182="算法类",Y1182="无法识别"),"",IF(Y1182="",IF(OR(J1182="ILF",J1182="EIF",J1182="EI",J1182="EO",J1182="EQ"),0,""),LEN(Y1182)-LEN(SUBSTITUTE(SUBSTITUTE(SUBSTITUTE(SUBSTITUTE(SUBSTITUTE(Y1182,"|}","--"),"{|","--"),CHAR(10),""),"、",""),"|",""))+IF(AND(OR(J1182="EI",J1182="EO",J1182="EQ"),$AE$1="NESMA"),2,1)))</f>
        <v/>
      </c>
      <c r="P1182" s="86">
        <f>IF(J1182="EI",IF(OR(Y1182="估算法",Y1182="算法类"),"中",IF(Y1182="无法识别","低",IF(M1182&lt;2,IF(O1182&lt;16,"低","中"),IF(M1182&lt;3,IF(O1182&lt;5,"低",IF(O1182&lt;16,"中","高")),IF(O1182&lt;5,"中","高"))))),IF(OR(J1182="EO",J1182="EQ"),IF(OR(Y1182="估算法",Y1182="算法类"),"中",IF(Y1182="无法识别","低",IF(M1182&lt;2,IF(O1182&lt;20,"低","中"),IF(M1182&lt;4,IF(O1182&lt;6,"低",IF(O1182&lt;20,"中","高")),IF(O1182&lt;6,"中","高"))))),IF(OR(J1182="ILF",J1182="EIF"),IF(OR(Y1182="估算法",Y1182="算法类",Y1182="无法识别"),"低",IF(N1182&lt;2,IF(O1182&lt;51,"低","中"),IF(N1182&lt;6,IF(O1182&lt;20,"低",IF(O1182&lt;51,"中","高")),IF(O1182&lt;20,"中","高")))),"不计算")))</f>
        <v/>
      </c>
      <c r="Q1182" s="172">
        <f>IFERROR(IF(J1182="EI",IF(P1182="低",3,IF(P1182="中",4,6)),IF(J1182="EO",IF(P1182="低",4,IF(P1182="中",5,7)),IF(J1182="EQ",IF(P1182="低",3,IF(P1182="中",4,6)),IF(J1182="ILF",IF(P1182="低",7,IF(P1182="中",10,15)),IF(J1182="EIF",IF(P1182="低",5,IF(P1182="中",7,10)),"不计算")))))*R1182,"不计算")</f>
        <v/>
      </c>
      <c r="R1182" s="172" t="n">
        <v>1</v>
      </c>
      <c r="S1182" s="173">
        <f>调整因子!$F$13</f>
        <v/>
      </c>
      <c r="T1182" s="92" t="n">
        <v>1</v>
      </c>
      <c r="U1182" s="174">
        <f>IFERROR(Q1182*S1182,0)</f>
        <v/>
      </c>
      <c r="V1182" s="178">
        <f>U1182*T1182</f>
        <v/>
      </c>
      <c r="W1182" s="103" t="inlineStr"/>
      <c r="X1182" s="103" t="inlineStr">
        <is>
          <t>配置项</t>
        </is>
      </c>
      <c r="Y1182" s="97" t="inlineStr">
        <is>
          <t>模板参数配置表{配置ID、配置名称、配置类型|配置ID、配置名称、配置类型、配置值、创建时间}</t>
        </is>
      </c>
      <c r="Z1182" s="90">
        <f>IF(COUNTIFS(W:W,"*"&amp;I1182&amp;"*")&gt;0,"存在","不存在")</f>
        <v/>
      </c>
      <c r="AA1182" s="90">
        <f>IF(COUNTIFS(AB:AB,"*"&amp;I1182&amp;"*")&gt;0,"存在","不存在")</f>
        <v/>
      </c>
    </row>
    <row r="1183" s="112">
      <c r="A1183" s="72">
        <f>ROW()-1</f>
        <v/>
      </c>
      <c r="B1183" s="175" t="n"/>
      <c r="C1183" s="124" t="n">
        <v>2026</v>
      </c>
      <c r="E1183" s="103" t="n"/>
      <c r="F1183" s="175" t="n"/>
      <c r="G1183" s="175" t="n"/>
      <c r="H1183" s="175" t="n"/>
      <c r="I1183" s="103" t="inlineStr">
        <is>
          <t>编辑策略模板</t>
        </is>
      </c>
      <c r="J1183" s="93" t="inlineStr">
        <is>
          <t>EI</t>
        </is>
      </c>
      <c r="K1183" s="102" t="n"/>
      <c r="L1183" s="102" t="n"/>
      <c r="M1183" s="85">
        <f>IF(OR(Y1183="估算法",Y1183="算法类",Y1183="无法识别"),"",IF(W1183="",IF(OR(J1183="EI",J1183="EO",J1183="EQ"),0,""),LEN(W1183)-LEN(SUBSTITUTE(W1183,"、",""))+1))</f>
        <v/>
      </c>
      <c r="N1183" s="85">
        <f>IF(OR(Y1183="估算法",Y1183="算法类",Y1183="无法识别"),"",IF(X1183="",IF(OR(J1183="ILF",J1183="EIF"),0,""),LEN(X1183)-LEN(SUBSTITUTE(X1183,"、",""))+1))</f>
        <v/>
      </c>
      <c r="O1183" s="85">
        <f>IF(OR(Y1183="估算法",Y1183="算法类",Y1183="无法识别"),"",IF(Y1183="",IF(OR(J1183="ILF",J1183="EIF",J1183="EI",J1183="EO",J1183="EQ"),0,""),LEN(Y1183)-LEN(SUBSTITUTE(SUBSTITUTE(SUBSTITUTE(SUBSTITUTE(SUBSTITUTE(Y1183,"|}","--"),"{|","--"),CHAR(10),""),"、",""),"|",""))+IF(AND(OR(J1183="EI",J1183="EO",J1183="EQ"),$AE$1="NESMA"),2,1)))</f>
        <v/>
      </c>
      <c r="P1183" s="86">
        <f>IF(J1183="EI",IF(OR(Y1183="估算法",Y1183="算法类"),"中",IF(Y1183="无法识别","低",IF(M1183&lt;2,IF(O1183&lt;16,"低","中"),IF(M1183&lt;3,IF(O1183&lt;5,"低",IF(O1183&lt;16,"中","高")),IF(O1183&lt;5,"中","高"))))),IF(OR(J1183="EO",J1183="EQ"),IF(OR(Y1183="估算法",Y1183="算法类"),"中",IF(Y1183="无法识别","低",IF(M1183&lt;2,IF(O1183&lt;20,"低","中"),IF(M1183&lt;4,IF(O1183&lt;6,"低",IF(O1183&lt;20,"中","高")),IF(O1183&lt;6,"中","高"))))),IF(OR(J1183="ILF",J1183="EIF"),IF(OR(Y1183="估算法",Y1183="算法类",Y1183="无法识别"),"低",IF(N1183&lt;2,IF(O1183&lt;51,"低","中"),IF(N1183&lt;6,IF(O1183&lt;20,"低",IF(O1183&lt;51,"中","高")),IF(O1183&lt;20,"中","高")))),"不计算")))</f>
        <v/>
      </c>
      <c r="Q1183" s="172">
        <f>IFERROR(IF(J1183="EI",IF(P1183="低",3,IF(P1183="中",4,6)),IF(J1183="EO",IF(P1183="低",4,IF(P1183="中",5,7)),IF(J1183="EQ",IF(P1183="低",3,IF(P1183="中",4,6)),IF(J1183="ILF",IF(P1183="低",7,IF(P1183="中",10,15)),IF(J1183="EIF",IF(P1183="低",5,IF(P1183="中",7,10)),"不计算")))))*R1183,"不计算")</f>
        <v/>
      </c>
      <c r="R1183" s="172" t="n">
        <v>1</v>
      </c>
      <c r="S1183" s="173">
        <f>调整因子!$F$13</f>
        <v/>
      </c>
      <c r="T1183" s="92" t="n">
        <v>1</v>
      </c>
      <c r="U1183" s="174">
        <f>IFERROR(Q1183*S1183,0)</f>
        <v/>
      </c>
      <c r="V1183" s="178">
        <f>U1183*T1183</f>
        <v/>
      </c>
      <c r="W1183" s="103" t="inlineStr">
        <is>
          <t>扫描策略模板表、提醒策略配置表</t>
        </is>
      </c>
      <c r="X1183" s="103" t="inlineStr"/>
      <c r="Y1183" s="97" t="inlineStr">
        <is>
          <t>扫描策略模板表{任务ID、任务名称、任务状态、扫描器类型、开始时间、结束时间、扫描结果|任务ID、任务名称、任务状态}
提醒策略配置表{配置ID、配置名称、配置类型、配置值、创建时间|配置ID、配置名称、配置类型}</t>
        </is>
      </c>
      <c r="Z1183" s="90" t="n"/>
      <c r="AA1183" s="90" t="n"/>
    </row>
    <row r="1184" s="112">
      <c r="A1184" s="72">
        <f>ROW()-1</f>
        <v/>
      </c>
      <c r="B1184" s="175" t="n"/>
      <c r="C1184" s="124" t="n">
        <v>2026</v>
      </c>
      <c r="E1184" s="103" t="n"/>
      <c r="F1184" s="175" t="n"/>
      <c r="G1184" s="175" t="n"/>
      <c r="H1184" s="175" t="n"/>
      <c r="I1184" s="103" t="inlineStr">
        <is>
          <t>删除策略模板</t>
        </is>
      </c>
      <c r="J1184" s="93" t="inlineStr">
        <is>
          <t>EI</t>
        </is>
      </c>
      <c r="K1184" s="102" t="n"/>
      <c r="L1184" s="102" t="n"/>
      <c r="M1184" s="85">
        <f>IF(OR(Y1184="估算法",Y1184="算法类",Y1184="无法识别"),"",IF(W1184="",IF(OR(J1184="EI",J1184="EO",J1184="EQ"),0,""),LEN(W1184)-LEN(SUBSTITUTE(W1184,"、",""))+1))</f>
        <v/>
      </c>
      <c r="N1184" s="85">
        <f>IF(OR(Y1184="估算法",Y1184="算法类",Y1184="无法识别"),"",IF(X1184="",IF(OR(J1184="ILF",J1184="EIF"),0,""),LEN(X1184)-LEN(SUBSTITUTE(X1184,"、",""))+1))</f>
        <v/>
      </c>
      <c r="O1184" s="85">
        <f>IF(OR(Y1184="估算法",Y1184="算法类",Y1184="无法识别"),"",IF(Y1184="",IF(OR(J1184="ILF",J1184="EIF",J1184="EI",J1184="EO",J1184="EQ"),0,""),LEN(Y1184)-LEN(SUBSTITUTE(SUBSTITUTE(SUBSTITUTE(SUBSTITUTE(SUBSTITUTE(Y1184,"|}","--"),"{|","--"),CHAR(10),""),"、",""),"|",""))+IF(AND(OR(J1184="EI",J1184="EO",J1184="EQ"),$AE$1="NESMA"),2,1)))</f>
        <v/>
      </c>
      <c r="P1184" s="86">
        <f>IF(J1184="EI",IF(OR(Y1184="估算法",Y1184="算法类"),"中",IF(Y1184="无法识别","低",IF(M1184&lt;2,IF(O1184&lt;16,"低","中"),IF(M1184&lt;3,IF(O1184&lt;5,"低",IF(O1184&lt;16,"中","高")),IF(O1184&lt;5,"中","高"))))),IF(OR(J1184="EO",J1184="EQ"),IF(OR(Y1184="估算法",Y1184="算法类"),"中",IF(Y1184="无法识别","低",IF(M1184&lt;2,IF(O1184&lt;20,"低","中"),IF(M1184&lt;4,IF(O1184&lt;6,"低",IF(O1184&lt;20,"中","高")),IF(O1184&lt;6,"中","高"))))),IF(OR(J1184="ILF",J1184="EIF"),IF(OR(Y1184="估算法",Y1184="算法类",Y1184="无法识别"),"低",IF(N1184&lt;2,IF(O1184&lt;51,"低","中"),IF(N1184&lt;6,IF(O1184&lt;20,"低",IF(O1184&lt;51,"中","高")),IF(O1184&lt;20,"中","高")))),"不计算")))</f>
        <v/>
      </c>
      <c r="Q1184" s="172">
        <f>IFERROR(IF(J1184="EI",IF(P1184="低",3,IF(P1184="中",4,6)),IF(J1184="EO",IF(P1184="低",4,IF(P1184="中",5,7)),IF(J1184="EQ",IF(P1184="低",3,IF(P1184="中",4,6)),IF(J1184="ILF",IF(P1184="低",7,IF(P1184="中",10,15)),IF(J1184="EIF",IF(P1184="低",5,IF(P1184="中",7,10)),"不计算")))))*R1184,"不计算")</f>
        <v/>
      </c>
      <c r="R1184" s="172" t="n">
        <v>0.333333333333333</v>
      </c>
      <c r="S1184" s="173">
        <f>调整因子!$F$13</f>
        <v/>
      </c>
      <c r="T1184" s="93" t="n">
        <v>1</v>
      </c>
      <c r="U1184" s="174">
        <f>IFERROR(Q1184*S1184,0)</f>
        <v/>
      </c>
      <c r="V1184" s="178">
        <f>U1184*T1184</f>
        <v/>
      </c>
      <c r="W1184" s="103" t="inlineStr">
        <is>
          <t>扫描策略模板表</t>
        </is>
      </c>
      <c r="X1184" s="103" t="inlineStr"/>
      <c r="Y1184" s="97" t="inlineStr">
        <is>
          <t>扫描策略模板表{任务ID、任务名称、任务状态、扫描器类型、开始时间、结束时间、扫描结果|任务ID、任务名称、任务状态}</t>
        </is>
      </c>
      <c r="Z1184" s="90" t="n"/>
      <c r="AA1184" s="90" t="n"/>
    </row>
    <row r="1185" s="112">
      <c r="A1185" s="72">
        <f>ROW()-1</f>
        <v/>
      </c>
      <c r="B1185" s="175" t="n"/>
      <c r="C1185" s="124" t="n">
        <v>2026</v>
      </c>
      <c r="E1185" s="103" t="n"/>
      <c r="F1185" s="175" t="n"/>
      <c r="G1185" s="175" t="n"/>
      <c r="H1185" s="175" t="n"/>
      <c r="I1185" s="103" t="inlineStr">
        <is>
          <t>启用策略模板</t>
        </is>
      </c>
      <c r="J1185" s="93" t="inlineStr">
        <is>
          <t>EI</t>
        </is>
      </c>
      <c r="K1185" s="102" t="n"/>
      <c r="L1185" s="102" t="n"/>
      <c r="M1185" s="85">
        <f>IF(OR(Y1185="估算法",Y1185="算法类",Y1185="无法识别"),"",IF(W1185="",IF(OR(J1185="EI",J1185="EO",J1185="EQ"),0,""),LEN(W1185)-LEN(SUBSTITUTE(W1185,"、",""))+1))</f>
        <v/>
      </c>
      <c r="N1185" s="85">
        <f>IF(OR(Y1185="估算法",Y1185="算法类",Y1185="无法识别"),"",IF(X1185="",IF(OR(J1185="ILF",J1185="EIF"),0,""),LEN(X1185)-LEN(SUBSTITUTE(X1185,"、",""))+1))</f>
        <v/>
      </c>
      <c r="O1185" s="85">
        <f>IF(OR(Y1185="估算法",Y1185="算法类",Y1185="无法识别"),"",IF(Y1185="",IF(OR(J1185="ILF",J1185="EIF",J1185="EI",J1185="EO",J1185="EQ"),0,""),LEN(Y1185)-LEN(SUBSTITUTE(SUBSTITUTE(SUBSTITUTE(SUBSTITUTE(SUBSTITUTE(Y1185,"|}","--"),"{|","--"),CHAR(10),""),"、",""),"|",""))+IF(AND(OR(J1185="EI",J1185="EO",J1185="EQ"),$AE$1="NESMA"),2,1)))</f>
        <v/>
      </c>
      <c r="P1185" s="86">
        <f>IF(J1185="EI",IF(OR(Y1185="估算法",Y1185="算法类"),"中",IF(Y1185="无法识别","低",IF(M1185&lt;2,IF(O1185&lt;16,"低","中"),IF(M1185&lt;3,IF(O1185&lt;5,"低",IF(O1185&lt;16,"中","高")),IF(O1185&lt;5,"中","高"))))),IF(OR(J1185="EO",J1185="EQ"),IF(OR(Y1185="估算法",Y1185="算法类"),"中",IF(Y1185="无法识别","低",IF(M1185&lt;2,IF(O1185&lt;20,"低","中"),IF(M1185&lt;4,IF(O1185&lt;6,"低",IF(O1185&lt;20,"中","高")),IF(O1185&lt;6,"中","高"))))),IF(OR(J1185="ILF",J1185="EIF"),IF(OR(Y1185="估算法",Y1185="算法类",Y1185="无法识别"),"低",IF(N1185&lt;2,IF(O1185&lt;51,"低","中"),IF(N1185&lt;6,IF(O1185&lt;20,"低",IF(O1185&lt;51,"中","高")),IF(O1185&lt;20,"中","高")))),"不计算")))</f>
        <v/>
      </c>
      <c r="Q1185" s="172">
        <f>IFERROR(IF(J1185="EI",IF(P1185="低",3,IF(P1185="中",4,6)),IF(J1185="EO",IF(P1185="低",4,IF(P1185="中",5,7)),IF(J1185="EQ",IF(P1185="低",3,IF(P1185="中",4,6)),IF(J1185="ILF",IF(P1185="低",7,IF(P1185="中",10,15)),IF(J1185="EIF",IF(P1185="低",5,IF(P1185="中",7,10)),"不计算")))))*R1185,"不计算")</f>
        <v/>
      </c>
      <c r="R1185" s="172" t="n">
        <v>1</v>
      </c>
      <c r="S1185" s="173">
        <f>调整因子!$F$13</f>
        <v/>
      </c>
      <c r="T1185" s="92" t="n">
        <v>1</v>
      </c>
      <c r="U1185" s="174">
        <f>IFERROR(Q1185*S1185,0)</f>
        <v/>
      </c>
      <c r="V1185" s="178">
        <f>U1185*T1185</f>
        <v/>
      </c>
      <c r="W1185" s="103" t="inlineStr">
        <is>
          <t>扫描策略模板表</t>
        </is>
      </c>
      <c r="X1185" s="103" t="inlineStr"/>
      <c r="Y1185" s="97" t="inlineStr">
        <is>
          <t>扫描策略模板表{任务ID、任务名称、任务状态、扫描器类型、开始时间、结束时间、扫描结果|任务ID、任务名称、任务状态}</t>
        </is>
      </c>
      <c r="Z1185" s="90" t="n"/>
      <c r="AA1185" s="90" t="n"/>
    </row>
    <row r="1186" s="112">
      <c r="A1186" s="72">
        <f>ROW()-1</f>
        <v/>
      </c>
      <c r="B1186" s="175" t="n"/>
      <c r="C1186" s="124" t="n">
        <v>2026</v>
      </c>
      <c r="E1186" s="103" t="n"/>
      <c r="F1186" s="175" t="n"/>
      <c r="G1186" s="175" t="n"/>
      <c r="H1186" s="175" t="n"/>
      <c r="I1186" s="103" t="inlineStr">
        <is>
          <t>停用策略模板</t>
        </is>
      </c>
      <c r="J1186" s="93" t="n"/>
      <c r="K1186" s="102" t="n"/>
      <c r="L1186" s="102" t="inlineStr">
        <is>
          <t>和上行合并，启停为相同功能</t>
        </is>
      </c>
      <c r="M1186" s="85">
        <f>IF(OR(Y1186="估算法",Y1186="算法类",Y1186="无法识别"),"",IF(W1186="",IF(OR(J1186="EI",J1186="EO",J1186="EQ"),0,""),LEN(W1186)-LEN(SUBSTITUTE(W1186,"、",""))+1))</f>
        <v/>
      </c>
      <c r="N1186" s="85">
        <f>IF(OR(Y1186="估算法",Y1186="算法类",Y1186="无法识别"),"",IF(X1186="",IF(OR(J1186="ILF",J1186="EIF"),0,""),LEN(X1186)-LEN(SUBSTITUTE(X1186,"、",""))+1))</f>
        <v/>
      </c>
      <c r="O1186" s="85">
        <f>IF(OR(Y1186="估算法",Y1186="算法类",Y1186="无法识别"),"",IF(Y1186="",IF(OR(J1186="ILF",J1186="EIF",J1186="EI",J1186="EO",J1186="EQ"),0,""),LEN(Y1186)-LEN(SUBSTITUTE(SUBSTITUTE(SUBSTITUTE(SUBSTITUTE(SUBSTITUTE(Y1186,"|}","--"),"{|","--"),CHAR(10),""),"、",""),"|",""))+IF(AND(OR(J1186="EI",J1186="EO",J1186="EQ"),$AE$1="NESMA"),2,1)))</f>
        <v/>
      </c>
      <c r="P1186" s="86">
        <f>IF(J1186="EI",IF(OR(Y1186="估算法",Y1186="算法类"),"中",IF(Y1186="无法识别","低",IF(M1186&lt;2,IF(O1186&lt;16,"低","中"),IF(M1186&lt;3,IF(O1186&lt;5,"低",IF(O1186&lt;16,"中","高")),IF(O1186&lt;5,"中","高"))))),IF(OR(J1186="EO",J1186="EQ"),IF(OR(Y1186="估算法",Y1186="算法类"),"中",IF(Y1186="无法识别","低",IF(M1186&lt;2,IF(O1186&lt;20,"低","中"),IF(M1186&lt;4,IF(O1186&lt;6,"低",IF(O1186&lt;20,"中","高")),IF(O1186&lt;6,"中","高"))))),IF(OR(J1186="ILF",J1186="EIF"),IF(OR(Y1186="估算法",Y1186="算法类",Y1186="无法识别"),"低",IF(N1186&lt;2,IF(O1186&lt;51,"低","中"),IF(N1186&lt;6,IF(O1186&lt;20,"低",IF(O1186&lt;51,"中","高")),IF(O1186&lt;20,"中","高")))),"不计算")))</f>
        <v/>
      </c>
      <c r="Q1186" s="172">
        <f>IFERROR(IF(J1186="EI",IF(P1186="低",3,IF(P1186="中",4,6)),IF(J1186="EO",IF(P1186="低",4,IF(P1186="中",5,7)),IF(J1186="EQ",IF(P1186="低",3,IF(P1186="中",4,6)),IF(J1186="ILF",IF(P1186="低",7,IF(P1186="中",10,15)),IF(J1186="EIF",IF(P1186="低",5,IF(P1186="中",7,10)),"不计算")))))*R1186,"不计算")</f>
        <v/>
      </c>
      <c r="R1186" s="172" t="n">
        <v>1</v>
      </c>
      <c r="S1186" s="173">
        <f>调整因子!$F$13</f>
        <v/>
      </c>
      <c r="T1186" s="92" t="n">
        <v>1</v>
      </c>
      <c r="U1186" s="174">
        <f>IFERROR(Q1186*S1186,0)</f>
        <v/>
      </c>
      <c r="V1186" s="178">
        <f>U1186*T1186</f>
        <v/>
      </c>
      <c r="W1186" s="103" t="inlineStr">
        <is>
          <t>扫描策略模板表、提醒策略配置表</t>
        </is>
      </c>
      <c r="X1186" s="103" t="inlineStr"/>
      <c r="Y1186" s="97" t="inlineStr">
        <is>
          <t>扫描策略模板表{任务ID、任务名称、任务状态、扫描器类型、开始时间、结束时间、扫描结果|任务ID、任务名称、任务状态}
提醒策略配置表{配置ID、配置名称、配置类型、配置值、创建时间|配置ID、配置名称、配置类型}</t>
        </is>
      </c>
      <c r="Z1186" s="90" t="n"/>
      <c r="AA1186" s="90" t="n"/>
    </row>
    <row r="1187" s="112">
      <c r="A1187" s="72">
        <f>ROW()-1</f>
        <v/>
      </c>
      <c r="B1187" s="175" t="n"/>
      <c r="C1187" s="124" t="n">
        <v>2026</v>
      </c>
      <c r="E1187" s="103" t="n"/>
      <c r="F1187" s="175" t="n"/>
      <c r="G1187" s="175" t="n"/>
      <c r="H1187" s="175" t="n"/>
      <c r="I1187" s="103" t="inlineStr">
        <is>
          <t>导出策略模板</t>
        </is>
      </c>
      <c r="J1187" s="93" t="inlineStr">
        <is>
          <t>EO</t>
        </is>
      </c>
      <c r="K1187" s="102" t="n"/>
      <c r="L1187" s="102" t="n"/>
      <c r="M1187" s="85">
        <f>IF(OR(Y1187="估算法",Y1187="算法类",Y1187="无法识别"),"",IF(W1187="",IF(OR(J1187="EI",J1187="EO",J1187="EQ"),0,""),LEN(W1187)-LEN(SUBSTITUTE(W1187,"、",""))+1))</f>
        <v/>
      </c>
      <c r="N1187" s="85">
        <f>IF(OR(Y1187="估算法",Y1187="算法类",Y1187="无法识别"),"",IF(X1187="",IF(OR(J1187="ILF",J1187="EIF"),0,""),LEN(X1187)-LEN(SUBSTITUTE(X1187,"、",""))+1))</f>
        <v/>
      </c>
      <c r="O1187" s="85">
        <f>IF(OR(Y1187="估算法",Y1187="算法类",Y1187="无法识别"),"",IF(Y1187="",IF(OR(J1187="ILF",J1187="EIF",J1187="EI",J1187="EO",J1187="EQ"),0,""),LEN(Y1187)-LEN(SUBSTITUTE(SUBSTITUTE(SUBSTITUTE(SUBSTITUTE(SUBSTITUTE(Y1187,"|}","--"),"{|","--"),CHAR(10),""),"、",""),"|",""))+IF(AND(OR(J1187="EI",J1187="EO",J1187="EQ"),$AE$1="NESMA"),2,1)))</f>
        <v/>
      </c>
      <c r="P1187" s="86">
        <f>IF(J1187="EI",IF(OR(Y1187="估算法",Y1187="算法类"),"中",IF(Y1187="无法识别","低",IF(M1187&lt;2,IF(O1187&lt;16,"低","中"),IF(M1187&lt;3,IF(O1187&lt;5,"低",IF(O1187&lt;16,"中","高")),IF(O1187&lt;5,"中","高"))))),IF(OR(J1187="EO",J1187="EQ"),IF(OR(Y1187="估算法",Y1187="算法类"),"中",IF(Y1187="无法识别","低",IF(M1187&lt;2,IF(O1187&lt;20,"低","中"),IF(M1187&lt;4,IF(O1187&lt;6,"低",IF(O1187&lt;20,"中","高")),IF(O1187&lt;6,"中","高"))))),IF(OR(J1187="ILF",J1187="EIF"),IF(OR(Y1187="估算法",Y1187="算法类",Y1187="无法识别"),"低",IF(N1187&lt;2,IF(O1187&lt;51,"低","中"),IF(N1187&lt;6,IF(O1187&lt;20,"低",IF(O1187&lt;51,"中","高")),IF(O1187&lt;20,"中","高")))),"不计算")))</f>
        <v/>
      </c>
      <c r="Q1187" s="172">
        <f>IFERROR(IF(J1187="EI",IF(P1187="低",3,IF(P1187="中",4,6)),IF(J1187="EO",IF(P1187="低",4,IF(P1187="中",5,7)),IF(J1187="EQ",IF(P1187="低",3,IF(P1187="中",4,6)),IF(J1187="ILF",IF(P1187="低",7,IF(P1187="中",10,15)),IF(J1187="EIF",IF(P1187="低",5,IF(P1187="中",7,10)),"不计算")))))*R1187,"不计算")</f>
        <v/>
      </c>
      <c r="R1187" s="172" t="n">
        <v>1</v>
      </c>
      <c r="S1187" s="173">
        <f>调整因子!$F$13</f>
        <v/>
      </c>
      <c r="T1187" s="93" t="n">
        <v>1</v>
      </c>
      <c r="U1187" s="174">
        <f>IFERROR(Q1187*S1187,0)</f>
        <v/>
      </c>
      <c r="V1187" s="178">
        <f>U1187*T1187</f>
        <v/>
      </c>
      <c r="W1187" s="103" t="inlineStr">
        <is>
          <t>扫描策略模板表、提醒策略配置表</t>
        </is>
      </c>
      <c r="X1187" s="103" t="inlineStr"/>
      <c r="Y1187" s="97" t="inlineStr">
        <is>
          <t>扫描策略模板表{任务ID、任务名称|任务ID、任务名称、任务状态、扫描器类型、开始时间、结束时间、扫描结果}
提醒策略配置表{配置ID、配置名称|配置ID、配置名称、配置类型、配置值、创建时间}</t>
        </is>
      </c>
      <c r="Z1187" s="90" t="n"/>
      <c r="AA1187" s="90" t="n"/>
    </row>
    <row r="1188" s="112">
      <c r="A1188" s="72">
        <f>ROW()-1</f>
        <v/>
      </c>
      <c r="B1188" s="175" t="n"/>
      <c r="C1188" s="124" t="n">
        <v>2026</v>
      </c>
      <c r="E1188" s="103" t="n"/>
      <c r="F1188" s="175" t="n"/>
      <c r="G1188" s="175" t="n"/>
      <c r="H1188" s="175" t="n"/>
      <c r="I1188" s="103" t="inlineStr">
        <is>
          <t>下载模板配置</t>
        </is>
      </c>
      <c r="J1188" s="93" t="inlineStr">
        <is>
          <t>EO</t>
        </is>
      </c>
      <c r="K1188" s="102" t="n"/>
      <c r="L1188" s="102" t="n"/>
      <c r="M1188" s="85">
        <f>IF(OR(Y1188="估算法",Y1188="算法类",Y1188="无法识别"),"",IF(W1188="",IF(OR(J1188="EI",J1188="EO",J1188="EQ"),0,""),LEN(W1188)-LEN(SUBSTITUTE(W1188,"、",""))+1))</f>
        <v/>
      </c>
      <c r="N1188" s="85">
        <f>IF(OR(Y1188="估算法",Y1188="算法类",Y1188="无法识别"),"",IF(X1188="",IF(OR(J1188="ILF",J1188="EIF"),0,""),LEN(X1188)-LEN(SUBSTITUTE(X1188,"、",""))+1))</f>
        <v/>
      </c>
      <c r="O1188" s="85">
        <f>IF(OR(Y1188="估算法",Y1188="算法类",Y1188="无法识别"),"",IF(Y1188="",IF(OR(J1188="ILF",J1188="EIF",J1188="EI",J1188="EO",J1188="EQ"),0,""),LEN(Y1188)-LEN(SUBSTITUTE(SUBSTITUTE(SUBSTITUTE(SUBSTITUTE(SUBSTITUTE(Y1188,"|}","--"),"{|","--"),CHAR(10),""),"、",""),"|",""))+IF(AND(OR(J1188="EI",J1188="EO",J1188="EQ"),$AE$1="NESMA"),2,1)))</f>
        <v/>
      </c>
      <c r="P1188" s="86">
        <f>IF(J1188="EI",IF(OR(Y1188="估算法",Y1188="算法类"),"中",IF(Y1188="无法识别","低",IF(M1188&lt;2,IF(O1188&lt;16,"低","中"),IF(M1188&lt;3,IF(O1188&lt;5,"低",IF(O1188&lt;16,"中","高")),IF(O1188&lt;5,"中","高"))))),IF(OR(J1188="EO",J1188="EQ"),IF(OR(Y1188="估算法",Y1188="算法类"),"中",IF(Y1188="无法识别","低",IF(M1188&lt;2,IF(O1188&lt;20,"低","中"),IF(M1188&lt;4,IF(O1188&lt;6,"低",IF(O1188&lt;20,"中","高")),IF(O1188&lt;6,"中","高"))))),IF(OR(J1188="ILF",J1188="EIF"),IF(OR(Y1188="估算法",Y1188="算法类",Y1188="无法识别"),"低",IF(N1188&lt;2,IF(O1188&lt;51,"低","中"),IF(N1188&lt;6,IF(O1188&lt;20,"低",IF(O1188&lt;51,"中","高")),IF(O1188&lt;20,"中","高")))),"不计算")))</f>
        <v/>
      </c>
      <c r="Q1188" s="172">
        <f>IFERROR(IF(J1188="EI",IF(P1188="低",3,IF(P1188="中",4,6)),IF(J1188="EO",IF(P1188="低",4,IF(P1188="中",5,7)),IF(J1188="EQ",IF(P1188="低",3,IF(P1188="中",4,6)),IF(J1188="ILF",IF(P1188="低",7,IF(P1188="中",10,15)),IF(J1188="EIF",IF(P1188="低",5,IF(P1188="中",7,10)),"不计算")))))*R1188,"不计算")</f>
        <v/>
      </c>
      <c r="R1188" s="172" t="n">
        <v>1</v>
      </c>
      <c r="S1188" s="173">
        <f>调整因子!$F$13</f>
        <v/>
      </c>
      <c r="T1188" s="93" t="n">
        <v>1</v>
      </c>
      <c r="U1188" s="174">
        <f>IFERROR(Q1188*S1188,0)</f>
        <v/>
      </c>
      <c r="V1188" s="178">
        <f>U1188*T1188</f>
        <v/>
      </c>
      <c r="W1188" s="103" t="inlineStr">
        <is>
          <t>任务优先级配置表</t>
        </is>
      </c>
      <c r="X1188" s="103" t="inlineStr"/>
      <c r="Y1188" s="97" t="inlineStr">
        <is>
          <t>任务优先级配置表{任务ID、任务名称|任务ID、任务名称、任务类型、任务状态、创建时间、执行时间}</t>
        </is>
      </c>
      <c r="Z1188" s="90" t="n"/>
      <c r="AA1188" s="90" t="n"/>
    </row>
    <row r="1189" s="112">
      <c r="A1189" s="72">
        <f>ROW()-1</f>
        <v/>
      </c>
      <c r="B1189" s="175" t="n"/>
      <c r="C1189" s="124" t="n">
        <v>2026</v>
      </c>
      <c r="E1189" s="103" t="n"/>
      <c r="F1189" s="175" t="n"/>
      <c r="G1189" s="175" t="n"/>
      <c r="H1189" s="175" t="n"/>
      <c r="I1189" s="103" t="inlineStr">
        <is>
          <t>查询模板列表</t>
        </is>
      </c>
      <c r="J1189" s="93" t="inlineStr">
        <is>
          <t>EO</t>
        </is>
      </c>
      <c r="K1189" s="102" t="n"/>
      <c r="L1189" s="102" t="n"/>
      <c r="M1189" s="85">
        <f>IF(OR(Y1189="估算法",Y1189="算法类",Y1189="无法识别"),"",IF(W1189="",IF(OR(J1189="EI",J1189="EO",J1189="EQ"),0,""),LEN(W1189)-LEN(SUBSTITUTE(W1189,"、",""))+1))</f>
        <v/>
      </c>
      <c r="N1189" s="85">
        <f>IF(OR(Y1189="估算法",Y1189="算法类",Y1189="无法识别"),"",IF(X1189="",IF(OR(J1189="ILF",J1189="EIF"),0,""),LEN(X1189)-LEN(SUBSTITUTE(X1189,"、",""))+1))</f>
        <v/>
      </c>
      <c r="O1189" s="85">
        <f>IF(OR(Y1189="估算法",Y1189="算法类",Y1189="无法识别"),"",IF(Y1189="",IF(OR(J1189="ILF",J1189="EIF",J1189="EI",J1189="EO",J1189="EQ"),0,""),LEN(Y1189)-LEN(SUBSTITUTE(SUBSTITUTE(SUBSTITUTE(SUBSTITUTE(SUBSTITUTE(Y1189,"|}","--"),"{|","--"),CHAR(10),""),"、",""),"|",""))+IF(AND(OR(J1189="EI",J1189="EO",J1189="EQ"),$AE$1="NESMA"),2,1)))</f>
        <v/>
      </c>
      <c r="P1189" s="86">
        <f>IF(J1189="EI",IF(OR(Y1189="估算法",Y1189="算法类"),"中",IF(Y1189="无法识别","低",IF(M1189&lt;2,IF(O1189&lt;16,"低","中"),IF(M1189&lt;3,IF(O1189&lt;5,"低",IF(O1189&lt;16,"中","高")),IF(O1189&lt;5,"中","高"))))),IF(OR(J1189="EO",J1189="EQ"),IF(OR(Y1189="估算法",Y1189="算法类"),"中",IF(Y1189="无法识别","低",IF(M1189&lt;2,IF(O1189&lt;20,"低","中"),IF(M1189&lt;4,IF(O1189&lt;6,"低",IF(O1189&lt;20,"中","高")),IF(O1189&lt;6,"中","高"))))),IF(OR(J1189="ILF",J1189="EIF"),IF(OR(Y1189="估算法",Y1189="算法类",Y1189="无法识别"),"低",IF(N1189&lt;2,IF(O1189&lt;51,"低","中"),IF(N1189&lt;6,IF(O1189&lt;20,"低",IF(O1189&lt;51,"中","高")),IF(O1189&lt;20,"中","高")))),"不计算")))</f>
        <v/>
      </c>
      <c r="Q1189" s="172">
        <f>IFERROR(IF(J1189="EI",IF(P1189="低",3,IF(P1189="中",4,6)),IF(J1189="EO",IF(P1189="低",4,IF(P1189="中",5,7)),IF(J1189="EQ",IF(P1189="低",3,IF(P1189="中",4,6)),IF(J1189="ILF",IF(P1189="低",7,IF(P1189="中",10,15)),IF(J1189="EIF",IF(P1189="低",5,IF(P1189="中",7,10)),"不计算")))))*R1189,"不计算")</f>
        <v/>
      </c>
      <c r="R1189" s="172" t="n">
        <v>1</v>
      </c>
      <c r="S1189" s="173">
        <f>调整因子!$F$13</f>
        <v/>
      </c>
      <c r="T1189" s="92" t="n">
        <v>1</v>
      </c>
      <c r="U1189" s="174">
        <f>IFERROR(Q1189*S1189,0)</f>
        <v/>
      </c>
      <c r="V1189" s="178">
        <f>U1189*T1189</f>
        <v/>
      </c>
      <c r="W1189" s="103" t="inlineStr">
        <is>
          <t>报告解析结果表</t>
        </is>
      </c>
      <c r="X1189" s="103" t="inlineStr"/>
      <c r="Y1189" s="97" t="inlineStr">
        <is>
          <t>报告解析结果表{ID、名称|ID、名称、类型、状态、创建时间、更新时间}</t>
        </is>
      </c>
      <c r="Z1189" s="90" t="n"/>
      <c r="AA1189" s="90" t="n"/>
    </row>
    <row r="1190" s="112">
      <c r="A1190" s="72">
        <f>ROW()-1</f>
        <v/>
      </c>
      <c r="B1190" s="175" t="n"/>
      <c r="C1190" s="124" t="n">
        <v>2026</v>
      </c>
      <c r="E1190" s="103" t="n"/>
      <c r="F1190" s="175" t="n"/>
      <c r="G1190" s="175" t="n"/>
      <c r="H1190" s="176" t="n"/>
      <c r="I1190" s="103" t="inlineStr">
        <is>
          <t>查看模板详情</t>
        </is>
      </c>
      <c r="J1190" s="93" t="inlineStr">
        <is>
          <t>EQ</t>
        </is>
      </c>
      <c r="K1190" s="102" t="n"/>
      <c r="L1190" s="102" t="n"/>
      <c r="M1190" s="85">
        <f>IF(OR(Y1190="估算法",Y1190="算法类",Y1190="无法识别"),"",IF(W1190="",IF(OR(J1190="EI",J1190="EO",J1190="EQ"),0,""),LEN(W1190)-LEN(SUBSTITUTE(W1190,"、",""))+1))</f>
        <v/>
      </c>
      <c r="N1190" s="85">
        <f>IF(OR(Y1190="估算法",Y1190="算法类",Y1190="无法识别"),"",IF(X1190="",IF(OR(J1190="ILF",J1190="EIF"),0,""),LEN(X1190)-LEN(SUBSTITUTE(X1190,"、",""))+1))</f>
        <v/>
      </c>
      <c r="O1190" s="85">
        <f>IF(OR(Y1190="估算法",Y1190="算法类",Y1190="无法识别"),"",IF(Y1190="",IF(OR(J1190="ILF",J1190="EIF",J1190="EI",J1190="EO",J1190="EQ"),0,""),LEN(Y1190)-LEN(SUBSTITUTE(SUBSTITUTE(SUBSTITUTE(SUBSTITUTE(SUBSTITUTE(Y1190,"|}","--"),"{|","--"),CHAR(10),""),"、",""),"|",""))+IF(AND(OR(J1190="EI",J1190="EO",J1190="EQ"),$AE$1="NESMA"),2,1)))</f>
        <v/>
      </c>
      <c r="P1190" s="86">
        <f>IF(J1190="EI",IF(OR(Y1190="估算法",Y1190="算法类"),"中",IF(Y1190="无法识别","低",IF(M1190&lt;2,IF(O1190&lt;16,"低","中"),IF(M1190&lt;3,IF(O1190&lt;5,"低",IF(O1190&lt;16,"中","高")),IF(O1190&lt;5,"中","高"))))),IF(OR(J1190="EO",J1190="EQ"),IF(OR(Y1190="估算法",Y1190="算法类"),"中",IF(Y1190="无法识别","低",IF(M1190&lt;2,IF(O1190&lt;20,"低","中"),IF(M1190&lt;4,IF(O1190&lt;6,"低",IF(O1190&lt;20,"中","高")),IF(O1190&lt;6,"中","高"))))),IF(OR(J1190="ILF",J1190="EIF"),IF(OR(Y1190="估算法",Y1190="算法类",Y1190="无法识别"),"低",IF(N1190&lt;2,IF(O1190&lt;51,"低","中"),IF(N1190&lt;6,IF(O1190&lt;20,"低",IF(O1190&lt;51,"中","高")),IF(O1190&lt;20,"中","高")))),"不计算")))</f>
        <v/>
      </c>
      <c r="Q1190" s="172">
        <f>IFERROR(IF(J1190="EI",IF(P1190="低",3,IF(P1190="中",4,6)),IF(J1190="EO",IF(P1190="低",4,IF(P1190="中",5,7)),IF(J1190="EQ",IF(P1190="低",3,IF(P1190="中",4,6)),IF(J1190="ILF",IF(P1190="低",7,IF(P1190="中",10,15)),IF(J1190="EIF",IF(P1190="低",5,IF(P1190="中",7,10)),"不计算")))))*R1190,"不计算")</f>
        <v/>
      </c>
      <c r="R1190" s="172" t="n">
        <v>1</v>
      </c>
      <c r="S1190" s="173">
        <f>调整因子!$F$13</f>
        <v/>
      </c>
      <c r="T1190" s="92" t="n">
        <v>1</v>
      </c>
      <c r="U1190" s="174">
        <f>IFERROR(Q1190*S1190,0)</f>
        <v/>
      </c>
      <c r="V1190" s="178">
        <f>U1190*T1190</f>
        <v/>
      </c>
      <c r="W1190" s="103" t="inlineStr">
        <is>
          <t>分布分析表</t>
        </is>
      </c>
      <c r="X1190" s="103" t="inlineStr"/>
      <c r="Y1190" s="97" t="inlineStr">
        <is>
          <t>分布分析表{ID、名称|ID、名称、类型、状态、创建时间、更新时间}</t>
        </is>
      </c>
      <c r="Z1190" s="90" t="n"/>
      <c r="AA1190" s="90" t="n"/>
    </row>
    <row r="1191" s="112">
      <c r="A1191" s="72">
        <f>ROW()-1</f>
        <v/>
      </c>
      <c r="B1191" s="175" t="n"/>
      <c r="C1191" s="124" t="n">
        <v>2026</v>
      </c>
      <c r="E1191" s="103" t="n"/>
      <c r="F1191" s="175" t="n"/>
      <c r="G1191" s="175" t="n"/>
      <c r="H1191" s="97" t="inlineStr">
        <is>
          <t>模板共享管理</t>
        </is>
      </c>
      <c r="I1191" s="103" t="inlineStr">
        <is>
          <t>编辑共享权限</t>
        </is>
      </c>
      <c r="J1191" s="93" t="inlineStr">
        <is>
          <t>EI</t>
        </is>
      </c>
      <c r="K1191" s="102" t="n"/>
      <c r="L1191" s="102" t="n"/>
      <c r="M1191" s="85">
        <f>IF(OR(Y1191="估算法",Y1191="算法类",Y1191="无法识别"),"",IF(W1191="",IF(OR(J1191="EI",J1191="EO",J1191="EQ"),0,""),LEN(W1191)-LEN(SUBSTITUTE(W1191,"、",""))+1))</f>
        <v/>
      </c>
      <c r="N1191" s="85">
        <f>IF(OR(Y1191="估算法",Y1191="算法类",Y1191="无法识别"),"",IF(X1191="",IF(OR(J1191="ILF",J1191="EIF"),0,""),LEN(X1191)-LEN(SUBSTITUTE(X1191,"、",""))+1))</f>
        <v/>
      </c>
      <c r="O1191" s="85">
        <f>IF(OR(Y1191="估算法",Y1191="算法类",Y1191="无法识别"),"",IF(Y1191="",IF(OR(J1191="ILF",J1191="EIF",J1191="EI",J1191="EO",J1191="EQ"),0,""),LEN(Y1191)-LEN(SUBSTITUTE(SUBSTITUTE(SUBSTITUTE(SUBSTITUTE(SUBSTITUTE(Y1191,"|}","--"),"{|","--"),CHAR(10),""),"、",""),"|",""))+IF(AND(OR(J1191="EI",J1191="EO",J1191="EQ"),$AE$1="NESMA"),2,1)))</f>
        <v/>
      </c>
      <c r="P1191" s="86">
        <f>IF(J1191="EI",IF(OR(Y1191="估算法",Y1191="算法类"),"中",IF(Y1191="无法识别","低",IF(M1191&lt;2,IF(O1191&lt;16,"低","中"),IF(M1191&lt;3,IF(O1191&lt;5,"低",IF(O1191&lt;16,"中","高")),IF(O1191&lt;5,"中","高"))))),IF(OR(J1191="EO",J1191="EQ"),IF(OR(Y1191="估算法",Y1191="算法类"),"中",IF(Y1191="无法识别","低",IF(M1191&lt;2,IF(O1191&lt;20,"低","中"),IF(M1191&lt;4,IF(O1191&lt;6,"低",IF(O1191&lt;20,"中","高")),IF(O1191&lt;6,"中","高"))))),IF(OR(J1191="ILF",J1191="EIF"),IF(OR(Y1191="估算法",Y1191="算法类",Y1191="无法识别"),"低",IF(N1191&lt;2,IF(O1191&lt;51,"低","中"),IF(N1191&lt;6,IF(O1191&lt;20,"低",IF(O1191&lt;51,"中","高")),IF(O1191&lt;20,"中","高")))),"不计算")))</f>
        <v/>
      </c>
      <c r="Q1191" s="172">
        <f>IFERROR(IF(J1191="EI",IF(P1191="低",3,IF(P1191="中",4,6)),IF(J1191="EO",IF(P1191="低",4,IF(P1191="中",5,7)),IF(J1191="EQ",IF(P1191="低",3,IF(P1191="中",4,6)),IF(J1191="ILF",IF(P1191="低",7,IF(P1191="中",10,15)),IF(J1191="EIF",IF(P1191="低",5,IF(P1191="中",7,10)),"不计算")))))*R1191,"不计算")</f>
        <v/>
      </c>
      <c r="R1191" s="172" t="n">
        <v>1</v>
      </c>
      <c r="S1191" s="173">
        <f>调整因子!$F$13</f>
        <v/>
      </c>
      <c r="T1191" s="93" t="n">
        <v>1</v>
      </c>
      <c r="U1191" s="174">
        <f>IFERROR(Q1191*S1191,0)</f>
        <v/>
      </c>
      <c r="V1191" s="178">
        <f>U1191*T1191</f>
        <v/>
      </c>
      <c r="W1191" s="103" t="inlineStr">
        <is>
          <t>任务日志表</t>
        </is>
      </c>
      <c r="X1191" s="103" t="inlineStr"/>
      <c r="Y1191" s="97" t="inlineStr">
        <is>
          <t>任务日志表{任务ID、任务名称、任务类型、任务状态、创建时间、执行时间|任务ID、任务名称、任务类型}</t>
        </is>
      </c>
      <c r="Z1191" s="90" t="n"/>
      <c r="AA1191" s="90" t="n"/>
    </row>
    <row r="1192" s="112">
      <c r="A1192" s="72">
        <f>ROW()-1</f>
        <v/>
      </c>
      <c r="B1192" s="175" t="n"/>
      <c r="C1192" s="124" t="n">
        <v>2026</v>
      </c>
      <c r="E1192" s="103" t="n"/>
      <c r="F1192" s="175" t="n"/>
      <c r="G1192" s="175" t="n"/>
      <c r="H1192" s="175" t="n"/>
      <c r="I1192" s="103" t="inlineStr">
        <is>
          <t>删除共享权限</t>
        </is>
      </c>
      <c r="J1192" s="93" t="inlineStr">
        <is>
          <t>EI</t>
        </is>
      </c>
      <c r="K1192" s="102" t="n"/>
      <c r="L1192" s="102" t="n"/>
      <c r="M1192" s="85">
        <f>IF(OR(Y1192="估算法",Y1192="算法类",Y1192="无法识别"),"",IF(W1192="",IF(OR(J1192="EI",J1192="EO",J1192="EQ"),0,""),LEN(W1192)-LEN(SUBSTITUTE(W1192,"、",""))+1))</f>
        <v/>
      </c>
      <c r="N1192" s="85">
        <f>IF(OR(Y1192="估算法",Y1192="算法类",Y1192="无法识别"),"",IF(X1192="",IF(OR(J1192="ILF",J1192="EIF"),0,""),LEN(X1192)-LEN(SUBSTITUTE(X1192,"、",""))+1))</f>
        <v/>
      </c>
      <c r="O1192" s="85">
        <f>IF(OR(Y1192="估算法",Y1192="算法类",Y1192="无法识别"),"",IF(Y1192="",IF(OR(J1192="ILF",J1192="EIF",J1192="EI",J1192="EO",J1192="EQ"),0,""),LEN(Y1192)-LEN(SUBSTITUTE(SUBSTITUTE(SUBSTITUTE(SUBSTITUTE(SUBSTITUTE(Y1192,"|}","--"),"{|","--"),CHAR(10),""),"、",""),"|",""))+IF(AND(OR(J1192="EI",J1192="EO",J1192="EQ"),$AE$1="NESMA"),2,1)))</f>
        <v/>
      </c>
      <c r="P1192" s="86">
        <f>IF(J1192="EI",IF(OR(Y1192="估算法",Y1192="算法类"),"中",IF(Y1192="无法识别","低",IF(M1192&lt;2,IF(O1192&lt;16,"低","中"),IF(M1192&lt;3,IF(O1192&lt;5,"低",IF(O1192&lt;16,"中","高")),IF(O1192&lt;5,"中","高"))))),IF(OR(J1192="EO",J1192="EQ"),IF(OR(Y1192="估算法",Y1192="算法类"),"中",IF(Y1192="无法识别","低",IF(M1192&lt;2,IF(O1192&lt;20,"低","中"),IF(M1192&lt;4,IF(O1192&lt;6,"低",IF(O1192&lt;20,"中","高")),IF(O1192&lt;6,"中","高"))))),IF(OR(J1192="ILF",J1192="EIF"),IF(OR(Y1192="估算法",Y1192="算法类",Y1192="无法识别"),"低",IF(N1192&lt;2,IF(O1192&lt;51,"低","中"),IF(N1192&lt;6,IF(O1192&lt;20,"低",IF(O1192&lt;51,"中","高")),IF(O1192&lt;20,"中","高")))),"不计算")))</f>
        <v/>
      </c>
      <c r="Q1192" s="172">
        <f>IFERROR(IF(J1192="EI",IF(P1192="低",3,IF(P1192="中",4,6)),IF(J1192="EO",IF(P1192="低",4,IF(P1192="中",5,7)),IF(J1192="EQ",IF(P1192="低",3,IF(P1192="中",4,6)),IF(J1192="ILF",IF(P1192="低",7,IF(P1192="中",10,15)),IF(J1192="EIF",IF(P1192="低",5,IF(P1192="中",7,10)),"不计算")))))*R1192,"不计算")</f>
        <v/>
      </c>
      <c r="R1192" s="172" t="n">
        <v>0.333333333333333</v>
      </c>
      <c r="S1192" s="173">
        <f>调整因子!$F$13</f>
        <v/>
      </c>
      <c r="T1192" s="92" t="n">
        <v>1</v>
      </c>
      <c r="U1192" s="174">
        <f>IFERROR(Q1192*S1192,0)</f>
        <v/>
      </c>
      <c r="V1192" s="178">
        <f>U1192*T1192</f>
        <v/>
      </c>
      <c r="W1192" s="103" t="inlineStr">
        <is>
          <t>验证记录表</t>
        </is>
      </c>
      <c r="X1192" s="103" t="inlineStr"/>
      <c r="Y1192" s="97" t="inlineStr">
        <is>
          <t>验证记录表{ID、名称、类型、状态、创建时间、更新时间|ID、名称、类型}</t>
        </is>
      </c>
      <c r="Z1192" s="90" t="n"/>
      <c r="AA1192" s="90" t="n"/>
    </row>
    <row r="1193" s="112">
      <c r="A1193" s="72">
        <f>ROW()-1</f>
        <v/>
      </c>
      <c r="B1193" s="175" t="n"/>
      <c r="C1193" s="124" t="n">
        <v>2026</v>
      </c>
      <c r="E1193" s="103" t="n"/>
      <c r="F1193" s="175" t="n"/>
      <c r="G1193" s="175" t="n"/>
      <c r="H1193" s="175" t="n"/>
      <c r="I1193" s="103" t="inlineStr">
        <is>
          <t>导出共享模板</t>
        </is>
      </c>
      <c r="J1193" s="93" t="inlineStr">
        <is>
          <t>EO</t>
        </is>
      </c>
      <c r="K1193" s="102" t="n"/>
      <c r="L1193" s="102" t="n"/>
      <c r="M1193" s="85">
        <f>IF(OR(Y1193="估算法",Y1193="算法类",Y1193="无法识别"),"",IF(W1193="",IF(OR(J1193="EI",J1193="EO",J1193="EQ"),0,""),LEN(W1193)-LEN(SUBSTITUTE(W1193,"、",""))+1))</f>
        <v/>
      </c>
      <c r="N1193" s="85">
        <f>IF(OR(Y1193="估算法",Y1193="算法类",Y1193="无法识别"),"",IF(X1193="",IF(OR(J1193="ILF",J1193="EIF"),0,""),LEN(X1193)-LEN(SUBSTITUTE(X1193,"、",""))+1))</f>
        <v/>
      </c>
      <c r="O1193" s="85">
        <f>IF(OR(Y1193="估算法",Y1193="算法类",Y1193="无法识别"),"",IF(Y1193="",IF(OR(J1193="ILF",J1193="EIF",J1193="EI",J1193="EO",J1193="EQ"),0,""),LEN(Y1193)-LEN(SUBSTITUTE(SUBSTITUTE(SUBSTITUTE(SUBSTITUTE(SUBSTITUTE(Y1193,"|}","--"),"{|","--"),CHAR(10),""),"、",""),"|",""))+IF(AND(OR(J1193="EI",J1193="EO",J1193="EQ"),$AE$1="NESMA"),2,1)))</f>
        <v/>
      </c>
      <c r="P1193" s="86">
        <f>IF(J1193="EI",IF(OR(Y1193="估算法",Y1193="算法类"),"中",IF(Y1193="无法识别","低",IF(M1193&lt;2,IF(O1193&lt;16,"低","中"),IF(M1193&lt;3,IF(O1193&lt;5,"低",IF(O1193&lt;16,"中","高")),IF(O1193&lt;5,"中","高"))))),IF(OR(J1193="EO",J1193="EQ"),IF(OR(Y1193="估算法",Y1193="算法类"),"中",IF(Y1193="无法识别","低",IF(M1193&lt;2,IF(O1193&lt;20,"低","中"),IF(M1193&lt;4,IF(O1193&lt;6,"低",IF(O1193&lt;20,"中","高")),IF(O1193&lt;6,"中","高"))))),IF(OR(J1193="ILF",J1193="EIF"),IF(OR(Y1193="估算法",Y1193="算法类",Y1193="无法识别"),"低",IF(N1193&lt;2,IF(O1193&lt;51,"低","中"),IF(N1193&lt;6,IF(O1193&lt;20,"低",IF(O1193&lt;51,"中","高")),IF(O1193&lt;20,"中","高")))),"不计算")))</f>
        <v/>
      </c>
      <c r="Q1193" s="172">
        <f>IFERROR(IF(J1193="EI",IF(P1193="低",3,IF(P1193="中",4,6)),IF(J1193="EO",IF(P1193="低",4,IF(P1193="中",5,7)),IF(J1193="EQ",IF(P1193="低",3,IF(P1193="中",4,6)),IF(J1193="ILF",IF(P1193="低",7,IF(P1193="中",10,15)),IF(J1193="EIF",IF(P1193="低",5,IF(P1193="中",7,10)),"不计算")))))*R1193,"不计算")</f>
        <v/>
      </c>
      <c r="R1193" s="172" t="n">
        <v>1</v>
      </c>
      <c r="S1193" s="173">
        <f>调整因子!$F$13</f>
        <v/>
      </c>
      <c r="T1193" s="92" t="n">
        <v>1</v>
      </c>
      <c r="U1193" s="174">
        <f>IFERROR(Q1193*S1193,0)</f>
        <v/>
      </c>
      <c r="V1193" s="178">
        <f>U1193*T1193</f>
        <v/>
      </c>
      <c r="W1193" s="103" t="inlineStr">
        <is>
          <t>漏洞统计数据表</t>
        </is>
      </c>
      <c r="X1193" s="103" t="inlineStr"/>
      <c r="Y1193" s="97" t="inlineStr">
        <is>
          <t>漏洞统计数据表{漏洞ID、漏洞名称|漏洞ID、漏洞名称、漏洞等级、漏洞类型、CVE编号、发现时间}</t>
        </is>
      </c>
      <c r="Z1193" s="90" t="n"/>
      <c r="AA1193" s="90" t="n"/>
    </row>
    <row r="1194" s="112">
      <c r="A1194" s="72">
        <f>ROW()-1</f>
        <v/>
      </c>
      <c r="B1194" s="175" t="n"/>
      <c r="C1194" s="124" t="n">
        <v>2026</v>
      </c>
      <c r="E1194" s="103" t="n"/>
      <c r="F1194" s="175" t="n"/>
      <c r="G1194" s="175" t="n"/>
      <c r="H1194" s="175" t="n"/>
      <c r="I1194" s="103" t="inlineStr">
        <is>
          <t>查询共享模板</t>
        </is>
      </c>
      <c r="J1194" s="93" t="inlineStr">
        <is>
          <t>EQ</t>
        </is>
      </c>
      <c r="K1194" s="102" t="n"/>
      <c r="L1194" s="102" t="n"/>
      <c r="M1194" s="85">
        <f>IF(OR(Y1194="估算法",Y1194="算法类",Y1194="无法识别"),"",IF(W1194="",IF(OR(J1194="EI",J1194="EO",J1194="EQ"),0,""),LEN(W1194)-LEN(SUBSTITUTE(W1194,"、",""))+1))</f>
        <v/>
      </c>
      <c r="N1194" s="85">
        <f>IF(OR(Y1194="估算法",Y1194="算法类",Y1194="无法识别"),"",IF(X1194="",IF(OR(J1194="ILF",J1194="EIF"),0,""),LEN(X1194)-LEN(SUBSTITUTE(X1194,"、",""))+1))</f>
        <v/>
      </c>
      <c r="O1194" s="85">
        <f>IF(OR(Y1194="估算法",Y1194="算法类",Y1194="无法识别"),"",IF(Y1194="",IF(OR(J1194="ILF",J1194="EIF",J1194="EI",J1194="EO",J1194="EQ"),0,""),LEN(Y1194)-LEN(SUBSTITUTE(SUBSTITUTE(SUBSTITUTE(SUBSTITUTE(SUBSTITUTE(Y1194,"|}","--"),"{|","--"),CHAR(10),""),"、",""),"|",""))+IF(AND(OR(J1194="EI",J1194="EO",J1194="EQ"),$AE$1="NESMA"),2,1)))</f>
        <v/>
      </c>
      <c r="P1194" s="86">
        <f>IF(J1194="EI",IF(OR(Y1194="估算法",Y1194="算法类"),"中",IF(Y1194="无法识别","低",IF(M1194&lt;2,IF(O1194&lt;16,"低","中"),IF(M1194&lt;3,IF(O1194&lt;5,"低",IF(O1194&lt;16,"中","高")),IF(O1194&lt;5,"中","高"))))),IF(OR(J1194="EO",J1194="EQ"),IF(OR(Y1194="估算法",Y1194="算法类"),"中",IF(Y1194="无法识别","低",IF(M1194&lt;2,IF(O1194&lt;20,"低","中"),IF(M1194&lt;4,IF(O1194&lt;6,"低",IF(O1194&lt;20,"中","高")),IF(O1194&lt;6,"中","高"))))),IF(OR(J1194="ILF",J1194="EIF"),IF(OR(Y1194="估算法",Y1194="算法类",Y1194="无法识别"),"低",IF(N1194&lt;2,IF(O1194&lt;51,"低","中"),IF(N1194&lt;6,IF(O1194&lt;20,"低",IF(O1194&lt;51,"中","高")),IF(O1194&lt;20,"中","高")))),"不计算")))</f>
        <v/>
      </c>
      <c r="Q1194" s="172">
        <f>IFERROR(IF(J1194="EI",IF(P1194="低",3,IF(P1194="中",4,6)),IF(J1194="EO",IF(P1194="低",4,IF(P1194="中",5,7)),IF(J1194="EQ",IF(P1194="低",3,IF(P1194="中",4,6)),IF(J1194="ILF",IF(P1194="低",7,IF(P1194="中",10,15)),IF(J1194="EIF",IF(P1194="低",5,IF(P1194="中",7,10)),"不计算")))))*R1194,"不计算")</f>
        <v/>
      </c>
      <c r="R1194" s="172" t="n">
        <v>1</v>
      </c>
      <c r="S1194" s="173">
        <f>调整因子!$F$13</f>
        <v/>
      </c>
      <c r="T1194" s="93" t="n">
        <v>1</v>
      </c>
      <c r="U1194" s="174">
        <f>IFERROR(Q1194*S1194,0)</f>
        <v/>
      </c>
      <c r="V1194" s="178">
        <f>U1194*T1194</f>
        <v/>
      </c>
      <c r="W1194" s="103" t="inlineStr">
        <is>
          <t>分布分析表、故障诊断结果表</t>
        </is>
      </c>
      <c r="X1194" s="103" t="inlineStr"/>
      <c r="Y1194" s="97" t="inlineStr">
        <is>
          <t>分布分析表{ID、名称|ID、名称、类型、状态、创建时间、更新时间}
故障诊断结果表{ID、名称|ID、名称、类型、状态、创建时间、更新时间}</t>
        </is>
      </c>
      <c r="Z1194" s="90" t="n"/>
      <c r="AA1194" s="90" t="n"/>
    </row>
    <row r="1195" s="112">
      <c r="A1195" s="72">
        <f>ROW()-1</f>
        <v/>
      </c>
      <c r="B1195" s="175" t="n"/>
      <c r="C1195" s="124" t="n">
        <v>2026</v>
      </c>
      <c r="E1195" s="103" t="n"/>
      <c r="F1195" s="175" t="n"/>
      <c r="G1195" s="176" t="n"/>
      <c r="H1195" s="176" t="n"/>
      <c r="I1195" s="103" t="inlineStr">
        <is>
          <t>查看共享详情</t>
        </is>
      </c>
      <c r="J1195" s="93" t="inlineStr">
        <is>
          <t>EQ</t>
        </is>
      </c>
      <c r="K1195" s="102" t="n"/>
      <c r="L1195" s="102" t="n"/>
      <c r="M1195" s="85">
        <f>IF(OR(Y1195="估算法",Y1195="算法类",Y1195="无法识别"),"",IF(W1195="",IF(OR(J1195="EI",J1195="EO",J1195="EQ"),0,""),LEN(W1195)-LEN(SUBSTITUTE(W1195,"、",""))+1))</f>
        <v/>
      </c>
      <c r="N1195" s="85">
        <f>IF(OR(Y1195="估算法",Y1195="算法类",Y1195="无法识别"),"",IF(X1195="",IF(OR(J1195="ILF",J1195="EIF"),0,""),LEN(X1195)-LEN(SUBSTITUTE(X1195,"、",""))+1))</f>
        <v/>
      </c>
      <c r="O1195" s="85">
        <f>IF(OR(Y1195="估算法",Y1195="算法类",Y1195="无法识别"),"",IF(Y1195="",IF(OR(J1195="ILF",J1195="EIF",J1195="EI",J1195="EO",J1195="EQ"),0,""),LEN(Y1195)-LEN(SUBSTITUTE(SUBSTITUTE(SUBSTITUTE(SUBSTITUTE(SUBSTITUTE(Y1195,"|}","--"),"{|","--"),CHAR(10),""),"、",""),"|",""))+IF(AND(OR(J1195="EI",J1195="EO",J1195="EQ"),$AE$1="NESMA"),2,1)))</f>
        <v/>
      </c>
      <c r="P1195" s="86">
        <f>IF(J1195="EI",IF(OR(Y1195="估算法",Y1195="算法类"),"中",IF(Y1195="无法识别","低",IF(M1195&lt;2,IF(O1195&lt;16,"低","中"),IF(M1195&lt;3,IF(O1195&lt;5,"低",IF(O1195&lt;16,"中","高")),IF(O1195&lt;5,"中","高"))))),IF(OR(J1195="EO",J1195="EQ"),IF(OR(Y1195="估算法",Y1195="算法类"),"中",IF(Y1195="无法识别","低",IF(M1195&lt;2,IF(O1195&lt;20,"低","中"),IF(M1195&lt;4,IF(O1195&lt;6,"低",IF(O1195&lt;20,"中","高")),IF(O1195&lt;6,"中","高"))))),IF(OR(J1195="ILF",J1195="EIF"),IF(OR(Y1195="估算法",Y1195="算法类",Y1195="无法识别"),"低",IF(N1195&lt;2,IF(O1195&lt;51,"低","中"),IF(N1195&lt;6,IF(O1195&lt;20,"低",IF(O1195&lt;51,"中","高")),IF(O1195&lt;20,"中","高")))),"不计算")))</f>
        <v/>
      </c>
      <c r="Q1195" s="172">
        <f>IFERROR(IF(J1195="EI",IF(P1195="低",3,IF(P1195="中",4,6)),IF(J1195="EO",IF(P1195="低",4,IF(P1195="中",5,7)),IF(J1195="EQ",IF(P1195="低",3,IF(P1195="中",4,6)),IF(J1195="ILF",IF(P1195="低",7,IF(P1195="中",10,15)),IF(J1195="EIF",IF(P1195="低",5,IF(P1195="中",7,10)),"不计算")))))*R1195,"不计算")</f>
        <v/>
      </c>
      <c r="R1195" s="172" t="n">
        <v>1</v>
      </c>
      <c r="S1195" s="173">
        <f>调整因子!$F$13</f>
        <v/>
      </c>
      <c r="T1195" s="93" t="n">
        <v>1</v>
      </c>
      <c r="U1195" s="174">
        <f>IFERROR(Q1195*S1195,0)</f>
        <v/>
      </c>
      <c r="V1195" s="178">
        <f>U1195*T1195</f>
        <v/>
      </c>
      <c r="W1195" s="103" t="inlineStr">
        <is>
          <t>报告解析结果表、审计日志表</t>
        </is>
      </c>
      <c r="X1195" s="103" t="inlineStr"/>
      <c r="Y1195" s="97" t="inlineStr">
        <is>
          <t>报告解析结果表{ID、名称|ID、名称、类型、状态、创建时间、更新时间}
审计日志表{日志ID、操作人|日志ID、操作人、操作类型、操作时间、操作内容}</t>
        </is>
      </c>
      <c r="Z1195" s="90" t="n"/>
      <c r="AA1195" s="90" t="n"/>
    </row>
    <row r="1196" s="112">
      <c r="A1196" s="72">
        <f>ROW()-1</f>
        <v/>
      </c>
      <c r="B1196" s="175" t="n"/>
      <c r="C1196" s="124" t="n">
        <v>2026</v>
      </c>
      <c r="E1196" s="103" t="n"/>
      <c r="F1196" s="175" t="n"/>
      <c r="G1196" s="97" t="inlineStr">
        <is>
          <t>扫描成功率监控与告警</t>
        </is>
      </c>
      <c r="H1196" s="97" t="inlineStr">
        <is>
          <t>任务依赖配置</t>
        </is>
      </c>
      <c r="I1196" s="103" t="inlineStr">
        <is>
          <t>编辑任务依赖</t>
        </is>
      </c>
      <c r="J1196" s="93" t="inlineStr">
        <is>
          <t>EI</t>
        </is>
      </c>
      <c r="K1196" s="102" t="n"/>
      <c r="L1196" s="102" t="n"/>
      <c r="M1196" s="85">
        <f>IF(OR(Y1196="估算法",Y1196="算法类",Y1196="无法识别"),"",IF(W1196="",IF(OR(J1196="EI",J1196="EO",J1196="EQ"),0,""),LEN(W1196)-LEN(SUBSTITUTE(W1196,"、",""))+1))</f>
        <v/>
      </c>
      <c r="N1196" s="85">
        <f>IF(OR(Y1196="估算法",Y1196="算法类",Y1196="无法识别"),"",IF(X1196="",IF(OR(J1196="ILF",J1196="EIF"),0,""),LEN(X1196)-LEN(SUBSTITUTE(X1196,"、",""))+1))</f>
        <v/>
      </c>
      <c r="O1196" s="85">
        <f>IF(OR(Y1196="估算法",Y1196="算法类",Y1196="无法识别"),"",IF(Y1196="",IF(OR(J1196="ILF",J1196="EIF",J1196="EI",J1196="EO",J1196="EQ"),0,""),LEN(Y1196)-LEN(SUBSTITUTE(SUBSTITUTE(SUBSTITUTE(SUBSTITUTE(SUBSTITUTE(Y1196,"|}","--"),"{|","--"),CHAR(10),""),"、",""),"|",""))+IF(AND(OR(J1196="EI",J1196="EO",J1196="EQ"),$AE$1="NESMA"),2,1)))</f>
        <v/>
      </c>
      <c r="P1196" s="86">
        <f>IF(J1196="EI",IF(OR(Y1196="估算法",Y1196="算法类"),"中",IF(Y1196="无法识别","低",IF(M1196&lt;2,IF(O1196&lt;16,"低","中"),IF(M1196&lt;3,IF(O1196&lt;5,"低",IF(O1196&lt;16,"中","高")),IF(O1196&lt;5,"中","高"))))),IF(OR(J1196="EO",J1196="EQ"),IF(OR(Y1196="估算法",Y1196="算法类"),"中",IF(Y1196="无法识别","低",IF(M1196&lt;2,IF(O1196&lt;20,"低","中"),IF(M1196&lt;4,IF(O1196&lt;6,"低",IF(O1196&lt;20,"中","高")),IF(O1196&lt;6,"中","高"))))),IF(OR(J1196="ILF",J1196="EIF"),IF(OR(Y1196="估算法",Y1196="算法类",Y1196="无法识别"),"低",IF(N1196&lt;2,IF(O1196&lt;51,"低","中"),IF(N1196&lt;6,IF(O1196&lt;20,"低",IF(O1196&lt;51,"中","高")),IF(O1196&lt;20,"中","高")))),"不计算")))</f>
        <v/>
      </c>
      <c r="Q1196" s="172">
        <f>IFERROR(IF(J1196="EI",IF(P1196="低",3,IF(P1196="中",4,6)),IF(J1196="EO",IF(P1196="低",4,IF(P1196="中",5,7)),IF(J1196="EQ",IF(P1196="低",3,IF(P1196="中",4,6)),IF(J1196="ILF",IF(P1196="低",7,IF(P1196="中",10,15)),IF(J1196="EIF",IF(P1196="低",5,IF(P1196="中",7,10)),"不计算")))))*R1196,"不计算")</f>
        <v/>
      </c>
      <c r="R1196" s="172" t="n">
        <v>1</v>
      </c>
      <c r="S1196" s="173">
        <f>调整因子!$F$13</f>
        <v/>
      </c>
      <c r="T1196" s="92" t="n">
        <v>1</v>
      </c>
      <c r="U1196" s="174">
        <f>IFERROR(Q1196*S1196,0)</f>
        <v/>
      </c>
      <c r="V1196" s="178">
        <f>U1196*T1196</f>
        <v/>
      </c>
      <c r="W1196" s="103" t="inlineStr">
        <is>
          <t>数据清洗任务表、资产同步任务表</t>
        </is>
      </c>
      <c r="X1196" s="103" t="inlineStr"/>
      <c r="Y1196"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96" s="90" t="n"/>
      <c r="AA1196" s="90" t="n"/>
    </row>
    <row r="1197" s="112">
      <c r="A1197" s="72">
        <f>ROW()-1</f>
        <v/>
      </c>
      <c r="B1197" s="175" t="n"/>
      <c r="C1197" s="124" t="n">
        <v>2026</v>
      </c>
      <c r="E1197" s="103" t="n"/>
      <c r="F1197" s="175" t="n"/>
      <c r="G1197" s="175" t="n"/>
      <c r="H1197" s="175" t="n"/>
      <c r="I1197" s="103" t="inlineStr">
        <is>
          <t>删除任务依赖</t>
        </is>
      </c>
      <c r="J1197" s="93" t="inlineStr">
        <is>
          <t>EI</t>
        </is>
      </c>
      <c r="K1197" s="102" t="n"/>
      <c r="L1197" s="102" t="n"/>
      <c r="M1197" s="85">
        <f>IF(OR(Y1197="估算法",Y1197="算法类",Y1197="无法识别"),"",IF(W1197="",IF(OR(J1197="EI",J1197="EO",J1197="EQ"),0,""),LEN(W1197)-LEN(SUBSTITUTE(W1197,"、",""))+1))</f>
        <v/>
      </c>
      <c r="N1197" s="85">
        <f>IF(OR(Y1197="估算法",Y1197="算法类",Y1197="无法识别"),"",IF(X1197="",IF(OR(J1197="ILF",J1197="EIF"),0,""),LEN(X1197)-LEN(SUBSTITUTE(X1197,"、",""))+1))</f>
        <v/>
      </c>
      <c r="O1197" s="85">
        <f>IF(OR(Y1197="估算法",Y1197="算法类",Y1197="无法识别"),"",IF(Y1197="",IF(OR(J1197="ILF",J1197="EIF",J1197="EI",J1197="EO",J1197="EQ"),0,""),LEN(Y1197)-LEN(SUBSTITUTE(SUBSTITUTE(SUBSTITUTE(SUBSTITUTE(SUBSTITUTE(Y1197,"|}","--"),"{|","--"),CHAR(10),""),"、",""),"|",""))+IF(AND(OR(J1197="EI",J1197="EO",J1197="EQ"),$AE$1="NESMA"),2,1)))</f>
        <v/>
      </c>
      <c r="P1197" s="86">
        <f>IF(J1197="EI",IF(OR(Y1197="估算法",Y1197="算法类"),"中",IF(Y1197="无法识别","低",IF(M1197&lt;2,IF(O1197&lt;16,"低","中"),IF(M1197&lt;3,IF(O1197&lt;5,"低",IF(O1197&lt;16,"中","高")),IF(O1197&lt;5,"中","高"))))),IF(OR(J1197="EO",J1197="EQ"),IF(OR(Y1197="估算法",Y1197="算法类"),"中",IF(Y1197="无法识别","低",IF(M1197&lt;2,IF(O1197&lt;20,"低","中"),IF(M1197&lt;4,IF(O1197&lt;6,"低",IF(O1197&lt;20,"中","高")),IF(O1197&lt;6,"中","高"))))),IF(OR(J1197="ILF",J1197="EIF"),IF(OR(Y1197="估算法",Y1197="算法类",Y1197="无法识别"),"低",IF(N1197&lt;2,IF(O1197&lt;51,"低","中"),IF(N1197&lt;6,IF(O1197&lt;20,"低",IF(O1197&lt;51,"中","高")),IF(O1197&lt;20,"中","高")))),"不计算")))</f>
        <v/>
      </c>
      <c r="Q1197" s="172">
        <f>IFERROR(IF(J1197="EI",IF(P1197="低",3,IF(P1197="中",4,6)),IF(J1197="EO",IF(P1197="低",4,IF(P1197="中",5,7)),IF(J1197="EQ",IF(P1197="低",3,IF(P1197="中",4,6)),IF(J1197="ILF",IF(P1197="低",7,IF(P1197="中",10,15)),IF(J1197="EIF",IF(P1197="低",5,IF(P1197="中",7,10)),"不计算")))))*R1197,"不计算")</f>
        <v/>
      </c>
      <c r="R1197" s="172" t="n">
        <v>0.333333333333333</v>
      </c>
      <c r="S1197" s="173">
        <f>调整因子!$F$13</f>
        <v/>
      </c>
      <c r="T1197" s="92" t="n">
        <v>1</v>
      </c>
      <c r="U1197" s="174">
        <f>IFERROR(Q1197*S1197,0)</f>
        <v/>
      </c>
      <c r="V1197" s="178">
        <f>U1197*T1197</f>
        <v/>
      </c>
      <c r="W1197" s="103" t="inlineStr">
        <is>
          <t>数据清洗任务表</t>
        </is>
      </c>
      <c r="X1197" s="103" t="inlineStr"/>
      <c r="Y1197" s="97" t="inlineStr">
        <is>
          <t>数据清洗任务表{任务ID、任务名称、任务类型、任务状态、创建时间、执行时间|任务ID、任务名称、任务类型}</t>
        </is>
      </c>
      <c r="Z1197" s="90" t="n"/>
      <c r="AA1197" s="90" t="n"/>
    </row>
    <row r="1198" s="112">
      <c r="A1198" s="72">
        <f>ROW()-1</f>
        <v/>
      </c>
      <c r="B1198" s="175" t="n"/>
      <c r="C1198" s="124" t="n">
        <v>2026</v>
      </c>
      <c r="E1198" s="103" t="n"/>
      <c r="F1198" s="175" t="n"/>
      <c r="G1198" s="175" t="n"/>
      <c r="H1198" s="175" t="n"/>
      <c r="I1198" s="103" t="inlineStr">
        <is>
          <t>启用任务依赖</t>
        </is>
      </c>
      <c r="J1198" s="93" t="inlineStr">
        <is>
          <t>EI</t>
        </is>
      </c>
      <c r="K1198" s="102" t="n"/>
      <c r="L1198" s="102" t="n"/>
      <c r="M1198" s="85">
        <f>IF(OR(Y1198="估算法",Y1198="算法类",Y1198="无法识别"),"",IF(W1198="",IF(OR(J1198="EI",J1198="EO",J1198="EQ"),0,""),LEN(W1198)-LEN(SUBSTITUTE(W1198,"、",""))+1))</f>
        <v/>
      </c>
      <c r="N1198" s="85">
        <f>IF(OR(Y1198="估算法",Y1198="算法类",Y1198="无法识别"),"",IF(X1198="",IF(OR(J1198="ILF",J1198="EIF"),0,""),LEN(X1198)-LEN(SUBSTITUTE(X1198,"、",""))+1))</f>
        <v/>
      </c>
      <c r="O1198" s="85">
        <f>IF(OR(Y1198="估算法",Y1198="算法类",Y1198="无法识别"),"",IF(Y1198="",IF(OR(J1198="ILF",J1198="EIF",J1198="EI",J1198="EO",J1198="EQ"),0,""),LEN(Y1198)-LEN(SUBSTITUTE(SUBSTITUTE(SUBSTITUTE(SUBSTITUTE(SUBSTITUTE(Y1198,"|}","--"),"{|","--"),CHAR(10),""),"、",""),"|",""))+IF(AND(OR(J1198="EI",J1198="EO",J1198="EQ"),$AE$1="NESMA"),2,1)))</f>
        <v/>
      </c>
      <c r="P1198" s="86">
        <f>IF(J1198="EI",IF(OR(Y1198="估算法",Y1198="算法类"),"中",IF(Y1198="无法识别","低",IF(M1198&lt;2,IF(O1198&lt;16,"低","中"),IF(M1198&lt;3,IF(O1198&lt;5,"低",IF(O1198&lt;16,"中","高")),IF(O1198&lt;5,"中","高"))))),IF(OR(J1198="EO",J1198="EQ"),IF(OR(Y1198="估算法",Y1198="算法类"),"中",IF(Y1198="无法识别","低",IF(M1198&lt;2,IF(O1198&lt;20,"低","中"),IF(M1198&lt;4,IF(O1198&lt;6,"低",IF(O1198&lt;20,"中","高")),IF(O1198&lt;6,"中","高"))))),IF(OR(J1198="ILF",J1198="EIF"),IF(OR(Y1198="估算法",Y1198="算法类",Y1198="无法识别"),"低",IF(N1198&lt;2,IF(O1198&lt;51,"低","中"),IF(N1198&lt;6,IF(O1198&lt;20,"低",IF(O1198&lt;51,"中","高")),IF(O1198&lt;20,"中","高")))),"不计算")))</f>
        <v/>
      </c>
      <c r="Q1198" s="172">
        <f>IFERROR(IF(J1198="EI",IF(P1198="低",3,IF(P1198="中",4,6)),IF(J1198="EO",IF(P1198="低",4,IF(P1198="中",5,7)),IF(J1198="EQ",IF(P1198="低",3,IF(P1198="中",4,6)),IF(J1198="ILF",IF(P1198="低",7,IF(P1198="中",10,15)),IF(J1198="EIF",IF(P1198="低",5,IF(P1198="中",7,10)),"不计算")))))*R1198,"不计算")</f>
        <v/>
      </c>
      <c r="R1198" s="172" t="n">
        <v>1</v>
      </c>
      <c r="S1198" s="173">
        <f>调整因子!$F$13</f>
        <v/>
      </c>
      <c r="T1198" s="93" t="n">
        <v>1</v>
      </c>
      <c r="U1198" s="174">
        <f>IFERROR(Q1198*S1198,0)</f>
        <v/>
      </c>
      <c r="V1198" s="178">
        <f>U1198*T1198</f>
        <v/>
      </c>
      <c r="W1198" s="103" t="inlineStr">
        <is>
          <t>数据清洗任务表、资产同步任务表</t>
        </is>
      </c>
      <c r="X1198" s="103" t="inlineStr"/>
      <c r="Y1198" s="97" t="inlineStr">
        <is>
          <t>数据清洗任务表{任务ID、任务名称、任务类型、任务状态、创建时间、执行时间|任务ID、任务名称、任务类型}
资产同步任务表{资产ID、资产名称、IP地址、资产类型、资产状态、创建时间、更新时间|资产ID、资产名称、IP地址}</t>
        </is>
      </c>
      <c r="Z1198" s="90" t="n"/>
      <c r="AA1198" s="90" t="n"/>
    </row>
    <row r="1199" s="112">
      <c r="A1199" s="72">
        <f>ROW()-1</f>
        <v/>
      </c>
      <c r="B1199" s="175" t="n"/>
      <c r="C1199" s="124" t="n">
        <v>2026</v>
      </c>
      <c r="E1199" s="103" t="n"/>
      <c r="F1199" s="175" t="n"/>
      <c r="G1199" s="175" t="n"/>
      <c r="H1199" s="175" t="n"/>
      <c r="I1199" s="103" t="inlineStr">
        <is>
          <t>停用任务依赖</t>
        </is>
      </c>
      <c r="J1199" s="93" t="n"/>
      <c r="K1199" s="102" t="n"/>
      <c r="L1199" s="102" t="inlineStr">
        <is>
          <t>和上行合并，启停为相同功能</t>
        </is>
      </c>
      <c r="M1199" s="85">
        <f>IF(OR(Y1199="估算法",Y1199="算法类",Y1199="无法识别"),"",IF(W1199="",IF(OR(J1199="EI",J1199="EO",J1199="EQ"),0,""),LEN(W1199)-LEN(SUBSTITUTE(W1199,"、",""))+1))</f>
        <v/>
      </c>
      <c r="N1199" s="85">
        <f>IF(OR(Y1199="估算法",Y1199="算法类",Y1199="无法识别"),"",IF(X1199="",IF(OR(J1199="ILF",J1199="EIF"),0,""),LEN(X1199)-LEN(SUBSTITUTE(X1199,"、",""))+1))</f>
        <v/>
      </c>
      <c r="O1199" s="85">
        <f>IF(OR(Y1199="估算法",Y1199="算法类",Y1199="无法识别"),"",IF(Y1199="",IF(OR(J1199="ILF",J1199="EIF",J1199="EI",J1199="EO",J1199="EQ"),0,""),LEN(Y1199)-LEN(SUBSTITUTE(SUBSTITUTE(SUBSTITUTE(SUBSTITUTE(SUBSTITUTE(Y1199,"|}","--"),"{|","--"),CHAR(10),""),"、",""),"|",""))+IF(AND(OR(J1199="EI",J1199="EO",J1199="EQ"),$AE$1="NESMA"),2,1)))</f>
        <v/>
      </c>
      <c r="P1199" s="86">
        <f>IF(J1199="EI",IF(OR(Y1199="估算法",Y1199="算法类"),"中",IF(Y1199="无法识别","低",IF(M1199&lt;2,IF(O1199&lt;16,"低","中"),IF(M1199&lt;3,IF(O1199&lt;5,"低",IF(O1199&lt;16,"中","高")),IF(O1199&lt;5,"中","高"))))),IF(OR(J1199="EO",J1199="EQ"),IF(OR(Y1199="估算法",Y1199="算法类"),"中",IF(Y1199="无法识别","低",IF(M1199&lt;2,IF(O1199&lt;20,"低","中"),IF(M1199&lt;4,IF(O1199&lt;6,"低",IF(O1199&lt;20,"中","高")),IF(O1199&lt;6,"中","高"))))),IF(OR(J1199="ILF",J1199="EIF"),IF(OR(Y1199="估算法",Y1199="算法类",Y1199="无法识别"),"低",IF(N1199&lt;2,IF(O1199&lt;51,"低","中"),IF(N1199&lt;6,IF(O1199&lt;20,"低",IF(O1199&lt;51,"中","高")),IF(O1199&lt;20,"中","高")))),"不计算")))</f>
        <v/>
      </c>
      <c r="Q1199" s="172">
        <f>IFERROR(IF(J1199="EI",IF(P1199="低",3,IF(P1199="中",4,6)),IF(J1199="EO",IF(P1199="低",4,IF(P1199="中",5,7)),IF(J1199="EQ",IF(P1199="低",3,IF(P1199="中",4,6)),IF(J1199="ILF",IF(P1199="低",7,IF(P1199="中",10,15)),IF(J1199="EIF",IF(P1199="低",5,IF(P1199="中",7,10)),"不计算")))))*R1199,"不计算")</f>
        <v/>
      </c>
      <c r="R1199" s="172" t="n">
        <v>1</v>
      </c>
      <c r="S1199" s="173">
        <f>调整因子!$F$13</f>
        <v/>
      </c>
      <c r="T1199" s="92" t="n">
        <v>1</v>
      </c>
      <c r="U1199" s="174">
        <f>IFERROR(Q1199*S1199,0)</f>
        <v/>
      </c>
      <c r="V1199" s="178">
        <f>U1199*T1199</f>
        <v/>
      </c>
      <c r="W1199" s="103" t="inlineStr">
        <is>
          <t>数据清洗任务表</t>
        </is>
      </c>
      <c r="X1199" s="103" t="inlineStr"/>
      <c r="Y1199" s="97" t="inlineStr">
        <is>
          <t>数据清洗任务表{任务ID、任务名称、任务类型、任务状态、创建时间、执行时间|任务ID、任务名称、任务类型}</t>
        </is>
      </c>
      <c r="Z1199" s="90" t="n"/>
      <c r="AA1199" s="90" t="n"/>
    </row>
    <row r="1200" s="112">
      <c r="A1200" s="72">
        <f>ROW()-1</f>
        <v/>
      </c>
      <c r="B1200" s="175" t="n"/>
      <c r="C1200" s="124" t="n">
        <v>2026</v>
      </c>
      <c r="E1200" s="103" t="n"/>
      <c r="F1200" s="175" t="n"/>
      <c r="G1200" s="175" t="n"/>
      <c r="H1200" s="175" t="n"/>
      <c r="I1200" s="103" t="inlineStr">
        <is>
          <t>导出依赖配置</t>
        </is>
      </c>
      <c r="J1200" s="93" t="inlineStr">
        <is>
          <t>EO</t>
        </is>
      </c>
      <c r="K1200" s="102" t="n"/>
      <c r="L1200" s="102" t="n"/>
      <c r="M1200" s="85">
        <f>IF(OR(Y1200="估算法",Y1200="算法类",Y1200="无法识别"),"",IF(W1200="",IF(OR(J1200="EI",J1200="EO",J1200="EQ"),0,""),LEN(W1200)-LEN(SUBSTITUTE(W1200,"、",""))+1))</f>
        <v/>
      </c>
      <c r="N1200" s="85">
        <f>IF(OR(Y1200="估算法",Y1200="算法类",Y1200="无法识别"),"",IF(X1200="",IF(OR(J1200="ILF",J1200="EIF"),0,""),LEN(X1200)-LEN(SUBSTITUTE(X1200,"、",""))+1))</f>
        <v/>
      </c>
      <c r="O1200" s="85">
        <f>IF(OR(Y1200="估算法",Y1200="算法类",Y1200="无法识别"),"",IF(Y1200="",IF(OR(J1200="ILF",J1200="EIF",J1200="EI",J1200="EO",J1200="EQ"),0,""),LEN(Y1200)-LEN(SUBSTITUTE(SUBSTITUTE(SUBSTITUTE(SUBSTITUTE(SUBSTITUTE(Y1200,"|}","--"),"{|","--"),CHAR(10),""),"、",""),"|",""))+IF(AND(OR(J1200="EI",J1200="EO",J1200="EQ"),$AE$1="NESMA"),2,1)))</f>
        <v/>
      </c>
      <c r="P1200" s="86">
        <f>IF(J1200="EI",IF(OR(Y1200="估算法",Y1200="算法类"),"中",IF(Y1200="无法识别","低",IF(M1200&lt;2,IF(O1200&lt;16,"低","中"),IF(M1200&lt;3,IF(O1200&lt;5,"低",IF(O1200&lt;16,"中","高")),IF(O1200&lt;5,"中","高"))))),IF(OR(J1200="EO",J1200="EQ"),IF(OR(Y1200="估算法",Y1200="算法类"),"中",IF(Y1200="无法识别","低",IF(M1200&lt;2,IF(O1200&lt;20,"低","中"),IF(M1200&lt;4,IF(O1200&lt;6,"低",IF(O1200&lt;20,"中","高")),IF(O1200&lt;6,"中","高"))))),IF(OR(J1200="ILF",J1200="EIF"),IF(OR(Y1200="估算法",Y1200="算法类",Y1200="无法识别"),"低",IF(N1200&lt;2,IF(O1200&lt;51,"低","中"),IF(N1200&lt;6,IF(O1200&lt;20,"低",IF(O1200&lt;51,"中","高")),IF(O1200&lt;20,"中","高")))),"不计算")))</f>
        <v/>
      </c>
      <c r="Q1200" s="172">
        <f>IFERROR(IF(J1200="EI",IF(P1200="低",3,IF(P1200="中",4,6)),IF(J1200="EO",IF(P1200="低",4,IF(P1200="中",5,7)),IF(J1200="EQ",IF(P1200="低",3,IF(P1200="中",4,6)),IF(J1200="ILF",IF(P1200="低",7,IF(P1200="中",10,15)),IF(J1200="EIF",IF(P1200="低",5,IF(P1200="中",7,10)),"不计算")))))*R1200,"不计算")</f>
        <v/>
      </c>
      <c r="R1200" s="172" t="n">
        <v>1</v>
      </c>
      <c r="S1200" s="173">
        <f>调整因子!$F$13</f>
        <v/>
      </c>
      <c r="T1200" s="92" t="n">
        <v>1</v>
      </c>
      <c r="U1200" s="174">
        <f>IFERROR(Q1200*S1200,0)</f>
        <v/>
      </c>
      <c r="V1200" s="178">
        <f>U1200*T1200</f>
        <v/>
      </c>
      <c r="W1200" s="103" t="inlineStr">
        <is>
          <t>任务优先级配置表</t>
        </is>
      </c>
      <c r="X1200" s="103" t="inlineStr"/>
      <c r="Y1200" s="97" t="inlineStr">
        <is>
          <t>任务优先级配置表{任务ID、任务名称|任务ID、任务名称、任务类型、任务状态、创建时间、执行时间}</t>
        </is>
      </c>
      <c r="Z1200" s="90" t="n"/>
      <c r="AA1200" s="90" t="n"/>
    </row>
    <row r="1201" s="112">
      <c r="A1201" s="72">
        <f>ROW()-1</f>
        <v/>
      </c>
      <c r="B1201" s="175" t="n"/>
      <c r="C1201" s="124" t="n">
        <v>2026</v>
      </c>
      <c r="E1201" s="103" t="n"/>
      <c r="F1201" s="175" t="n"/>
      <c r="G1201" s="175" t="n"/>
      <c r="H1201" s="175" t="n"/>
      <c r="I1201" s="103" t="inlineStr">
        <is>
          <t>查询依赖关系</t>
        </is>
      </c>
      <c r="J1201" s="93" t="inlineStr">
        <is>
          <t>EO</t>
        </is>
      </c>
      <c r="K1201" s="102" t="n"/>
      <c r="L1201" s="102" t="n"/>
      <c r="M1201" s="85">
        <f>IF(OR(Y1201="估算法",Y1201="算法类",Y1201="无法识别"),"",IF(W1201="",IF(OR(J1201="EI",J1201="EO",J1201="EQ"),0,""),LEN(W1201)-LEN(SUBSTITUTE(W1201,"、",""))+1))</f>
        <v/>
      </c>
      <c r="N1201" s="85">
        <f>IF(OR(Y1201="估算法",Y1201="算法类",Y1201="无法识别"),"",IF(X1201="",IF(OR(J1201="ILF",J1201="EIF"),0,""),LEN(X1201)-LEN(SUBSTITUTE(X1201,"、",""))+1))</f>
        <v/>
      </c>
      <c r="O1201" s="85">
        <f>IF(OR(Y1201="估算法",Y1201="算法类",Y1201="无法识别"),"",IF(Y1201="",IF(OR(J1201="ILF",J1201="EIF",J1201="EI",J1201="EO",J1201="EQ"),0,""),LEN(Y1201)-LEN(SUBSTITUTE(SUBSTITUTE(SUBSTITUTE(SUBSTITUTE(SUBSTITUTE(Y1201,"|}","--"),"{|","--"),CHAR(10),""),"、",""),"|",""))+IF(AND(OR(J1201="EI",J1201="EO",J1201="EQ"),$AE$1="NESMA"),2,1)))</f>
        <v/>
      </c>
      <c r="P1201" s="86">
        <f>IF(J1201="EI",IF(OR(Y1201="估算法",Y1201="算法类"),"中",IF(Y1201="无法识别","低",IF(M1201&lt;2,IF(O1201&lt;16,"低","中"),IF(M1201&lt;3,IF(O1201&lt;5,"低",IF(O1201&lt;16,"中","高")),IF(O1201&lt;5,"中","高"))))),IF(OR(J1201="EO",J1201="EQ"),IF(OR(Y1201="估算法",Y1201="算法类"),"中",IF(Y1201="无法识别","低",IF(M1201&lt;2,IF(O1201&lt;20,"低","中"),IF(M1201&lt;4,IF(O1201&lt;6,"低",IF(O1201&lt;20,"中","高")),IF(O1201&lt;6,"中","高"))))),IF(OR(J1201="ILF",J1201="EIF"),IF(OR(Y1201="估算法",Y1201="算法类",Y1201="无法识别"),"低",IF(N1201&lt;2,IF(O1201&lt;51,"低","中"),IF(N1201&lt;6,IF(O1201&lt;20,"低",IF(O1201&lt;51,"中","高")),IF(O1201&lt;20,"中","高")))),"不计算")))</f>
        <v/>
      </c>
      <c r="Q1201" s="172">
        <f>IFERROR(IF(J1201="EI",IF(P1201="低",3,IF(P1201="中",4,6)),IF(J1201="EO",IF(P1201="低",4,IF(P1201="中",5,7)),IF(J1201="EQ",IF(P1201="低",3,IF(P1201="中",4,6)),IF(J1201="ILF",IF(P1201="低",7,IF(P1201="中",10,15)),IF(J1201="EIF",IF(P1201="低",5,IF(P1201="中",7,10)),"不计算")))))*R1201,"不计算")</f>
        <v/>
      </c>
      <c r="R1201" s="172" t="n">
        <v>1</v>
      </c>
      <c r="S1201" s="173">
        <f>调整因子!$F$13</f>
        <v/>
      </c>
      <c r="T1201" s="93" t="n">
        <v>1</v>
      </c>
      <c r="U1201" s="174">
        <f>IFERROR(Q1201*S1201,0)</f>
        <v/>
      </c>
      <c r="V1201" s="178">
        <f>U1201*T1201</f>
        <v/>
      </c>
      <c r="W1201" s="103" t="inlineStr">
        <is>
          <t>接口参数配置表、处置单关联表</t>
        </is>
      </c>
      <c r="X1201" s="103" t="inlineStr"/>
      <c r="Y1201" s="97" t="inlineStr">
        <is>
          <t>接口参数配置表{配置ID、配置名称|配置ID、配置名称、配置类型、配置值、创建时间}
处置单关联表{ID、名称|ID、名称、类型、状态、创建时间、更新时间}</t>
        </is>
      </c>
      <c r="Z1201" s="90" t="n"/>
      <c r="AA1201" s="90" t="n"/>
    </row>
    <row r="1202" s="112">
      <c r="A1202" s="72">
        <f>ROW()-1</f>
        <v/>
      </c>
      <c r="B1202" s="175" t="n"/>
      <c r="C1202" s="124" t="n">
        <v>2026</v>
      </c>
      <c r="E1202" s="103" t="n"/>
      <c r="F1202" s="175" t="n"/>
      <c r="G1202" s="175" t="n"/>
      <c r="H1202" s="176" t="n"/>
      <c r="I1202" s="103" t="inlineStr">
        <is>
          <t>查看依赖详情</t>
        </is>
      </c>
      <c r="J1202" s="93" t="inlineStr">
        <is>
          <t>EQ</t>
        </is>
      </c>
      <c r="K1202" s="102" t="n"/>
      <c r="L1202" s="102" t="n"/>
      <c r="M1202" s="85">
        <f>IF(OR(Y1202="估算法",Y1202="算法类",Y1202="无法识别"),"",IF(W1202="",IF(OR(J1202="EI",J1202="EO",J1202="EQ"),0,""),LEN(W1202)-LEN(SUBSTITUTE(W1202,"、",""))+1))</f>
        <v/>
      </c>
      <c r="N1202" s="85">
        <f>IF(OR(Y1202="估算法",Y1202="算法类",Y1202="无法识别"),"",IF(X1202="",IF(OR(J1202="ILF",J1202="EIF"),0,""),LEN(X1202)-LEN(SUBSTITUTE(X1202,"、",""))+1))</f>
        <v/>
      </c>
      <c r="O1202" s="85">
        <f>IF(OR(Y1202="估算法",Y1202="算法类",Y1202="无法识别"),"",IF(Y1202="",IF(OR(J1202="ILF",J1202="EIF",J1202="EI",J1202="EO",J1202="EQ"),0,""),LEN(Y1202)-LEN(SUBSTITUTE(SUBSTITUTE(SUBSTITUTE(SUBSTITUTE(SUBSTITUTE(Y1202,"|}","--"),"{|","--"),CHAR(10),""),"、",""),"|",""))+IF(AND(OR(J1202="EI",J1202="EO",J1202="EQ"),$AE$1="NESMA"),2,1)))</f>
        <v/>
      </c>
      <c r="P1202" s="86">
        <f>IF(J1202="EI",IF(OR(Y1202="估算法",Y1202="算法类"),"中",IF(Y1202="无法识别","低",IF(M1202&lt;2,IF(O1202&lt;16,"低","中"),IF(M1202&lt;3,IF(O1202&lt;5,"低",IF(O1202&lt;16,"中","高")),IF(O1202&lt;5,"中","高"))))),IF(OR(J1202="EO",J1202="EQ"),IF(OR(Y1202="估算法",Y1202="算法类"),"中",IF(Y1202="无法识别","低",IF(M1202&lt;2,IF(O1202&lt;20,"低","中"),IF(M1202&lt;4,IF(O1202&lt;6,"低",IF(O1202&lt;20,"中","高")),IF(O1202&lt;6,"中","高"))))),IF(OR(J1202="ILF",J1202="EIF"),IF(OR(Y1202="估算法",Y1202="算法类",Y1202="无法识别"),"低",IF(N1202&lt;2,IF(O1202&lt;51,"低","中"),IF(N1202&lt;6,IF(O1202&lt;20,"低",IF(O1202&lt;51,"中","高")),IF(O1202&lt;20,"中","高")))),"不计算")))</f>
        <v/>
      </c>
      <c r="Q1202" s="172">
        <f>IFERROR(IF(J1202="EI",IF(P1202="低",3,IF(P1202="中",4,6)),IF(J1202="EO",IF(P1202="低",4,IF(P1202="中",5,7)),IF(J1202="EQ",IF(P1202="低",3,IF(P1202="中",4,6)),IF(J1202="ILF",IF(P1202="低",7,IF(P1202="中",10,15)),IF(J1202="EIF",IF(P1202="低",5,IF(P1202="中",7,10)),"不计算")))))*R1202,"不计算")</f>
        <v/>
      </c>
      <c r="R1202" s="172" t="n">
        <v>1</v>
      </c>
      <c r="S1202" s="173">
        <f>调整因子!$F$13</f>
        <v/>
      </c>
      <c r="T1202" s="93" t="n">
        <v>1</v>
      </c>
      <c r="U1202" s="174">
        <f>IFERROR(Q1202*S1202,0)</f>
        <v/>
      </c>
      <c r="V1202" s="178">
        <f>U1202*T1202</f>
        <v/>
      </c>
      <c r="W1202" s="103" t="inlineStr">
        <is>
          <t>接口监控配置表、扫描盲区记录表</t>
        </is>
      </c>
      <c r="X1202" s="103" t="inlineStr"/>
      <c r="Y1202" s="97" t="inlineStr">
        <is>
          <t>接口监控配置表{配置ID、配置名称|配置ID、配置名称、配置类型、配置值、创建时间}
扫描盲区记录表{任务ID、任务名称|任务ID、任务名称、任务状态、扫描器类型、开始时间、结束时间、扫描结果}</t>
        </is>
      </c>
      <c r="Z1202" s="90" t="n"/>
      <c r="AA1202" s="90" t="n"/>
    </row>
    <row r="1203" s="112">
      <c r="A1203" s="72">
        <f>ROW()-1</f>
        <v/>
      </c>
      <c r="B1203" s="175" t="n"/>
      <c r="C1203" s="124" t="n">
        <v>2026</v>
      </c>
      <c r="E1203" s="103" t="n"/>
      <c r="F1203" s="175" t="n"/>
      <c r="G1203" s="175" t="n"/>
      <c r="H1203" s="97" t="inlineStr">
        <is>
          <t>并行执行管理</t>
        </is>
      </c>
      <c r="I1203" s="103" t="inlineStr">
        <is>
          <t>编辑并行执行</t>
        </is>
      </c>
      <c r="J1203" s="93" t="inlineStr">
        <is>
          <t>EI</t>
        </is>
      </c>
      <c r="K1203" s="102" t="n"/>
      <c r="L1203" s="102" t="n"/>
      <c r="M1203" s="85">
        <f>IF(OR(Y1203="估算法",Y1203="算法类",Y1203="无法识别"),"",IF(W1203="",IF(OR(J1203="EI",J1203="EO",J1203="EQ"),0,""),LEN(W1203)-LEN(SUBSTITUTE(W1203,"、",""))+1))</f>
        <v/>
      </c>
      <c r="N1203" s="85">
        <f>IF(OR(Y1203="估算法",Y1203="算法类",Y1203="无法识别"),"",IF(X1203="",IF(OR(J1203="ILF",J1203="EIF"),0,""),LEN(X1203)-LEN(SUBSTITUTE(X1203,"、",""))+1))</f>
        <v/>
      </c>
      <c r="O1203" s="85">
        <f>IF(OR(Y1203="估算法",Y1203="算法类",Y1203="无法识别"),"",IF(Y1203="",IF(OR(J1203="ILF",J1203="EIF",J1203="EI",J1203="EO",J1203="EQ"),0,""),LEN(Y1203)-LEN(SUBSTITUTE(SUBSTITUTE(SUBSTITUTE(SUBSTITUTE(SUBSTITUTE(Y1203,"|}","--"),"{|","--"),CHAR(10),""),"、",""),"|",""))+IF(AND(OR(J1203="EI",J1203="EO",J1203="EQ"),$AE$1="NESMA"),2,1)))</f>
        <v/>
      </c>
      <c r="P1203" s="86">
        <f>IF(J1203="EI",IF(OR(Y1203="估算法",Y1203="算法类"),"中",IF(Y1203="无法识别","低",IF(M1203&lt;2,IF(O1203&lt;16,"低","中"),IF(M1203&lt;3,IF(O1203&lt;5,"低",IF(O1203&lt;16,"中","高")),IF(O1203&lt;5,"中","高"))))),IF(OR(J1203="EO",J1203="EQ"),IF(OR(Y1203="估算法",Y1203="算法类"),"中",IF(Y1203="无法识别","低",IF(M1203&lt;2,IF(O1203&lt;20,"低","中"),IF(M1203&lt;4,IF(O1203&lt;6,"低",IF(O1203&lt;20,"中","高")),IF(O1203&lt;6,"中","高"))))),IF(OR(J1203="ILF",J1203="EIF"),IF(OR(Y1203="估算法",Y1203="算法类",Y1203="无法识别"),"低",IF(N1203&lt;2,IF(O1203&lt;51,"低","中"),IF(N1203&lt;6,IF(O1203&lt;20,"低",IF(O1203&lt;51,"中","高")),IF(O1203&lt;20,"中","高")))),"不计算")))</f>
        <v/>
      </c>
      <c r="Q1203" s="172">
        <f>IFERROR(IF(J1203="EI",IF(P1203="低",3,IF(P1203="中",4,6)),IF(J1203="EO",IF(P1203="低",4,IF(P1203="中",5,7)),IF(J1203="EQ",IF(P1203="低",3,IF(P1203="中",4,6)),IF(J1203="ILF",IF(P1203="低",7,IF(P1203="中",10,15)),IF(J1203="EIF",IF(P1203="低",5,IF(P1203="中",7,10)),"不计算")))))*R1203,"不计算")</f>
        <v/>
      </c>
      <c r="R1203" s="172" t="n">
        <v>0.333333333333333</v>
      </c>
      <c r="S1203" s="173">
        <f>调整因子!$F$13</f>
        <v/>
      </c>
      <c r="T1203" s="92" t="n">
        <v>1</v>
      </c>
      <c r="U1203" s="174">
        <f>IFERROR(Q1203*S1203,0)</f>
        <v/>
      </c>
      <c r="V1203" s="178">
        <f>U1203*T1203</f>
        <v/>
      </c>
      <c r="W1203" s="103" t="inlineStr">
        <is>
          <t>验证记录表、验证配置表</t>
        </is>
      </c>
      <c r="X1203" s="103" t="inlineStr"/>
      <c r="Y1203" s="97" t="inlineStr">
        <is>
          <t>验证记录表{ID、名称、类型、状态、创建时间、更新时间|ID、名称、类型}
验证配置表{配置ID、配置名称、配置类型、配置值、创建时间|配置ID、配置名称、配置类型}</t>
        </is>
      </c>
      <c r="Z1203" s="90" t="n"/>
      <c r="AA1203" s="90" t="n"/>
    </row>
    <row r="1204" s="112">
      <c r="A1204" s="72">
        <f>ROW()-1</f>
        <v/>
      </c>
      <c r="B1204" s="175" t="n"/>
      <c r="C1204" s="124" t="n">
        <v>2026</v>
      </c>
      <c r="E1204" s="103" t="n"/>
      <c r="F1204" s="175" t="n"/>
      <c r="G1204" s="175" t="n"/>
      <c r="H1204" s="175" t="n"/>
      <c r="I1204" s="103" t="inlineStr">
        <is>
          <t>删除并行执行</t>
        </is>
      </c>
      <c r="J1204" s="93" t="inlineStr">
        <is>
          <t>EI</t>
        </is>
      </c>
      <c r="K1204" s="102" t="n"/>
      <c r="L1204" s="102" t="n"/>
      <c r="M1204" s="85">
        <f>IF(OR(Y1204="估算法",Y1204="算法类",Y1204="无法识别"),"",IF(W1204="",IF(OR(J1204="EI",J1204="EO",J1204="EQ"),0,""),LEN(W1204)-LEN(SUBSTITUTE(W1204,"、",""))+1))</f>
        <v/>
      </c>
      <c r="N1204" s="85">
        <f>IF(OR(Y1204="估算法",Y1204="算法类",Y1204="无法识别"),"",IF(X1204="",IF(OR(J1204="ILF",J1204="EIF"),0,""),LEN(X1204)-LEN(SUBSTITUTE(X1204,"、",""))+1))</f>
        <v/>
      </c>
      <c r="O1204" s="85">
        <f>IF(OR(Y1204="估算法",Y1204="算法类",Y1204="无法识别"),"",IF(Y1204="",IF(OR(J1204="ILF",J1204="EIF",J1204="EI",J1204="EO",J1204="EQ"),0,""),LEN(Y1204)-LEN(SUBSTITUTE(SUBSTITUTE(SUBSTITUTE(SUBSTITUTE(SUBSTITUTE(Y1204,"|}","--"),"{|","--"),CHAR(10),""),"、",""),"|",""))+IF(AND(OR(J1204="EI",J1204="EO",J1204="EQ"),$AE$1="NESMA"),2,1)))</f>
        <v/>
      </c>
      <c r="P1204" s="86">
        <f>IF(J1204="EI",IF(OR(Y1204="估算法",Y1204="算法类"),"中",IF(Y1204="无法识别","低",IF(M1204&lt;2,IF(O1204&lt;16,"低","中"),IF(M1204&lt;3,IF(O1204&lt;5,"低",IF(O1204&lt;16,"中","高")),IF(O1204&lt;5,"中","高"))))),IF(OR(J1204="EO",J1204="EQ"),IF(OR(Y1204="估算法",Y1204="算法类"),"中",IF(Y1204="无法识别","低",IF(M1204&lt;2,IF(O1204&lt;20,"低","中"),IF(M1204&lt;4,IF(O1204&lt;6,"低",IF(O1204&lt;20,"中","高")),IF(O1204&lt;6,"中","高"))))),IF(OR(J1204="ILF",J1204="EIF"),IF(OR(Y1204="估算法",Y1204="算法类",Y1204="无法识别"),"低",IF(N1204&lt;2,IF(O1204&lt;51,"低","中"),IF(N1204&lt;6,IF(O1204&lt;20,"低",IF(O1204&lt;51,"中","高")),IF(O1204&lt;20,"中","高")))),"不计算")))</f>
        <v/>
      </c>
      <c r="Q1204" s="172">
        <f>IFERROR(IF(J1204="EI",IF(P1204="低",3,IF(P1204="中",4,6)),IF(J1204="EO",IF(P1204="低",4,IF(P1204="中",5,7)),IF(J1204="EQ",IF(P1204="低",3,IF(P1204="中",4,6)),IF(J1204="ILF",IF(P1204="低",7,IF(P1204="中",10,15)),IF(J1204="EIF",IF(P1204="低",5,IF(P1204="中",7,10)),"不计算")))))*R1204,"不计算")</f>
        <v/>
      </c>
      <c r="R1204" s="172" t="n">
        <v>0.333333333333333</v>
      </c>
      <c r="S1204" s="173">
        <f>调整因子!$F$13</f>
        <v/>
      </c>
      <c r="T1204" s="92" t="n">
        <v>1</v>
      </c>
      <c r="U1204" s="174">
        <f>IFERROR(Q1204*S1204,0)</f>
        <v/>
      </c>
      <c r="V1204" s="178">
        <f>U1204*T1204</f>
        <v/>
      </c>
      <c r="W1204" s="103" t="inlineStr">
        <is>
          <t>调用统计表</t>
        </is>
      </c>
      <c r="X1204" s="103" t="inlineStr"/>
      <c r="Y1204" s="97" t="inlineStr">
        <is>
          <t>调用统计表{ID、名称、类型、状态、创建时间、更新时间|ID、名称、类型}</t>
        </is>
      </c>
      <c r="Z1204" s="90" t="n"/>
      <c r="AA1204" s="90" t="n"/>
    </row>
    <row r="1205" s="112">
      <c r="A1205" s="72">
        <f>ROW()-1</f>
        <v/>
      </c>
      <c r="B1205" s="175" t="n"/>
      <c r="C1205" s="124" t="n">
        <v>2026</v>
      </c>
      <c r="E1205" s="103" t="n"/>
      <c r="F1205" s="175" t="n"/>
      <c r="G1205" s="175" t="n"/>
      <c r="H1205" s="175" t="n"/>
      <c r="I1205" s="103" t="inlineStr">
        <is>
          <t>启用并行执行</t>
        </is>
      </c>
      <c r="J1205" s="93" t="inlineStr">
        <is>
          <t>EI</t>
        </is>
      </c>
      <c r="K1205" s="102" t="n"/>
      <c r="L1205" s="102" t="n"/>
      <c r="M1205" s="85">
        <f>IF(OR(Y1205="估算法",Y1205="算法类",Y1205="无法识别"),"",IF(W1205="",IF(OR(J1205="EI",J1205="EO",J1205="EQ"),0,""),LEN(W1205)-LEN(SUBSTITUTE(W1205,"、",""))+1))</f>
        <v/>
      </c>
      <c r="N1205" s="85">
        <f>IF(OR(Y1205="估算法",Y1205="算法类",Y1205="无法识别"),"",IF(X1205="",IF(OR(J1205="ILF",J1205="EIF"),0,""),LEN(X1205)-LEN(SUBSTITUTE(X1205,"、",""))+1))</f>
        <v/>
      </c>
      <c r="O1205" s="85">
        <f>IF(OR(Y1205="估算法",Y1205="算法类",Y1205="无法识别"),"",IF(Y1205="",IF(OR(J1205="ILF",J1205="EIF",J1205="EI",J1205="EO",J1205="EQ"),0,""),LEN(Y1205)-LEN(SUBSTITUTE(SUBSTITUTE(SUBSTITUTE(SUBSTITUTE(SUBSTITUTE(Y1205,"|}","--"),"{|","--"),CHAR(10),""),"、",""),"|",""))+IF(AND(OR(J1205="EI",J1205="EO",J1205="EQ"),$AE$1="NESMA"),2,1)))</f>
        <v/>
      </c>
      <c r="P1205" s="86">
        <f>IF(J1205="EI",IF(OR(Y1205="估算法",Y1205="算法类"),"中",IF(Y1205="无法识别","低",IF(M1205&lt;2,IF(O1205&lt;16,"低","中"),IF(M1205&lt;3,IF(O1205&lt;5,"低",IF(O1205&lt;16,"中","高")),IF(O1205&lt;5,"中","高"))))),IF(OR(J1205="EO",J1205="EQ"),IF(OR(Y1205="估算法",Y1205="算法类"),"中",IF(Y1205="无法识别","低",IF(M1205&lt;2,IF(O1205&lt;20,"低","中"),IF(M1205&lt;4,IF(O1205&lt;6,"低",IF(O1205&lt;20,"中","高")),IF(O1205&lt;6,"中","高"))))),IF(OR(J1205="ILF",J1205="EIF"),IF(OR(Y1205="估算法",Y1205="算法类",Y1205="无法识别"),"低",IF(N1205&lt;2,IF(O1205&lt;51,"低","中"),IF(N1205&lt;6,IF(O1205&lt;20,"低",IF(O1205&lt;51,"中","高")),IF(O1205&lt;20,"中","高")))),"不计算")))</f>
        <v/>
      </c>
      <c r="Q1205" s="172">
        <f>IFERROR(IF(J1205="EI",IF(P1205="低",3,IF(P1205="中",4,6)),IF(J1205="EO",IF(P1205="低",4,IF(P1205="中",5,7)),IF(J1205="EQ",IF(P1205="低",3,IF(P1205="中",4,6)),IF(J1205="ILF",IF(P1205="低",7,IF(P1205="中",10,15)),IF(J1205="EIF",IF(P1205="低",5,IF(P1205="中",7,10)),"不计算")))))*R1205,"不计算")</f>
        <v/>
      </c>
      <c r="R1205" s="172" t="n">
        <v>0.333333333333333</v>
      </c>
      <c r="S1205" s="173">
        <f>调整因子!$F$13</f>
        <v/>
      </c>
      <c r="T1205" s="93" t="n">
        <v>1</v>
      </c>
      <c r="U1205" s="174">
        <f>IFERROR(Q1205*S1205,0)</f>
        <v/>
      </c>
      <c r="V1205" s="178">
        <f>U1205*T1205</f>
        <v/>
      </c>
      <c r="W1205" s="103" t="inlineStr">
        <is>
          <t>日志采集配置表、处置单关联表</t>
        </is>
      </c>
      <c r="X1205" s="103" t="inlineStr"/>
      <c r="Y1205" s="97" t="inlineStr">
        <is>
          <t>日志采集配置表{配置ID、配置名称、配置类型、配置值、创建时间|配置ID、配置名称、配置类型}
处置单关联表{ID、名称、类型、状态、创建时间、更新时间|ID、名称、类型}</t>
        </is>
      </c>
      <c r="Z1205" s="90" t="n"/>
      <c r="AA1205" s="90" t="n"/>
    </row>
    <row r="1206" s="112">
      <c r="A1206" s="72">
        <f>ROW()-1</f>
        <v/>
      </c>
      <c r="B1206" s="175" t="n"/>
      <c r="C1206" s="124" t="n">
        <v>2026</v>
      </c>
      <c r="E1206" s="103" t="n"/>
      <c r="F1206" s="175" t="n"/>
      <c r="G1206" s="175" t="n"/>
      <c r="H1206" s="175" t="n"/>
      <c r="I1206" s="103" t="inlineStr">
        <is>
          <t>停用并行执行</t>
        </is>
      </c>
      <c r="J1206" s="93" t="n"/>
      <c r="K1206" s="102" t="n"/>
      <c r="L1206" s="102" t="inlineStr">
        <is>
          <t>和上行合并，启停为相同功能</t>
        </is>
      </c>
      <c r="M1206" s="85">
        <f>IF(OR(Y1206="估算法",Y1206="算法类",Y1206="无法识别"),"",IF(W1206="",IF(OR(J1206="EI",J1206="EO",J1206="EQ"),0,""),LEN(W1206)-LEN(SUBSTITUTE(W1206,"、",""))+1))</f>
        <v/>
      </c>
      <c r="N1206" s="85">
        <f>IF(OR(Y1206="估算法",Y1206="算法类",Y1206="无法识别"),"",IF(X1206="",IF(OR(J1206="ILF",J1206="EIF"),0,""),LEN(X1206)-LEN(SUBSTITUTE(X1206,"、",""))+1))</f>
        <v/>
      </c>
      <c r="O1206" s="85">
        <f>IF(OR(Y1206="估算法",Y1206="算法类",Y1206="无法识别"),"",IF(Y1206="",IF(OR(J1206="ILF",J1206="EIF",J1206="EI",J1206="EO",J1206="EQ"),0,""),LEN(Y1206)-LEN(SUBSTITUTE(SUBSTITUTE(SUBSTITUTE(SUBSTITUTE(SUBSTITUTE(Y1206,"|}","--"),"{|","--"),CHAR(10),""),"、",""),"|",""))+IF(AND(OR(J1206="EI",J1206="EO",J1206="EQ"),$AE$1="NESMA"),2,1)))</f>
        <v/>
      </c>
      <c r="P1206" s="86">
        <f>IF(J1206="EI",IF(OR(Y1206="估算法",Y1206="算法类"),"中",IF(Y1206="无法识别","低",IF(M1206&lt;2,IF(O1206&lt;16,"低","中"),IF(M1206&lt;3,IF(O1206&lt;5,"低",IF(O1206&lt;16,"中","高")),IF(O1206&lt;5,"中","高"))))),IF(OR(J1206="EO",J1206="EQ"),IF(OR(Y1206="估算法",Y1206="算法类"),"中",IF(Y1206="无法识别","低",IF(M1206&lt;2,IF(O1206&lt;20,"低","中"),IF(M1206&lt;4,IF(O1206&lt;6,"低",IF(O1206&lt;20,"中","高")),IF(O1206&lt;6,"中","高"))))),IF(OR(J1206="ILF",J1206="EIF"),IF(OR(Y1206="估算法",Y1206="算法类",Y1206="无法识别"),"低",IF(N1206&lt;2,IF(O1206&lt;51,"低","中"),IF(N1206&lt;6,IF(O1206&lt;20,"低",IF(O1206&lt;51,"中","高")),IF(O1206&lt;20,"中","高")))),"不计算")))</f>
        <v/>
      </c>
      <c r="Q1206" s="172">
        <f>IFERROR(IF(J1206="EI",IF(P1206="低",3,IF(P1206="中",4,6)),IF(J1206="EO",IF(P1206="低",4,IF(P1206="中",5,7)),IF(J1206="EQ",IF(P1206="低",3,IF(P1206="中",4,6)),IF(J1206="ILF",IF(P1206="低",7,IF(P1206="中",10,15)),IF(J1206="EIF",IF(P1206="低",5,IF(P1206="中",7,10)),"不计算")))))*R1206,"不计算")</f>
        <v/>
      </c>
      <c r="R1206" s="172" t="n">
        <v>0.333333333333333</v>
      </c>
      <c r="S1206" s="173">
        <f>调整因子!$F$13</f>
        <v/>
      </c>
      <c r="T1206" s="92" t="n">
        <v>1</v>
      </c>
      <c r="U1206" s="174">
        <f>IFERROR(Q1206*S1206,0)</f>
        <v/>
      </c>
      <c r="V1206" s="178">
        <f>U1206*T1206</f>
        <v/>
      </c>
      <c r="W1206" s="103" t="inlineStr">
        <is>
          <t>验证记录表、审计日志表</t>
        </is>
      </c>
      <c r="X1206" s="103" t="inlineStr"/>
      <c r="Y1206" s="97" t="inlineStr">
        <is>
          <t>验证记录表{ID、名称、类型、状态、创建时间、更新时间|ID、名称、类型}
审计日志表{日志ID、操作人、操作类型、操作时间、操作内容|日志ID、操作人、操作类型}</t>
        </is>
      </c>
      <c r="Z1206" s="90" t="n"/>
      <c r="AA1206" s="90" t="n"/>
    </row>
    <row r="1207" s="112">
      <c r="A1207" s="72">
        <f>ROW()-1</f>
        <v/>
      </c>
      <c r="B1207" s="175" t="n"/>
      <c r="C1207" s="124" t="n">
        <v>2026</v>
      </c>
      <c r="E1207" s="103" t="n"/>
      <c r="F1207" s="175" t="n"/>
      <c r="G1207" s="175" t="n"/>
      <c r="H1207" s="175" t="n"/>
      <c r="I1207" s="103" t="inlineStr">
        <is>
          <t>导出并行配置</t>
        </is>
      </c>
      <c r="J1207" s="93" t="inlineStr">
        <is>
          <t>EO</t>
        </is>
      </c>
      <c r="K1207" s="102" t="n"/>
      <c r="L1207" s="102" t="n"/>
      <c r="M1207" s="85">
        <f>IF(OR(Y1207="估算法",Y1207="算法类",Y1207="无法识别"),"",IF(W1207="",IF(OR(J1207="EI",J1207="EO",J1207="EQ"),0,""),LEN(W1207)-LEN(SUBSTITUTE(W1207,"、",""))+1))</f>
        <v/>
      </c>
      <c r="N1207" s="85">
        <f>IF(OR(Y1207="估算法",Y1207="算法类",Y1207="无法识别"),"",IF(X1207="",IF(OR(J1207="ILF",J1207="EIF"),0,""),LEN(X1207)-LEN(SUBSTITUTE(X1207,"、",""))+1))</f>
        <v/>
      </c>
      <c r="O1207" s="85">
        <f>IF(OR(Y1207="估算法",Y1207="算法类",Y1207="无法识别"),"",IF(Y1207="",IF(OR(J1207="ILF",J1207="EIF",J1207="EI",J1207="EO",J1207="EQ"),0,""),LEN(Y1207)-LEN(SUBSTITUTE(SUBSTITUTE(SUBSTITUTE(SUBSTITUTE(SUBSTITUTE(Y1207,"|}","--"),"{|","--"),CHAR(10),""),"、",""),"|",""))+IF(AND(OR(J1207="EI",J1207="EO",J1207="EQ"),$AE$1="NESMA"),2,1)))</f>
        <v/>
      </c>
      <c r="P1207" s="86">
        <f>IF(J1207="EI",IF(OR(Y1207="估算法",Y1207="算法类"),"中",IF(Y1207="无法识别","低",IF(M1207&lt;2,IF(O1207&lt;16,"低","中"),IF(M1207&lt;3,IF(O1207&lt;5,"低",IF(O1207&lt;16,"中","高")),IF(O1207&lt;5,"中","高"))))),IF(OR(J1207="EO",J1207="EQ"),IF(OR(Y1207="估算法",Y1207="算法类"),"中",IF(Y1207="无法识别","低",IF(M1207&lt;2,IF(O1207&lt;20,"低","中"),IF(M1207&lt;4,IF(O1207&lt;6,"低",IF(O1207&lt;20,"中","高")),IF(O1207&lt;6,"中","高"))))),IF(OR(J1207="ILF",J1207="EIF"),IF(OR(Y1207="估算法",Y1207="算法类",Y1207="无法识别"),"低",IF(N1207&lt;2,IF(O1207&lt;51,"低","中"),IF(N1207&lt;6,IF(O1207&lt;20,"低",IF(O1207&lt;51,"中","高")),IF(O1207&lt;20,"中","高")))),"不计算")))</f>
        <v/>
      </c>
      <c r="Q1207" s="172">
        <f>IFERROR(IF(J1207="EI",IF(P1207="低",3,IF(P1207="中",4,6)),IF(J1207="EO",IF(P1207="低",4,IF(P1207="中",5,7)),IF(J1207="EQ",IF(P1207="低",3,IF(P1207="中",4,6)),IF(J1207="ILF",IF(P1207="低",7,IF(P1207="中",10,15)),IF(J1207="EIF",IF(P1207="低",5,IF(P1207="中",7,10)),"不计算")))))*R1207,"不计算")</f>
        <v/>
      </c>
      <c r="R1207" s="172" t="n">
        <v>0.333333333333333</v>
      </c>
      <c r="S1207" s="173">
        <f>调整因子!$F$13</f>
        <v/>
      </c>
      <c r="T1207" s="92" t="n">
        <v>1</v>
      </c>
      <c r="U1207" s="174">
        <f>IFERROR(Q1207*S1207,0)</f>
        <v/>
      </c>
      <c r="V1207" s="178">
        <f>U1207*T1207</f>
        <v/>
      </c>
      <c r="W1207" s="103" t="inlineStr">
        <is>
          <t>任务优先级配置表</t>
        </is>
      </c>
      <c r="X1207" s="103" t="inlineStr"/>
      <c r="Y1207" s="97" t="inlineStr">
        <is>
          <t>任务优先级配置表{任务ID、任务名称|任务ID、任务名称、任务类型、任务状态、创建时间、执行时间}</t>
        </is>
      </c>
      <c r="Z1207" s="90" t="n"/>
      <c r="AA1207" s="90" t="n"/>
    </row>
    <row r="1208" s="112">
      <c r="A1208" s="72">
        <f>ROW()-1</f>
        <v/>
      </c>
      <c r="B1208" s="175" t="n"/>
      <c r="C1208" s="124" t="n">
        <v>2026</v>
      </c>
      <c r="E1208" s="103" t="n"/>
      <c r="F1208" s="175" t="n"/>
      <c r="G1208" s="175" t="n"/>
      <c r="H1208" s="175" t="n"/>
      <c r="I1208" s="103" t="inlineStr">
        <is>
          <t>查询并行任务</t>
        </is>
      </c>
      <c r="J1208" s="93" t="inlineStr">
        <is>
          <t>EQ</t>
        </is>
      </c>
      <c r="K1208" s="102" t="n"/>
      <c r="L1208" s="102" t="n"/>
      <c r="M1208" s="85">
        <f>IF(OR(Y1208="估算法",Y1208="算法类",Y1208="无法识别"),"",IF(W1208="",IF(OR(J1208="EI",J1208="EO",J1208="EQ"),0,""),LEN(W1208)-LEN(SUBSTITUTE(W1208,"、",""))+1))</f>
        <v/>
      </c>
      <c r="N1208" s="85">
        <f>IF(OR(Y1208="估算法",Y1208="算法类",Y1208="无法识别"),"",IF(X1208="",IF(OR(J1208="ILF",J1208="EIF"),0,""),LEN(X1208)-LEN(SUBSTITUTE(X1208,"、",""))+1))</f>
        <v/>
      </c>
      <c r="O1208" s="85">
        <f>IF(OR(Y1208="估算法",Y1208="算法类",Y1208="无法识别"),"",IF(Y1208="",IF(OR(J1208="ILF",J1208="EIF",J1208="EI",J1208="EO",J1208="EQ"),0,""),LEN(Y1208)-LEN(SUBSTITUTE(SUBSTITUTE(SUBSTITUTE(SUBSTITUTE(SUBSTITUTE(Y1208,"|}","--"),"{|","--"),CHAR(10),""),"、",""),"|",""))+IF(AND(OR(J1208="EI",J1208="EO",J1208="EQ"),$AE$1="NESMA"),2,1)))</f>
        <v/>
      </c>
      <c r="P1208" s="86">
        <f>IF(J1208="EI",IF(OR(Y1208="估算法",Y1208="算法类"),"中",IF(Y1208="无法识别","低",IF(M1208&lt;2,IF(O1208&lt;16,"低","中"),IF(M1208&lt;3,IF(O1208&lt;5,"低",IF(O1208&lt;16,"中","高")),IF(O1208&lt;5,"中","高"))))),IF(OR(J1208="EO",J1208="EQ"),IF(OR(Y1208="估算法",Y1208="算法类"),"中",IF(Y1208="无法识别","低",IF(M1208&lt;2,IF(O1208&lt;20,"低","中"),IF(M1208&lt;4,IF(O1208&lt;6,"低",IF(O1208&lt;20,"中","高")),IF(O1208&lt;6,"中","高"))))),IF(OR(J1208="ILF",J1208="EIF"),IF(OR(Y1208="估算法",Y1208="算法类",Y1208="无法识别"),"低",IF(N1208&lt;2,IF(O1208&lt;51,"低","中"),IF(N1208&lt;6,IF(O1208&lt;20,"低",IF(O1208&lt;51,"中","高")),IF(O1208&lt;20,"中","高")))),"不计算")))</f>
        <v/>
      </c>
      <c r="Q1208" s="172">
        <f>IFERROR(IF(J1208="EI",IF(P1208="低",3,IF(P1208="中",4,6)),IF(J1208="EO",IF(P1208="低",4,IF(P1208="中",5,7)),IF(J1208="EQ",IF(P1208="低",3,IF(P1208="中",4,6)),IF(J1208="ILF",IF(P1208="低",7,IF(P1208="中",10,15)),IF(J1208="EIF",IF(P1208="低",5,IF(P1208="中",7,10)),"不计算")))))*R1208,"不计算")</f>
        <v/>
      </c>
      <c r="R1208" s="172" t="n">
        <v>0.333333333333333</v>
      </c>
      <c r="S1208" s="173">
        <f>调整因子!$F$13</f>
        <v/>
      </c>
      <c r="T1208" s="93" t="n">
        <v>1</v>
      </c>
      <c r="U1208" s="174">
        <f>IFERROR(Q1208*S1208,0)</f>
        <v/>
      </c>
      <c r="V1208" s="178">
        <f>U1208*T1208</f>
        <v/>
      </c>
      <c r="W1208" s="103" t="inlineStr">
        <is>
          <t>数据清洗任务表、资产同步任务表</t>
        </is>
      </c>
      <c r="X1208" s="103" t="inlineStr"/>
      <c r="Y1208" s="97" t="inlineStr">
        <is>
          <t>数据清洗任务表{任务ID、任务名称|任务ID、任务名称、任务类型、任务状态、创建时间、执行时间}
资产同步任务表{资产ID、资产名称|资产ID、资产名称、IP地址、资产类型、资产状态、创建时间、更新时间}</t>
        </is>
      </c>
      <c r="Z1208" s="90" t="n"/>
      <c r="AA1208" s="90" t="n"/>
    </row>
    <row r="1209" s="112">
      <c r="A1209" s="72">
        <f>ROW()-1</f>
        <v/>
      </c>
      <c r="B1209" s="175" t="n"/>
      <c r="C1209" s="124" t="n">
        <v>2026</v>
      </c>
      <c r="E1209" s="103" t="n"/>
      <c r="F1209" s="175" t="n"/>
      <c r="G1209" s="175" t="n"/>
      <c r="H1209" s="176" t="n"/>
      <c r="I1209" s="103" t="inlineStr">
        <is>
          <t>查看并行详情</t>
        </is>
      </c>
      <c r="J1209" s="93" t="inlineStr">
        <is>
          <t>EQ</t>
        </is>
      </c>
      <c r="K1209" s="102" t="n"/>
      <c r="L1209" s="102" t="n"/>
      <c r="M1209" s="85">
        <f>IF(OR(Y1209="估算法",Y1209="算法类",Y1209="无法识别"),"",IF(W1209="",IF(OR(J1209="EI",J1209="EO",J1209="EQ"),0,""),LEN(W1209)-LEN(SUBSTITUTE(W1209,"、",""))+1))</f>
        <v/>
      </c>
      <c r="N1209" s="85">
        <f>IF(OR(Y1209="估算法",Y1209="算法类",Y1209="无法识别"),"",IF(X1209="",IF(OR(J1209="ILF",J1209="EIF"),0,""),LEN(X1209)-LEN(SUBSTITUTE(X1209,"、",""))+1))</f>
        <v/>
      </c>
      <c r="O1209" s="85">
        <f>IF(OR(Y1209="估算法",Y1209="算法类",Y1209="无法识别"),"",IF(Y1209="",IF(OR(J1209="ILF",J1209="EIF",J1209="EI",J1209="EO",J1209="EQ"),0,""),LEN(Y1209)-LEN(SUBSTITUTE(SUBSTITUTE(SUBSTITUTE(SUBSTITUTE(SUBSTITUTE(Y1209,"|}","--"),"{|","--"),CHAR(10),""),"、",""),"|",""))+IF(AND(OR(J1209="EI",J1209="EO",J1209="EQ"),$AE$1="NESMA"),2,1)))</f>
        <v/>
      </c>
      <c r="P1209" s="86">
        <f>IF(J1209="EI",IF(OR(Y1209="估算法",Y1209="算法类"),"中",IF(Y1209="无法识别","低",IF(M1209&lt;2,IF(O1209&lt;16,"低","中"),IF(M1209&lt;3,IF(O1209&lt;5,"低",IF(O1209&lt;16,"中","高")),IF(O1209&lt;5,"中","高"))))),IF(OR(J1209="EO",J1209="EQ"),IF(OR(Y1209="估算法",Y1209="算法类"),"中",IF(Y1209="无法识别","低",IF(M1209&lt;2,IF(O1209&lt;20,"低","中"),IF(M1209&lt;4,IF(O1209&lt;6,"低",IF(O1209&lt;20,"中","高")),IF(O1209&lt;6,"中","高"))))),IF(OR(J1209="ILF",J1209="EIF"),IF(OR(Y1209="估算法",Y1209="算法类",Y1209="无法识别"),"低",IF(N1209&lt;2,IF(O1209&lt;51,"低","中"),IF(N1209&lt;6,IF(O1209&lt;20,"低",IF(O1209&lt;51,"中","高")),IF(O1209&lt;20,"中","高")))),"不计算")))</f>
        <v/>
      </c>
      <c r="Q1209" s="172">
        <f>IFERROR(IF(J1209="EI",IF(P1209="低",3,IF(P1209="中",4,6)),IF(J1209="EO",IF(P1209="低",4,IF(P1209="中",5,7)),IF(J1209="EQ",IF(P1209="低",3,IF(P1209="中",4,6)),IF(J1209="ILF",IF(P1209="低",7,IF(P1209="中",10,15)),IF(J1209="EIF",IF(P1209="低",5,IF(P1209="中",7,10)),"不计算")))))*R1209,"不计算")</f>
        <v/>
      </c>
      <c r="R1209" s="172" t="n">
        <v>0.333333333333333</v>
      </c>
      <c r="S1209" s="173">
        <f>调整因子!$F$13</f>
        <v/>
      </c>
      <c r="T1209" s="93" t="n">
        <v>1</v>
      </c>
      <c r="U1209" s="174">
        <f>IFERROR(Q1209*S1209,0)</f>
        <v/>
      </c>
      <c r="V1209" s="178">
        <f>U1209*T1209</f>
        <v/>
      </c>
      <c r="W1209" s="103" t="inlineStr">
        <is>
          <t>处置单关联表、接口参数配置表</t>
        </is>
      </c>
      <c r="X1209" s="103" t="inlineStr"/>
      <c r="Y1209" s="97" t="inlineStr">
        <is>
          <t>处置单关联表{ID、名称|ID、名称、类型、状态、创建时间、更新时间}
接口参数配置表{配置ID、配置名称|配置ID、配置名称、配置类型、配置值、创建时间}</t>
        </is>
      </c>
      <c r="Z1209" s="90" t="n"/>
      <c r="AA1209" s="90" t="n"/>
    </row>
    <row r="1210" s="112">
      <c r="A1210" s="72">
        <f>ROW()-1</f>
        <v/>
      </c>
      <c r="B1210" s="175" t="n"/>
      <c r="C1210" s="124" t="n">
        <v>2026</v>
      </c>
      <c r="E1210" s="103" t="n"/>
      <c r="F1210" s="175" t="n"/>
      <c r="G1210" s="175" t="n"/>
      <c r="H1210" s="97" t="inlineStr">
        <is>
          <t>串行执行管理</t>
        </is>
      </c>
      <c r="I1210" s="103" t="inlineStr">
        <is>
          <t>编辑串行执行</t>
        </is>
      </c>
      <c r="J1210" s="93" t="inlineStr">
        <is>
          <t>EI</t>
        </is>
      </c>
      <c r="K1210" s="102" t="n"/>
      <c r="L1210" s="102" t="n"/>
      <c r="M1210" s="85">
        <f>IF(OR(Y1210="估算法",Y1210="算法类",Y1210="无法识别"),"",IF(W1210="",IF(OR(J1210="EI",J1210="EO",J1210="EQ"),0,""),LEN(W1210)-LEN(SUBSTITUTE(W1210,"、",""))+1))</f>
        <v/>
      </c>
      <c r="N1210" s="85">
        <f>IF(OR(Y1210="估算法",Y1210="算法类",Y1210="无法识别"),"",IF(X1210="",IF(OR(J1210="ILF",J1210="EIF"),0,""),LEN(X1210)-LEN(SUBSTITUTE(X1210,"、",""))+1))</f>
        <v/>
      </c>
      <c r="O1210" s="85">
        <f>IF(OR(Y1210="估算法",Y1210="算法类",Y1210="无法识别"),"",IF(Y1210="",IF(OR(J1210="ILF",J1210="EIF",J1210="EI",J1210="EO",J1210="EQ"),0,""),LEN(Y1210)-LEN(SUBSTITUTE(SUBSTITUTE(SUBSTITUTE(SUBSTITUTE(SUBSTITUTE(Y1210,"|}","--"),"{|","--"),CHAR(10),""),"、",""),"|",""))+IF(AND(OR(J1210="EI",J1210="EO",J1210="EQ"),$AE$1="NESMA"),2,1)))</f>
        <v/>
      </c>
      <c r="P1210" s="86">
        <f>IF(J1210="EI",IF(OR(Y1210="估算法",Y1210="算法类"),"中",IF(Y1210="无法识别","低",IF(M1210&lt;2,IF(O1210&lt;16,"低","中"),IF(M1210&lt;3,IF(O1210&lt;5,"低",IF(O1210&lt;16,"中","高")),IF(O1210&lt;5,"中","高"))))),IF(OR(J1210="EO",J1210="EQ"),IF(OR(Y1210="估算法",Y1210="算法类"),"中",IF(Y1210="无法识别","低",IF(M1210&lt;2,IF(O1210&lt;20,"低","中"),IF(M1210&lt;4,IF(O1210&lt;6,"低",IF(O1210&lt;20,"中","高")),IF(O1210&lt;6,"中","高"))))),IF(OR(J1210="ILF",J1210="EIF"),IF(OR(Y1210="估算法",Y1210="算法类",Y1210="无法识别"),"低",IF(N1210&lt;2,IF(O1210&lt;51,"低","中"),IF(N1210&lt;6,IF(O1210&lt;20,"低",IF(O1210&lt;51,"中","高")),IF(O1210&lt;20,"中","高")))),"不计算")))</f>
        <v/>
      </c>
      <c r="Q1210" s="172">
        <f>IFERROR(IF(J1210="EI",IF(P1210="低",3,IF(P1210="中",4,6)),IF(J1210="EO",IF(P1210="低",4,IF(P1210="中",5,7)),IF(J1210="EQ",IF(P1210="低",3,IF(P1210="中",4,6)),IF(J1210="ILF",IF(P1210="低",7,IF(P1210="中",10,15)),IF(J1210="EIF",IF(P1210="低",5,IF(P1210="中",7,10)),"不计算")))))*R1210,"不计算")</f>
        <v/>
      </c>
      <c r="R1210" s="172" t="n">
        <v>0.333333333333333</v>
      </c>
      <c r="S1210" s="173">
        <f>调整因子!$F$13</f>
        <v/>
      </c>
      <c r="T1210" s="92" t="n">
        <v>1</v>
      </c>
      <c r="U1210" s="174">
        <f>IFERROR(Q1210*S1210,0)</f>
        <v/>
      </c>
      <c r="V1210" s="178">
        <f>U1210*T1210</f>
        <v/>
      </c>
      <c r="W1210" s="103" t="inlineStr">
        <is>
          <t>处置单关联表、日志采集配置表</t>
        </is>
      </c>
      <c r="X1210" s="103" t="inlineStr"/>
      <c r="Y1210" s="97" t="inlineStr">
        <is>
          <t>处置单关联表{ID、名称、类型、状态、创建时间、更新时间|ID、名称、类型}
日志采集配置表{配置ID、配置名称、配置类型、配置值、创建时间|配置ID、配置名称、配置类型}</t>
        </is>
      </c>
      <c r="Z1210" s="90" t="n"/>
      <c r="AA1210" s="90" t="n"/>
    </row>
    <row r="1211" s="112">
      <c r="A1211" s="72">
        <f>ROW()-1</f>
        <v/>
      </c>
      <c r="B1211" s="175" t="n"/>
      <c r="C1211" s="124" t="n">
        <v>2026</v>
      </c>
      <c r="E1211" s="103" t="n"/>
      <c r="F1211" s="175" t="n"/>
      <c r="G1211" s="175" t="n"/>
      <c r="H1211" s="175" t="n"/>
      <c r="I1211" s="103" t="inlineStr">
        <is>
          <t>删除串行执行</t>
        </is>
      </c>
      <c r="J1211" s="93" t="inlineStr">
        <is>
          <t>EI</t>
        </is>
      </c>
      <c r="K1211" s="102" t="n"/>
      <c r="L1211" s="102" t="n"/>
      <c r="M1211" s="85">
        <f>IF(OR(Y1211="估算法",Y1211="算法类",Y1211="无法识别"),"",IF(W1211="",IF(OR(J1211="EI",J1211="EO",J1211="EQ"),0,""),LEN(W1211)-LEN(SUBSTITUTE(W1211,"、",""))+1))</f>
        <v/>
      </c>
      <c r="N1211" s="85">
        <f>IF(OR(Y1211="估算法",Y1211="算法类",Y1211="无法识别"),"",IF(X1211="",IF(OR(J1211="ILF",J1211="EIF"),0,""),LEN(X1211)-LEN(SUBSTITUTE(X1211,"、",""))+1))</f>
        <v/>
      </c>
      <c r="O1211" s="85">
        <f>IF(OR(Y1211="估算法",Y1211="算法类",Y1211="无法识别"),"",IF(Y1211="",IF(OR(J1211="ILF",J1211="EIF",J1211="EI",J1211="EO",J1211="EQ"),0,""),LEN(Y1211)-LEN(SUBSTITUTE(SUBSTITUTE(SUBSTITUTE(SUBSTITUTE(SUBSTITUTE(Y1211,"|}","--"),"{|","--"),CHAR(10),""),"、",""),"|",""))+IF(AND(OR(J1211="EI",J1211="EO",J1211="EQ"),$AE$1="NESMA"),2,1)))</f>
        <v/>
      </c>
      <c r="P1211" s="86">
        <f>IF(J1211="EI",IF(OR(Y1211="估算法",Y1211="算法类"),"中",IF(Y1211="无法识别","低",IF(M1211&lt;2,IF(O1211&lt;16,"低","中"),IF(M1211&lt;3,IF(O1211&lt;5,"低",IF(O1211&lt;16,"中","高")),IF(O1211&lt;5,"中","高"))))),IF(OR(J1211="EO",J1211="EQ"),IF(OR(Y1211="估算法",Y1211="算法类"),"中",IF(Y1211="无法识别","低",IF(M1211&lt;2,IF(O1211&lt;20,"低","中"),IF(M1211&lt;4,IF(O1211&lt;6,"低",IF(O1211&lt;20,"中","高")),IF(O1211&lt;6,"中","高"))))),IF(OR(J1211="ILF",J1211="EIF"),IF(OR(Y1211="估算法",Y1211="算法类",Y1211="无法识别"),"低",IF(N1211&lt;2,IF(O1211&lt;51,"低","中"),IF(N1211&lt;6,IF(O1211&lt;20,"低",IF(O1211&lt;51,"中","高")),IF(O1211&lt;20,"中","高")))),"不计算")))</f>
        <v/>
      </c>
      <c r="Q1211" s="172">
        <f>IFERROR(IF(J1211="EI",IF(P1211="低",3,IF(P1211="中",4,6)),IF(J1211="EO",IF(P1211="低",4,IF(P1211="中",5,7)),IF(J1211="EQ",IF(P1211="低",3,IF(P1211="中",4,6)),IF(J1211="ILF",IF(P1211="低",7,IF(P1211="中",10,15)),IF(J1211="EIF",IF(P1211="低",5,IF(P1211="中",7,10)),"不计算")))))*R1211,"不计算")</f>
        <v/>
      </c>
      <c r="R1211" s="172" t="n">
        <v>0.333333333333333</v>
      </c>
      <c r="S1211" s="173">
        <f>调整因子!$F$13</f>
        <v/>
      </c>
      <c r="T1211" s="92" t="n">
        <v>1</v>
      </c>
      <c r="U1211" s="174">
        <f>IFERROR(Q1211*S1211,0)</f>
        <v/>
      </c>
      <c r="V1211" s="178">
        <f>U1211*T1211</f>
        <v/>
      </c>
      <c r="W1211" s="103" t="inlineStr">
        <is>
          <t>分类层级关系表、性能数据表</t>
        </is>
      </c>
      <c r="X1211" s="103" t="inlineStr"/>
      <c r="Y1211" s="97" t="inlineStr">
        <is>
          <t>分类层级关系表{ID、名称、类型、状态、创建时间、更新时间|ID、名称、类型}
性能数据表{ID、名称、类型、状态、创建时间、更新时间|ID、名称、类型}</t>
        </is>
      </c>
      <c r="Z1211" s="90" t="n"/>
      <c r="AA1211" s="90" t="n"/>
    </row>
    <row r="1212" s="112">
      <c r="A1212" s="72">
        <f>ROW()-1</f>
        <v/>
      </c>
      <c r="B1212" s="175" t="n"/>
      <c r="C1212" s="124" t="n">
        <v>2026</v>
      </c>
      <c r="E1212" s="103" t="n"/>
      <c r="F1212" s="175" t="n"/>
      <c r="G1212" s="175" t="n"/>
      <c r="H1212" s="175" t="n"/>
      <c r="I1212" s="103" t="inlineStr">
        <is>
          <t>启用串行执行</t>
        </is>
      </c>
      <c r="J1212" s="93" t="inlineStr">
        <is>
          <t>EI</t>
        </is>
      </c>
      <c r="K1212" s="102" t="n"/>
      <c r="L1212" s="102" t="n"/>
      <c r="M1212" s="85">
        <f>IF(OR(Y1212="估算法",Y1212="算法类",Y1212="无法识别"),"",IF(W1212="",IF(OR(J1212="EI",J1212="EO",J1212="EQ"),0,""),LEN(W1212)-LEN(SUBSTITUTE(W1212,"、",""))+1))</f>
        <v/>
      </c>
      <c r="N1212" s="85">
        <f>IF(OR(Y1212="估算法",Y1212="算法类",Y1212="无法识别"),"",IF(X1212="",IF(OR(J1212="ILF",J1212="EIF"),0,""),LEN(X1212)-LEN(SUBSTITUTE(X1212,"、",""))+1))</f>
        <v/>
      </c>
      <c r="O1212" s="85">
        <f>IF(OR(Y1212="估算法",Y1212="算法类",Y1212="无法识别"),"",IF(Y1212="",IF(OR(J1212="ILF",J1212="EIF",J1212="EI",J1212="EO",J1212="EQ"),0,""),LEN(Y1212)-LEN(SUBSTITUTE(SUBSTITUTE(SUBSTITUTE(SUBSTITUTE(SUBSTITUTE(Y1212,"|}","--"),"{|","--"),CHAR(10),""),"、",""),"|",""))+IF(AND(OR(J1212="EI",J1212="EO",J1212="EQ"),$AE$1="NESMA"),2,1)))</f>
        <v/>
      </c>
      <c r="P1212" s="86">
        <f>IF(J1212="EI",IF(OR(Y1212="估算法",Y1212="算法类"),"中",IF(Y1212="无法识别","低",IF(M1212&lt;2,IF(O1212&lt;16,"低","中"),IF(M1212&lt;3,IF(O1212&lt;5,"低",IF(O1212&lt;16,"中","高")),IF(O1212&lt;5,"中","高"))))),IF(OR(J1212="EO",J1212="EQ"),IF(OR(Y1212="估算法",Y1212="算法类"),"中",IF(Y1212="无法识别","低",IF(M1212&lt;2,IF(O1212&lt;20,"低","中"),IF(M1212&lt;4,IF(O1212&lt;6,"低",IF(O1212&lt;20,"中","高")),IF(O1212&lt;6,"中","高"))))),IF(OR(J1212="ILF",J1212="EIF"),IF(OR(Y1212="估算法",Y1212="算法类",Y1212="无法识别"),"低",IF(N1212&lt;2,IF(O1212&lt;51,"低","中"),IF(N1212&lt;6,IF(O1212&lt;20,"低",IF(O1212&lt;51,"中","高")),IF(O1212&lt;20,"中","高")))),"不计算")))</f>
        <v/>
      </c>
      <c r="Q1212" s="172">
        <f>IFERROR(IF(J1212="EI",IF(P1212="低",3,IF(P1212="中",4,6)),IF(J1212="EO",IF(P1212="低",4,IF(P1212="中",5,7)),IF(J1212="EQ",IF(P1212="低",3,IF(P1212="中",4,6)),IF(J1212="ILF",IF(P1212="低",7,IF(P1212="中",10,15)),IF(J1212="EIF",IF(P1212="低",5,IF(P1212="中",7,10)),"不计算")))))*R1212,"不计算")</f>
        <v/>
      </c>
      <c r="R1212" s="172" t="n">
        <v>0.333333333333333</v>
      </c>
      <c r="S1212" s="173">
        <f>调整因子!$F$13</f>
        <v/>
      </c>
      <c r="T1212" s="93" t="n">
        <v>1</v>
      </c>
      <c r="U1212" s="174">
        <f>IFERROR(Q1212*S1212,0)</f>
        <v/>
      </c>
      <c r="V1212" s="178">
        <f>U1212*T1212</f>
        <v/>
      </c>
      <c r="W1212" s="103" t="inlineStr">
        <is>
          <t>离线扫描报告表</t>
        </is>
      </c>
      <c r="X1212" s="103" t="inlineStr"/>
      <c r="Y1212" s="97" t="inlineStr">
        <is>
          <t>离线扫描报告表{任务ID、任务名称、任务状态、扫描器类型、开始时间、结束时间、扫描结果|任务ID、任务名称、任务状态}</t>
        </is>
      </c>
      <c r="Z1212" s="90" t="n"/>
      <c r="AA1212" s="90" t="n"/>
    </row>
    <row r="1213" s="112">
      <c r="A1213" s="72">
        <f>ROW()-1</f>
        <v/>
      </c>
      <c r="B1213" s="175" t="n"/>
      <c r="C1213" s="124" t="n">
        <v>2026</v>
      </c>
      <c r="E1213" s="103" t="n"/>
      <c r="F1213" s="175" t="n"/>
      <c r="G1213" s="175" t="n"/>
      <c r="H1213" s="175" t="n"/>
      <c r="I1213" s="103" t="inlineStr">
        <is>
          <t>停用串行执行</t>
        </is>
      </c>
      <c r="J1213" s="93" t="n"/>
      <c r="K1213" s="102" t="n"/>
      <c r="L1213" s="102" t="inlineStr">
        <is>
          <t>和上行合并，启停为相同功能</t>
        </is>
      </c>
      <c r="M1213" s="85">
        <f>IF(OR(Y1213="估算法",Y1213="算法类",Y1213="无法识别"),"",IF(W1213="",IF(OR(J1213="EI",J1213="EO",J1213="EQ"),0,""),LEN(W1213)-LEN(SUBSTITUTE(W1213,"、",""))+1))</f>
        <v/>
      </c>
      <c r="N1213" s="85">
        <f>IF(OR(Y1213="估算法",Y1213="算法类",Y1213="无法识别"),"",IF(X1213="",IF(OR(J1213="ILF",J1213="EIF"),0,""),LEN(X1213)-LEN(SUBSTITUTE(X1213,"、",""))+1))</f>
        <v/>
      </c>
      <c r="O1213" s="85">
        <f>IF(OR(Y1213="估算法",Y1213="算法类",Y1213="无法识别"),"",IF(Y1213="",IF(OR(J1213="ILF",J1213="EIF",J1213="EI",J1213="EO",J1213="EQ"),0,""),LEN(Y1213)-LEN(SUBSTITUTE(SUBSTITUTE(SUBSTITUTE(SUBSTITUTE(SUBSTITUTE(Y1213,"|}","--"),"{|","--"),CHAR(10),""),"、",""),"|",""))+IF(AND(OR(J1213="EI",J1213="EO",J1213="EQ"),$AE$1="NESMA"),2,1)))</f>
        <v/>
      </c>
      <c r="P1213" s="86">
        <f>IF(J1213="EI",IF(OR(Y1213="估算法",Y1213="算法类"),"中",IF(Y1213="无法识别","低",IF(M1213&lt;2,IF(O1213&lt;16,"低","中"),IF(M1213&lt;3,IF(O1213&lt;5,"低",IF(O1213&lt;16,"中","高")),IF(O1213&lt;5,"中","高"))))),IF(OR(J1213="EO",J1213="EQ"),IF(OR(Y1213="估算法",Y1213="算法类"),"中",IF(Y1213="无法识别","低",IF(M1213&lt;2,IF(O1213&lt;20,"低","中"),IF(M1213&lt;4,IF(O1213&lt;6,"低",IF(O1213&lt;20,"中","高")),IF(O1213&lt;6,"中","高"))))),IF(OR(J1213="ILF",J1213="EIF"),IF(OR(Y1213="估算法",Y1213="算法类",Y1213="无法识别"),"低",IF(N1213&lt;2,IF(O1213&lt;51,"低","中"),IF(N1213&lt;6,IF(O1213&lt;20,"低",IF(O1213&lt;51,"中","高")),IF(O1213&lt;20,"中","高")))),"不计算")))</f>
        <v/>
      </c>
      <c r="Q1213" s="172">
        <f>IFERROR(IF(J1213="EI",IF(P1213="低",3,IF(P1213="中",4,6)),IF(J1213="EO",IF(P1213="低",4,IF(P1213="中",5,7)),IF(J1213="EQ",IF(P1213="低",3,IF(P1213="中",4,6)),IF(J1213="ILF",IF(P1213="低",7,IF(P1213="中",10,15)),IF(J1213="EIF",IF(P1213="低",5,IF(P1213="中",7,10)),"不计算")))))*R1213,"不计算")</f>
        <v/>
      </c>
      <c r="R1213" s="172" t="n">
        <v>0.333333333333333</v>
      </c>
      <c r="S1213" s="173">
        <f>调整因子!$F$13</f>
        <v/>
      </c>
      <c r="T1213" s="92" t="n">
        <v>1</v>
      </c>
      <c r="U1213" s="174">
        <f>IFERROR(Q1213*S1213,0)</f>
        <v/>
      </c>
      <c r="V1213" s="178">
        <f>U1213*T1213</f>
        <v/>
      </c>
      <c r="W1213" s="103" t="inlineStr">
        <is>
          <t>复测任务表、推送日志表</t>
        </is>
      </c>
      <c r="X1213" s="103" t="inlineStr"/>
      <c r="Y1213" s="97" t="inlineStr">
        <is>
          <t>复测任务表{任务ID、任务名称、任务类型、任务状态、创建时间、执行时间|任务ID、任务名称、任务类型}
推送日志表{日志ID、操作人、操作类型、操作时间、操作内容|日志ID、操作人、操作类型}</t>
        </is>
      </c>
      <c r="Z1213" s="90" t="n"/>
      <c r="AA1213" s="90" t="n"/>
    </row>
    <row r="1214" s="112">
      <c r="A1214" s="72">
        <f>ROW()-1</f>
        <v/>
      </c>
      <c r="B1214" s="175" t="n"/>
      <c r="C1214" s="124" t="n">
        <v>2026</v>
      </c>
      <c r="E1214" s="103" t="n"/>
      <c r="F1214" s="175" t="n"/>
      <c r="G1214" s="175" t="n"/>
      <c r="H1214" s="175" t="n"/>
      <c r="I1214" s="103" t="inlineStr">
        <is>
          <t>导出串行配置</t>
        </is>
      </c>
      <c r="J1214" s="93" t="inlineStr">
        <is>
          <t>EO</t>
        </is>
      </c>
      <c r="K1214" s="102" t="n"/>
      <c r="L1214" s="102" t="n"/>
      <c r="M1214" s="85">
        <f>IF(OR(Y1214="估算法",Y1214="算法类",Y1214="无法识别"),"",IF(W1214="",IF(OR(J1214="EI",J1214="EO",J1214="EQ"),0,""),LEN(W1214)-LEN(SUBSTITUTE(W1214,"、",""))+1))</f>
        <v/>
      </c>
      <c r="N1214" s="85">
        <f>IF(OR(Y1214="估算法",Y1214="算法类",Y1214="无法识别"),"",IF(X1214="",IF(OR(J1214="ILF",J1214="EIF"),0,""),LEN(X1214)-LEN(SUBSTITUTE(X1214,"、",""))+1))</f>
        <v/>
      </c>
      <c r="O1214" s="85">
        <f>IF(OR(Y1214="估算法",Y1214="算法类",Y1214="无法识别"),"",IF(Y1214="",IF(OR(J1214="ILF",J1214="EIF",J1214="EI",J1214="EO",J1214="EQ"),0,""),LEN(Y1214)-LEN(SUBSTITUTE(SUBSTITUTE(SUBSTITUTE(SUBSTITUTE(SUBSTITUTE(Y1214,"|}","--"),"{|","--"),CHAR(10),""),"、",""),"|",""))+IF(AND(OR(J1214="EI",J1214="EO",J1214="EQ"),$AE$1="NESMA"),2,1)))</f>
        <v/>
      </c>
      <c r="P1214" s="86">
        <f>IF(J1214="EI",IF(OR(Y1214="估算法",Y1214="算法类"),"中",IF(Y1214="无法识别","低",IF(M1214&lt;2,IF(O1214&lt;16,"低","中"),IF(M1214&lt;3,IF(O1214&lt;5,"低",IF(O1214&lt;16,"中","高")),IF(O1214&lt;5,"中","高"))))),IF(OR(J1214="EO",J1214="EQ"),IF(OR(Y1214="估算法",Y1214="算法类"),"中",IF(Y1214="无法识别","低",IF(M1214&lt;2,IF(O1214&lt;20,"低","中"),IF(M1214&lt;4,IF(O1214&lt;6,"低",IF(O1214&lt;20,"中","高")),IF(O1214&lt;6,"中","高"))))),IF(OR(J1214="ILF",J1214="EIF"),IF(OR(Y1214="估算法",Y1214="算法类",Y1214="无法识别"),"低",IF(N1214&lt;2,IF(O1214&lt;51,"低","中"),IF(N1214&lt;6,IF(O1214&lt;20,"低",IF(O1214&lt;51,"中","高")),IF(O1214&lt;20,"中","高")))),"不计算")))</f>
        <v/>
      </c>
      <c r="Q1214" s="172">
        <f>IFERROR(IF(J1214="EI",IF(P1214="低",3,IF(P1214="中",4,6)),IF(J1214="EO",IF(P1214="低",4,IF(P1214="中",5,7)),IF(J1214="EQ",IF(P1214="低",3,IF(P1214="中",4,6)),IF(J1214="ILF",IF(P1214="低",7,IF(P1214="中",10,15)),IF(J1214="EIF",IF(P1214="低",5,IF(P1214="中",7,10)),"不计算")))))*R1214,"不计算")</f>
        <v/>
      </c>
      <c r="R1214" s="172" t="n">
        <v>0.333333333333333</v>
      </c>
      <c r="S1214" s="173">
        <f>调整因子!$F$13</f>
        <v/>
      </c>
      <c r="T1214" s="92" t="n">
        <v>1</v>
      </c>
      <c r="U1214" s="174">
        <f>IFERROR(Q1214*S1214,0)</f>
        <v/>
      </c>
      <c r="V1214" s="178">
        <f>U1214*T1214</f>
        <v/>
      </c>
      <c r="W1214" s="103" t="inlineStr">
        <is>
          <t>任务优先级配置表、模板参数配置表</t>
        </is>
      </c>
      <c r="X1214" s="103" t="inlineStr"/>
      <c r="Y1214" s="97" t="inlineStr">
        <is>
          <t>任务优先级配置表{任务ID、任务名称|任务ID、任务名称、任务类型、任务状态、创建时间、执行时间}
模板参数配置表{配置ID、配置名称|配置ID、配置名称、配置类型、配置值、创建时间}</t>
        </is>
      </c>
      <c r="Z1214" s="90" t="n"/>
      <c r="AA1214" s="90" t="n"/>
    </row>
    <row r="1215" s="112">
      <c r="A1215" s="72">
        <f>ROW()-1</f>
        <v/>
      </c>
      <c r="B1215" s="175" t="n"/>
      <c r="C1215" s="124" t="n">
        <v>2026</v>
      </c>
      <c r="E1215" s="103" t="n"/>
      <c r="F1215" s="175" t="n"/>
      <c r="G1215" s="175" t="n"/>
      <c r="H1215" s="175" t="n"/>
      <c r="I1215" s="103" t="inlineStr">
        <is>
          <t>查询串行任务</t>
        </is>
      </c>
      <c r="J1215" s="93" t="inlineStr">
        <is>
          <t>EQ</t>
        </is>
      </c>
      <c r="K1215" s="102" t="n"/>
      <c r="L1215" s="102" t="n"/>
      <c r="M1215" s="85">
        <f>IF(OR(Y1215="估算法",Y1215="算法类",Y1215="无法识别"),"",IF(W1215="",IF(OR(J1215="EI",J1215="EO",J1215="EQ"),0,""),LEN(W1215)-LEN(SUBSTITUTE(W1215,"、",""))+1))</f>
        <v/>
      </c>
      <c r="N1215" s="85">
        <f>IF(OR(Y1215="估算法",Y1215="算法类",Y1215="无法识别"),"",IF(X1215="",IF(OR(J1215="ILF",J1215="EIF"),0,""),LEN(X1215)-LEN(SUBSTITUTE(X1215,"、",""))+1))</f>
        <v/>
      </c>
      <c r="O1215" s="85">
        <f>IF(OR(Y1215="估算法",Y1215="算法类",Y1215="无法识别"),"",IF(Y1215="",IF(OR(J1215="ILF",J1215="EIF",J1215="EI",J1215="EO",J1215="EQ"),0,""),LEN(Y1215)-LEN(SUBSTITUTE(SUBSTITUTE(SUBSTITUTE(SUBSTITUTE(SUBSTITUTE(Y1215,"|}","--"),"{|","--"),CHAR(10),""),"、",""),"|",""))+IF(AND(OR(J1215="EI",J1215="EO",J1215="EQ"),$AE$1="NESMA"),2,1)))</f>
        <v/>
      </c>
      <c r="P1215" s="86">
        <f>IF(J1215="EI",IF(OR(Y1215="估算法",Y1215="算法类"),"中",IF(Y1215="无法识别","低",IF(M1215&lt;2,IF(O1215&lt;16,"低","中"),IF(M1215&lt;3,IF(O1215&lt;5,"低",IF(O1215&lt;16,"中","高")),IF(O1215&lt;5,"中","高"))))),IF(OR(J1215="EO",J1215="EQ"),IF(OR(Y1215="估算法",Y1215="算法类"),"中",IF(Y1215="无法识别","低",IF(M1215&lt;2,IF(O1215&lt;20,"低","中"),IF(M1215&lt;4,IF(O1215&lt;6,"低",IF(O1215&lt;20,"中","高")),IF(O1215&lt;6,"中","高"))))),IF(OR(J1215="ILF",J1215="EIF"),IF(OR(Y1215="估算法",Y1215="算法类",Y1215="无法识别"),"低",IF(N1215&lt;2,IF(O1215&lt;51,"低","中"),IF(N1215&lt;6,IF(O1215&lt;20,"低",IF(O1215&lt;51,"中","高")),IF(O1215&lt;20,"中","高")))),"不计算")))</f>
        <v/>
      </c>
      <c r="Q1215" s="172">
        <f>IFERROR(IF(J1215="EI",IF(P1215="低",3,IF(P1215="中",4,6)),IF(J1215="EO",IF(P1215="低",4,IF(P1215="中",5,7)),IF(J1215="EQ",IF(P1215="低",3,IF(P1215="中",4,6)),IF(J1215="ILF",IF(P1215="低",7,IF(P1215="中",10,15)),IF(J1215="EIF",IF(P1215="低",5,IF(P1215="中",7,10)),"不计算")))))*R1215,"不计算")</f>
        <v/>
      </c>
      <c r="R1215" s="172" t="n">
        <v>0.333333333333333</v>
      </c>
      <c r="S1215" s="173">
        <f>调整因子!$F$13</f>
        <v/>
      </c>
      <c r="T1215" s="93" t="n">
        <v>1</v>
      </c>
      <c r="U1215" s="174">
        <f>IFERROR(Q1215*S1215,0)</f>
        <v/>
      </c>
      <c r="V1215" s="178">
        <f>U1215*T1215</f>
        <v/>
      </c>
      <c r="W1215" s="103" t="inlineStr">
        <is>
          <t>数据清洗任务表、资产同步任务表</t>
        </is>
      </c>
      <c r="X1215" s="103" t="inlineStr"/>
      <c r="Y1215" s="97" t="inlineStr">
        <is>
          <t>数据清洗任务表{任务ID、任务名称|任务ID、任务名称、任务类型、任务状态、创建时间、执行时间}
资产同步任务表{资产ID、资产名称|资产ID、资产名称、IP地址、资产类型、资产状态、创建时间、更新时间}</t>
        </is>
      </c>
      <c r="Z1215" s="90" t="n"/>
      <c r="AA1215" s="90" t="n"/>
    </row>
    <row r="1216" s="112">
      <c r="A1216" s="72">
        <f>ROW()-1</f>
        <v/>
      </c>
      <c r="B1216" s="175" t="n"/>
      <c r="C1216" s="124" t="n">
        <v>2026</v>
      </c>
      <c r="E1216" s="103" t="n"/>
      <c r="F1216" s="175" t="n"/>
      <c r="G1216" s="175" t="n"/>
      <c r="H1216" s="176" t="n"/>
      <c r="I1216" s="103" t="inlineStr">
        <is>
          <t>查看串行详情</t>
        </is>
      </c>
      <c r="J1216" s="93" t="inlineStr">
        <is>
          <t>EQ</t>
        </is>
      </c>
      <c r="K1216" s="102" t="n"/>
      <c r="L1216" s="102" t="n"/>
      <c r="M1216" s="85">
        <f>IF(OR(Y1216="估算法",Y1216="算法类",Y1216="无法识别"),"",IF(W1216="",IF(OR(J1216="EI",J1216="EO",J1216="EQ"),0,""),LEN(W1216)-LEN(SUBSTITUTE(W1216,"、",""))+1))</f>
        <v/>
      </c>
      <c r="N1216" s="85">
        <f>IF(OR(Y1216="估算法",Y1216="算法类",Y1216="无法识别"),"",IF(X1216="",IF(OR(J1216="ILF",J1216="EIF"),0,""),LEN(X1216)-LEN(SUBSTITUTE(X1216,"、",""))+1))</f>
        <v/>
      </c>
      <c r="O1216" s="85">
        <f>IF(OR(Y1216="估算法",Y1216="算法类",Y1216="无法识别"),"",IF(Y1216="",IF(OR(J1216="ILF",J1216="EIF",J1216="EI",J1216="EO",J1216="EQ"),0,""),LEN(Y1216)-LEN(SUBSTITUTE(SUBSTITUTE(SUBSTITUTE(SUBSTITUTE(SUBSTITUTE(Y1216,"|}","--"),"{|","--"),CHAR(10),""),"、",""),"|",""))+IF(AND(OR(J1216="EI",J1216="EO",J1216="EQ"),$AE$1="NESMA"),2,1)))</f>
        <v/>
      </c>
      <c r="P1216" s="86">
        <f>IF(J1216="EI",IF(OR(Y1216="估算法",Y1216="算法类"),"中",IF(Y1216="无法识别","低",IF(M1216&lt;2,IF(O1216&lt;16,"低","中"),IF(M1216&lt;3,IF(O1216&lt;5,"低",IF(O1216&lt;16,"中","高")),IF(O1216&lt;5,"中","高"))))),IF(OR(J1216="EO",J1216="EQ"),IF(OR(Y1216="估算法",Y1216="算法类"),"中",IF(Y1216="无法识别","低",IF(M1216&lt;2,IF(O1216&lt;20,"低","中"),IF(M1216&lt;4,IF(O1216&lt;6,"低",IF(O1216&lt;20,"中","高")),IF(O1216&lt;6,"中","高"))))),IF(OR(J1216="ILF",J1216="EIF"),IF(OR(Y1216="估算法",Y1216="算法类",Y1216="无法识别"),"低",IF(N1216&lt;2,IF(O1216&lt;51,"低","中"),IF(N1216&lt;6,IF(O1216&lt;20,"低",IF(O1216&lt;51,"中","高")),IF(O1216&lt;20,"中","高")))),"不计算")))</f>
        <v/>
      </c>
      <c r="Q1216" s="172">
        <f>IFERROR(IF(J1216="EI",IF(P1216="低",3,IF(P1216="中",4,6)),IF(J1216="EO",IF(P1216="低",4,IF(P1216="中",5,7)),IF(J1216="EQ",IF(P1216="低",3,IF(P1216="中",4,6)),IF(J1216="ILF",IF(P1216="低",7,IF(P1216="中",10,15)),IF(J1216="EIF",IF(P1216="低",5,IF(P1216="中",7,10)),"不计算")))))*R1216,"不计算")</f>
        <v/>
      </c>
      <c r="R1216" s="172" t="n">
        <v>0.333333333333333</v>
      </c>
      <c r="S1216" s="173">
        <f>调整因子!$F$13</f>
        <v/>
      </c>
      <c r="T1216" s="93" t="n">
        <v>1</v>
      </c>
      <c r="U1216" s="174">
        <f>IFERROR(Q1216*S1216,0)</f>
        <v/>
      </c>
      <c r="V1216" s="178">
        <f>U1216*T1216</f>
        <v/>
      </c>
      <c r="W1216" s="103" t="inlineStr">
        <is>
          <t>数据清洗任务表</t>
        </is>
      </c>
      <c r="X1216" s="103" t="inlineStr"/>
      <c r="Y1216" s="97" t="inlineStr">
        <is>
          <t>数据清洗任务表{任务ID、任务名称|任务ID、任务名称、任务类型、任务状态、创建时间、执行时间}</t>
        </is>
      </c>
      <c r="Z1216" s="90" t="n"/>
      <c r="AA1216" s="90" t="n"/>
    </row>
    <row r="1217" s="112">
      <c r="A1217" s="72">
        <f>ROW()-1</f>
        <v/>
      </c>
      <c r="B1217" s="175" t="n"/>
      <c r="C1217" s="124" t="n">
        <v>2026</v>
      </c>
      <c r="E1217" s="103" t="n"/>
      <c r="F1217" s="175" t="n"/>
      <c r="G1217" s="175" t="n"/>
      <c r="H1217" s="97" t="inlineStr">
        <is>
          <t>条件分支管理</t>
        </is>
      </c>
      <c r="I1217" s="103" t="inlineStr">
        <is>
          <t>编辑条件分支</t>
        </is>
      </c>
      <c r="J1217" s="93" t="inlineStr">
        <is>
          <t>EI</t>
        </is>
      </c>
      <c r="K1217" s="102" t="n"/>
      <c r="L1217" s="102" t="n"/>
      <c r="M1217" s="85">
        <f>IF(OR(Y1217="估算法",Y1217="算法类",Y1217="无法识别"),"",IF(W1217="",IF(OR(J1217="EI",J1217="EO",J1217="EQ"),0,""),LEN(W1217)-LEN(SUBSTITUTE(W1217,"、",""))+1))</f>
        <v/>
      </c>
      <c r="N1217" s="85">
        <f>IF(OR(Y1217="估算法",Y1217="算法类",Y1217="无法识别"),"",IF(X1217="",IF(OR(J1217="ILF",J1217="EIF"),0,""),LEN(X1217)-LEN(SUBSTITUTE(X1217,"、",""))+1))</f>
        <v/>
      </c>
      <c r="O1217" s="85">
        <f>IF(OR(Y1217="估算法",Y1217="算法类",Y1217="无法识别"),"",IF(Y1217="",IF(OR(J1217="ILF",J1217="EIF",J1217="EI",J1217="EO",J1217="EQ"),0,""),LEN(Y1217)-LEN(SUBSTITUTE(SUBSTITUTE(SUBSTITUTE(SUBSTITUTE(SUBSTITUTE(Y1217,"|}","--"),"{|","--"),CHAR(10),""),"、",""),"|",""))+IF(AND(OR(J1217="EI",J1217="EO",J1217="EQ"),$AE$1="NESMA"),2,1)))</f>
        <v/>
      </c>
      <c r="P1217" s="86">
        <f>IF(J1217="EI",IF(OR(Y1217="估算法",Y1217="算法类"),"中",IF(Y1217="无法识别","低",IF(M1217&lt;2,IF(O1217&lt;16,"低","中"),IF(M1217&lt;3,IF(O1217&lt;5,"低",IF(O1217&lt;16,"中","高")),IF(O1217&lt;5,"中","高"))))),IF(OR(J1217="EO",J1217="EQ"),IF(OR(Y1217="估算法",Y1217="算法类"),"中",IF(Y1217="无法识别","低",IF(M1217&lt;2,IF(O1217&lt;20,"低","中"),IF(M1217&lt;4,IF(O1217&lt;6,"低",IF(O1217&lt;20,"中","高")),IF(O1217&lt;6,"中","高"))))),IF(OR(J1217="ILF",J1217="EIF"),IF(OR(Y1217="估算法",Y1217="算法类",Y1217="无法识别"),"低",IF(N1217&lt;2,IF(O1217&lt;51,"低","中"),IF(N1217&lt;6,IF(O1217&lt;20,"低",IF(O1217&lt;51,"中","高")),IF(O1217&lt;20,"中","高")))),"不计算")))</f>
        <v/>
      </c>
      <c r="Q1217" s="172">
        <f>IFERROR(IF(J1217="EI",IF(P1217="低",3,IF(P1217="中",4,6)),IF(J1217="EO",IF(P1217="低",4,IF(P1217="中",5,7)),IF(J1217="EQ",IF(P1217="低",3,IF(P1217="中",4,6)),IF(J1217="ILF",IF(P1217="低",7,IF(P1217="中",10,15)),IF(J1217="EIF",IF(P1217="低",5,IF(P1217="中",7,10)),"不计算")))))*R1217,"不计算")</f>
        <v/>
      </c>
      <c r="R1217" s="172" t="n">
        <v>0.333333333333333</v>
      </c>
      <c r="S1217" s="173">
        <f>调整因子!$F$13</f>
        <v/>
      </c>
      <c r="T1217" s="92" t="n">
        <v>1</v>
      </c>
      <c r="U1217" s="174">
        <f>IFERROR(Q1217*S1217,0)</f>
        <v/>
      </c>
      <c r="V1217" s="178">
        <f>U1217*T1217</f>
        <v/>
      </c>
      <c r="W1217" s="103" t="inlineStr">
        <is>
          <t>修复步骤表</t>
        </is>
      </c>
      <c r="X1217" s="103" t="inlineStr"/>
      <c r="Y1217" s="97" t="inlineStr">
        <is>
          <t>修复步骤表{ID、名称、类型、状态、创建时间、更新时间|ID、名称、类型}</t>
        </is>
      </c>
      <c r="Z1217" s="90" t="n"/>
      <c r="AA1217" s="90" t="n"/>
    </row>
    <row r="1218" s="112">
      <c r="A1218" s="72">
        <f>ROW()-1</f>
        <v/>
      </c>
      <c r="B1218" s="175" t="n"/>
      <c r="C1218" s="124" t="n">
        <v>2026</v>
      </c>
      <c r="E1218" s="103" t="n"/>
      <c r="F1218" s="175" t="n"/>
      <c r="G1218" s="175" t="n"/>
      <c r="H1218" s="175" t="n"/>
      <c r="I1218" s="103" t="inlineStr">
        <is>
          <t>删除条件分支</t>
        </is>
      </c>
      <c r="J1218" s="93" t="inlineStr">
        <is>
          <t>EI</t>
        </is>
      </c>
      <c r="K1218" s="102" t="n"/>
      <c r="L1218" s="102" t="n"/>
      <c r="M1218" s="85">
        <f>IF(OR(Y1218="估算法",Y1218="算法类",Y1218="无法识别"),"",IF(W1218="",IF(OR(J1218="EI",J1218="EO",J1218="EQ"),0,""),LEN(W1218)-LEN(SUBSTITUTE(W1218,"、",""))+1))</f>
        <v/>
      </c>
      <c r="N1218" s="85">
        <f>IF(OR(Y1218="估算法",Y1218="算法类",Y1218="无法识别"),"",IF(X1218="",IF(OR(J1218="ILF",J1218="EIF"),0,""),LEN(X1218)-LEN(SUBSTITUTE(X1218,"、",""))+1))</f>
        <v/>
      </c>
      <c r="O1218" s="85">
        <f>IF(OR(Y1218="估算法",Y1218="算法类",Y1218="无法识别"),"",IF(Y1218="",IF(OR(J1218="ILF",J1218="EIF",J1218="EI",J1218="EO",J1218="EQ"),0,""),LEN(Y1218)-LEN(SUBSTITUTE(SUBSTITUTE(SUBSTITUTE(SUBSTITUTE(SUBSTITUTE(Y1218,"|}","--"),"{|","--"),CHAR(10),""),"、",""),"|",""))+IF(AND(OR(J1218="EI",J1218="EO",J1218="EQ"),$AE$1="NESMA"),2,1)))</f>
        <v/>
      </c>
      <c r="P1218" s="86">
        <f>IF(J1218="EI",IF(OR(Y1218="估算法",Y1218="算法类"),"中",IF(Y1218="无法识别","低",IF(M1218&lt;2,IF(O1218&lt;16,"低","中"),IF(M1218&lt;3,IF(O1218&lt;5,"低",IF(O1218&lt;16,"中","高")),IF(O1218&lt;5,"中","高"))))),IF(OR(J1218="EO",J1218="EQ"),IF(OR(Y1218="估算法",Y1218="算法类"),"中",IF(Y1218="无法识别","低",IF(M1218&lt;2,IF(O1218&lt;20,"低","中"),IF(M1218&lt;4,IF(O1218&lt;6,"低",IF(O1218&lt;20,"中","高")),IF(O1218&lt;6,"中","高"))))),IF(OR(J1218="ILF",J1218="EIF"),IF(OR(Y1218="估算法",Y1218="算法类",Y1218="无法识别"),"低",IF(N1218&lt;2,IF(O1218&lt;51,"低","中"),IF(N1218&lt;6,IF(O1218&lt;20,"低",IF(O1218&lt;51,"中","高")),IF(O1218&lt;20,"中","高")))),"不计算")))</f>
        <v/>
      </c>
      <c r="Q1218" s="172">
        <f>IFERROR(IF(J1218="EI",IF(P1218="低",3,IF(P1218="中",4,6)),IF(J1218="EO",IF(P1218="低",4,IF(P1218="中",5,7)),IF(J1218="EQ",IF(P1218="低",3,IF(P1218="中",4,6)),IF(J1218="ILF",IF(P1218="低",7,IF(P1218="中",10,15)),IF(J1218="EIF",IF(P1218="低",5,IF(P1218="中",7,10)),"不计算")))))*R1218,"不计算")</f>
        <v/>
      </c>
      <c r="R1218" s="172" t="n">
        <v>0.333333333333333</v>
      </c>
      <c r="S1218" s="173">
        <f>调整因子!$F$13</f>
        <v/>
      </c>
      <c r="T1218" s="92" t="n">
        <v>1</v>
      </c>
      <c r="U1218" s="174">
        <f>IFERROR(Q1218*S1218,0)</f>
        <v/>
      </c>
      <c r="V1218" s="178">
        <f>U1218*T1218</f>
        <v/>
      </c>
      <c r="W1218" s="103" t="inlineStr">
        <is>
          <t>漏洞查询接口配置表、标签定义表</t>
        </is>
      </c>
      <c r="X1218" s="103" t="inlineStr"/>
      <c r="Y1218" s="97" t="inlineStr">
        <is>
          <t>漏洞查询接口配置表{漏洞ID、漏洞名称、漏洞等级、漏洞类型、CVE编号、发现时间、修复状态|漏洞ID、漏洞名称、漏洞等级}
标签定义表{ID、名称、类型、状态、创建时间、更新时间|ID、名称、类型}</t>
        </is>
      </c>
      <c r="Z1218" s="90" t="n"/>
      <c r="AA1218" s="90" t="n"/>
    </row>
    <row r="1219" s="112">
      <c r="A1219" s="72">
        <f>ROW()-1</f>
        <v/>
      </c>
      <c r="B1219" s="175" t="n"/>
      <c r="C1219" s="124" t="n">
        <v>2026</v>
      </c>
      <c r="E1219" s="103" t="n"/>
      <c r="F1219" s="175" t="n"/>
      <c r="G1219" s="175" t="n"/>
      <c r="H1219" s="175" t="n"/>
      <c r="I1219" s="103" t="inlineStr">
        <is>
          <t>启用条件分支</t>
        </is>
      </c>
      <c r="J1219" s="93" t="inlineStr">
        <is>
          <t>EI</t>
        </is>
      </c>
      <c r="K1219" s="102" t="n"/>
      <c r="L1219" s="102" t="n"/>
      <c r="M1219" s="85">
        <f>IF(OR(Y1219="估算法",Y1219="算法类",Y1219="无法识别"),"",IF(W1219="",IF(OR(J1219="EI",J1219="EO",J1219="EQ"),0,""),LEN(W1219)-LEN(SUBSTITUTE(W1219,"、",""))+1))</f>
        <v/>
      </c>
      <c r="N1219" s="85">
        <f>IF(OR(Y1219="估算法",Y1219="算法类",Y1219="无法识别"),"",IF(X1219="",IF(OR(J1219="ILF",J1219="EIF"),0,""),LEN(X1219)-LEN(SUBSTITUTE(X1219,"、",""))+1))</f>
        <v/>
      </c>
      <c r="O1219" s="85">
        <f>IF(OR(Y1219="估算法",Y1219="算法类",Y1219="无法识别"),"",IF(Y1219="",IF(OR(J1219="ILF",J1219="EIF",J1219="EI",J1219="EO",J1219="EQ"),0,""),LEN(Y1219)-LEN(SUBSTITUTE(SUBSTITUTE(SUBSTITUTE(SUBSTITUTE(SUBSTITUTE(Y1219,"|}","--"),"{|","--"),CHAR(10),""),"、",""),"|",""))+IF(AND(OR(J1219="EI",J1219="EO",J1219="EQ"),$AE$1="NESMA"),2,1)))</f>
        <v/>
      </c>
      <c r="P1219" s="86">
        <f>IF(J1219="EI",IF(OR(Y1219="估算法",Y1219="算法类"),"中",IF(Y1219="无法识别","低",IF(M1219&lt;2,IF(O1219&lt;16,"低","中"),IF(M1219&lt;3,IF(O1219&lt;5,"低",IF(O1219&lt;16,"中","高")),IF(O1219&lt;5,"中","高"))))),IF(OR(J1219="EO",J1219="EQ"),IF(OR(Y1219="估算法",Y1219="算法类"),"中",IF(Y1219="无法识别","低",IF(M1219&lt;2,IF(O1219&lt;20,"低","中"),IF(M1219&lt;4,IF(O1219&lt;6,"低",IF(O1219&lt;20,"中","高")),IF(O1219&lt;6,"中","高"))))),IF(OR(J1219="ILF",J1219="EIF"),IF(OR(Y1219="估算法",Y1219="算法类",Y1219="无法识别"),"低",IF(N1219&lt;2,IF(O1219&lt;51,"低","中"),IF(N1219&lt;6,IF(O1219&lt;20,"低",IF(O1219&lt;51,"中","高")),IF(O1219&lt;20,"中","高")))),"不计算")))</f>
        <v/>
      </c>
      <c r="Q1219" s="172">
        <f>IFERROR(IF(J1219="EI",IF(P1219="低",3,IF(P1219="中",4,6)),IF(J1219="EO",IF(P1219="低",4,IF(P1219="中",5,7)),IF(J1219="EQ",IF(P1219="低",3,IF(P1219="中",4,6)),IF(J1219="ILF",IF(P1219="低",7,IF(P1219="中",10,15)),IF(J1219="EIF",IF(P1219="低",5,IF(P1219="中",7,10)),"不计算")))))*R1219,"不计算")</f>
        <v/>
      </c>
      <c r="R1219" s="172" t="n">
        <v>0.333333333333333</v>
      </c>
      <c r="S1219" s="173">
        <f>调整因子!$F$13</f>
        <v/>
      </c>
      <c r="T1219" s="93" t="n">
        <v>1</v>
      </c>
      <c r="U1219" s="174">
        <f>IFERROR(Q1219*S1219,0)</f>
        <v/>
      </c>
      <c r="V1219" s="178">
        <f>U1219*T1219</f>
        <v/>
      </c>
      <c r="W1219" s="103" t="inlineStr">
        <is>
          <t>任务优先级配置表</t>
        </is>
      </c>
      <c r="X1219" s="103" t="inlineStr"/>
      <c r="Y1219" s="97" t="inlineStr">
        <is>
          <t>任务优先级配置表{任务ID、任务名称、任务类型、任务状态、创建时间、执行时间|任务ID、任务名称、任务类型}</t>
        </is>
      </c>
      <c r="Z1219" s="90" t="n"/>
      <c r="AA1219" s="90" t="n"/>
    </row>
    <row r="1220" s="112">
      <c r="A1220" s="72">
        <f>ROW()-1</f>
        <v/>
      </c>
      <c r="B1220" s="175" t="n"/>
      <c r="C1220" s="124" t="n">
        <v>2026</v>
      </c>
      <c r="E1220" s="103" t="n"/>
      <c r="F1220" s="175" t="n"/>
      <c r="G1220" s="175" t="n"/>
      <c r="H1220" s="175" t="n"/>
      <c r="I1220" s="103" t="inlineStr">
        <is>
          <t>停用条件分支</t>
        </is>
      </c>
      <c r="J1220" s="93" t="n"/>
      <c r="K1220" s="102" t="n"/>
      <c r="L1220" s="102" t="inlineStr">
        <is>
          <t>和上行合并，启停为相同功能</t>
        </is>
      </c>
      <c r="M1220" s="85">
        <f>IF(OR(Y1220="估算法",Y1220="算法类",Y1220="无法识别"),"",IF(W1220="",IF(OR(J1220="EI",J1220="EO",J1220="EQ"),0,""),LEN(W1220)-LEN(SUBSTITUTE(W1220,"、",""))+1))</f>
        <v/>
      </c>
      <c r="N1220" s="85">
        <f>IF(OR(Y1220="估算法",Y1220="算法类",Y1220="无法识别"),"",IF(X1220="",IF(OR(J1220="ILF",J1220="EIF"),0,""),LEN(X1220)-LEN(SUBSTITUTE(X1220,"、",""))+1))</f>
        <v/>
      </c>
      <c r="O1220" s="85">
        <f>IF(OR(Y1220="估算法",Y1220="算法类",Y1220="无法识别"),"",IF(Y1220="",IF(OR(J1220="ILF",J1220="EIF",J1220="EI",J1220="EO",J1220="EQ"),0,""),LEN(Y1220)-LEN(SUBSTITUTE(SUBSTITUTE(SUBSTITUTE(SUBSTITUTE(SUBSTITUTE(Y1220,"|}","--"),"{|","--"),CHAR(10),""),"、",""),"|",""))+IF(AND(OR(J1220="EI",J1220="EO",J1220="EQ"),$AE$1="NESMA"),2,1)))</f>
        <v/>
      </c>
      <c r="P1220" s="86">
        <f>IF(J1220="EI",IF(OR(Y1220="估算法",Y1220="算法类"),"中",IF(Y1220="无法识别","低",IF(M1220&lt;2,IF(O1220&lt;16,"低","中"),IF(M1220&lt;3,IF(O1220&lt;5,"低",IF(O1220&lt;16,"中","高")),IF(O1220&lt;5,"中","高"))))),IF(OR(J1220="EO",J1220="EQ"),IF(OR(Y1220="估算法",Y1220="算法类"),"中",IF(Y1220="无法识别","低",IF(M1220&lt;2,IF(O1220&lt;20,"低","中"),IF(M1220&lt;4,IF(O1220&lt;6,"低",IF(O1220&lt;20,"中","高")),IF(O1220&lt;6,"中","高"))))),IF(OR(J1220="ILF",J1220="EIF"),IF(OR(Y1220="估算法",Y1220="算法类",Y1220="无法识别"),"低",IF(N1220&lt;2,IF(O1220&lt;51,"低","中"),IF(N1220&lt;6,IF(O1220&lt;20,"低",IF(O1220&lt;51,"中","高")),IF(O1220&lt;20,"中","高")))),"不计算")))</f>
        <v/>
      </c>
      <c r="Q1220" s="172">
        <f>IFERROR(IF(J1220="EI",IF(P1220="低",3,IF(P1220="中",4,6)),IF(J1220="EO",IF(P1220="低",4,IF(P1220="中",5,7)),IF(J1220="EQ",IF(P1220="低",3,IF(P1220="中",4,6)),IF(J1220="ILF",IF(P1220="低",7,IF(P1220="中",10,15)),IF(J1220="EIF",IF(P1220="低",5,IF(P1220="中",7,10)),"不计算")))))*R1220,"不计算")</f>
        <v/>
      </c>
      <c r="R1220" s="172" t="n">
        <v>0.333333333333333</v>
      </c>
      <c r="S1220" s="173">
        <f>调整因子!$F$13</f>
        <v/>
      </c>
      <c r="T1220" s="92" t="n">
        <v>1</v>
      </c>
      <c r="U1220" s="174">
        <f>IFERROR(Q1220*S1220,0)</f>
        <v/>
      </c>
      <c r="V1220" s="178">
        <f>U1220*T1220</f>
        <v/>
      </c>
      <c r="W1220" s="103" t="inlineStr">
        <is>
          <t>漏洞查询接口配置表</t>
        </is>
      </c>
      <c r="X1220" s="103" t="inlineStr"/>
      <c r="Y1220" s="97" t="inlineStr">
        <is>
          <t>漏洞查询接口配置表{漏洞ID、漏洞名称、漏洞等级、漏洞类型、CVE编号、发现时间、修复状态|漏洞ID、漏洞名称、漏洞等级}</t>
        </is>
      </c>
      <c r="Z1220" s="90" t="n"/>
      <c r="AA1220" s="90" t="n"/>
    </row>
    <row r="1221" s="112">
      <c r="A1221" s="72">
        <f>ROW()-1</f>
        <v/>
      </c>
      <c r="B1221" s="175" t="n"/>
      <c r="C1221" s="124" t="n">
        <v>2026</v>
      </c>
      <c r="E1221" s="103" t="n"/>
      <c r="F1221" s="175" t="n"/>
      <c r="G1221" s="175" t="n"/>
      <c r="H1221" s="175" t="n"/>
      <c r="I1221" s="103" t="inlineStr">
        <is>
          <t>导出分支配置</t>
        </is>
      </c>
      <c r="J1221" s="93" t="inlineStr">
        <is>
          <t>EO</t>
        </is>
      </c>
      <c r="K1221" s="102" t="n"/>
      <c r="L1221" s="102" t="n"/>
      <c r="M1221" s="85">
        <f>IF(OR(Y1221="估算法",Y1221="算法类",Y1221="无法识别"),"",IF(W1221="",IF(OR(J1221="EI",J1221="EO",J1221="EQ"),0,""),LEN(W1221)-LEN(SUBSTITUTE(W1221,"、",""))+1))</f>
        <v/>
      </c>
      <c r="N1221" s="85">
        <f>IF(OR(Y1221="估算法",Y1221="算法类",Y1221="无法识别"),"",IF(X1221="",IF(OR(J1221="ILF",J1221="EIF"),0,""),LEN(X1221)-LEN(SUBSTITUTE(X1221,"、",""))+1))</f>
        <v/>
      </c>
      <c r="O1221" s="85">
        <f>IF(OR(Y1221="估算法",Y1221="算法类",Y1221="无法识别"),"",IF(Y1221="",IF(OR(J1221="ILF",J1221="EIF",J1221="EI",J1221="EO",J1221="EQ"),0,""),LEN(Y1221)-LEN(SUBSTITUTE(SUBSTITUTE(SUBSTITUTE(SUBSTITUTE(SUBSTITUTE(Y1221,"|}","--"),"{|","--"),CHAR(10),""),"、",""),"|",""))+IF(AND(OR(J1221="EI",J1221="EO",J1221="EQ"),$AE$1="NESMA"),2,1)))</f>
        <v/>
      </c>
      <c r="P1221" s="86">
        <f>IF(J1221="EI",IF(OR(Y1221="估算法",Y1221="算法类"),"中",IF(Y1221="无法识别","低",IF(M1221&lt;2,IF(O1221&lt;16,"低","中"),IF(M1221&lt;3,IF(O1221&lt;5,"低",IF(O1221&lt;16,"中","高")),IF(O1221&lt;5,"中","高"))))),IF(OR(J1221="EO",J1221="EQ"),IF(OR(Y1221="估算法",Y1221="算法类"),"中",IF(Y1221="无法识别","低",IF(M1221&lt;2,IF(O1221&lt;20,"低","中"),IF(M1221&lt;4,IF(O1221&lt;6,"低",IF(O1221&lt;20,"中","高")),IF(O1221&lt;6,"中","高"))))),IF(OR(J1221="ILF",J1221="EIF"),IF(OR(Y1221="估算法",Y1221="算法类",Y1221="无法识别"),"低",IF(N1221&lt;2,IF(O1221&lt;51,"低","中"),IF(N1221&lt;6,IF(O1221&lt;20,"低",IF(O1221&lt;51,"中","高")),IF(O1221&lt;20,"中","高")))),"不计算")))</f>
        <v/>
      </c>
      <c r="Q1221" s="172">
        <f>IFERROR(IF(J1221="EI",IF(P1221="低",3,IF(P1221="中",4,6)),IF(J1221="EO",IF(P1221="低",4,IF(P1221="中",5,7)),IF(J1221="EQ",IF(P1221="低",3,IF(P1221="中",4,6)),IF(J1221="ILF",IF(P1221="低",7,IF(P1221="中",10,15)),IF(J1221="EIF",IF(P1221="低",5,IF(P1221="中",7,10)),"不计算")))))*R1221,"不计算")</f>
        <v/>
      </c>
      <c r="R1221" s="172" t="n">
        <v>0.333333333333333</v>
      </c>
      <c r="S1221" s="173">
        <f>调整因子!$F$13</f>
        <v/>
      </c>
      <c r="T1221" s="92" t="n">
        <v>1</v>
      </c>
      <c r="U1221" s="174">
        <f>IFERROR(Q1221*S1221,0)</f>
        <v/>
      </c>
      <c r="V1221" s="178">
        <f>U1221*T1221</f>
        <v/>
      </c>
      <c r="W1221" s="103" t="inlineStr">
        <is>
          <t>任务优先级配置表</t>
        </is>
      </c>
      <c r="X1221" s="103" t="inlineStr"/>
      <c r="Y1221" s="97" t="inlineStr">
        <is>
          <t>任务优先级配置表{任务ID、任务名称|任务ID、任务名称、任务类型、任务状态、创建时间、执行时间}</t>
        </is>
      </c>
      <c r="Z1221" s="90" t="n"/>
      <c r="AA1221" s="90" t="n"/>
    </row>
    <row r="1222" s="112">
      <c r="A1222" s="72">
        <f>ROW()-1</f>
        <v/>
      </c>
      <c r="B1222" s="175" t="n"/>
      <c r="C1222" s="124" t="n">
        <v>2026</v>
      </c>
      <c r="E1222" s="103" t="n"/>
      <c r="F1222" s="175" t="n"/>
      <c r="G1222" s="175" t="n"/>
      <c r="H1222" s="175" t="n"/>
      <c r="I1222" s="103" t="inlineStr">
        <is>
          <t>查询分支规则</t>
        </is>
      </c>
      <c r="J1222" s="93" t="inlineStr">
        <is>
          <t>EO</t>
        </is>
      </c>
      <c r="K1222" s="102" t="n"/>
      <c r="L1222" s="102" t="n"/>
      <c r="M1222" s="85">
        <f>IF(OR(Y1222="估算法",Y1222="算法类",Y1222="无法识别"),"",IF(W1222="",IF(OR(J1222="EI",J1222="EO",J1222="EQ"),0,""),LEN(W1222)-LEN(SUBSTITUTE(W1222,"、",""))+1))</f>
        <v/>
      </c>
      <c r="N1222" s="85">
        <f>IF(OR(Y1222="估算法",Y1222="算法类",Y1222="无法识别"),"",IF(X1222="",IF(OR(J1222="ILF",J1222="EIF"),0,""),LEN(X1222)-LEN(SUBSTITUTE(X1222,"、",""))+1))</f>
        <v/>
      </c>
      <c r="O1222" s="85">
        <f>IF(OR(Y1222="估算法",Y1222="算法类",Y1222="无法识别"),"",IF(Y1222="",IF(OR(J1222="ILF",J1222="EIF",J1222="EI",J1222="EO",J1222="EQ"),0,""),LEN(Y1222)-LEN(SUBSTITUTE(SUBSTITUTE(SUBSTITUTE(SUBSTITUTE(SUBSTITUTE(Y1222,"|}","--"),"{|","--"),CHAR(10),""),"、",""),"|",""))+IF(AND(OR(J1222="EI",J1222="EO",J1222="EQ"),$AE$1="NESMA"),2,1)))</f>
        <v/>
      </c>
      <c r="P1222" s="86">
        <f>IF(J1222="EI",IF(OR(Y1222="估算法",Y1222="算法类"),"中",IF(Y1222="无法识别","低",IF(M1222&lt;2,IF(O1222&lt;16,"低","中"),IF(M1222&lt;3,IF(O1222&lt;5,"低",IF(O1222&lt;16,"中","高")),IF(O1222&lt;5,"中","高"))))),IF(OR(J1222="EO",J1222="EQ"),IF(OR(Y1222="估算法",Y1222="算法类"),"中",IF(Y1222="无法识别","低",IF(M1222&lt;2,IF(O1222&lt;20,"低","中"),IF(M1222&lt;4,IF(O1222&lt;6,"低",IF(O1222&lt;20,"中","高")),IF(O1222&lt;6,"中","高"))))),IF(OR(J1222="ILF",J1222="EIF"),IF(OR(Y1222="估算法",Y1222="算法类",Y1222="无法识别"),"低",IF(N1222&lt;2,IF(O1222&lt;51,"低","中"),IF(N1222&lt;6,IF(O1222&lt;20,"低",IF(O1222&lt;51,"中","高")),IF(O1222&lt;20,"中","高")))),"不计算")))</f>
        <v/>
      </c>
      <c r="Q1222" s="172">
        <f>IFERROR(IF(J1222="EI",IF(P1222="低",3,IF(P1222="中",4,6)),IF(J1222="EO",IF(P1222="低",4,IF(P1222="中",5,7)),IF(J1222="EQ",IF(P1222="低",3,IF(P1222="中",4,6)),IF(J1222="ILF",IF(P1222="低",7,IF(P1222="中",10,15)),IF(J1222="EIF",IF(P1222="低",5,IF(P1222="中",7,10)),"不计算")))))*R1222,"不计算")</f>
        <v/>
      </c>
      <c r="R1222" s="172" t="n">
        <v>0.333333333333333</v>
      </c>
      <c r="S1222" s="173">
        <f>调整因子!$F$13</f>
        <v/>
      </c>
      <c r="T1222" s="93" t="n">
        <v>1</v>
      </c>
      <c r="U1222" s="174">
        <f>IFERROR(Q1222*S1222,0)</f>
        <v/>
      </c>
      <c r="V1222" s="178">
        <f>U1222*T1222</f>
        <v/>
      </c>
      <c r="W1222" s="103" t="inlineStr">
        <is>
          <t>推送规则表、提醒规则表</t>
        </is>
      </c>
      <c r="X1222" s="103" t="inlineStr"/>
      <c r="Y1222" s="97" t="inlineStr">
        <is>
          <t>推送规则表{规则ID、规则名称|规则ID、规则名称、规则类型、规则条件、创建时间}
提醒规则表{规则ID、规则名称|规则ID、规则名称、规则类型、规则条件、创建时间}</t>
        </is>
      </c>
      <c r="Z1222" s="90" t="n"/>
      <c r="AA1222" s="90" t="n"/>
    </row>
    <row r="1223" s="112">
      <c r="A1223" s="72">
        <f>ROW()-1</f>
        <v/>
      </c>
      <c r="B1223" s="175" t="n"/>
      <c r="C1223" s="124" t="n">
        <v>2026</v>
      </c>
      <c r="E1223" s="103" t="n"/>
      <c r="F1223" s="175" t="n"/>
      <c r="G1223" s="175" t="n"/>
      <c r="H1223" s="176" t="n"/>
      <c r="I1223" s="103" t="inlineStr">
        <is>
          <t>查看分支详情</t>
        </is>
      </c>
      <c r="J1223" s="93" t="inlineStr">
        <is>
          <t>EQ</t>
        </is>
      </c>
      <c r="K1223" s="102" t="n"/>
      <c r="L1223" s="102" t="n"/>
      <c r="M1223" s="85">
        <f>IF(OR(Y1223="估算法",Y1223="算法类",Y1223="无法识别"),"",IF(W1223="",IF(OR(J1223="EI",J1223="EO",J1223="EQ"),0,""),LEN(W1223)-LEN(SUBSTITUTE(W1223,"、",""))+1))</f>
        <v/>
      </c>
      <c r="N1223" s="85">
        <f>IF(OR(Y1223="估算法",Y1223="算法类",Y1223="无法识别"),"",IF(X1223="",IF(OR(J1223="ILF",J1223="EIF"),0,""),LEN(X1223)-LEN(SUBSTITUTE(X1223,"、",""))+1))</f>
        <v/>
      </c>
      <c r="O1223" s="85">
        <f>IF(OR(Y1223="估算法",Y1223="算法类",Y1223="无法识别"),"",IF(Y1223="",IF(OR(J1223="ILF",J1223="EIF",J1223="EI",J1223="EO",J1223="EQ"),0,""),LEN(Y1223)-LEN(SUBSTITUTE(SUBSTITUTE(SUBSTITUTE(SUBSTITUTE(SUBSTITUTE(Y1223,"|}","--"),"{|","--"),CHAR(10),""),"、",""),"|",""))+IF(AND(OR(J1223="EI",J1223="EO",J1223="EQ"),$AE$1="NESMA"),2,1)))</f>
        <v/>
      </c>
      <c r="P1223" s="86">
        <f>IF(J1223="EI",IF(OR(Y1223="估算法",Y1223="算法类"),"中",IF(Y1223="无法识别","低",IF(M1223&lt;2,IF(O1223&lt;16,"低","中"),IF(M1223&lt;3,IF(O1223&lt;5,"低",IF(O1223&lt;16,"中","高")),IF(O1223&lt;5,"中","高"))))),IF(OR(J1223="EO",J1223="EQ"),IF(OR(Y1223="估算法",Y1223="算法类"),"中",IF(Y1223="无法识别","低",IF(M1223&lt;2,IF(O1223&lt;20,"低","中"),IF(M1223&lt;4,IF(O1223&lt;6,"低",IF(O1223&lt;20,"中","高")),IF(O1223&lt;6,"中","高"))))),IF(OR(J1223="ILF",J1223="EIF"),IF(OR(Y1223="估算法",Y1223="算法类",Y1223="无法识别"),"低",IF(N1223&lt;2,IF(O1223&lt;51,"低","中"),IF(N1223&lt;6,IF(O1223&lt;20,"低",IF(O1223&lt;51,"中","高")),IF(O1223&lt;20,"中","高")))),"不计算")))</f>
        <v/>
      </c>
      <c r="Q1223" s="172">
        <f>IFERROR(IF(J1223="EI",IF(P1223="低",3,IF(P1223="中",4,6)),IF(J1223="EO",IF(P1223="低",4,IF(P1223="中",5,7)),IF(J1223="EQ",IF(P1223="低",3,IF(P1223="中",4,6)),IF(J1223="ILF",IF(P1223="低",7,IF(P1223="中",10,15)),IF(J1223="EIF",IF(P1223="低",5,IF(P1223="中",7,10)),"不计算")))))*R1223,"不计算")</f>
        <v/>
      </c>
      <c r="R1223" s="172" t="n">
        <v>0.333333333333333</v>
      </c>
      <c r="S1223" s="173">
        <f>调整因子!$F$13</f>
        <v/>
      </c>
      <c r="T1223" s="93" t="n">
        <v>1</v>
      </c>
      <c r="U1223" s="174">
        <f>IFERROR(Q1223*S1223,0)</f>
        <v/>
      </c>
      <c r="V1223" s="178">
        <f>U1223*T1223</f>
        <v/>
      </c>
      <c r="W1223" s="103" t="inlineStr">
        <is>
          <t>修复步骤表</t>
        </is>
      </c>
      <c r="X1223" s="103" t="inlineStr"/>
      <c r="Y1223" s="97" t="inlineStr">
        <is>
          <t>修复步骤表{ID、名称|ID、名称、类型、状态、创建时间、更新时间}</t>
        </is>
      </c>
      <c r="Z1223" s="90" t="n"/>
      <c r="AA1223" s="90" t="n"/>
    </row>
    <row r="1224" s="112">
      <c r="A1224" s="72">
        <f>ROW()-1</f>
        <v/>
      </c>
      <c r="B1224" s="175" t="n"/>
      <c r="C1224" s="124" t="n">
        <v>2026</v>
      </c>
      <c r="E1224" s="103" t="n"/>
      <c r="F1224" s="175" t="n"/>
      <c r="G1224" s="175" t="n"/>
      <c r="H1224" s="97" t="inlineStr">
        <is>
          <t>异常处理管理</t>
        </is>
      </c>
      <c r="I1224" s="103" t="inlineStr">
        <is>
          <t>编辑异常处理</t>
        </is>
      </c>
      <c r="J1224" s="93" t="inlineStr">
        <is>
          <t>EI</t>
        </is>
      </c>
      <c r="K1224" s="102" t="n"/>
      <c r="L1224" s="102" t="n"/>
      <c r="M1224" s="85">
        <f>IF(OR(Y1224="估算法",Y1224="算法类",Y1224="无法识别"),"",IF(W1224="",IF(OR(J1224="EI",J1224="EO",J1224="EQ"),0,""),LEN(W1224)-LEN(SUBSTITUTE(W1224,"、",""))+1))</f>
        <v/>
      </c>
      <c r="N1224" s="85">
        <f>IF(OR(Y1224="估算法",Y1224="算法类",Y1224="无法识别"),"",IF(X1224="",IF(OR(J1224="ILF",J1224="EIF"),0,""),LEN(X1224)-LEN(SUBSTITUTE(X1224,"、",""))+1))</f>
        <v/>
      </c>
      <c r="O1224" s="85">
        <f>IF(OR(Y1224="估算法",Y1224="算法类",Y1224="无法识别"),"",IF(Y1224="",IF(OR(J1224="ILF",J1224="EIF",J1224="EI",J1224="EO",J1224="EQ"),0,""),LEN(Y1224)-LEN(SUBSTITUTE(SUBSTITUTE(SUBSTITUTE(SUBSTITUTE(SUBSTITUTE(Y1224,"|}","--"),"{|","--"),CHAR(10),""),"、",""),"|",""))+IF(AND(OR(J1224="EI",J1224="EO",J1224="EQ"),$AE$1="NESMA"),2,1)))</f>
        <v/>
      </c>
      <c r="P1224" s="86">
        <f>IF(J1224="EI",IF(OR(Y1224="估算法",Y1224="算法类"),"中",IF(Y1224="无法识别","低",IF(M1224&lt;2,IF(O1224&lt;16,"低","中"),IF(M1224&lt;3,IF(O1224&lt;5,"低",IF(O1224&lt;16,"中","高")),IF(O1224&lt;5,"中","高"))))),IF(OR(J1224="EO",J1224="EQ"),IF(OR(Y1224="估算法",Y1224="算法类"),"中",IF(Y1224="无法识别","低",IF(M1224&lt;2,IF(O1224&lt;20,"低","中"),IF(M1224&lt;4,IF(O1224&lt;6,"低",IF(O1224&lt;20,"中","高")),IF(O1224&lt;6,"中","高"))))),IF(OR(J1224="ILF",J1224="EIF"),IF(OR(Y1224="估算法",Y1224="算法类",Y1224="无法识别"),"低",IF(N1224&lt;2,IF(O1224&lt;51,"低","中"),IF(N1224&lt;6,IF(O1224&lt;20,"低",IF(O1224&lt;51,"中","高")),IF(O1224&lt;20,"中","高")))),"不计算")))</f>
        <v/>
      </c>
      <c r="Q1224" s="172">
        <f>IFERROR(IF(J1224="EI",IF(P1224="低",3,IF(P1224="中",4,6)),IF(J1224="EO",IF(P1224="低",4,IF(P1224="中",5,7)),IF(J1224="EQ",IF(P1224="低",3,IF(P1224="中",4,6)),IF(J1224="ILF",IF(P1224="低",7,IF(P1224="中",10,15)),IF(J1224="EIF",IF(P1224="低",5,IF(P1224="中",7,10)),"不计算")))))*R1224,"不计算")</f>
        <v/>
      </c>
      <c r="R1224" s="172" t="n">
        <v>0.333333333333333</v>
      </c>
      <c r="S1224" s="173">
        <f>调整因子!$F$13</f>
        <v/>
      </c>
      <c r="T1224" s="92" t="n">
        <v>1</v>
      </c>
      <c r="U1224" s="174">
        <f>IFERROR(Q1224*S1224,0)</f>
        <v/>
      </c>
      <c r="V1224" s="178">
        <f>U1224*T1224</f>
        <v/>
      </c>
      <c r="W1224" s="103" t="inlineStr">
        <is>
          <t>任务日志表</t>
        </is>
      </c>
      <c r="X1224" s="103" t="inlineStr"/>
      <c r="Y1224" s="97" t="inlineStr">
        <is>
          <t>任务日志表{任务ID、任务名称、任务类型、任务状态、创建时间、执行时间|任务ID、任务名称、任务类型}</t>
        </is>
      </c>
      <c r="Z1224" s="90" t="n"/>
      <c r="AA1224" s="90" t="n"/>
    </row>
    <row r="1225" s="112">
      <c r="A1225" s="72">
        <f>ROW()-1</f>
        <v/>
      </c>
      <c r="B1225" s="175" t="n"/>
      <c r="C1225" s="124" t="n">
        <v>2026</v>
      </c>
      <c r="E1225" s="103" t="n"/>
      <c r="F1225" s="175" t="n"/>
      <c r="G1225" s="175" t="n"/>
      <c r="H1225" s="175" t="n"/>
      <c r="I1225" s="103" t="inlineStr">
        <is>
          <t>删除异常处理</t>
        </is>
      </c>
      <c r="J1225" s="93" t="inlineStr">
        <is>
          <t>EI</t>
        </is>
      </c>
      <c r="K1225" s="102" t="n"/>
      <c r="L1225" s="102" t="n"/>
      <c r="M1225" s="85">
        <f>IF(OR(Y1225="估算法",Y1225="算法类",Y1225="无法识别"),"",IF(W1225="",IF(OR(J1225="EI",J1225="EO",J1225="EQ"),0,""),LEN(W1225)-LEN(SUBSTITUTE(W1225,"、",""))+1))</f>
        <v/>
      </c>
      <c r="N1225" s="85">
        <f>IF(OR(Y1225="估算法",Y1225="算法类",Y1225="无法识别"),"",IF(X1225="",IF(OR(J1225="ILF",J1225="EIF"),0,""),LEN(X1225)-LEN(SUBSTITUTE(X1225,"、",""))+1))</f>
        <v/>
      </c>
      <c r="O1225" s="85">
        <f>IF(OR(Y1225="估算法",Y1225="算法类",Y1225="无法识别"),"",IF(Y1225="",IF(OR(J1225="ILF",J1225="EIF",J1225="EI",J1225="EO",J1225="EQ"),0,""),LEN(Y1225)-LEN(SUBSTITUTE(SUBSTITUTE(SUBSTITUTE(SUBSTITUTE(SUBSTITUTE(Y1225,"|}","--"),"{|","--"),CHAR(10),""),"、",""),"|",""))+IF(AND(OR(J1225="EI",J1225="EO",J1225="EQ"),$AE$1="NESMA"),2,1)))</f>
        <v/>
      </c>
      <c r="P1225" s="86">
        <f>IF(J1225="EI",IF(OR(Y1225="估算法",Y1225="算法类"),"中",IF(Y1225="无法识别","低",IF(M1225&lt;2,IF(O1225&lt;16,"低","中"),IF(M1225&lt;3,IF(O1225&lt;5,"低",IF(O1225&lt;16,"中","高")),IF(O1225&lt;5,"中","高"))))),IF(OR(J1225="EO",J1225="EQ"),IF(OR(Y1225="估算法",Y1225="算法类"),"中",IF(Y1225="无法识别","低",IF(M1225&lt;2,IF(O1225&lt;20,"低","中"),IF(M1225&lt;4,IF(O1225&lt;6,"低",IF(O1225&lt;20,"中","高")),IF(O1225&lt;6,"中","高"))))),IF(OR(J1225="ILF",J1225="EIF"),IF(OR(Y1225="估算法",Y1225="算法类",Y1225="无法识别"),"低",IF(N1225&lt;2,IF(O1225&lt;51,"低","中"),IF(N1225&lt;6,IF(O1225&lt;20,"低",IF(O1225&lt;51,"中","高")),IF(O1225&lt;20,"中","高")))),"不计算")))</f>
        <v/>
      </c>
      <c r="Q1225" s="172">
        <f>IFERROR(IF(J1225="EI",IF(P1225="低",3,IF(P1225="中",4,6)),IF(J1225="EO",IF(P1225="低",4,IF(P1225="中",5,7)),IF(J1225="EQ",IF(P1225="低",3,IF(P1225="中",4,6)),IF(J1225="ILF",IF(P1225="低",7,IF(P1225="中",10,15)),IF(J1225="EIF",IF(P1225="低",5,IF(P1225="中",7,10)),"不计算")))))*R1225,"不计算")</f>
        <v/>
      </c>
      <c r="R1225" s="172" t="n">
        <v>0.333333333333333</v>
      </c>
      <c r="S1225" s="173">
        <f>调整因子!$F$13</f>
        <v/>
      </c>
      <c r="T1225" s="92" t="n">
        <v>1</v>
      </c>
      <c r="U1225" s="174">
        <f>IFERROR(Q1225*S1225,0)</f>
        <v/>
      </c>
      <c r="V1225" s="178">
        <f>U1225*T1225</f>
        <v/>
      </c>
      <c r="W1225" s="103" t="inlineStr">
        <is>
          <t>报告导入记录表、任务趋势分析表</t>
        </is>
      </c>
      <c r="X1225" s="103" t="inlineStr"/>
      <c r="Y1225" s="97" t="inlineStr">
        <is>
          <t>报告导入记录表{ID、名称、类型、状态、创建时间、更新时间|ID、名称、类型}
任务趋势分析表{任务ID、任务名称、任务类型、任务状态、创建时间、执行时间|任务ID、任务名称、任务类型}</t>
        </is>
      </c>
      <c r="Z1225" s="90" t="n"/>
      <c r="AA1225" s="90" t="n"/>
    </row>
    <row r="1226" s="112">
      <c r="A1226" s="72">
        <f>ROW()-1</f>
        <v/>
      </c>
      <c r="B1226" s="175" t="n"/>
      <c r="C1226" s="124" t="n">
        <v>2026</v>
      </c>
      <c r="E1226" s="103" t="n"/>
      <c r="F1226" s="175" t="n"/>
      <c r="G1226" s="175" t="n"/>
      <c r="H1226" s="175" t="n"/>
      <c r="I1226" s="103" t="inlineStr">
        <is>
          <t>启用异常处理</t>
        </is>
      </c>
      <c r="J1226" s="93" t="inlineStr">
        <is>
          <t>EI</t>
        </is>
      </c>
      <c r="K1226" s="102" t="n"/>
      <c r="L1226" s="102" t="n"/>
      <c r="M1226" s="85">
        <f>IF(OR(Y1226="估算法",Y1226="算法类",Y1226="无法识别"),"",IF(W1226="",IF(OR(J1226="EI",J1226="EO",J1226="EQ"),0,""),LEN(W1226)-LEN(SUBSTITUTE(W1226,"、",""))+1))</f>
        <v/>
      </c>
      <c r="N1226" s="85">
        <f>IF(OR(Y1226="估算法",Y1226="算法类",Y1226="无法识别"),"",IF(X1226="",IF(OR(J1226="ILF",J1226="EIF"),0,""),LEN(X1226)-LEN(SUBSTITUTE(X1226,"、",""))+1))</f>
        <v/>
      </c>
      <c r="O1226" s="85">
        <f>IF(OR(Y1226="估算法",Y1226="算法类",Y1226="无法识别"),"",IF(Y1226="",IF(OR(J1226="ILF",J1226="EIF",J1226="EI",J1226="EO",J1226="EQ"),0,""),LEN(Y1226)-LEN(SUBSTITUTE(SUBSTITUTE(SUBSTITUTE(SUBSTITUTE(SUBSTITUTE(Y1226,"|}","--"),"{|","--"),CHAR(10),""),"、",""),"|",""))+IF(AND(OR(J1226="EI",J1226="EO",J1226="EQ"),$AE$1="NESMA"),2,1)))</f>
        <v/>
      </c>
      <c r="P1226" s="86">
        <f>IF(J1226="EI",IF(OR(Y1226="估算法",Y1226="算法类"),"中",IF(Y1226="无法识别","低",IF(M1226&lt;2,IF(O1226&lt;16,"低","中"),IF(M1226&lt;3,IF(O1226&lt;5,"低",IF(O1226&lt;16,"中","高")),IF(O1226&lt;5,"中","高"))))),IF(OR(J1226="EO",J1226="EQ"),IF(OR(Y1226="估算法",Y1226="算法类"),"中",IF(Y1226="无法识别","低",IF(M1226&lt;2,IF(O1226&lt;20,"低","中"),IF(M1226&lt;4,IF(O1226&lt;6,"低",IF(O1226&lt;20,"中","高")),IF(O1226&lt;6,"中","高"))))),IF(OR(J1226="ILF",J1226="EIF"),IF(OR(Y1226="估算法",Y1226="算法类",Y1226="无法识别"),"低",IF(N1226&lt;2,IF(O1226&lt;51,"低","中"),IF(N1226&lt;6,IF(O1226&lt;20,"低",IF(O1226&lt;51,"中","高")),IF(O1226&lt;20,"中","高")))),"不计算")))</f>
        <v/>
      </c>
      <c r="Q1226" s="172">
        <f>IFERROR(IF(J1226="EI",IF(P1226="低",3,IF(P1226="中",4,6)),IF(J1226="EO",IF(P1226="低",4,IF(P1226="中",5,7)),IF(J1226="EQ",IF(P1226="低",3,IF(P1226="中",4,6)),IF(J1226="ILF",IF(P1226="低",7,IF(P1226="中",10,15)),IF(J1226="EIF",IF(P1226="低",5,IF(P1226="中",7,10)),"不计算")))))*R1226,"不计算")</f>
        <v/>
      </c>
      <c r="R1226" s="172" t="n">
        <v>0.333333333333333</v>
      </c>
      <c r="S1226" s="173">
        <f>调整因子!$F$13</f>
        <v/>
      </c>
      <c r="T1226" s="93" t="n">
        <v>1</v>
      </c>
      <c r="U1226" s="174">
        <f>IFERROR(Q1226*S1226,0)</f>
        <v/>
      </c>
      <c r="V1226" s="178">
        <f>U1226*T1226</f>
        <v/>
      </c>
      <c r="W1226" s="103" t="inlineStr">
        <is>
          <t>脱敏规则表、通报模板表</t>
        </is>
      </c>
      <c r="X1226" s="103" t="inlineStr"/>
      <c r="Y1226" s="97" t="inlineStr">
        <is>
          <t>脱敏规则表{规则ID、规则名称、规则类型、规则条件、创建时间|规则ID、规则名称、规则类型}
通报模板表{ID、名称、类型、状态、创建时间、更新时间|ID、名称、类型}</t>
        </is>
      </c>
      <c r="Z1226" s="90" t="n"/>
      <c r="AA1226" s="90" t="n"/>
    </row>
    <row r="1227" s="112">
      <c r="A1227" s="72">
        <f>ROW()-1</f>
        <v/>
      </c>
      <c r="B1227" s="175" t="n"/>
      <c r="C1227" s="124" t="n">
        <v>2026</v>
      </c>
      <c r="E1227" s="103" t="n"/>
      <c r="F1227" s="175" t="n"/>
      <c r="G1227" s="175" t="n"/>
      <c r="H1227" s="175" t="n"/>
      <c r="I1227" s="103" t="inlineStr">
        <is>
          <t>停用异常处理</t>
        </is>
      </c>
      <c r="J1227" s="93" t="n"/>
      <c r="K1227" s="102" t="n"/>
      <c r="L1227" s="102" t="inlineStr">
        <is>
          <t>和上行合并，启停为相同功能</t>
        </is>
      </c>
      <c r="M1227" s="85">
        <f>IF(OR(Y1227="估算法",Y1227="算法类",Y1227="无法识别"),"",IF(W1227="",IF(OR(J1227="EI",J1227="EO",J1227="EQ"),0,""),LEN(W1227)-LEN(SUBSTITUTE(W1227,"、",""))+1))</f>
        <v/>
      </c>
      <c r="N1227" s="85">
        <f>IF(OR(Y1227="估算法",Y1227="算法类",Y1227="无法识别"),"",IF(X1227="",IF(OR(J1227="ILF",J1227="EIF"),0,""),LEN(X1227)-LEN(SUBSTITUTE(X1227,"、",""))+1))</f>
        <v/>
      </c>
      <c r="O1227" s="85">
        <f>IF(OR(Y1227="估算法",Y1227="算法类",Y1227="无法识别"),"",IF(Y1227="",IF(OR(J1227="ILF",J1227="EIF",J1227="EI",J1227="EO",J1227="EQ"),0,""),LEN(Y1227)-LEN(SUBSTITUTE(SUBSTITUTE(SUBSTITUTE(SUBSTITUTE(SUBSTITUTE(Y1227,"|}","--"),"{|","--"),CHAR(10),""),"、",""),"|",""))+IF(AND(OR(J1227="EI",J1227="EO",J1227="EQ"),$AE$1="NESMA"),2,1)))</f>
        <v/>
      </c>
      <c r="P1227" s="86">
        <f>IF(J1227="EI",IF(OR(Y1227="估算法",Y1227="算法类"),"中",IF(Y1227="无法识别","低",IF(M1227&lt;2,IF(O1227&lt;16,"低","中"),IF(M1227&lt;3,IF(O1227&lt;5,"低",IF(O1227&lt;16,"中","高")),IF(O1227&lt;5,"中","高"))))),IF(OR(J1227="EO",J1227="EQ"),IF(OR(Y1227="估算法",Y1227="算法类"),"中",IF(Y1227="无法识别","低",IF(M1227&lt;2,IF(O1227&lt;20,"低","中"),IF(M1227&lt;4,IF(O1227&lt;6,"低",IF(O1227&lt;20,"中","高")),IF(O1227&lt;6,"中","高"))))),IF(OR(J1227="ILF",J1227="EIF"),IF(OR(Y1227="估算法",Y1227="算法类",Y1227="无法识别"),"低",IF(N1227&lt;2,IF(O1227&lt;51,"低","中"),IF(N1227&lt;6,IF(O1227&lt;20,"低",IF(O1227&lt;51,"中","高")),IF(O1227&lt;20,"中","高")))),"不计算")))</f>
        <v/>
      </c>
      <c r="Q1227" s="172">
        <f>IFERROR(IF(J1227="EI",IF(P1227="低",3,IF(P1227="中",4,6)),IF(J1227="EO",IF(P1227="低",4,IF(P1227="中",5,7)),IF(J1227="EQ",IF(P1227="低",3,IF(P1227="中",4,6)),IF(J1227="ILF",IF(P1227="低",7,IF(P1227="中",10,15)),IF(J1227="EIF",IF(P1227="低",5,IF(P1227="中",7,10)),"不计算")))))*R1227,"不计算")</f>
        <v/>
      </c>
      <c r="R1227" s="172" t="n">
        <v>0.333333333333333</v>
      </c>
      <c r="S1227" s="173">
        <f>调整因子!$F$13</f>
        <v/>
      </c>
      <c r="T1227" s="92" t="n">
        <v>1</v>
      </c>
      <c r="U1227" s="174">
        <f>IFERROR(Q1227*S1227,0)</f>
        <v/>
      </c>
      <c r="V1227" s="178">
        <f>U1227*T1227</f>
        <v/>
      </c>
      <c r="W1227" s="103" t="inlineStr">
        <is>
          <t>扫描盲区记录表、加密算法表</t>
        </is>
      </c>
      <c r="X1227" s="103" t="inlineStr"/>
      <c r="Y1227" s="97" t="inlineStr">
        <is>
          <t>扫描盲区记录表{任务ID、任务名称、任务状态、扫描器类型、开始时间、结束时间、扫描结果|任务ID、任务名称、任务状态}
加密算法表{ID、名称、类型、状态、创建时间、更新时间|ID、名称、类型}</t>
        </is>
      </c>
      <c r="Z1227" s="90" t="n"/>
      <c r="AA1227" s="90" t="n"/>
    </row>
    <row r="1228" s="112">
      <c r="A1228" s="72">
        <f>ROW()-1</f>
        <v/>
      </c>
      <c r="B1228" s="175" t="n"/>
      <c r="C1228" s="124" t="n">
        <v>2026</v>
      </c>
      <c r="E1228" s="103" t="n"/>
      <c r="F1228" s="175" t="n"/>
      <c r="G1228" s="175" t="n"/>
      <c r="H1228" s="175" t="n"/>
      <c r="I1228" s="103" t="inlineStr">
        <is>
          <t>导出异常配置</t>
        </is>
      </c>
      <c r="J1228" s="93" t="inlineStr">
        <is>
          <t>EO</t>
        </is>
      </c>
      <c r="K1228" s="102" t="n"/>
      <c r="L1228" s="102" t="n"/>
      <c r="M1228" s="85">
        <f>IF(OR(Y1228="估算法",Y1228="算法类",Y1228="无法识别"),"",IF(W1228="",IF(OR(J1228="EI",J1228="EO",J1228="EQ"),0,""),LEN(W1228)-LEN(SUBSTITUTE(W1228,"、",""))+1))</f>
        <v/>
      </c>
      <c r="N1228" s="85">
        <f>IF(OR(Y1228="估算法",Y1228="算法类",Y1228="无法识别"),"",IF(X1228="",IF(OR(J1228="ILF",J1228="EIF"),0,""),LEN(X1228)-LEN(SUBSTITUTE(X1228,"、",""))+1))</f>
        <v/>
      </c>
      <c r="O1228" s="85">
        <f>IF(OR(Y1228="估算法",Y1228="算法类",Y1228="无法识别"),"",IF(Y1228="",IF(OR(J1228="ILF",J1228="EIF",J1228="EI",J1228="EO",J1228="EQ"),0,""),LEN(Y1228)-LEN(SUBSTITUTE(SUBSTITUTE(SUBSTITUTE(SUBSTITUTE(SUBSTITUTE(Y1228,"|}","--"),"{|","--"),CHAR(10),""),"、",""),"|",""))+IF(AND(OR(J1228="EI",J1228="EO",J1228="EQ"),$AE$1="NESMA"),2,1)))</f>
        <v/>
      </c>
      <c r="P1228" s="86">
        <f>IF(J1228="EI",IF(OR(Y1228="估算法",Y1228="算法类"),"中",IF(Y1228="无法识别","低",IF(M1228&lt;2,IF(O1228&lt;16,"低","中"),IF(M1228&lt;3,IF(O1228&lt;5,"低",IF(O1228&lt;16,"中","高")),IF(O1228&lt;5,"中","高"))))),IF(OR(J1228="EO",J1228="EQ"),IF(OR(Y1228="估算法",Y1228="算法类"),"中",IF(Y1228="无法识别","低",IF(M1228&lt;2,IF(O1228&lt;20,"低","中"),IF(M1228&lt;4,IF(O1228&lt;6,"低",IF(O1228&lt;20,"中","高")),IF(O1228&lt;6,"中","高"))))),IF(OR(J1228="ILF",J1228="EIF"),IF(OR(Y1228="估算法",Y1228="算法类",Y1228="无法识别"),"低",IF(N1228&lt;2,IF(O1228&lt;51,"低","中"),IF(N1228&lt;6,IF(O1228&lt;20,"低",IF(O1228&lt;51,"中","高")),IF(O1228&lt;20,"中","高")))),"不计算")))</f>
        <v/>
      </c>
      <c r="Q1228" s="172">
        <f>IFERROR(IF(J1228="EI",IF(P1228="低",3,IF(P1228="中",4,6)),IF(J1228="EO",IF(P1228="低",4,IF(P1228="中",5,7)),IF(J1228="EQ",IF(P1228="低",3,IF(P1228="中",4,6)),IF(J1228="ILF",IF(P1228="低",7,IF(P1228="中",10,15)),IF(J1228="EIF",IF(P1228="低",5,IF(P1228="中",7,10)),"不计算")))))*R1228,"不计算")</f>
        <v/>
      </c>
      <c r="R1228" s="172" t="n">
        <v>0.333333333333333</v>
      </c>
      <c r="S1228" s="173">
        <f>调整因子!$F$13</f>
        <v/>
      </c>
      <c r="T1228" s="92" t="n">
        <v>1</v>
      </c>
      <c r="U1228" s="174">
        <f>IFERROR(Q1228*S1228,0)</f>
        <v/>
      </c>
      <c r="V1228" s="178">
        <f>U1228*T1228</f>
        <v/>
      </c>
      <c r="W1228" s="103" t="inlineStr">
        <is>
          <t>任务优先级配置表、模板参数配置表</t>
        </is>
      </c>
      <c r="X1228" s="103" t="inlineStr"/>
      <c r="Y1228" s="97" t="inlineStr">
        <is>
          <t>任务优先级配置表{任务ID、任务名称|任务ID、任务名称、任务类型、任务状态、创建时间、执行时间}
模板参数配置表{配置ID、配置名称|配置ID、配置名称、配置类型、配置值、创建时间}</t>
        </is>
      </c>
      <c r="Z1228" s="90" t="n"/>
      <c r="AA1228" s="90" t="n"/>
    </row>
    <row r="1229" s="112">
      <c r="A1229" s="72">
        <f>ROW()-1</f>
        <v/>
      </c>
      <c r="B1229" s="175" t="n"/>
      <c r="C1229" s="124" t="n">
        <v>2026</v>
      </c>
      <c r="E1229" s="103" t="n"/>
      <c r="F1229" s="175" t="n"/>
      <c r="G1229" s="175" t="n"/>
      <c r="H1229" s="175" t="n"/>
      <c r="I1229" s="103" t="inlineStr">
        <is>
          <t>查询异常规则</t>
        </is>
      </c>
      <c r="J1229" s="93" t="inlineStr">
        <is>
          <t>EO</t>
        </is>
      </c>
      <c r="K1229" s="102" t="n"/>
      <c r="L1229" s="102" t="n"/>
      <c r="M1229" s="85">
        <f>IF(OR(Y1229="估算法",Y1229="算法类",Y1229="无法识别"),"",IF(W1229="",IF(OR(J1229="EI",J1229="EO",J1229="EQ"),0,""),LEN(W1229)-LEN(SUBSTITUTE(W1229,"、",""))+1))</f>
        <v/>
      </c>
      <c r="N1229" s="85">
        <f>IF(OR(Y1229="估算法",Y1229="算法类",Y1229="无法识别"),"",IF(X1229="",IF(OR(J1229="ILF",J1229="EIF"),0,""),LEN(X1229)-LEN(SUBSTITUTE(X1229,"、",""))+1))</f>
        <v/>
      </c>
      <c r="O1229" s="85">
        <f>IF(OR(Y1229="估算法",Y1229="算法类",Y1229="无法识别"),"",IF(Y1229="",IF(OR(J1229="ILF",J1229="EIF",J1229="EI",J1229="EO",J1229="EQ"),0,""),LEN(Y1229)-LEN(SUBSTITUTE(SUBSTITUTE(SUBSTITUTE(SUBSTITUTE(SUBSTITUTE(Y1229,"|}","--"),"{|","--"),CHAR(10),""),"、",""),"|",""))+IF(AND(OR(J1229="EI",J1229="EO",J1229="EQ"),$AE$1="NESMA"),2,1)))</f>
        <v/>
      </c>
      <c r="P1229" s="86">
        <f>IF(J1229="EI",IF(OR(Y1229="估算法",Y1229="算法类"),"中",IF(Y1229="无法识别","低",IF(M1229&lt;2,IF(O1229&lt;16,"低","中"),IF(M1229&lt;3,IF(O1229&lt;5,"低",IF(O1229&lt;16,"中","高")),IF(O1229&lt;5,"中","高"))))),IF(OR(J1229="EO",J1229="EQ"),IF(OR(Y1229="估算法",Y1229="算法类"),"中",IF(Y1229="无法识别","低",IF(M1229&lt;2,IF(O1229&lt;20,"低","中"),IF(M1229&lt;4,IF(O1229&lt;6,"低",IF(O1229&lt;20,"中","高")),IF(O1229&lt;6,"中","高"))))),IF(OR(J1229="ILF",J1229="EIF"),IF(OR(Y1229="估算法",Y1229="算法类",Y1229="无法识别"),"低",IF(N1229&lt;2,IF(O1229&lt;51,"低","中"),IF(N1229&lt;6,IF(O1229&lt;20,"低",IF(O1229&lt;51,"中","高")),IF(O1229&lt;20,"中","高")))),"不计算")))</f>
        <v/>
      </c>
      <c r="Q1229" s="172">
        <f>IFERROR(IF(J1229="EI",IF(P1229="低",3,IF(P1229="中",4,6)),IF(J1229="EO",IF(P1229="低",4,IF(P1229="中",5,7)),IF(J1229="EQ",IF(P1229="低",3,IF(P1229="中",4,6)),IF(J1229="ILF",IF(P1229="低",7,IF(P1229="中",10,15)),IF(J1229="EIF",IF(P1229="低",5,IF(P1229="中",7,10)),"不计算")))))*R1229,"不计算")</f>
        <v/>
      </c>
      <c r="R1229" s="172" t="n">
        <v>0.333333333333333</v>
      </c>
      <c r="S1229" s="173">
        <f>调整因子!$F$13</f>
        <v/>
      </c>
      <c r="T1229" s="93" t="n">
        <v>1</v>
      </c>
      <c r="U1229" s="174">
        <f>IFERROR(Q1229*S1229,0)</f>
        <v/>
      </c>
      <c r="V1229" s="178">
        <f>U1229*T1229</f>
        <v/>
      </c>
      <c r="W1229" s="103" t="inlineStr">
        <is>
          <t>推送规则表</t>
        </is>
      </c>
      <c r="X1229" s="103" t="inlineStr"/>
      <c r="Y1229" s="97" t="inlineStr">
        <is>
          <t>推送规则表{规则ID、规则名称|规则ID、规则名称、规则类型、规则条件、创建时间}</t>
        </is>
      </c>
      <c r="Z1229" s="90" t="n"/>
      <c r="AA1229" s="90" t="n"/>
    </row>
    <row r="1230" s="112">
      <c r="A1230" s="72">
        <f>ROW()-1</f>
        <v/>
      </c>
      <c r="B1230" s="175" t="n"/>
      <c r="C1230" s="124" t="n">
        <v>2026</v>
      </c>
      <c r="E1230" s="103" t="n"/>
      <c r="F1230" s="176" t="n"/>
      <c r="G1230" s="176" t="n"/>
      <c r="H1230" s="176" t="n"/>
      <c r="I1230" s="103" t="inlineStr">
        <is>
          <t>查看异常详情</t>
        </is>
      </c>
      <c r="J1230" s="93" t="inlineStr">
        <is>
          <t>EQ</t>
        </is>
      </c>
      <c r="K1230" s="102" t="n"/>
      <c r="L1230" s="102" t="n"/>
      <c r="M1230" s="85">
        <f>IF(OR(Y1230="估算法",Y1230="算法类",Y1230="无法识别"),"",IF(W1230="",IF(OR(J1230="EI",J1230="EO",J1230="EQ"),0,""),LEN(W1230)-LEN(SUBSTITUTE(W1230,"、",""))+1))</f>
        <v/>
      </c>
      <c r="N1230" s="85">
        <f>IF(OR(Y1230="估算法",Y1230="算法类",Y1230="无法识别"),"",IF(X1230="",IF(OR(J1230="ILF",J1230="EIF"),0,""),LEN(X1230)-LEN(SUBSTITUTE(X1230,"、",""))+1))</f>
        <v/>
      </c>
      <c r="O1230" s="85">
        <f>IF(OR(Y1230="估算法",Y1230="算法类",Y1230="无法识别"),"",IF(Y1230="",IF(OR(J1230="ILF",J1230="EIF",J1230="EI",J1230="EO",J1230="EQ"),0,""),LEN(Y1230)-LEN(SUBSTITUTE(SUBSTITUTE(SUBSTITUTE(SUBSTITUTE(SUBSTITUTE(Y1230,"|}","--"),"{|","--"),CHAR(10),""),"、",""),"|",""))+IF(AND(OR(J1230="EI",J1230="EO",J1230="EQ"),$AE$1="NESMA"),2,1)))</f>
        <v/>
      </c>
      <c r="P1230" s="86">
        <f>IF(J1230="EI",IF(OR(Y1230="估算法",Y1230="算法类"),"中",IF(Y1230="无法识别","低",IF(M1230&lt;2,IF(O1230&lt;16,"低","中"),IF(M1230&lt;3,IF(O1230&lt;5,"低",IF(O1230&lt;16,"中","高")),IF(O1230&lt;5,"中","高"))))),IF(OR(J1230="EO",J1230="EQ"),IF(OR(Y1230="估算法",Y1230="算法类"),"中",IF(Y1230="无法识别","低",IF(M1230&lt;2,IF(O1230&lt;20,"低","中"),IF(M1230&lt;4,IF(O1230&lt;6,"低",IF(O1230&lt;20,"中","高")),IF(O1230&lt;6,"中","高"))))),IF(OR(J1230="ILF",J1230="EIF"),IF(OR(Y1230="估算法",Y1230="算法类",Y1230="无法识别"),"低",IF(N1230&lt;2,IF(O1230&lt;51,"低","中"),IF(N1230&lt;6,IF(O1230&lt;20,"低",IF(O1230&lt;51,"中","高")),IF(O1230&lt;20,"中","高")))),"不计算")))</f>
        <v/>
      </c>
      <c r="Q1230" s="172">
        <f>IFERROR(IF(J1230="EI",IF(P1230="低",3,IF(P1230="中",4,6)),IF(J1230="EO",IF(P1230="低",4,IF(P1230="中",5,7)),IF(J1230="EQ",IF(P1230="低",3,IF(P1230="中",4,6)),IF(J1230="ILF",IF(P1230="低",7,IF(P1230="中",10,15)),IF(J1230="EIF",IF(P1230="低",5,IF(P1230="中",7,10)),"不计算")))))*R1230,"不计算")</f>
        <v/>
      </c>
      <c r="R1230" s="172" t="n">
        <v>0.333333333333333</v>
      </c>
      <c r="S1230" s="173">
        <f>调整因子!$F$13</f>
        <v/>
      </c>
      <c r="T1230" s="93" t="n">
        <v>1</v>
      </c>
      <c r="U1230" s="174">
        <f>IFERROR(Q1230*S1230,0)</f>
        <v/>
      </c>
      <c r="V1230" s="178">
        <f>U1230*T1230</f>
        <v/>
      </c>
      <c r="W1230" s="103" t="inlineStr">
        <is>
          <t>报告导入记录表、验证配置表</t>
        </is>
      </c>
      <c r="X1230" s="103" t="inlineStr"/>
      <c r="Y1230" s="97" t="inlineStr">
        <is>
          <t>报告导入记录表{ID、名称|ID、名称、类型、状态、创建时间、更新时间}
验证配置表{配置ID、配置名称|配置ID、配置名称、配置类型、配置值、创建时间}</t>
        </is>
      </c>
      <c r="Z1230" s="90" t="n"/>
      <c r="AA1230" s="90" t="n"/>
    </row>
    <row r="1231" s="112">
      <c r="A1231" s="72">
        <f>ROW()-1</f>
        <v/>
      </c>
      <c r="B1231" s="175" t="n"/>
      <c r="C1231" s="124" t="n">
        <v>2026</v>
      </c>
      <c r="E1231" s="103" t="n"/>
      <c r="F1231" s="97" t="inlineStr">
        <is>
          <t>漏洞知识库管理</t>
        </is>
      </c>
      <c r="G1231" s="97" t="inlineStr">
        <is>
          <t>漏洞分级分类管理</t>
        </is>
      </c>
      <c r="H1231" s="97" t="inlineStr">
        <is>
          <t>漏洞知识录入管理</t>
        </is>
      </c>
      <c r="I1231" s="103" t="inlineStr">
        <is>
          <t>编辑漏洞知识</t>
        </is>
      </c>
      <c r="J1231" s="93" t="inlineStr">
        <is>
          <t>EI</t>
        </is>
      </c>
      <c r="K1231" s="102" t="n"/>
      <c r="L1231" s="102" t="n"/>
      <c r="M1231" s="85">
        <f>IF(OR(Y1231="估算法",Y1231="算法类",Y1231="无法识别"),"",IF(W1231="",IF(OR(J1231="EI",J1231="EO",J1231="EQ"),0,""),LEN(W1231)-LEN(SUBSTITUTE(W1231,"、",""))+1))</f>
        <v/>
      </c>
      <c r="N1231" s="85">
        <f>IF(OR(Y1231="估算法",Y1231="算法类",Y1231="无法识别"),"",IF(X1231="",IF(OR(J1231="ILF",J1231="EIF"),0,""),LEN(X1231)-LEN(SUBSTITUTE(X1231,"、",""))+1))</f>
        <v/>
      </c>
      <c r="O1231" s="85">
        <f>IF(OR(Y1231="估算法",Y1231="算法类",Y1231="无法识别"),"",IF(Y1231="",IF(OR(J1231="ILF",J1231="EIF",J1231="EI",J1231="EO",J1231="EQ"),0,""),LEN(Y1231)-LEN(SUBSTITUTE(SUBSTITUTE(SUBSTITUTE(SUBSTITUTE(SUBSTITUTE(Y1231,"|}","--"),"{|","--"),CHAR(10),""),"、",""),"|",""))+IF(AND(OR(J1231="EI",J1231="EO",J1231="EQ"),$AE$1="NESMA"),2,1)))</f>
        <v/>
      </c>
      <c r="P1231" s="86">
        <f>IF(J1231="EI",IF(OR(Y1231="估算法",Y1231="算法类"),"中",IF(Y1231="无法识别","低",IF(M1231&lt;2,IF(O1231&lt;16,"低","中"),IF(M1231&lt;3,IF(O1231&lt;5,"低",IF(O1231&lt;16,"中","高")),IF(O1231&lt;5,"中","高"))))),IF(OR(J1231="EO",J1231="EQ"),IF(OR(Y1231="估算法",Y1231="算法类"),"中",IF(Y1231="无法识别","低",IF(M1231&lt;2,IF(O1231&lt;20,"低","中"),IF(M1231&lt;4,IF(O1231&lt;6,"低",IF(O1231&lt;20,"中","高")),IF(O1231&lt;6,"中","高"))))),IF(OR(J1231="ILF",J1231="EIF"),IF(OR(Y1231="估算法",Y1231="算法类",Y1231="无法识别"),"低",IF(N1231&lt;2,IF(O1231&lt;51,"低","中"),IF(N1231&lt;6,IF(O1231&lt;20,"低",IF(O1231&lt;51,"中","高")),IF(O1231&lt;20,"中","高")))),"不计算")))</f>
        <v/>
      </c>
      <c r="Q1231" s="172">
        <f>IFERROR(IF(J1231="EI",IF(P1231="低",3,IF(P1231="中",4,6)),IF(J1231="EO",IF(P1231="低",4,IF(P1231="中",5,7)),IF(J1231="EQ",IF(P1231="低",3,IF(P1231="中",4,6)),IF(J1231="ILF",IF(P1231="低",7,IF(P1231="中",10,15)),IF(J1231="EIF",IF(P1231="低",5,IF(P1231="中",7,10)),"不计算")))))*R1231,"不计算")</f>
        <v/>
      </c>
      <c r="R1231" s="172" t="n">
        <v>1</v>
      </c>
      <c r="S1231" s="173">
        <f>调整因子!$F$13</f>
        <v/>
      </c>
      <c r="T1231" s="92" t="n">
        <v>1</v>
      </c>
      <c r="U1231" s="174">
        <f>IFERROR(Q1231*S1231,0)</f>
        <v/>
      </c>
      <c r="V1231" s="178">
        <f>U1231*T1231</f>
        <v/>
      </c>
      <c r="W1231" s="103" t="inlineStr">
        <is>
          <t>漏洞处置单表、漏洞统计数据表</t>
        </is>
      </c>
      <c r="X1231" s="103" t="inlineStr"/>
      <c r="Y1231"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1" s="90" t="n"/>
      <c r="AA1231" s="90" t="n"/>
    </row>
    <row r="1232" s="112">
      <c r="A1232" s="72">
        <f>ROW()-1</f>
        <v/>
      </c>
      <c r="B1232" s="175" t="n"/>
      <c r="C1232" s="124" t="n">
        <v>2026</v>
      </c>
      <c r="E1232" s="103" t="n"/>
      <c r="F1232" s="175" t="n"/>
      <c r="G1232" s="175" t="n"/>
      <c r="H1232" s="175" t="n"/>
      <c r="I1232" s="103" t="inlineStr">
        <is>
          <t>删除漏洞知识</t>
        </is>
      </c>
      <c r="J1232" s="93" t="inlineStr">
        <is>
          <t>EI</t>
        </is>
      </c>
      <c r="K1232" s="102" t="n"/>
      <c r="L1232" s="102" t="n"/>
      <c r="M1232" s="85">
        <f>IF(OR(Y1232="估算法",Y1232="算法类",Y1232="无法识别"),"",IF(W1232="",IF(OR(J1232="EI",J1232="EO",J1232="EQ"),0,""),LEN(W1232)-LEN(SUBSTITUTE(W1232,"、",""))+1))</f>
        <v/>
      </c>
      <c r="N1232" s="85">
        <f>IF(OR(Y1232="估算法",Y1232="算法类",Y1232="无法识别"),"",IF(X1232="",IF(OR(J1232="ILF",J1232="EIF"),0,""),LEN(X1232)-LEN(SUBSTITUTE(X1232,"、",""))+1))</f>
        <v/>
      </c>
      <c r="O1232" s="85">
        <f>IF(OR(Y1232="估算法",Y1232="算法类",Y1232="无法识别"),"",IF(Y1232="",IF(OR(J1232="ILF",J1232="EIF",J1232="EI",J1232="EO",J1232="EQ"),0,""),LEN(Y1232)-LEN(SUBSTITUTE(SUBSTITUTE(SUBSTITUTE(SUBSTITUTE(SUBSTITUTE(Y1232,"|}","--"),"{|","--"),CHAR(10),""),"、",""),"|",""))+IF(AND(OR(J1232="EI",J1232="EO",J1232="EQ"),$AE$1="NESMA"),2,1)))</f>
        <v/>
      </c>
      <c r="P1232" s="86">
        <f>IF(J1232="EI",IF(OR(Y1232="估算法",Y1232="算法类"),"中",IF(Y1232="无法识别","低",IF(M1232&lt;2,IF(O1232&lt;16,"低","中"),IF(M1232&lt;3,IF(O1232&lt;5,"低",IF(O1232&lt;16,"中","高")),IF(O1232&lt;5,"中","高"))))),IF(OR(J1232="EO",J1232="EQ"),IF(OR(Y1232="估算法",Y1232="算法类"),"中",IF(Y1232="无法识别","低",IF(M1232&lt;2,IF(O1232&lt;20,"低","中"),IF(M1232&lt;4,IF(O1232&lt;6,"低",IF(O1232&lt;20,"中","高")),IF(O1232&lt;6,"中","高"))))),IF(OR(J1232="ILF",J1232="EIF"),IF(OR(Y1232="估算法",Y1232="算法类",Y1232="无法识别"),"低",IF(N1232&lt;2,IF(O1232&lt;51,"低","中"),IF(N1232&lt;6,IF(O1232&lt;20,"低",IF(O1232&lt;51,"中","高")),IF(O1232&lt;20,"中","高")))),"不计算")))</f>
        <v/>
      </c>
      <c r="Q1232" s="172">
        <f>IFERROR(IF(J1232="EI",IF(P1232="低",3,IF(P1232="中",4,6)),IF(J1232="EO",IF(P1232="低",4,IF(P1232="中",5,7)),IF(J1232="EQ",IF(P1232="低",3,IF(P1232="中",4,6)),IF(J1232="ILF",IF(P1232="低",7,IF(P1232="中",10,15)),IF(J1232="EIF",IF(P1232="低",5,IF(P1232="中",7,10)),"不计算")))))*R1232,"不计算")</f>
        <v/>
      </c>
      <c r="R1232" s="172" t="n">
        <v>0.333333333333333</v>
      </c>
      <c r="S1232" s="173">
        <f>调整因子!$F$13</f>
        <v/>
      </c>
      <c r="T1232" s="92" t="n">
        <v>1</v>
      </c>
      <c r="U1232" s="174">
        <f>IFERROR(Q1232*S1232,0)</f>
        <v/>
      </c>
      <c r="V1232" s="178">
        <f>U1232*T1232</f>
        <v/>
      </c>
      <c r="W1232" s="103" t="inlineStr">
        <is>
          <t>漏洞处置单表</t>
        </is>
      </c>
      <c r="X1232" s="103" t="inlineStr"/>
      <c r="Y1232" s="97" t="inlineStr">
        <is>
          <t>漏洞处置单表{漏洞ID、漏洞名称、漏洞等级、漏洞类型、CVE编号、发现时间、修复状态|漏洞ID、漏洞名称、漏洞等级}</t>
        </is>
      </c>
      <c r="Z1232" s="90" t="n"/>
      <c r="AA1232" s="90" t="n"/>
    </row>
    <row r="1233" s="112">
      <c r="A1233" s="72">
        <f>ROW()-1</f>
        <v/>
      </c>
      <c r="B1233" s="175" t="n"/>
      <c r="C1233" s="124" t="n">
        <v>2026</v>
      </c>
      <c r="E1233" s="103" t="n"/>
      <c r="F1233" s="175" t="n"/>
      <c r="G1233" s="175" t="n"/>
      <c r="H1233" s="175" t="n"/>
      <c r="I1233" s="103" t="inlineStr">
        <is>
          <t>启用漏洞知识</t>
        </is>
      </c>
      <c r="J1233" s="93" t="inlineStr">
        <is>
          <t>EI</t>
        </is>
      </c>
      <c r="K1233" s="102" t="n"/>
      <c r="L1233" s="102" t="n"/>
      <c r="M1233" s="85">
        <f>IF(OR(Y1233="估算法",Y1233="算法类",Y1233="无法识别"),"",IF(W1233="",IF(OR(J1233="EI",J1233="EO",J1233="EQ"),0,""),LEN(W1233)-LEN(SUBSTITUTE(W1233,"、",""))+1))</f>
        <v/>
      </c>
      <c r="N1233" s="85">
        <f>IF(OR(Y1233="估算法",Y1233="算法类",Y1233="无法识别"),"",IF(X1233="",IF(OR(J1233="ILF",J1233="EIF"),0,""),LEN(X1233)-LEN(SUBSTITUTE(X1233,"、",""))+1))</f>
        <v/>
      </c>
      <c r="O1233" s="85">
        <f>IF(OR(Y1233="估算法",Y1233="算法类",Y1233="无法识别"),"",IF(Y1233="",IF(OR(J1233="ILF",J1233="EIF",J1233="EI",J1233="EO",J1233="EQ"),0,""),LEN(Y1233)-LEN(SUBSTITUTE(SUBSTITUTE(SUBSTITUTE(SUBSTITUTE(SUBSTITUTE(Y1233,"|}","--"),"{|","--"),CHAR(10),""),"、",""),"|",""))+IF(AND(OR(J1233="EI",J1233="EO",J1233="EQ"),$AE$1="NESMA"),2,1)))</f>
        <v/>
      </c>
      <c r="P1233" s="86">
        <f>IF(J1233="EI",IF(OR(Y1233="估算法",Y1233="算法类"),"中",IF(Y1233="无法识别","低",IF(M1233&lt;2,IF(O1233&lt;16,"低","中"),IF(M1233&lt;3,IF(O1233&lt;5,"低",IF(O1233&lt;16,"中","高")),IF(O1233&lt;5,"中","高"))))),IF(OR(J1233="EO",J1233="EQ"),IF(OR(Y1233="估算法",Y1233="算法类"),"中",IF(Y1233="无法识别","低",IF(M1233&lt;2,IF(O1233&lt;20,"低","中"),IF(M1233&lt;4,IF(O1233&lt;6,"低",IF(O1233&lt;20,"中","高")),IF(O1233&lt;6,"中","高"))))),IF(OR(J1233="ILF",J1233="EIF"),IF(OR(Y1233="估算法",Y1233="算法类",Y1233="无法识别"),"低",IF(N1233&lt;2,IF(O1233&lt;51,"低","中"),IF(N1233&lt;6,IF(O1233&lt;20,"低",IF(O1233&lt;51,"中","高")),IF(O1233&lt;20,"中","高")))),"不计算")))</f>
        <v/>
      </c>
      <c r="Q1233" s="172">
        <f>IFERROR(IF(J1233="EI",IF(P1233="低",3,IF(P1233="中",4,6)),IF(J1233="EO",IF(P1233="低",4,IF(P1233="中",5,7)),IF(J1233="EQ",IF(P1233="低",3,IF(P1233="中",4,6)),IF(J1233="ILF",IF(P1233="低",7,IF(P1233="中",10,15)),IF(J1233="EIF",IF(P1233="低",5,IF(P1233="中",7,10)),"不计算")))))*R1233,"不计算")</f>
        <v/>
      </c>
      <c r="R1233" s="172" t="n">
        <v>1</v>
      </c>
      <c r="S1233" s="173">
        <f>调整因子!$F$13</f>
        <v/>
      </c>
      <c r="T1233" s="93" t="n">
        <v>1</v>
      </c>
      <c r="U1233" s="174">
        <f>IFERROR(Q1233*S1233,0)</f>
        <v/>
      </c>
      <c r="V1233" s="178">
        <f>U1233*T1233</f>
        <v/>
      </c>
      <c r="W1233" s="103" t="inlineStr">
        <is>
          <t>漏洞处置单表、漏洞统计数据表</t>
        </is>
      </c>
      <c r="X1233" s="103" t="inlineStr"/>
      <c r="Y1233"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3" s="90" t="n"/>
      <c r="AA1233" s="90" t="n"/>
    </row>
    <row r="1234" s="112">
      <c r="A1234" s="72">
        <f>ROW()-1</f>
        <v/>
      </c>
      <c r="B1234" s="175" t="n"/>
      <c r="C1234" s="124" t="n">
        <v>2026</v>
      </c>
      <c r="E1234" s="103" t="n"/>
      <c r="F1234" s="175" t="n"/>
      <c r="G1234" s="175" t="n"/>
      <c r="H1234" s="175" t="n"/>
      <c r="I1234" s="103" t="inlineStr">
        <is>
          <t>停用漏洞知识</t>
        </is>
      </c>
      <c r="J1234" s="93" t="n"/>
      <c r="K1234" s="102" t="n"/>
      <c r="L1234" s="102" t="inlineStr">
        <is>
          <t>和上行合并，启停为相同功能</t>
        </is>
      </c>
      <c r="M1234" s="85">
        <f>IF(OR(Y1234="估算法",Y1234="算法类",Y1234="无法识别"),"",IF(W1234="",IF(OR(J1234="EI",J1234="EO",J1234="EQ"),0,""),LEN(W1234)-LEN(SUBSTITUTE(W1234,"、",""))+1))</f>
        <v/>
      </c>
      <c r="N1234" s="85">
        <f>IF(OR(Y1234="估算法",Y1234="算法类",Y1234="无法识别"),"",IF(X1234="",IF(OR(J1234="ILF",J1234="EIF"),0,""),LEN(X1234)-LEN(SUBSTITUTE(X1234,"、",""))+1))</f>
        <v/>
      </c>
      <c r="O1234" s="85">
        <f>IF(OR(Y1234="估算法",Y1234="算法类",Y1234="无法识别"),"",IF(Y1234="",IF(OR(J1234="ILF",J1234="EIF",J1234="EI",J1234="EO",J1234="EQ"),0,""),LEN(Y1234)-LEN(SUBSTITUTE(SUBSTITUTE(SUBSTITUTE(SUBSTITUTE(SUBSTITUTE(Y1234,"|}","--"),"{|","--"),CHAR(10),""),"、",""),"|",""))+IF(AND(OR(J1234="EI",J1234="EO",J1234="EQ"),$AE$1="NESMA"),2,1)))</f>
        <v/>
      </c>
      <c r="P1234" s="86">
        <f>IF(J1234="EI",IF(OR(Y1234="估算法",Y1234="算法类"),"中",IF(Y1234="无法识别","低",IF(M1234&lt;2,IF(O1234&lt;16,"低","中"),IF(M1234&lt;3,IF(O1234&lt;5,"低",IF(O1234&lt;16,"中","高")),IF(O1234&lt;5,"中","高"))))),IF(OR(J1234="EO",J1234="EQ"),IF(OR(Y1234="估算法",Y1234="算法类"),"中",IF(Y1234="无法识别","低",IF(M1234&lt;2,IF(O1234&lt;20,"低","中"),IF(M1234&lt;4,IF(O1234&lt;6,"低",IF(O1234&lt;20,"中","高")),IF(O1234&lt;6,"中","高"))))),IF(OR(J1234="ILF",J1234="EIF"),IF(OR(Y1234="估算法",Y1234="算法类",Y1234="无法识别"),"低",IF(N1234&lt;2,IF(O1234&lt;51,"低","中"),IF(N1234&lt;6,IF(O1234&lt;20,"低",IF(O1234&lt;51,"中","高")),IF(O1234&lt;20,"中","高")))),"不计算")))</f>
        <v/>
      </c>
      <c r="Q1234" s="172">
        <f>IFERROR(IF(J1234="EI",IF(P1234="低",3,IF(P1234="中",4,6)),IF(J1234="EO",IF(P1234="低",4,IF(P1234="中",5,7)),IF(J1234="EQ",IF(P1234="低",3,IF(P1234="中",4,6)),IF(J1234="ILF",IF(P1234="低",7,IF(P1234="中",10,15)),IF(J1234="EIF",IF(P1234="低",5,IF(P1234="中",7,10)),"不计算")))))*R1234,"不计算")</f>
        <v/>
      </c>
      <c r="R1234" s="172" t="n">
        <v>1</v>
      </c>
      <c r="S1234" s="173">
        <f>调整因子!$F$13</f>
        <v/>
      </c>
      <c r="T1234" s="92" t="n">
        <v>1</v>
      </c>
      <c r="U1234" s="174">
        <f>IFERROR(Q1234*S1234,0)</f>
        <v/>
      </c>
      <c r="V1234" s="178">
        <f>U1234*T1234</f>
        <v/>
      </c>
      <c r="W1234" s="103" t="inlineStr">
        <is>
          <t>漏洞处置单表、漏洞统计数据表</t>
        </is>
      </c>
      <c r="X1234" s="103" t="inlineStr"/>
      <c r="Y1234"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234" s="90" t="n"/>
      <c r="AA1234" s="90" t="n"/>
    </row>
    <row r="1235" s="112">
      <c r="A1235" s="72">
        <f>ROW()-1</f>
        <v/>
      </c>
      <c r="B1235" s="175" t="n"/>
      <c r="C1235" s="124" t="n">
        <v>2026</v>
      </c>
      <c r="E1235" s="103" t="n"/>
      <c r="F1235" s="175" t="n"/>
      <c r="G1235" s="175" t="n"/>
      <c r="H1235" s="175" t="n"/>
      <c r="I1235" s="103" t="inlineStr">
        <is>
          <t>关联CVE信息</t>
        </is>
      </c>
      <c r="J1235" s="93" t="n"/>
      <c r="K1235" s="102" t="n"/>
      <c r="L1235" s="102" t="inlineStr">
        <is>
          <t>和编辑合并</t>
        </is>
      </c>
      <c r="M1235" s="85">
        <f>IF(OR(Y1235="估算法",Y1235="算法类",Y1235="无法识别"),"",IF(W1235="",IF(OR(J1235="EI",J1235="EO",J1235="EQ"),0,""),LEN(W1235)-LEN(SUBSTITUTE(W1235,"、",""))+1))</f>
        <v/>
      </c>
      <c r="N1235" s="85">
        <f>IF(OR(Y1235="估算法",Y1235="算法类",Y1235="无法识别"),"",IF(X1235="",IF(OR(J1235="ILF",J1235="EIF"),0,""),LEN(X1235)-LEN(SUBSTITUTE(X1235,"、",""))+1))</f>
        <v/>
      </c>
      <c r="O1235" s="85">
        <f>IF(OR(Y1235="估算法",Y1235="算法类",Y1235="无法识别"),"",IF(Y1235="",IF(OR(J1235="ILF",J1235="EIF",J1235="EI",J1235="EO",J1235="EQ"),0,""),LEN(Y1235)-LEN(SUBSTITUTE(SUBSTITUTE(SUBSTITUTE(SUBSTITUTE(SUBSTITUTE(Y1235,"|}","--"),"{|","--"),CHAR(10),""),"、",""),"|",""))+IF(AND(OR(J1235="EI",J1235="EO",J1235="EQ"),$AE$1="NESMA"),2,1)))</f>
        <v/>
      </c>
      <c r="P1235" s="86">
        <f>IF(J1235="EI",IF(OR(Y1235="估算法",Y1235="算法类"),"中",IF(Y1235="无法识别","低",IF(M1235&lt;2,IF(O1235&lt;16,"低","中"),IF(M1235&lt;3,IF(O1235&lt;5,"低",IF(O1235&lt;16,"中","高")),IF(O1235&lt;5,"中","高"))))),IF(OR(J1235="EO",J1235="EQ"),IF(OR(Y1235="估算法",Y1235="算法类"),"中",IF(Y1235="无法识别","低",IF(M1235&lt;2,IF(O1235&lt;20,"低","中"),IF(M1235&lt;4,IF(O1235&lt;6,"低",IF(O1235&lt;20,"中","高")),IF(O1235&lt;6,"中","高"))))),IF(OR(J1235="ILF",J1235="EIF"),IF(OR(Y1235="估算法",Y1235="算法类",Y1235="无法识别"),"低",IF(N1235&lt;2,IF(O1235&lt;51,"低","中"),IF(N1235&lt;6,IF(O1235&lt;20,"低",IF(O1235&lt;51,"中","高")),IF(O1235&lt;20,"中","高")))),"不计算")))</f>
        <v/>
      </c>
      <c r="Q1235" s="172">
        <f>IFERROR(IF(J1235="EI",IF(P1235="低",3,IF(P1235="中",4,6)),IF(J1235="EO",IF(P1235="低",4,IF(P1235="中",5,7)),IF(J1235="EQ",IF(P1235="低",3,IF(P1235="中",4,6)),IF(J1235="ILF",IF(P1235="低",7,IF(P1235="中",10,15)),IF(J1235="EIF",IF(P1235="低",5,IF(P1235="中",7,10)),"不计算")))))*R1235,"不计算")</f>
        <v/>
      </c>
      <c r="R1235" s="172" t="n">
        <v>1</v>
      </c>
      <c r="S1235" s="173">
        <f>调整因子!$F$13</f>
        <v/>
      </c>
      <c r="T1235" s="92" t="n">
        <v>1</v>
      </c>
      <c r="U1235" s="174">
        <f>IFERROR(Q1235*S1235,0)</f>
        <v/>
      </c>
      <c r="V1235" s="178">
        <f>U1235*T1235</f>
        <v/>
      </c>
      <c r="W1235" s="103" t="inlineStr">
        <is>
          <t>验证配置表</t>
        </is>
      </c>
      <c r="X1235" s="103" t="inlineStr"/>
      <c r="Y1235" s="97" t="inlineStr">
        <is>
          <t>验证配置表{配置ID、配置名称、配置类型、配置值、创建时间|配置ID、配置名称、配置类型}</t>
        </is>
      </c>
      <c r="Z1235" s="90" t="n"/>
      <c r="AA1235" s="90" t="n"/>
    </row>
    <row r="1236" s="112">
      <c r="A1236" s="72">
        <f>ROW()-1</f>
        <v/>
      </c>
      <c r="B1236" s="175" t="n"/>
      <c r="C1236" s="124" t="n">
        <v>2026</v>
      </c>
      <c r="E1236" s="103" t="n"/>
      <c r="F1236" s="175" t="n"/>
      <c r="G1236" s="175" t="n"/>
      <c r="H1236" s="175" t="n"/>
      <c r="I1236" s="103" t="inlineStr">
        <is>
          <t>关联CNVD信息</t>
        </is>
      </c>
      <c r="J1236" s="93" t="n"/>
      <c r="K1236" s="102" t="n"/>
      <c r="L1236" s="102" t="inlineStr">
        <is>
          <t>和编辑合并</t>
        </is>
      </c>
      <c r="M1236" s="85">
        <f>IF(OR(Y1236="估算法",Y1236="算法类",Y1236="无法识别"),"",IF(W1236="",IF(OR(J1236="EI",J1236="EO",J1236="EQ"),0,""),LEN(W1236)-LEN(SUBSTITUTE(W1236,"、",""))+1))</f>
        <v/>
      </c>
      <c r="N1236" s="85">
        <f>IF(OR(Y1236="估算法",Y1236="算法类",Y1236="无法识别"),"",IF(X1236="",IF(OR(J1236="ILF",J1236="EIF"),0,""),LEN(X1236)-LEN(SUBSTITUTE(X1236,"、",""))+1))</f>
        <v/>
      </c>
      <c r="O1236" s="85">
        <f>IF(OR(Y1236="估算法",Y1236="算法类",Y1236="无法识别"),"",IF(Y1236="",IF(OR(J1236="ILF",J1236="EIF",J1236="EI",J1236="EO",J1236="EQ"),0,""),LEN(Y1236)-LEN(SUBSTITUTE(SUBSTITUTE(SUBSTITUTE(SUBSTITUTE(SUBSTITUTE(Y1236,"|}","--"),"{|","--"),CHAR(10),""),"、",""),"|",""))+IF(AND(OR(J1236="EI",J1236="EO",J1236="EQ"),$AE$1="NESMA"),2,1)))</f>
        <v/>
      </c>
      <c r="P1236" s="86">
        <f>IF(J1236="EI",IF(OR(Y1236="估算法",Y1236="算法类"),"中",IF(Y1236="无法识别","低",IF(M1236&lt;2,IF(O1236&lt;16,"低","中"),IF(M1236&lt;3,IF(O1236&lt;5,"低",IF(O1236&lt;16,"中","高")),IF(O1236&lt;5,"中","高"))))),IF(OR(J1236="EO",J1236="EQ"),IF(OR(Y1236="估算法",Y1236="算法类"),"中",IF(Y1236="无法识别","低",IF(M1236&lt;2,IF(O1236&lt;20,"低","中"),IF(M1236&lt;4,IF(O1236&lt;6,"低",IF(O1236&lt;20,"中","高")),IF(O1236&lt;6,"中","高"))))),IF(OR(J1236="ILF",J1236="EIF"),IF(OR(Y1236="估算法",Y1236="算法类",Y1236="无法识别"),"低",IF(N1236&lt;2,IF(O1236&lt;51,"低","中"),IF(N1236&lt;6,IF(O1236&lt;20,"低",IF(O1236&lt;51,"中","高")),IF(O1236&lt;20,"中","高")))),"不计算")))</f>
        <v/>
      </c>
      <c r="Q1236" s="172">
        <f>IFERROR(IF(J1236="EI",IF(P1236="低",3,IF(P1236="中",4,6)),IF(J1236="EO",IF(P1236="低",4,IF(P1236="中",5,7)),IF(J1236="EQ",IF(P1236="低",3,IF(P1236="中",4,6)),IF(J1236="ILF",IF(P1236="低",7,IF(P1236="中",10,15)),IF(J1236="EIF",IF(P1236="低",5,IF(P1236="中",7,10)),"不计算")))))*R1236,"不计算")</f>
        <v/>
      </c>
      <c r="R1236" s="172" t="n">
        <v>1</v>
      </c>
      <c r="S1236" s="173">
        <f>调整因子!$F$13</f>
        <v/>
      </c>
      <c r="T1236" s="93" t="n">
        <v>1</v>
      </c>
      <c r="U1236" s="174">
        <f>IFERROR(Q1236*S1236,0)</f>
        <v/>
      </c>
      <c r="V1236" s="178">
        <f>U1236*T1236</f>
        <v/>
      </c>
      <c r="W1236" s="103" t="inlineStr">
        <is>
          <t>接口监控配置表</t>
        </is>
      </c>
      <c r="X1236" s="103" t="inlineStr"/>
      <c r="Y1236" s="97" t="inlineStr">
        <is>
          <t>接口监控配置表{配置ID、配置名称、配置类型、配置值、创建时间|配置ID、配置名称、配置类型}</t>
        </is>
      </c>
      <c r="Z1236" s="90" t="n"/>
      <c r="AA1236" s="90" t="n"/>
    </row>
    <row r="1237" s="112">
      <c r="A1237" s="72">
        <f>ROW()-1</f>
        <v/>
      </c>
      <c r="B1237" s="175" t="n"/>
      <c r="C1237" s="124" t="n">
        <v>2026</v>
      </c>
      <c r="E1237" s="103" t="n"/>
      <c r="F1237" s="175" t="n"/>
      <c r="G1237" s="175" t="n"/>
      <c r="H1237" s="175" t="n"/>
      <c r="I1237" s="103" t="inlineStr">
        <is>
          <t>导出漏洞知识</t>
        </is>
      </c>
      <c r="J1237" s="93" t="inlineStr">
        <is>
          <t>EO</t>
        </is>
      </c>
      <c r="K1237" s="102" t="n"/>
      <c r="L1237" s="102" t="n"/>
      <c r="M1237" s="85">
        <f>IF(OR(Y1237="估算法",Y1237="算法类",Y1237="无法识别"),"",IF(W1237="",IF(OR(J1237="EI",J1237="EO",J1237="EQ"),0,""),LEN(W1237)-LEN(SUBSTITUTE(W1237,"、",""))+1))</f>
        <v/>
      </c>
      <c r="N1237" s="85">
        <f>IF(OR(Y1237="估算法",Y1237="算法类",Y1237="无法识别"),"",IF(X1237="",IF(OR(J1237="ILF",J1237="EIF"),0,""),LEN(X1237)-LEN(SUBSTITUTE(X1237,"、",""))+1))</f>
        <v/>
      </c>
      <c r="O1237" s="85">
        <f>IF(OR(Y1237="估算法",Y1237="算法类",Y1237="无法识别"),"",IF(Y1237="",IF(OR(J1237="ILF",J1237="EIF",J1237="EI",J1237="EO",J1237="EQ"),0,""),LEN(Y1237)-LEN(SUBSTITUTE(SUBSTITUTE(SUBSTITUTE(SUBSTITUTE(SUBSTITUTE(Y1237,"|}","--"),"{|","--"),CHAR(10),""),"、",""),"|",""))+IF(AND(OR(J1237="EI",J1237="EO",J1237="EQ"),$AE$1="NESMA"),2,1)))</f>
        <v/>
      </c>
      <c r="P1237" s="86">
        <f>IF(J1237="EI",IF(OR(Y1237="估算法",Y1237="算法类"),"中",IF(Y1237="无法识别","低",IF(M1237&lt;2,IF(O1237&lt;16,"低","中"),IF(M1237&lt;3,IF(O1237&lt;5,"低",IF(O1237&lt;16,"中","高")),IF(O1237&lt;5,"中","高"))))),IF(OR(J1237="EO",J1237="EQ"),IF(OR(Y1237="估算法",Y1237="算法类"),"中",IF(Y1237="无法识别","低",IF(M1237&lt;2,IF(O1237&lt;20,"低","中"),IF(M1237&lt;4,IF(O1237&lt;6,"低",IF(O1237&lt;20,"中","高")),IF(O1237&lt;6,"中","高"))))),IF(OR(J1237="ILF",J1237="EIF"),IF(OR(Y1237="估算法",Y1237="算法类",Y1237="无法识别"),"低",IF(N1237&lt;2,IF(O1237&lt;51,"低","中"),IF(N1237&lt;6,IF(O1237&lt;20,"低",IF(O1237&lt;51,"中","高")),IF(O1237&lt;20,"中","高")))),"不计算")))</f>
        <v/>
      </c>
      <c r="Q1237" s="172">
        <f>IFERROR(IF(J1237="EI",IF(P1237="低",3,IF(P1237="中",4,6)),IF(J1237="EO",IF(P1237="低",4,IF(P1237="中",5,7)),IF(J1237="EQ",IF(P1237="低",3,IF(P1237="中",4,6)),IF(J1237="ILF",IF(P1237="低",7,IF(P1237="中",10,15)),IF(J1237="EIF",IF(P1237="低",5,IF(P1237="中",7,10)),"不计算")))))*R1237,"不计算")</f>
        <v/>
      </c>
      <c r="R1237" s="172" t="n">
        <v>1</v>
      </c>
      <c r="S1237" s="173">
        <f>调整因子!$F$13</f>
        <v/>
      </c>
      <c r="T1237" s="93" t="n">
        <v>1</v>
      </c>
      <c r="U1237" s="174">
        <f>IFERROR(Q1237*S1237,0)</f>
        <v/>
      </c>
      <c r="V1237" s="178">
        <f>U1237*T1237</f>
        <v/>
      </c>
      <c r="W1237" s="103" t="inlineStr">
        <is>
          <t>漏洞处置单表、漏洞统计数据表</t>
        </is>
      </c>
      <c r="X1237" s="103" t="inlineStr"/>
      <c r="Y1237" s="97" t="inlineStr">
        <is>
          <t>漏洞处置单表{漏洞ID、漏洞名称|漏洞ID、漏洞名称、漏洞等级、漏洞类型、CVE编号、发现时间、修复状态}
漏洞统计数据表{漏洞ID、漏洞名称|漏洞ID、漏洞名称、漏洞等级、漏洞类型、CVE编号、发现时间、修复状态}</t>
        </is>
      </c>
      <c r="Z1237" s="90" t="n"/>
      <c r="AA1237" s="90" t="n"/>
    </row>
    <row r="1238" s="112">
      <c r="A1238" s="72">
        <f>ROW()-1</f>
        <v/>
      </c>
      <c r="B1238" s="175" t="n"/>
      <c r="C1238" s="124" t="n">
        <v>2026</v>
      </c>
      <c r="E1238" s="103" t="n"/>
      <c r="F1238" s="175" t="n"/>
      <c r="G1238" s="175" t="n"/>
      <c r="H1238" s="175" t="n"/>
      <c r="I1238" s="103" t="inlineStr">
        <is>
          <t>下载知识模板</t>
        </is>
      </c>
      <c r="J1238" s="93" t="inlineStr">
        <is>
          <t>EO</t>
        </is>
      </c>
      <c r="K1238" s="102" t="n"/>
      <c r="L1238" s="102" t="n"/>
      <c r="M1238" s="85">
        <f>IF(OR(Y1238="估算法",Y1238="算法类",Y1238="无法识别"),"",IF(W1238="",IF(OR(J1238="EI",J1238="EO",J1238="EQ"),0,""),LEN(W1238)-LEN(SUBSTITUTE(W1238,"、",""))+1))</f>
        <v/>
      </c>
      <c r="N1238" s="85">
        <f>IF(OR(Y1238="估算法",Y1238="算法类",Y1238="无法识别"),"",IF(X1238="",IF(OR(J1238="ILF",J1238="EIF"),0,""),LEN(X1238)-LEN(SUBSTITUTE(X1238,"、",""))+1))</f>
        <v/>
      </c>
      <c r="O1238" s="85">
        <f>IF(OR(Y1238="估算法",Y1238="算法类",Y1238="无法识别"),"",IF(Y1238="",IF(OR(J1238="ILF",J1238="EIF",J1238="EI",J1238="EO",J1238="EQ"),0,""),LEN(Y1238)-LEN(SUBSTITUTE(SUBSTITUTE(SUBSTITUTE(SUBSTITUTE(SUBSTITUTE(Y1238,"|}","--"),"{|","--"),CHAR(10),""),"、",""),"|",""))+IF(AND(OR(J1238="EI",J1238="EO",J1238="EQ"),$AE$1="NESMA"),2,1)))</f>
        <v/>
      </c>
      <c r="P1238" s="86">
        <f>IF(J1238="EI",IF(OR(Y1238="估算法",Y1238="算法类"),"中",IF(Y1238="无法识别","低",IF(M1238&lt;2,IF(O1238&lt;16,"低","中"),IF(M1238&lt;3,IF(O1238&lt;5,"低",IF(O1238&lt;16,"中","高")),IF(O1238&lt;5,"中","高"))))),IF(OR(J1238="EO",J1238="EQ"),IF(OR(Y1238="估算法",Y1238="算法类"),"中",IF(Y1238="无法识别","低",IF(M1238&lt;2,IF(O1238&lt;20,"低","中"),IF(M1238&lt;4,IF(O1238&lt;6,"低",IF(O1238&lt;20,"中","高")),IF(O1238&lt;6,"中","高"))))),IF(OR(J1238="ILF",J1238="EIF"),IF(OR(Y1238="估算法",Y1238="算法类",Y1238="无法识别"),"低",IF(N1238&lt;2,IF(O1238&lt;51,"低","中"),IF(N1238&lt;6,IF(O1238&lt;20,"低",IF(O1238&lt;51,"中","高")),IF(O1238&lt;20,"中","高")))),"不计算")))</f>
        <v/>
      </c>
      <c r="Q1238" s="172">
        <f>IFERROR(IF(J1238="EI",IF(P1238="低",3,IF(P1238="中",4,6)),IF(J1238="EO",IF(P1238="低",4,IF(P1238="中",5,7)),IF(J1238="EQ",IF(P1238="低",3,IF(P1238="中",4,6)),IF(J1238="ILF",IF(P1238="低",7,IF(P1238="中",10,15)),IF(J1238="EIF",IF(P1238="低",5,IF(P1238="中",7,10)),"不计算")))))*R1238,"不计算")</f>
        <v/>
      </c>
      <c r="R1238" s="172" t="n">
        <v>1</v>
      </c>
      <c r="S1238" s="173">
        <f>调整因子!$F$13</f>
        <v/>
      </c>
      <c r="T1238" s="92" t="n">
        <v>1</v>
      </c>
      <c r="U1238" s="174">
        <f>IFERROR(Q1238*S1238,0)</f>
        <v/>
      </c>
      <c r="V1238" s="178">
        <f>U1238*T1238</f>
        <v/>
      </c>
      <c r="W1238" s="103" t="inlineStr">
        <is>
          <t>漏洞查询接口配置表</t>
        </is>
      </c>
      <c r="X1238" s="103" t="inlineStr"/>
      <c r="Y1238" s="97" t="inlineStr">
        <is>
          <t>漏洞查询接口配置表{漏洞ID、漏洞名称|漏洞ID、漏洞名称、漏洞等级、漏洞类型、CVE编号、发现时间}</t>
        </is>
      </c>
      <c r="Z1238" s="90" t="n"/>
      <c r="AA1238" s="90" t="n"/>
    </row>
    <row r="1239" s="112">
      <c r="A1239" s="72">
        <f>ROW()-1</f>
        <v/>
      </c>
      <c r="B1239" s="175" t="n"/>
      <c r="C1239" s="124" t="n">
        <v>2026</v>
      </c>
      <c r="E1239" s="103" t="n"/>
      <c r="F1239" s="175" t="n"/>
      <c r="G1239" s="175" t="n"/>
      <c r="H1239" s="175" t="n"/>
      <c r="I1239" s="103" t="inlineStr">
        <is>
          <t>查询漏洞知识列表</t>
        </is>
      </c>
      <c r="J1239" s="93" t="inlineStr">
        <is>
          <t>EO</t>
        </is>
      </c>
      <c r="K1239" s="102" t="n"/>
      <c r="L1239" s="102" t="n"/>
      <c r="M1239" s="85">
        <f>IF(OR(Y1239="估算法",Y1239="算法类",Y1239="无法识别"),"",IF(W1239="",IF(OR(J1239="EI",J1239="EO",J1239="EQ"),0,""),LEN(W1239)-LEN(SUBSTITUTE(W1239,"、",""))+1))</f>
        <v/>
      </c>
      <c r="N1239" s="85">
        <f>IF(OR(Y1239="估算法",Y1239="算法类",Y1239="无法识别"),"",IF(X1239="",IF(OR(J1239="ILF",J1239="EIF"),0,""),LEN(X1239)-LEN(SUBSTITUTE(X1239,"、",""))+1))</f>
        <v/>
      </c>
      <c r="O1239" s="85">
        <f>IF(OR(Y1239="估算法",Y1239="算法类",Y1239="无法识别"),"",IF(Y1239="",IF(OR(J1239="ILF",J1239="EIF",J1239="EI",J1239="EO",J1239="EQ"),0,""),LEN(Y1239)-LEN(SUBSTITUTE(SUBSTITUTE(SUBSTITUTE(SUBSTITUTE(SUBSTITUTE(Y1239,"|}","--"),"{|","--"),CHAR(10),""),"、",""),"|",""))+IF(AND(OR(J1239="EI",J1239="EO",J1239="EQ"),$AE$1="NESMA"),2,1)))</f>
        <v/>
      </c>
      <c r="P1239" s="86">
        <f>IF(J1239="EI",IF(OR(Y1239="估算法",Y1239="算法类"),"中",IF(Y1239="无法识别","低",IF(M1239&lt;2,IF(O1239&lt;16,"低","中"),IF(M1239&lt;3,IF(O1239&lt;5,"低",IF(O1239&lt;16,"中","高")),IF(O1239&lt;5,"中","高"))))),IF(OR(J1239="EO",J1239="EQ"),IF(OR(Y1239="估算法",Y1239="算法类"),"中",IF(Y1239="无法识别","低",IF(M1239&lt;2,IF(O1239&lt;20,"低","中"),IF(M1239&lt;4,IF(O1239&lt;6,"低",IF(O1239&lt;20,"中","高")),IF(O1239&lt;6,"中","高"))))),IF(OR(J1239="ILF",J1239="EIF"),IF(OR(Y1239="估算法",Y1239="算法类",Y1239="无法识别"),"低",IF(N1239&lt;2,IF(O1239&lt;51,"低","中"),IF(N1239&lt;6,IF(O1239&lt;20,"低",IF(O1239&lt;51,"中","高")),IF(O1239&lt;20,"中","高")))),"不计算")))</f>
        <v/>
      </c>
      <c r="Q1239" s="172">
        <f>IFERROR(IF(J1239="EI",IF(P1239="低",3,IF(P1239="中",4,6)),IF(J1239="EO",IF(P1239="低",4,IF(P1239="中",5,7)),IF(J1239="EQ",IF(P1239="低",3,IF(P1239="中",4,6)),IF(J1239="ILF",IF(P1239="低",7,IF(P1239="中",10,15)),IF(J1239="EIF",IF(P1239="低",5,IF(P1239="中",7,10)),"不计算")))))*R1239,"不计算")</f>
        <v/>
      </c>
      <c r="R1239" s="172" t="n">
        <v>1</v>
      </c>
      <c r="S1239" s="173">
        <f>调整因子!$F$13</f>
        <v/>
      </c>
      <c r="T1239" s="92" t="n">
        <v>1</v>
      </c>
      <c r="U1239" s="174">
        <f>IFERROR(Q1239*S1239,0)</f>
        <v/>
      </c>
      <c r="V1239" s="178">
        <f>U1239*T1239</f>
        <v/>
      </c>
      <c r="W1239" s="103" t="inlineStr">
        <is>
          <t>漏洞处置单表、漏洞统计数据表</t>
        </is>
      </c>
      <c r="X1239" s="103" t="inlineStr"/>
      <c r="Y1239" s="97" t="inlineStr">
        <is>
          <t>漏洞处置单表{漏洞ID、漏洞名称|漏洞ID、漏洞名称、漏洞等级、漏洞类型、CVE编号、发现时间}
漏洞统计数据表{漏洞ID、漏洞名称|漏洞ID、漏洞名称、漏洞等级、漏洞类型、CVE编号、发现时间}</t>
        </is>
      </c>
      <c r="Z1239" s="90" t="n"/>
      <c r="AA1239" s="90" t="n"/>
    </row>
    <row r="1240" s="112">
      <c r="A1240" s="72">
        <f>ROW()-1</f>
        <v/>
      </c>
      <c r="B1240" s="175" t="n"/>
      <c r="C1240" s="124" t="n">
        <v>2026</v>
      </c>
      <c r="E1240" s="103" t="n"/>
      <c r="F1240" s="175" t="n"/>
      <c r="G1240" s="175" t="n"/>
      <c r="H1240" s="176" t="n"/>
      <c r="I1240" s="103" t="inlineStr">
        <is>
          <t>查看漏洞知识详情</t>
        </is>
      </c>
      <c r="J1240" s="93" t="inlineStr">
        <is>
          <t>EQ</t>
        </is>
      </c>
      <c r="K1240" s="102" t="n"/>
      <c r="L1240" s="102" t="n"/>
      <c r="M1240" s="85">
        <f>IF(OR(Y1240="估算法",Y1240="算法类",Y1240="无法识别"),"",IF(W1240="",IF(OR(J1240="EI",J1240="EO",J1240="EQ"),0,""),LEN(W1240)-LEN(SUBSTITUTE(W1240,"、",""))+1))</f>
        <v/>
      </c>
      <c r="N1240" s="85">
        <f>IF(OR(Y1240="估算法",Y1240="算法类",Y1240="无法识别"),"",IF(X1240="",IF(OR(J1240="ILF",J1240="EIF"),0,""),LEN(X1240)-LEN(SUBSTITUTE(X1240,"、",""))+1))</f>
        <v/>
      </c>
      <c r="O1240" s="85">
        <f>IF(OR(Y1240="估算法",Y1240="算法类",Y1240="无法识别"),"",IF(Y1240="",IF(OR(J1240="ILF",J1240="EIF",J1240="EI",J1240="EO",J1240="EQ"),0,""),LEN(Y1240)-LEN(SUBSTITUTE(SUBSTITUTE(SUBSTITUTE(SUBSTITUTE(SUBSTITUTE(Y1240,"|}","--"),"{|","--"),CHAR(10),""),"、",""),"|",""))+IF(AND(OR(J1240="EI",J1240="EO",J1240="EQ"),$AE$1="NESMA"),2,1)))</f>
        <v/>
      </c>
      <c r="P1240" s="86">
        <f>IF(J1240="EI",IF(OR(Y1240="估算法",Y1240="算法类"),"中",IF(Y1240="无法识别","低",IF(M1240&lt;2,IF(O1240&lt;16,"低","中"),IF(M1240&lt;3,IF(O1240&lt;5,"低",IF(O1240&lt;16,"中","高")),IF(O1240&lt;5,"中","高"))))),IF(OR(J1240="EO",J1240="EQ"),IF(OR(Y1240="估算法",Y1240="算法类"),"中",IF(Y1240="无法识别","低",IF(M1240&lt;2,IF(O1240&lt;20,"低","中"),IF(M1240&lt;4,IF(O1240&lt;6,"低",IF(O1240&lt;20,"中","高")),IF(O1240&lt;6,"中","高"))))),IF(OR(J1240="ILF",J1240="EIF"),IF(OR(Y1240="估算法",Y1240="算法类",Y1240="无法识别"),"低",IF(N1240&lt;2,IF(O1240&lt;51,"低","中"),IF(N1240&lt;6,IF(O1240&lt;20,"低",IF(O1240&lt;51,"中","高")),IF(O1240&lt;20,"中","高")))),"不计算")))</f>
        <v/>
      </c>
      <c r="Q1240" s="172">
        <f>IFERROR(IF(J1240="EI",IF(P1240="低",3,IF(P1240="中",4,6)),IF(J1240="EO",IF(P1240="低",4,IF(P1240="中",5,7)),IF(J1240="EQ",IF(P1240="低",3,IF(P1240="中",4,6)),IF(J1240="ILF",IF(P1240="低",7,IF(P1240="中",10,15)),IF(J1240="EIF",IF(P1240="低",5,IF(P1240="中",7,10)),"不计算")))))*R1240,"不计算")</f>
        <v/>
      </c>
      <c r="R1240" s="172" t="n">
        <v>1</v>
      </c>
      <c r="S1240" s="173">
        <f>调整因子!$F$13</f>
        <v/>
      </c>
      <c r="T1240" s="93" t="n">
        <v>1</v>
      </c>
      <c r="U1240" s="174">
        <f>IFERROR(Q1240*S1240,0)</f>
        <v/>
      </c>
      <c r="V1240" s="178">
        <f>U1240*T1240</f>
        <v/>
      </c>
      <c r="W1240" s="103" t="inlineStr">
        <is>
          <t>漏洞处置单表、漏洞统计数据表</t>
        </is>
      </c>
      <c r="X1240" s="103" t="inlineStr"/>
      <c r="Y1240" s="97" t="inlineStr">
        <is>
          <t>漏洞处置单表{漏洞ID、漏洞名称|漏洞ID、漏洞名称、漏洞等级、漏洞类型、CVE编号、发现时间}
漏洞统计数据表{漏洞ID、漏洞名称|漏洞ID、漏洞名称、漏洞等级、漏洞类型、CVE编号、发现时间}</t>
        </is>
      </c>
      <c r="Z1240" s="90" t="n"/>
      <c r="AA1240" s="90" t="n"/>
    </row>
    <row r="1241" s="112">
      <c r="A1241" s="72">
        <f>ROW()-1</f>
        <v/>
      </c>
      <c r="B1241" s="175" t="n"/>
      <c r="C1241" s="124" t="n">
        <v>2026</v>
      </c>
      <c r="E1241" s="103" t="n"/>
      <c r="F1241" s="175" t="n"/>
      <c r="G1241" s="175" t="n"/>
      <c r="H1241" s="97" t="inlineStr">
        <is>
          <t>漏洞知识审核管理</t>
        </is>
      </c>
      <c r="I1241" s="103" t="inlineStr">
        <is>
          <t>导出审核记录</t>
        </is>
      </c>
      <c r="J1241" s="93" t="inlineStr">
        <is>
          <t>EO</t>
        </is>
      </c>
      <c r="K1241" s="102" t="n"/>
      <c r="L1241" s="102" t="n"/>
      <c r="M1241" s="85">
        <f>IF(OR(Y1241="估算法",Y1241="算法类",Y1241="无法识别"),"",IF(W1241="",IF(OR(J1241="EI",J1241="EO",J1241="EQ"),0,""),LEN(W1241)-LEN(SUBSTITUTE(W1241,"、",""))+1))</f>
        <v/>
      </c>
      <c r="N1241" s="85">
        <f>IF(OR(Y1241="估算法",Y1241="算法类",Y1241="无法识别"),"",IF(X1241="",IF(OR(J1241="ILF",J1241="EIF"),0,""),LEN(X1241)-LEN(SUBSTITUTE(X1241,"、",""))+1))</f>
        <v/>
      </c>
      <c r="O1241" s="85">
        <f>IF(OR(Y1241="估算法",Y1241="算法类",Y1241="无法识别"),"",IF(Y1241="",IF(OR(J1241="ILF",J1241="EIF",J1241="EI",J1241="EO",J1241="EQ"),0,""),LEN(Y1241)-LEN(SUBSTITUTE(SUBSTITUTE(SUBSTITUTE(SUBSTITUTE(SUBSTITUTE(Y1241,"|}","--"),"{|","--"),CHAR(10),""),"、",""),"|",""))+IF(AND(OR(J1241="EI",J1241="EO",J1241="EQ"),$AE$1="NESMA"),2,1)))</f>
        <v/>
      </c>
      <c r="P1241" s="86">
        <f>IF(J1241="EI",IF(OR(Y1241="估算法",Y1241="算法类"),"中",IF(Y1241="无法识别","低",IF(M1241&lt;2,IF(O1241&lt;16,"低","中"),IF(M1241&lt;3,IF(O1241&lt;5,"低",IF(O1241&lt;16,"中","高")),IF(O1241&lt;5,"中","高"))))),IF(OR(J1241="EO",J1241="EQ"),IF(OR(Y1241="估算法",Y1241="算法类"),"中",IF(Y1241="无法识别","低",IF(M1241&lt;2,IF(O1241&lt;20,"低","中"),IF(M1241&lt;4,IF(O1241&lt;6,"低",IF(O1241&lt;20,"中","高")),IF(O1241&lt;6,"中","高"))))),IF(OR(J1241="ILF",J1241="EIF"),IF(OR(Y1241="估算法",Y1241="算法类",Y1241="无法识别"),"低",IF(N1241&lt;2,IF(O1241&lt;51,"低","中"),IF(N1241&lt;6,IF(O1241&lt;20,"低",IF(O1241&lt;51,"中","高")),IF(O1241&lt;20,"中","高")))),"不计算")))</f>
        <v/>
      </c>
      <c r="Q1241" s="172">
        <f>IFERROR(IF(J1241="EI",IF(P1241="低",3,IF(P1241="中",4,6)),IF(J1241="EO",IF(P1241="低",4,IF(P1241="中",5,7)),IF(J1241="EQ",IF(P1241="低",3,IF(P1241="中",4,6)),IF(J1241="ILF",IF(P1241="低",7,IF(P1241="中",10,15)),IF(J1241="EIF",IF(P1241="低",5,IF(P1241="中",7,10)),"不计算")))))*R1241,"不计算")</f>
        <v/>
      </c>
      <c r="R1241" s="172" t="n">
        <v>1</v>
      </c>
      <c r="S1241" s="173">
        <f>调整因子!$F$13</f>
        <v/>
      </c>
      <c r="T1241" s="92" t="n">
        <v>1</v>
      </c>
      <c r="U1241" s="174">
        <f>IFERROR(Q1241*S1241,0)</f>
        <v/>
      </c>
      <c r="V1241" s="178">
        <f>U1241*T1241</f>
        <v/>
      </c>
      <c r="W1241" s="103" t="inlineStr">
        <is>
          <t>推送对象表</t>
        </is>
      </c>
      <c r="X1241" s="103" t="inlineStr"/>
      <c r="Y1241" s="97" t="inlineStr">
        <is>
          <t>推送对象表{ID、名称|ID、名称、类型、状态、创建时间、更新时间}</t>
        </is>
      </c>
      <c r="Z1241" s="90" t="n"/>
      <c r="AA1241" s="90" t="n"/>
    </row>
    <row r="1242" s="112">
      <c r="A1242" s="72">
        <f>ROW()-1</f>
        <v/>
      </c>
      <c r="B1242" s="175" t="n"/>
      <c r="C1242" s="124" t="n">
        <v>2026</v>
      </c>
      <c r="E1242" s="103" t="n"/>
      <c r="F1242" s="175" t="n"/>
      <c r="G1242" s="175" t="n"/>
      <c r="H1242" s="175" t="n"/>
      <c r="I1242" s="103" t="inlineStr">
        <is>
          <t>查询待审核列表</t>
        </is>
      </c>
      <c r="J1242" s="93" t="inlineStr">
        <is>
          <t>EO</t>
        </is>
      </c>
      <c r="K1242" s="102" t="n"/>
      <c r="L1242" s="102" t="n"/>
      <c r="M1242" s="85">
        <f>IF(OR(Y1242="估算法",Y1242="算法类",Y1242="无法识别"),"",IF(W1242="",IF(OR(J1242="EI",J1242="EO",J1242="EQ"),0,""),LEN(W1242)-LEN(SUBSTITUTE(W1242,"、",""))+1))</f>
        <v/>
      </c>
      <c r="N1242" s="85">
        <f>IF(OR(Y1242="估算法",Y1242="算法类",Y1242="无法识别"),"",IF(X1242="",IF(OR(J1242="ILF",J1242="EIF"),0,""),LEN(X1242)-LEN(SUBSTITUTE(X1242,"、",""))+1))</f>
        <v/>
      </c>
      <c r="O1242" s="85">
        <f>IF(OR(Y1242="估算法",Y1242="算法类",Y1242="无法识别"),"",IF(Y1242="",IF(OR(J1242="ILF",J1242="EIF",J1242="EI",J1242="EO",J1242="EQ"),0,""),LEN(Y1242)-LEN(SUBSTITUTE(SUBSTITUTE(SUBSTITUTE(SUBSTITUTE(SUBSTITUTE(Y1242,"|}","--"),"{|","--"),CHAR(10),""),"、",""),"|",""))+IF(AND(OR(J1242="EI",J1242="EO",J1242="EQ"),$AE$1="NESMA"),2,1)))</f>
        <v/>
      </c>
      <c r="P1242" s="86">
        <f>IF(J1242="EI",IF(OR(Y1242="估算法",Y1242="算法类"),"中",IF(Y1242="无法识别","低",IF(M1242&lt;2,IF(O1242&lt;16,"低","中"),IF(M1242&lt;3,IF(O1242&lt;5,"低",IF(O1242&lt;16,"中","高")),IF(O1242&lt;5,"中","高"))))),IF(OR(J1242="EO",J1242="EQ"),IF(OR(Y1242="估算法",Y1242="算法类"),"中",IF(Y1242="无法识别","低",IF(M1242&lt;2,IF(O1242&lt;20,"低","中"),IF(M1242&lt;4,IF(O1242&lt;6,"低",IF(O1242&lt;20,"中","高")),IF(O1242&lt;6,"中","高"))))),IF(OR(J1242="ILF",J1242="EIF"),IF(OR(Y1242="估算法",Y1242="算法类",Y1242="无法识别"),"低",IF(N1242&lt;2,IF(O1242&lt;51,"低","中"),IF(N1242&lt;6,IF(O1242&lt;20,"低",IF(O1242&lt;51,"中","高")),IF(O1242&lt;20,"中","高")))),"不计算")))</f>
        <v/>
      </c>
      <c r="Q1242" s="172">
        <f>IFERROR(IF(J1242="EI",IF(P1242="低",3,IF(P1242="中",4,6)),IF(J1242="EO",IF(P1242="低",4,IF(P1242="中",5,7)),IF(J1242="EQ",IF(P1242="低",3,IF(P1242="中",4,6)),IF(J1242="ILF",IF(P1242="低",7,IF(P1242="中",10,15)),IF(J1242="EIF",IF(P1242="低",5,IF(P1242="中",7,10)),"不计算")))))*R1242,"不计算")</f>
        <v/>
      </c>
      <c r="R1242" s="172" t="n">
        <v>1</v>
      </c>
      <c r="S1242" s="173">
        <f>调整因子!$F$13</f>
        <v/>
      </c>
      <c r="T1242" s="92" t="n">
        <v>1</v>
      </c>
      <c r="U1242" s="174">
        <f>IFERROR(Q1242*S1242,0)</f>
        <v/>
      </c>
      <c r="V1242" s="178">
        <f>U1242*T1242</f>
        <v/>
      </c>
      <c r="W1242" s="103" t="inlineStr">
        <is>
          <t>加密规则表</t>
        </is>
      </c>
      <c r="X1242" s="103" t="inlineStr"/>
      <c r="Y1242" s="97" t="inlineStr">
        <is>
          <t>加密规则表{规则ID、规则名称|规则ID、规则名称、规则类型、规则条件、创建时间}</t>
        </is>
      </c>
      <c r="Z1242" s="90" t="n"/>
      <c r="AA1242" s="90" t="n"/>
    </row>
    <row r="1243" s="112">
      <c r="A1243" s="72">
        <f>ROW()-1</f>
        <v/>
      </c>
      <c r="B1243" s="175" t="n"/>
      <c r="C1243" s="124" t="n">
        <v>2026</v>
      </c>
      <c r="E1243" s="103" t="n"/>
      <c r="F1243" s="175" t="n"/>
      <c r="G1243" s="175" t="n"/>
      <c r="H1243" s="176" t="n"/>
      <c r="I1243" s="103" t="inlineStr">
        <is>
          <t>查看审核历史</t>
        </is>
      </c>
      <c r="J1243" s="93" t="inlineStr">
        <is>
          <t>EQ</t>
        </is>
      </c>
      <c r="K1243" s="102" t="n"/>
      <c r="L1243" s="102" t="n"/>
      <c r="M1243" s="85">
        <f>IF(OR(Y1243="估算法",Y1243="算法类",Y1243="无法识别"),"",IF(W1243="",IF(OR(J1243="EI",J1243="EO",J1243="EQ"),0,""),LEN(W1243)-LEN(SUBSTITUTE(W1243,"、",""))+1))</f>
        <v/>
      </c>
      <c r="N1243" s="85">
        <f>IF(OR(Y1243="估算法",Y1243="算法类",Y1243="无法识别"),"",IF(X1243="",IF(OR(J1243="ILF",J1243="EIF"),0,""),LEN(X1243)-LEN(SUBSTITUTE(X1243,"、",""))+1))</f>
        <v/>
      </c>
      <c r="O1243" s="85">
        <f>IF(OR(Y1243="估算法",Y1243="算法类",Y1243="无法识别"),"",IF(Y1243="",IF(OR(J1243="ILF",J1243="EIF",J1243="EI",J1243="EO",J1243="EQ"),0,""),LEN(Y1243)-LEN(SUBSTITUTE(SUBSTITUTE(SUBSTITUTE(SUBSTITUTE(SUBSTITUTE(Y1243,"|}","--"),"{|","--"),CHAR(10),""),"、",""),"|",""))+IF(AND(OR(J1243="EI",J1243="EO",J1243="EQ"),$AE$1="NESMA"),2,1)))</f>
        <v/>
      </c>
      <c r="P1243" s="86">
        <f>IF(J1243="EI",IF(OR(Y1243="估算法",Y1243="算法类"),"中",IF(Y1243="无法识别","低",IF(M1243&lt;2,IF(O1243&lt;16,"低","中"),IF(M1243&lt;3,IF(O1243&lt;5,"低",IF(O1243&lt;16,"中","高")),IF(O1243&lt;5,"中","高"))))),IF(OR(J1243="EO",J1243="EQ"),IF(OR(Y1243="估算法",Y1243="算法类"),"中",IF(Y1243="无法识别","低",IF(M1243&lt;2,IF(O1243&lt;20,"低","中"),IF(M1243&lt;4,IF(O1243&lt;6,"低",IF(O1243&lt;20,"中","高")),IF(O1243&lt;6,"中","高"))))),IF(OR(J1243="ILF",J1243="EIF"),IF(OR(Y1243="估算法",Y1243="算法类",Y1243="无法识别"),"低",IF(N1243&lt;2,IF(O1243&lt;51,"低","中"),IF(N1243&lt;6,IF(O1243&lt;20,"低",IF(O1243&lt;51,"中","高")),IF(O1243&lt;20,"中","高")))),"不计算")))</f>
        <v/>
      </c>
      <c r="Q1243" s="172">
        <f>IFERROR(IF(J1243="EI",IF(P1243="低",3,IF(P1243="中",4,6)),IF(J1243="EO",IF(P1243="低",4,IF(P1243="中",5,7)),IF(J1243="EQ",IF(P1243="低",3,IF(P1243="中",4,6)),IF(J1243="ILF",IF(P1243="低",7,IF(P1243="中",10,15)),IF(J1243="EIF",IF(P1243="低",5,IF(P1243="中",7,10)),"不计算")))))*R1243,"不计算")</f>
        <v/>
      </c>
      <c r="R1243" s="172" t="n">
        <v>1</v>
      </c>
      <c r="S1243" s="173">
        <f>调整因子!$F$13</f>
        <v/>
      </c>
      <c r="T1243" s="93" t="n">
        <v>1</v>
      </c>
      <c r="U1243" s="174">
        <f>IFERROR(Q1243*S1243,0)</f>
        <v/>
      </c>
      <c r="V1243" s="178">
        <f>U1243*T1243</f>
        <v/>
      </c>
      <c r="W1243" s="103" t="inlineStr">
        <is>
          <t>方案审批表</t>
        </is>
      </c>
      <c r="X1243" s="103" t="inlineStr"/>
      <c r="Y1243" s="97" t="inlineStr">
        <is>
          <t>方案审批表{ID、名称|ID、名称、类型、状态、创建时间、更新时间}</t>
        </is>
      </c>
      <c r="Z1243" s="90" t="n"/>
      <c r="AA1243" s="90" t="n"/>
    </row>
    <row r="1244" s="112">
      <c r="A1244" s="72">
        <f>ROW()-1</f>
        <v/>
      </c>
      <c r="B1244" s="175" t="n"/>
      <c r="C1244" s="124" t="n">
        <v>2026</v>
      </c>
      <c r="E1244" s="103" t="n"/>
      <c r="F1244" s="175" t="n"/>
      <c r="G1244" s="175" t="n"/>
      <c r="H1244" s="97" t="inlineStr">
        <is>
          <t>漏洞知识发布管理</t>
        </is>
      </c>
      <c r="I1244" s="103" t="inlineStr">
        <is>
          <t>推送知识通知</t>
        </is>
      </c>
      <c r="J1244" s="93" t="inlineStr">
        <is>
          <t>EO</t>
        </is>
      </c>
      <c r="K1244" s="102" t="n"/>
      <c r="L1244" s="102" t="n"/>
      <c r="M1244" s="85">
        <f>IF(OR(Y1244="估算法",Y1244="算法类",Y1244="无法识别"),"",IF(W1244="",IF(OR(J1244="EI",J1244="EO",J1244="EQ"),0,""),LEN(W1244)-LEN(SUBSTITUTE(W1244,"、",""))+1))</f>
        <v/>
      </c>
      <c r="N1244" s="85">
        <f>IF(OR(Y1244="估算法",Y1244="算法类",Y1244="无法识别"),"",IF(X1244="",IF(OR(J1244="ILF",J1244="EIF"),0,""),LEN(X1244)-LEN(SUBSTITUTE(X1244,"、",""))+1))</f>
        <v/>
      </c>
      <c r="O1244" s="85">
        <f>IF(OR(Y1244="估算法",Y1244="算法类",Y1244="无法识别"),"",IF(Y1244="",IF(OR(J1244="ILF",J1244="EIF",J1244="EI",J1244="EO",J1244="EQ"),0,""),LEN(Y1244)-LEN(SUBSTITUTE(SUBSTITUTE(SUBSTITUTE(SUBSTITUTE(SUBSTITUTE(Y1244,"|}","--"),"{|","--"),CHAR(10),""),"、",""),"|",""))+IF(AND(OR(J1244="EI",J1244="EO",J1244="EQ"),$AE$1="NESMA"),2,1)))</f>
        <v/>
      </c>
      <c r="P1244" s="86">
        <f>IF(J1244="EI",IF(OR(Y1244="估算法",Y1244="算法类"),"中",IF(Y1244="无法识别","低",IF(M1244&lt;2,IF(O1244&lt;16,"低","中"),IF(M1244&lt;3,IF(O1244&lt;5,"低",IF(O1244&lt;16,"中","高")),IF(O1244&lt;5,"中","高"))))),IF(OR(J1244="EO",J1244="EQ"),IF(OR(Y1244="估算法",Y1244="算法类"),"中",IF(Y1244="无法识别","低",IF(M1244&lt;2,IF(O1244&lt;20,"低","中"),IF(M1244&lt;4,IF(O1244&lt;6,"低",IF(O1244&lt;20,"中","高")),IF(O1244&lt;6,"中","高"))))),IF(OR(J1244="ILF",J1244="EIF"),IF(OR(Y1244="估算法",Y1244="算法类",Y1244="无法识别"),"低",IF(N1244&lt;2,IF(O1244&lt;51,"低","中"),IF(N1244&lt;6,IF(O1244&lt;20,"低",IF(O1244&lt;51,"中","高")),IF(O1244&lt;20,"中","高")))),"不计算")))</f>
        <v/>
      </c>
      <c r="Q1244" s="172">
        <f>IFERROR(IF(J1244="EI",IF(P1244="低",3,IF(P1244="中",4,6)),IF(J1244="EO",IF(P1244="低",4,IF(P1244="中",5,7)),IF(J1244="EQ",IF(P1244="低",3,IF(P1244="中",4,6)),IF(J1244="ILF",IF(P1244="低",7,IF(P1244="中",10,15)),IF(J1244="EIF",IF(P1244="低",5,IF(P1244="中",7,10)),"不计算")))))*R1244,"不计算")</f>
        <v/>
      </c>
      <c r="R1244" s="172" t="n">
        <v>1</v>
      </c>
      <c r="S1244" s="173">
        <f>调整因子!$F$13</f>
        <v/>
      </c>
      <c r="T1244" s="93" t="n">
        <v>1</v>
      </c>
      <c r="U1244" s="174">
        <f>IFERROR(Q1244*S1244,0)</f>
        <v/>
      </c>
      <c r="V1244" s="178">
        <f>U1244*T1244</f>
        <v/>
      </c>
      <c r="W1244" s="103" t="inlineStr">
        <is>
          <t>任务统计数据表、方案审批表</t>
        </is>
      </c>
      <c r="X1244" s="103" t="inlineStr"/>
      <c r="Y1244" s="97" t="inlineStr">
        <is>
          <t>任务统计数据表{任务ID、任务名称|任务ID、任务名称、任务类型、任务状态、创建时间}
方案审批表{ID、名称|ID、名称、类型、状态、创建时间}</t>
        </is>
      </c>
      <c r="Z1244" s="90" t="n"/>
      <c r="AA1244" s="90" t="n"/>
    </row>
    <row r="1245" s="112">
      <c r="A1245" s="72">
        <f>ROW()-1</f>
        <v/>
      </c>
      <c r="B1245" s="175" t="n"/>
      <c r="C1245" s="124" t="n">
        <v>2026</v>
      </c>
      <c r="E1245" s="103" t="n"/>
      <c r="F1245" s="175" t="n"/>
      <c r="G1245" s="175" t="n"/>
      <c r="H1245" s="175" t="n"/>
      <c r="I1245" s="103" t="inlineStr">
        <is>
          <t>导出发布记录</t>
        </is>
      </c>
      <c r="J1245" s="93" t="inlineStr">
        <is>
          <t>EO</t>
        </is>
      </c>
      <c r="K1245" s="102" t="n"/>
      <c r="L1245" s="102" t="n"/>
      <c r="M1245" s="85">
        <f>IF(OR(Y1245="估算法",Y1245="算法类",Y1245="无法识别"),"",IF(W1245="",IF(OR(J1245="EI",J1245="EO",J1245="EQ"),0,""),LEN(W1245)-LEN(SUBSTITUTE(W1245,"、",""))+1))</f>
        <v/>
      </c>
      <c r="N1245" s="85">
        <f>IF(OR(Y1245="估算法",Y1245="算法类",Y1245="无法识别"),"",IF(X1245="",IF(OR(J1245="ILF",J1245="EIF"),0,""),LEN(X1245)-LEN(SUBSTITUTE(X1245,"、",""))+1))</f>
        <v/>
      </c>
      <c r="O1245" s="85">
        <f>IF(OR(Y1245="估算法",Y1245="算法类",Y1245="无法识别"),"",IF(Y1245="",IF(OR(J1245="ILF",J1245="EIF",J1245="EI",J1245="EO",J1245="EQ"),0,""),LEN(Y1245)-LEN(SUBSTITUTE(SUBSTITUTE(SUBSTITUTE(SUBSTITUTE(SUBSTITUTE(Y1245,"|}","--"),"{|","--"),CHAR(10),""),"、",""),"|",""))+IF(AND(OR(J1245="EI",J1245="EO",J1245="EQ"),$AE$1="NESMA"),2,1)))</f>
        <v/>
      </c>
      <c r="P1245" s="86">
        <f>IF(J1245="EI",IF(OR(Y1245="估算法",Y1245="算法类"),"中",IF(Y1245="无法识别","低",IF(M1245&lt;2,IF(O1245&lt;16,"低","中"),IF(M1245&lt;3,IF(O1245&lt;5,"低",IF(O1245&lt;16,"中","高")),IF(O1245&lt;5,"中","高"))))),IF(OR(J1245="EO",J1245="EQ"),IF(OR(Y1245="估算法",Y1245="算法类"),"中",IF(Y1245="无法识别","低",IF(M1245&lt;2,IF(O1245&lt;20,"低","中"),IF(M1245&lt;4,IF(O1245&lt;6,"低",IF(O1245&lt;20,"中","高")),IF(O1245&lt;6,"中","高"))))),IF(OR(J1245="ILF",J1245="EIF"),IF(OR(Y1245="估算法",Y1245="算法类",Y1245="无法识别"),"低",IF(N1245&lt;2,IF(O1245&lt;51,"低","中"),IF(N1245&lt;6,IF(O1245&lt;20,"低",IF(O1245&lt;51,"中","高")),IF(O1245&lt;20,"中","高")))),"不计算")))</f>
        <v/>
      </c>
      <c r="Q1245" s="172">
        <f>IFERROR(IF(J1245="EI",IF(P1245="低",3,IF(P1245="中",4,6)),IF(J1245="EO",IF(P1245="低",4,IF(P1245="中",5,7)),IF(J1245="EQ",IF(P1245="低",3,IF(P1245="中",4,6)),IF(J1245="ILF",IF(P1245="低",7,IF(P1245="中",10,15)),IF(J1245="EIF",IF(P1245="低",5,IF(P1245="中",7,10)),"不计算")))))*R1245,"不计算")</f>
        <v/>
      </c>
      <c r="R1245" s="172" t="n">
        <v>1</v>
      </c>
      <c r="S1245" s="173">
        <f>调整因子!$F$13</f>
        <v/>
      </c>
      <c r="T1245" s="92" t="n">
        <v>1</v>
      </c>
      <c r="U1245" s="174">
        <f>IFERROR(Q1245*S1245,0)</f>
        <v/>
      </c>
      <c r="V1245" s="178">
        <f>U1245*T1245</f>
        <v/>
      </c>
      <c r="W1245" s="103" t="inlineStr">
        <is>
          <t>加密算法表、故障诊断结果表</t>
        </is>
      </c>
      <c r="X1245" s="103" t="inlineStr"/>
      <c r="Y1245" s="97" t="inlineStr">
        <is>
          <t>加密算法表{ID、名称|ID、名称、类型、状态、创建时间、更新时间}
故障诊断结果表{ID、名称|ID、名称、类型、状态、创建时间、更新时间}</t>
        </is>
      </c>
      <c r="Z1245" s="90" t="n"/>
      <c r="AA1245" s="90" t="n"/>
    </row>
    <row r="1246" s="112">
      <c r="A1246" s="72">
        <f>ROW()-1</f>
        <v/>
      </c>
      <c r="B1246" s="175" t="n"/>
      <c r="C1246" s="124" t="n">
        <v>2026</v>
      </c>
      <c r="E1246" s="103" t="n"/>
      <c r="F1246" s="175" t="n"/>
      <c r="G1246" s="175" t="n"/>
      <c r="H1246" s="175" t="n"/>
      <c r="I1246" s="103" t="inlineStr">
        <is>
          <t>查询发布列表</t>
        </is>
      </c>
      <c r="J1246" s="93" t="inlineStr">
        <is>
          <t>EO</t>
        </is>
      </c>
      <c r="K1246" s="102" t="n"/>
      <c r="L1246" s="102" t="n"/>
      <c r="M1246" s="85">
        <f>IF(OR(Y1246="估算法",Y1246="算法类",Y1246="无法识别"),"",IF(W1246="",IF(OR(J1246="EI",J1246="EO",J1246="EQ"),0,""),LEN(W1246)-LEN(SUBSTITUTE(W1246,"、",""))+1))</f>
        <v/>
      </c>
      <c r="N1246" s="85">
        <f>IF(OR(Y1246="估算法",Y1246="算法类",Y1246="无法识别"),"",IF(X1246="",IF(OR(J1246="ILF",J1246="EIF"),0,""),LEN(X1246)-LEN(SUBSTITUTE(X1246,"、",""))+1))</f>
        <v/>
      </c>
      <c r="O1246" s="85">
        <f>IF(OR(Y1246="估算法",Y1246="算法类",Y1246="无法识别"),"",IF(Y1246="",IF(OR(J1246="ILF",J1246="EIF",J1246="EI",J1246="EO",J1246="EQ"),0,""),LEN(Y1246)-LEN(SUBSTITUTE(SUBSTITUTE(SUBSTITUTE(SUBSTITUTE(SUBSTITUTE(Y1246,"|}","--"),"{|","--"),CHAR(10),""),"、",""),"|",""))+IF(AND(OR(J1246="EI",J1246="EO",J1246="EQ"),$AE$1="NESMA"),2,1)))</f>
        <v/>
      </c>
      <c r="P1246" s="86">
        <f>IF(J1246="EI",IF(OR(Y1246="估算法",Y1246="算法类"),"中",IF(Y1246="无法识别","低",IF(M1246&lt;2,IF(O1246&lt;16,"低","中"),IF(M1246&lt;3,IF(O1246&lt;5,"低",IF(O1246&lt;16,"中","高")),IF(O1246&lt;5,"中","高"))))),IF(OR(J1246="EO",J1246="EQ"),IF(OR(Y1246="估算法",Y1246="算法类"),"中",IF(Y1246="无法识别","低",IF(M1246&lt;2,IF(O1246&lt;20,"低","中"),IF(M1246&lt;4,IF(O1246&lt;6,"低",IF(O1246&lt;20,"中","高")),IF(O1246&lt;6,"中","高"))))),IF(OR(J1246="ILF",J1246="EIF"),IF(OR(Y1246="估算法",Y1246="算法类",Y1246="无法识别"),"低",IF(N1246&lt;2,IF(O1246&lt;51,"低","中"),IF(N1246&lt;6,IF(O1246&lt;20,"低",IF(O1246&lt;51,"中","高")),IF(O1246&lt;20,"中","高")))),"不计算")))</f>
        <v/>
      </c>
      <c r="Q1246" s="172">
        <f>IFERROR(IF(J1246="EI",IF(P1246="低",3,IF(P1246="中",4,6)),IF(J1246="EO",IF(P1246="低",4,IF(P1246="中",5,7)),IF(J1246="EQ",IF(P1246="低",3,IF(P1246="中",4,6)),IF(J1246="ILF",IF(P1246="低",7,IF(P1246="中",10,15)),IF(J1246="EIF",IF(P1246="低",5,IF(P1246="中",7,10)),"不计算")))))*R1246,"不计算")</f>
        <v/>
      </c>
      <c r="R1246" s="172" t="n">
        <v>1</v>
      </c>
      <c r="S1246" s="173">
        <f>调整因子!$F$13</f>
        <v/>
      </c>
      <c r="T1246" s="92" t="n">
        <v>1</v>
      </c>
      <c r="U1246" s="174">
        <f>IFERROR(Q1246*S1246,0)</f>
        <v/>
      </c>
      <c r="V1246" s="178">
        <f>U1246*T1246</f>
        <v/>
      </c>
      <c r="W1246" s="103" t="inlineStr">
        <is>
          <t>报告解析结果表、模板配置表</t>
        </is>
      </c>
      <c r="X1246" s="103" t="inlineStr"/>
      <c r="Y1246" s="97" t="inlineStr">
        <is>
          <t>报告解析结果表{ID、名称|ID、名称、类型、状态、创建时间、更新时间}
模板配置表{配置ID、配置名称|配置ID、配置名称、配置类型、配置值、创建时间}</t>
        </is>
      </c>
      <c r="Z1246" s="90" t="n"/>
      <c r="AA1246" s="90" t="n"/>
    </row>
    <row r="1247" s="112">
      <c r="A1247" s="72">
        <f>ROW()-1</f>
        <v/>
      </c>
      <c r="B1247" s="175" t="n"/>
      <c r="C1247" s="124" t="n">
        <v>2026</v>
      </c>
      <c r="E1247" s="103" t="n"/>
      <c r="F1247" s="175" t="n"/>
      <c r="G1247" s="176" t="n"/>
      <c r="H1247" s="176" t="n"/>
      <c r="I1247" s="103" t="inlineStr">
        <is>
          <t>查看发布详情</t>
        </is>
      </c>
      <c r="J1247" s="93" t="inlineStr">
        <is>
          <t>EQ</t>
        </is>
      </c>
      <c r="K1247" s="102" t="n"/>
      <c r="L1247" s="102" t="n"/>
      <c r="M1247" s="85">
        <f>IF(OR(Y1247="估算法",Y1247="算法类",Y1247="无法识别"),"",IF(W1247="",IF(OR(J1247="EI",J1247="EO",J1247="EQ"),0,""),LEN(W1247)-LEN(SUBSTITUTE(W1247,"、",""))+1))</f>
        <v/>
      </c>
      <c r="N1247" s="85">
        <f>IF(OR(Y1247="估算法",Y1247="算法类",Y1247="无法识别"),"",IF(X1247="",IF(OR(J1247="ILF",J1247="EIF"),0,""),LEN(X1247)-LEN(SUBSTITUTE(X1247,"、",""))+1))</f>
        <v/>
      </c>
      <c r="O1247" s="85">
        <f>IF(OR(Y1247="估算法",Y1247="算法类",Y1247="无法识别"),"",IF(Y1247="",IF(OR(J1247="ILF",J1247="EIF",J1247="EI",J1247="EO",J1247="EQ"),0,""),LEN(Y1247)-LEN(SUBSTITUTE(SUBSTITUTE(SUBSTITUTE(SUBSTITUTE(SUBSTITUTE(Y1247,"|}","--"),"{|","--"),CHAR(10),""),"、",""),"|",""))+IF(AND(OR(J1247="EI",J1247="EO",J1247="EQ"),$AE$1="NESMA"),2,1)))</f>
        <v/>
      </c>
      <c r="P1247" s="86">
        <f>IF(J1247="EI",IF(OR(Y1247="估算法",Y1247="算法类"),"中",IF(Y1247="无法识别","低",IF(M1247&lt;2,IF(O1247&lt;16,"低","中"),IF(M1247&lt;3,IF(O1247&lt;5,"低",IF(O1247&lt;16,"中","高")),IF(O1247&lt;5,"中","高"))))),IF(OR(J1247="EO",J1247="EQ"),IF(OR(Y1247="估算法",Y1247="算法类"),"中",IF(Y1247="无法识别","低",IF(M1247&lt;2,IF(O1247&lt;20,"低","中"),IF(M1247&lt;4,IF(O1247&lt;6,"低",IF(O1247&lt;20,"中","高")),IF(O1247&lt;6,"中","高"))))),IF(OR(J1247="ILF",J1247="EIF"),IF(OR(Y1247="估算法",Y1247="算法类",Y1247="无法识别"),"低",IF(N1247&lt;2,IF(O1247&lt;51,"低","中"),IF(N1247&lt;6,IF(O1247&lt;20,"低",IF(O1247&lt;51,"中","高")),IF(O1247&lt;20,"中","高")))),"不计算")))</f>
        <v/>
      </c>
      <c r="Q1247" s="172">
        <f>IFERROR(IF(J1247="EI",IF(P1247="低",3,IF(P1247="中",4,6)),IF(J1247="EO",IF(P1247="低",4,IF(P1247="中",5,7)),IF(J1247="EQ",IF(P1247="低",3,IF(P1247="中",4,6)),IF(J1247="ILF",IF(P1247="低",7,IF(P1247="中",10,15)),IF(J1247="EIF",IF(P1247="低",5,IF(P1247="中",7,10)),"不计算")))))*R1247,"不计算")</f>
        <v/>
      </c>
      <c r="R1247" s="172" t="n">
        <v>1</v>
      </c>
      <c r="S1247" s="173">
        <f>调整因子!$F$13</f>
        <v/>
      </c>
      <c r="T1247" s="93" t="n">
        <v>1</v>
      </c>
      <c r="U1247" s="174">
        <f>IFERROR(Q1247*S1247,0)</f>
        <v/>
      </c>
      <c r="V1247" s="178">
        <f>U1247*T1247</f>
        <v/>
      </c>
      <c r="W1247" s="103" t="inlineStr">
        <is>
          <t>加密规则表</t>
        </is>
      </c>
      <c r="X1247" s="103" t="inlineStr"/>
      <c r="Y1247" s="97" t="inlineStr">
        <is>
          <t>加密规则表{规则ID、规则名称|规则ID、规则名称、规则类型、规则条件、创建时间}</t>
        </is>
      </c>
      <c r="Z1247" s="90" t="n"/>
      <c r="AA1247" s="90" t="n"/>
    </row>
    <row r="1248" s="112">
      <c r="A1248" s="72">
        <f>ROW()-1</f>
        <v/>
      </c>
      <c r="B1248" s="175" t="n"/>
      <c r="C1248" s="124" t="n">
        <v>2026</v>
      </c>
      <c r="E1248" s="103" t="n"/>
      <c r="F1248" s="175" t="n"/>
      <c r="G1248" s="97" t="inlineStr">
        <is>
          <t>漏洞补丁管理</t>
        </is>
      </c>
      <c r="H1248" s="97" t="inlineStr">
        <is>
          <t>修复方案创建管理</t>
        </is>
      </c>
      <c r="I1248" s="103" t="inlineStr">
        <is>
          <t>修复方案表</t>
        </is>
      </c>
      <c r="J1248" s="93" t="inlineStr">
        <is>
          <t>ILF</t>
        </is>
      </c>
      <c r="K1248" s="102" t="n"/>
      <c r="L1248" s="102" t="n"/>
      <c r="M1248" s="85">
        <f>IF(OR(Y1248="估算法",Y1248="算法类",Y1248="无法识别"),"",IF(W1248="",IF(OR(J1248="EI",J1248="EO",J1248="EQ"),0,""),LEN(W1248)-LEN(SUBSTITUTE(W1248,"、",""))+1))</f>
        <v/>
      </c>
      <c r="N1248" s="85">
        <f>IF(OR(Y1248="估算法",Y1248="算法类",Y1248="无法识别"),"",IF(X1248="",IF(OR(J1248="ILF",J1248="EIF"),0,""),LEN(X1248)-LEN(SUBSTITUTE(X1248,"、",""))+1))</f>
        <v/>
      </c>
      <c r="O1248" s="85">
        <f>IF(OR(Y1248="估算法",Y1248="算法类",Y1248="无法识别"),"",IF(Y1248="",IF(OR(J1248="ILF",J1248="EIF",J1248="EI",J1248="EO",J1248="EQ"),0,""),LEN(Y1248)-LEN(SUBSTITUTE(SUBSTITUTE(SUBSTITUTE(SUBSTITUTE(SUBSTITUTE(Y1248,"|}","--"),"{|","--"),CHAR(10),""),"、",""),"|",""))+IF(AND(OR(J1248="EI",J1248="EO",J1248="EQ"),$AE$1="NESMA"),2,1)))</f>
        <v/>
      </c>
      <c r="P1248" s="86">
        <f>IF(J1248="EI",IF(OR(Y1248="估算法",Y1248="算法类"),"中",IF(Y1248="无法识别","低",IF(M1248&lt;2,IF(O1248&lt;16,"低","中"),IF(M1248&lt;3,IF(O1248&lt;5,"低",IF(O1248&lt;16,"中","高")),IF(O1248&lt;5,"中","高"))))),IF(OR(J1248="EO",J1248="EQ"),IF(OR(Y1248="估算法",Y1248="算法类"),"中",IF(Y1248="无法识别","低",IF(M1248&lt;2,IF(O1248&lt;20,"低","中"),IF(M1248&lt;4,IF(O1248&lt;6,"低",IF(O1248&lt;20,"中","高")),IF(O1248&lt;6,"中","高"))))),IF(OR(J1248="ILF",J1248="EIF"),IF(OR(Y1248="估算法",Y1248="算法类",Y1248="无法识别"),"低",IF(N1248&lt;2,IF(O1248&lt;51,"低","中"),IF(N1248&lt;6,IF(O1248&lt;20,"低",IF(O1248&lt;51,"中","高")),IF(O1248&lt;20,"中","高")))),"不计算")))</f>
        <v/>
      </c>
      <c r="Q1248" s="172">
        <f>IFERROR(IF(J1248="EI",IF(P1248="低",3,IF(P1248="中",4,6)),IF(J1248="EO",IF(P1248="低",4,IF(P1248="中",5,7)),IF(J1248="EQ",IF(P1248="低",3,IF(P1248="中",4,6)),IF(J1248="ILF",IF(P1248="低",7,IF(P1248="中",10,15)),IF(J1248="EIF",IF(P1248="低",5,IF(P1248="中",7,10)),"不计算")))))*R1248,"不计算")</f>
        <v/>
      </c>
      <c r="R1248" s="172" t="n">
        <v>1</v>
      </c>
      <c r="S1248" s="173">
        <f>调整因子!$F$13</f>
        <v/>
      </c>
      <c r="T1248" s="92" t="n">
        <v>1</v>
      </c>
      <c r="U1248" s="174">
        <f>IFERROR(Q1248*S1248,0)</f>
        <v/>
      </c>
      <c r="V1248" s="178">
        <f>U1248*T1248</f>
        <v/>
      </c>
      <c r="W1248" s="103" t="inlineStr"/>
      <c r="X1248" s="103" t="inlineStr">
        <is>
          <t>数据记录</t>
        </is>
      </c>
      <c r="Y1248" s="97" t="inlineStr">
        <is>
          <t>修复方案表{ID、名称、类型|ID、名称、类型、状态、创建时间、更新时间}</t>
        </is>
      </c>
      <c r="Z1248" s="90">
        <f>IF(COUNTIFS(W:W,"*"&amp;I1248&amp;"*")&gt;0,"存在","不存在")</f>
        <v/>
      </c>
      <c r="AA1248" s="90">
        <f>IF(COUNTIFS(AB:AB,"*"&amp;I1248&amp;"*")&gt;0,"存在","不存在")</f>
        <v/>
      </c>
    </row>
    <row r="1249" s="112">
      <c r="A1249" s="72">
        <f>ROW()-1</f>
        <v/>
      </c>
      <c r="B1249" s="175" t="n"/>
      <c r="C1249" s="124" t="n">
        <v>2026</v>
      </c>
      <c r="E1249" s="103" t="n"/>
      <c r="F1249" s="175" t="n"/>
      <c r="G1249" s="175" t="n"/>
      <c r="H1249" s="175" t="n"/>
      <c r="I1249" s="103" t="inlineStr">
        <is>
          <t>修复步骤表</t>
        </is>
      </c>
      <c r="J1249" s="93" t="inlineStr">
        <is>
          <t>ILF</t>
        </is>
      </c>
      <c r="K1249" s="102" t="n"/>
      <c r="L1249" s="102" t="n"/>
      <c r="M1249" s="85">
        <f>IF(OR(Y1249="估算法",Y1249="算法类",Y1249="无法识别"),"",IF(W1249="",IF(OR(J1249="EI",J1249="EO",J1249="EQ"),0,""),LEN(W1249)-LEN(SUBSTITUTE(W1249,"、",""))+1))</f>
        <v/>
      </c>
      <c r="N1249" s="85">
        <f>IF(OR(Y1249="估算法",Y1249="算法类",Y1249="无法识别"),"",IF(X1249="",IF(OR(J1249="ILF",J1249="EIF"),0,""),LEN(X1249)-LEN(SUBSTITUTE(X1249,"、",""))+1))</f>
        <v/>
      </c>
      <c r="O1249" s="85">
        <f>IF(OR(Y1249="估算法",Y1249="算法类",Y1249="无法识别"),"",IF(Y1249="",IF(OR(J1249="ILF",J1249="EIF",J1249="EI",J1249="EO",J1249="EQ"),0,""),LEN(Y1249)-LEN(SUBSTITUTE(SUBSTITUTE(SUBSTITUTE(SUBSTITUTE(SUBSTITUTE(Y1249,"|}","--"),"{|","--"),CHAR(10),""),"、",""),"|",""))+IF(AND(OR(J1249="EI",J1249="EO",J1249="EQ"),$AE$1="NESMA"),2,1)))</f>
        <v/>
      </c>
      <c r="P1249" s="86">
        <f>IF(J1249="EI",IF(OR(Y1249="估算法",Y1249="算法类"),"中",IF(Y1249="无法识别","低",IF(M1249&lt;2,IF(O1249&lt;16,"低","中"),IF(M1249&lt;3,IF(O1249&lt;5,"低",IF(O1249&lt;16,"中","高")),IF(O1249&lt;5,"中","高"))))),IF(OR(J1249="EO",J1249="EQ"),IF(OR(Y1249="估算法",Y1249="算法类"),"中",IF(Y1249="无法识别","低",IF(M1249&lt;2,IF(O1249&lt;20,"低","中"),IF(M1249&lt;4,IF(O1249&lt;6,"低",IF(O1249&lt;20,"中","高")),IF(O1249&lt;6,"中","高"))))),IF(OR(J1249="ILF",J1249="EIF"),IF(OR(Y1249="估算法",Y1249="算法类",Y1249="无法识别"),"低",IF(N1249&lt;2,IF(O1249&lt;51,"低","中"),IF(N1249&lt;6,IF(O1249&lt;20,"低",IF(O1249&lt;51,"中","高")),IF(O1249&lt;20,"中","高")))),"不计算")))</f>
        <v/>
      </c>
      <c r="Q1249" s="172">
        <f>IFERROR(IF(J1249="EI",IF(P1249="低",3,IF(P1249="中",4,6)),IF(J1249="EO",IF(P1249="低",4,IF(P1249="中",5,7)),IF(J1249="EQ",IF(P1249="低",3,IF(P1249="中",4,6)),IF(J1249="ILF",IF(P1249="低",7,IF(P1249="中",10,15)),IF(J1249="EIF",IF(P1249="低",5,IF(P1249="中",7,10)),"不计算")))))*R1249,"不计算")</f>
        <v/>
      </c>
      <c r="R1249" s="172" t="n">
        <v>1</v>
      </c>
      <c r="S1249" s="173">
        <f>调整因子!$F$13</f>
        <v/>
      </c>
      <c r="T1249" s="92" t="n">
        <v>1</v>
      </c>
      <c r="U1249" s="174">
        <f>IFERROR(Q1249*S1249,0)</f>
        <v/>
      </c>
      <c r="V1249" s="178">
        <f>U1249*T1249</f>
        <v/>
      </c>
      <c r="W1249" s="103" t="inlineStr"/>
      <c r="X1249" s="103" t="inlineStr">
        <is>
          <t>数据记录</t>
        </is>
      </c>
      <c r="Y1249" s="97" t="inlineStr">
        <is>
          <t>修复步骤表{ID、名称、类型|ID、名称、类型、状态、创建时间、更新时间}</t>
        </is>
      </c>
      <c r="Z1249" s="90">
        <f>IF(COUNTIFS(W:W,"*"&amp;I1249&amp;"*")&gt;0,"存在","不存在")</f>
        <v/>
      </c>
      <c r="AA1249" s="90">
        <f>IF(COUNTIFS(AB:AB,"*"&amp;I1249&amp;"*")&gt;0,"存在","不存在")</f>
        <v/>
      </c>
    </row>
    <row r="1250" s="112">
      <c r="A1250" s="72">
        <f>ROW()-1</f>
        <v/>
      </c>
      <c r="B1250" s="175" t="n"/>
      <c r="C1250" s="124" t="n">
        <v>2026</v>
      </c>
      <c r="E1250" s="103" t="n"/>
      <c r="F1250" s="175" t="n"/>
      <c r="G1250" s="175" t="n"/>
      <c r="H1250" s="175" t="n"/>
      <c r="I1250" s="103" t="inlineStr">
        <is>
          <t>编辑修复方案</t>
        </is>
      </c>
      <c r="J1250" s="93" t="inlineStr">
        <is>
          <t>EI</t>
        </is>
      </c>
      <c r="K1250" s="102" t="n"/>
      <c r="L1250" s="102" t="n"/>
      <c r="M1250" s="85">
        <f>IF(OR(Y1250="估算法",Y1250="算法类",Y1250="无法识别"),"",IF(W1250="",IF(OR(J1250="EI",J1250="EO",J1250="EQ"),0,""),LEN(W1250)-LEN(SUBSTITUTE(W1250,"、",""))+1))</f>
        <v/>
      </c>
      <c r="N1250" s="85">
        <f>IF(OR(Y1250="估算法",Y1250="算法类",Y1250="无法识别"),"",IF(X1250="",IF(OR(J1250="ILF",J1250="EIF"),0,""),LEN(X1250)-LEN(SUBSTITUTE(X1250,"、",""))+1))</f>
        <v/>
      </c>
      <c r="O1250" s="85">
        <f>IF(OR(Y1250="估算法",Y1250="算法类",Y1250="无法识别"),"",IF(Y1250="",IF(OR(J1250="ILF",J1250="EIF",J1250="EI",J1250="EO",J1250="EQ"),0,""),LEN(Y1250)-LEN(SUBSTITUTE(SUBSTITUTE(SUBSTITUTE(SUBSTITUTE(SUBSTITUTE(Y1250,"|}","--"),"{|","--"),CHAR(10),""),"、",""),"|",""))+IF(AND(OR(J1250="EI",J1250="EO",J1250="EQ"),$AE$1="NESMA"),2,1)))</f>
        <v/>
      </c>
      <c r="P1250" s="86">
        <f>IF(J1250="EI",IF(OR(Y1250="估算法",Y1250="算法类"),"中",IF(Y1250="无法识别","低",IF(M1250&lt;2,IF(O1250&lt;16,"低","中"),IF(M1250&lt;3,IF(O1250&lt;5,"低",IF(O1250&lt;16,"中","高")),IF(O1250&lt;5,"中","高"))))),IF(OR(J1250="EO",J1250="EQ"),IF(OR(Y1250="估算法",Y1250="算法类"),"中",IF(Y1250="无法识别","低",IF(M1250&lt;2,IF(O1250&lt;20,"低","中"),IF(M1250&lt;4,IF(O1250&lt;6,"低",IF(O1250&lt;20,"中","高")),IF(O1250&lt;6,"中","高"))))),IF(OR(J1250="ILF",J1250="EIF"),IF(OR(Y1250="估算法",Y1250="算法类",Y1250="无法识别"),"低",IF(N1250&lt;2,IF(O1250&lt;51,"低","中"),IF(N1250&lt;6,IF(O1250&lt;20,"低",IF(O1250&lt;51,"中","高")),IF(O1250&lt;20,"中","高")))),"不计算")))</f>
        <v/>
      </c>
      <c r="Q1250" s="172">
        <f>IFERROR(IF(J1250="EI",IF(P1250="低",3,IF(P1250="中",4,6)),IF(J1250="EO",IF(P1250="低",4,IF(P1250="中",5,7)),IF(J1250="EQ",IF(P1250="低",3,IF(P1250="中",4,6)),IF(J1250="ILF",IF(P1250="低",7,IF(P1250="中",10,15)),IF(J1250="EIF",IF(P1250="低",5,IF(P1250="中",7,10)),"不计算")))))*R1250,"不计算")</f>
        <v/>
      </c>
      <c r="R1250" s="172" t="n">
        <v>1</v>
      </c>
      <c r="S1250" s="173">
        <f>调整因子!$F$13</f>
        <v/>
      </c>
      <c r="T1250" s="93" t="n">
        <v>1</v>
      </c>
      <c r="U1250" s="174">
        <f>IFERROR(Q1250*S1250,0)</f>
        <v/>
      </c>
      <c r="V1250" s="178">
        <f>U1250*T1250</f>
        <v/>
      </c>
      <c r="W1250" s="103" t="inlineStr">
        <is>
          <t>验证记录表</t>
        </is>
      </c>
      <c r="X1250" s="103" t="inlineStr"/>
      <c r="Y1250" s="97" t="inlineStr">
        <is>
          <t>验证记录表{ID、名称、类型、状态、创建时间、更新时间|ID、名称、类型}</t>
        </is>
      </c>
      <c r="Z1250" s="90" t="n"/>
      <c r="AA1250" s="90" t="n"/>
    </row>
    <row r="1251" s="112">
      <c r="A1251" s="72">
        <f>ROW()-1</f>
        <v/>
      </c>
      <c r="B1251" s="175" t="n"/>
      <c r="C1251" s="124" t="n">
        <v>2026</v>
      </c>
      <c r="E1251" s="103" t="n"/>
      <c r="F1251" s="175" t="n"/>
      <c r="G1251" s="175" t="n"/>
      <c r="H1251" s="175" t="n"/>
      <c r="I1251" s="103" t="inlineStr">
        <is>
          <t>删除修复方案</t>
        </is>
      </c>
      <c r="J1251" s="93" t="inlineStr">
        <is>
          <t>EI</t>
        </is>
      </c>
      <c r="K1251" s="102" t="n"/>
      <c r="L1251" s="102" t="n"/>
      <c r="M1251" s="85">
        <f>IF(OR(Y1251="估算法",Y1251="算法类",Y1251="无法识别"),"",IF(W1251="",IF(OR(J1251="EI",J1251="EO",J1251="EQ"),0,""),LEN(W1251)-LEN(SUBSTITUTE(W1251,"、",""))+1))</f>
        <v/>
      </c>
      <c r="N1251" s="85">
        <f>IF(OR(Y1251="估算法",Y1251="算法类",Y1251="无法识别"),"",IF(X1251="",IF(OR(J1251="ILF",J1251="EIF"),0,""),LEN(X1251)-LEN(SUBSTITUTE(X1251,"、",""))+1))</f>
        <v/>
      </c>
      <c r="O1251" s="85">
        <f>IF(OR(Y1251="估算法",Y1251="算法类",Y1251="无法识别"),"",IF(Y1251="",IF(OR(J1251="ILF",J1251="EIF",J1251="EI",J1251="EO",J1251="EQ"),0,""),LEN(Y1251)-LEN(SUBSTITUTE(SUBSTITUTE(SUBSTITUTE(SUBSTITUTE(SUBSTITUTE(Y1251,"|}","--"),"{|","--"),CHAR(10),""),"、",""),"|",""))+IF(AND(OR(J1251="EI",J1251="EO",J1251="EQ"),$AE$1="NESMA"),2,1)))</f>
        <v/>
      </c>
      <c r="P1251" s="86">
        <f>IF(J1251="EI",IF(OR(Y1251="估算法",Y1251="算法类"),"中",IF(Y1251="无法识别","低",IF(M1251&lt;2,IF(O1251&lt;16,"低","中"),IF(M1251&lt;3,IF(O1251&lt;5,"低",IF(O1251&lt;16,"中","高")),IF(O1251&lt;5,"中","高"))))),IF(OR(J1251="EO",J1251="EQ"),IF(OR(Y1251="估算法",Y1251="算法类"),"中",IF(Y1251="无法识别","低",IF(M1251&lt;2,IF(O1251&lt;20,"低","中"),IF(M1251&lt;4,IF(O1251&lt;6,"低",IF(O1251&lt;20,"中","高")),IF(O1251&lt;6,"中","高"))))),IF(OR(J1251="ILF",J1251="EIF"),IF(OR(Y1251="估算法",Y1251="算法类",Y1251="无法识别"),"低",IF(N1251&lt;2,IF(O1251&lt;51,"低","中"),IF(N1251&lt;6,IF(O1251&lt;20,"低",IF(O1251&lt;51,"中","高")),IF(O1251&lt;20,"中","高")))),"不计算")))</f>
        <v/>
      </c>
      <c r="Q1251" s="172">
        <f>IFERROR(IF(J1251="EI",IF(P1251="低",3,IF(P1251="中",4,6)),IF(J1251="EO",IF(P1251="低",4,IF(P1251="中",5,7)),IF(J1251="EQ",IF(P1251="低",3,IF(P1251="中",4,6)),IF(J1251="ILF",IF(P1251="低",7,IF(P1251="中",10,15)),IF(J1251="EIF",IF(P1251="低",5,IF(P1251="中",7,10)),"不计算")))))*R1251,"不计算")</f>
        <v/>
      </c>
      <c r="R1251" s="172" t="n">
        <v>0.333333333333333</v>
      </c>
      <c r="S1251" s="173">
        <f>调整因子!$F$13</f>
        <v/>
      </c>
      <c r="T1251" s="93" t="n">
        <v>1</v>
      </c>
      <c r="U1251" s="174">
        <f>IFERROR(Q1251*S1251,0)</f>
        <v/>
      </c>
      <c r="V1251" s="178">
        <f>U1251*T1251</f>
        <v/>
      </c>
      <c r="W1251" s="103" t="inlineStr">
        <is>
          <t>模板分类表</t>
        </is>
      </c>
      <c r="X1251" s="103" t="inlineStr"/>
      <c r="Y1251" s="97" t="inlineStr">
        <is>
          <t>模板分类表{ID、名称、类型、状态、创建时间、更新时间|ID、名称、类型}</t>
        </is>
      </c>
      <c r="Z1251" s="90" t="n"/>
      <c r="AA1251" s="90" t="n"/>
    </row>
    <row r="1252" s="112">
      <c r="A1252" s="72">
        <f>ROW()-1</f>
        <v/>
      </c>
      <c r="B1252" s="175" t="n"/>
      <c r="C1252" s="124" t="n">
        <v>2026</v>
      </c>
      <c r="E1252" s="103" t="n"/>
      <c r="F1252" s="175" t="n"/>
      <c r="G1252" s="175" t="n"/>
      <c r="H1252" s="175" t="n"/>
      <c r="I1252" s="103" t="inlineStr">
        <is>
          <t>导出修复方案</t>
        </is>
      </c>
      <c r="J1252" s="93" t="inlineStr">
        <is>
          <t>EO</t>
        </is>
      </c>
      <c r="K1252" s="102" t="n"/>
      <c r="L1252" s="102" t="n"/>
      <c r="M1252" s="85">
        <f>IF(OR(Y1252="估算法",Y1252="算法类",Y1252="无法识别"),"",IF(W1252="",IF(OR(J1252="EI",J1252="EO",J1252="EQ"),0,""),LEN(W1252)-LEN(SUBSTITUTE(W1252,"、",""))+1))</f>
        <v/>
      </c>
      <c r="N1252" s="85">
        <f>IF(OR(Y1252="估算法",Y1252="算法类",Y1252="无法识别"),"",IF(X1252="",IF(OR(J1252="ILF",J1252="EIF"),0,""),LEN(X1252)-LEN(SUBSTITUTE(X1252,"、",""))+1))</f>
        <v/>
      </c>
      <c r="O1252" s="85">
        <f>IF(OR(Y1252="估算法",Y1252="算法类",Y1252="无法识别"),"",IF(Y1252="",IF(OR(J1252="ILF",J1252="EIF",J1252="EI",J1252="EO",J1252="EQ"),0,""),LEN(Y1252)-LEN(SUBSTITUTE(SUBSTITUTE(SUBSTITUTE(SUBSTITUTE(SUBSTITUTE(Y1252,"|}","--"),"{|","--"),CHAR(10),""),"、",""),"|",""))+IF(AND(OR(J1252="EI",J1252="EO",J1252="EQ"),$AE$1="NESMA"),2,1)))</f>
        <v/>
      </c>
      <c r="P1252" s="86">
        <f>IF(J1252="EI",IF(OR(Y1252="估算法",Y1252="算法类"),"中",IF(Y1252="无法识别","低",IF(M1252&lt;2,IF(O1252&lt;16,"低","中"),IF(M1252&lt;3,IF(O1252&lt;5,"低",IF(O1252&lt;16,"中","高")),IF(O1252&lt;5,"中","高"))))),IF(OR(J1252="EO",J1252="EQ"),IF(OR(Y1252="估算法",Y1252="算法类"),"中",IF(Y1252="无法识别","低",IF(M1252&lt;2,IF(O1252&lt;20,"低","中"),IF(M1252&lt;4,IF(O1252&lt;6,"低",IF(O1252&lt;20,"中","高")),IF(O1252&lt;6,"中","高"))))),IF(OR(J1252="ILF",J1252="EIF"),IF(OR(Y1252="估算法",Y1252="算法类",Y1252="无法识别"),"低",IF(N1252&lt;2,IF(O1252&lt;51,"低","中"),IF(N1252&lt;6,IF(O1252&lt;20,"低",IF(O1252&lt;51,"中","高")),IF(O1252&lt;20,"中","高")))),"不计算")))</f>
        <v/>
      </c>
      <c r="Q1252" s="172">
        <f>IFERROR(IF(J1252="EI",IF(P1252="低",3,IF(P1252="中",4,6)),IF(J1252="EO",IF(P1252="低",4,IF(P1252="中",5,7)),IF(J1252="EQ",IF(P1252="低",3,IF(P1252="中",4,6)),IF(J1252="ILF",IF(P1252="低",7,IF(P1252="中",10,15)),IF(J1252="EIF",IF(P1252="低",5,IF(P1252="中",7,10)),"不计算")))))*R1252,"不计算")</f>
        <v/>
      </c>
      <c r="R1252" s="172" t="n">
        <v>1</v>
      </c>
      <c r="S1252" s="173">
        <f>调整因子!$F$13</f>
        <v/>
      </c>
      <c r="T1252" s="92" t="n">
        <v>1</v>
      </c>
      <c r="U1252" s="174">
        <f>IFERROR(Q1252*S1252,0)</f>
        <v/>
      </c>
      <c r="V1252" s="178">
        <f>U1252*T1252</f>
        <v/>
      </c>
      <c r="W1252" s="103" t="inlineStr">
        <is>
          <t>处置单配置表、标签分类表</t>
        </is>
      </c>
      <c r="X1252" s="103" t="inlineStr"/>
      <c r="Y1252" s="97" t="inlineStr">
        <is>
          <t>处置单配置表{配置ID、配置名称|配置ID、配置名称、配置类型、配置值、创建时间}
标签分类表{ID、名称|ID、名称、类型、状态、创建时间、更新时间}</t>
        </is>
      </c>
      <c r="Z1252" s="90" t="n"/>
      <c r="AA1252" s="90" t="n"/>
    </row>
    <row r="1253" s="112">
      <c r="A1253" s="72">
        <f>ROW()-1</f>
        <v/>
      </c>
      <c r="B1253" s="175" t="n"/>
      <c r="C1253" s="124" t="n">
        <v>2026</v>
      </c>
      <c r="E1253" s="103" t="n"/>
      <c r="F1253" s="175" t="n"/>
      <c r="G1253" s="175" t="n"/>
      <c r="H1253" s="175" t="n"/>
      <c r="I1253" s="103" t="inlineStr">
        <is>
          <t>下载方案模板</t>
        </is>
      </c>
      <c r="J1253" s="93" t="inlineStr">
        <is>
          <t>EO</t>
        </is>
      </c>
      <c r="K1253" s="102" t="n"/>
      <c r="L1253" s="102" t="n"/>
      <c r="M1253" s="85">
        <f>IF(OR(Y1253="估算法",Y1253="算法类",Y1253="无法识别"),"",IF(W1253="",IF(OR(J1253="EI",J1253="EO",J1253="EQ"),0,""),LEN(W1253)-LEN(SUBSTITUTE(W1253,"、",""))+1))</f>
        <v/>
      </c>
      <c r="N1253" s="85">
        <f>IF(OR(Y1253="估算法",Y1253="算法类",Y1253="无法识别"),"",IF(X1253="",IF(OR(J1253="ILF",J1253="EIF"),0,""),LEN(X1253)-LEN(SUBSTITUTE(X1253,"、",""))+1))</f>
        <v/>
      </c>
      <c r="O1253" s="85">
        <f>IF(OR(Y1253="估算法",Y1253="算法类",Y1253="无法识别"),"",IF(Y1253="",IF(OR(J1253="ILF",J1253="EIF",J1253="EI",J1253="EO",J1253="EQ"),0,""),LEN(Y1253)-LEN(SUBSTITUTE(SUBSTITUTE(SUBSTITUTE(SUBSTITUTE(SUBSTITUTE(Y1253,"|}","--"),"{|","--"),CHAR(10),""),"、",""),"|",""))+IF(AND(OR(J1253="EI",J1253="EO",J1253="EQ"),$AE$1="NESMA"),2,1)))</f>
        <v/>
      </c>
      <c r="P1253" s="86">
        <f>IF(J1253="EI",IF(OR(Y1253="估算法",Y1253="算法类"),"中",IF(Y1253="无法识别","低",IF(M1253&lt;2,IF(O1253&lt;16,"低","中"),IF(M1253&lt;3,IF(O1253&lt;5,"低",IF(O1253&lt;16,"中","高")),IF(O1253&lt;5,"中","高"))))),IF(OR(J1253="EO",J1253="EQ"),IF(OR(Y1253="估算法",Y1253="算法类"),"中",IF(Y1253="无法识别","低",IF(M1253&lt;2,IF(O1253&lt;20,"低","中"),IF(M1253&lt;4,IF(O1253&lt;6,"低",IF(O1253&lt;20,"中","高")),IF(O1253&lt;6,"中","高"))))),IF(OR(J1253="ILF",J1253="EIF"),IF(OR(Y1253="估算法",Y1253="算法类",Y1253="无法识别"),"低",IF(N1253&lt;2,IF(O1253&lt;51,"低","中"),IF(N1253&lt;6,IF(O1253&lt;20,"低",IF(O1253&lt;51,"中","高")),IF(O1253&lt;20,"中","高")))),"不计算")))</f>
        <v/>
      </c>
      <c r="Q1253" s="172">
        <f>IFERROR(IF(J1253="EI",IF(P1253="低",3,IF(P1253="中",4,6)),IF(J1253="EO",IF(P1253="低",4,IF(P1253="中",5,7)),IF(J1253="EQ",IF(P1253="低",3,IF(P1253="中",4,6)),IF(J1253="ILF",IF(P1253="低",7,IF(P1253="中",10,15)),IF(J1253="EIF",IF(P1253="低",5,IF(P1253="中",7,10)),"不计算")))))*R1253,"不计算")</f>
        <v/>
      </c>
      <c r="R1253" s="172" t="n">
        <v>1</v>
      </c>
      <c r="S1253" s="173">
        <f>调整因子!$F$13</f>
        <v/>
      </c>
      <c r="T1253" s="92" t="n">
        <v>1</v>
      </c>
      <c r="U1253" s="174">
        <f>IFERROR(Q1253*S1253,0)</f>
        <v/>
      </c>
      <c r="V1253" s="178">
        <f>U1253*T1253</f>
        <v/>
      </c>
      <c r="W1253" s="103" t="inlineStr">
        <is>
          <t>审计日志表</t>
        </is>
      </c>
      <c r="X1253" s="103" t="inlineStr"/>
      <c r="Y1253" s="97" t="inlineStr">
        <is>
          <t>审计日志表{日志ID、操作人|日志ID、操作人、操作类型、操作时间、操作内容}</t>
        </is>
      </c>
      <c r="Z1253" s="90" t="n"/>
      <c r="AA1253" s="90" t="n"/>
    </row>
    <row r="1254" s="112">
      <c r="A1254" s="72">
        <f>ROW()-1</f>
        <v/>
      </c>
      <c r="B1254" s="175" t="n"/>
      <c r="C1254" s="124" t="n">
        <v>2026</v>
      </c>
      <c r="E1254" s="103" t="n"/>
      <c r="F1254" s="175" t="n"/>
      <c r="G1254" s="175" t="n"/>
      <c r="H1254" s="175" t="n"/>
      <c r="I1254" s="103" t="inlineStr">
        <is>
          <t>查询方案列表</t>
        </is>
      </c>
      <c r="J1254" s="93" t="inlineStr">
        <is>
          <t>EO</t>
        </is>
      </c>
      <c r="K1254" s="102" t="n"/>
      <c r="L1254" s="102" t="n"/>
      <c r="M1254" s="85">
        <f>IF(OR(Y1254="估算法",Y1254="算法类",Y1254="无法识别"),"",IF(W1254="",IF(OR(J1254="EI",J1254="EO",J1254="EQ"),0,""),LEN(W1254)-LEN(SUBSTITUTE(W1254,"、",""))+1))</f>
        <v/>
      </c>
      <c r="N1254" s="85">
        <f>IF(OR(Y1254="估算法",Y1254="算法类",Y1254="无法识别"),"",IF(X1254="",IF(OR(J1254="ILF",J1254="EIF"),0,""),LEN(X1254)-LEN(SUBSTITUTE(X1254,"、",""))+1))</f>
        <v/>
      </c>
      <c r="O1254" s="85">
        <f>IF(OR(Y1254="估算法",Y1254="算法类",Y1254="无法识别"),"",IF(Y1254="",IF(OR(J1254="ILF",J1254="EIF",J1254="EI",J1254="EO",J1254="EQ"),0,""),LEN(Y1254)-LEN(SUBSTITUTE(SUBSTITUTE(SUBSTITUTE(SUBSTITUTE(SUBSTITUTE(Y1254,"|}","--"),"{|","--"),CHAR(10),""),"、",""),"|",""))+IF(AND(OR(J1254="EI",J1254="EO",J1254="EQ"),$AE$1="NESMA"),2,1)))</f>
        <v/>
      </c>
      <c r="P1254" s="86">
        <f>IF(J1254="EI",IF(OR(Y1254="估算法",Y1254="算法类"),"中",IF(Y1254="无法识别","低",IF(M1254&lt;2,IF(O1254&lt;16,"低","中"),IF(M1254&lt;3,IF(O1254&lt;5,"低",IF(O1254&lt;16,"中","高")),IF(O1254&lt;5,"中","高"))))),IF(OR(J1254="EO",J1254="EQ"),IF(OR(Y1254="估算法",Y1254="算法类"),"中",IF(Y1254="无法识别","低",IF(M1254&lt;2,IF(O1254&lt;20,"低","中"),IF(M1254&lt;4,IF(O1254&lt;6,"低",IF(O1254&lt;20,"中","高")),IF(O1254&lt;6,"中","高"))))),IF(OR(J1254="ILF",J1254="EIF"),IF(OR(Y1254="估算法",Y1254="算法类",Y1254="无法识别"),"低",IF(N1254&lt;2,IF(O1254&lt;51,"低","中"),IF(N1254&lt;6,IF(O1254&lt;20,"低",IF(O1254&lt;51,"中","高")),IF(O1254&lt;20,"中","高")))),"不计算")))</f>
        <v/>
      </c>
      <c r="Q1254" s="172">
        <f>IFERROR(IF(J1254="EI",IF(P1254="低",3,IF(P1254="中",4,6)),IF(J1254="EO",IF(P1254="低",4,IF(P1254="中",5,7)),IF(J1254="EQ",IF(P1254="低",3,IF(P1254="中",4,6)),IF(J1254="ILF",IF(P1254="低",7,IF(P1254="中",10,15)),IF(J1254="EIF",IF(P1254="低",5,IF(P1254="中",7,10)),"不计算")))))*R1254,"不计算")</f>
        <v/>
      </c>
      <c r="R1254" s="172" t="n">
        <v>1</v>
      </c>
      <c r="S1254" s="173">
        <f>调整因子!$F$13</f>
        <v/>
      </c>
      <c r="T1254" s="93" t="n">
        <v>1</v>
      </c>
      <c r="U1254" s="174">
        <f>IFERROR(Q1254*S1254,0)</f>
        <v/>
      </c>
      <c r="V1254" s="178">
        <f>U1254*T1254</f>
        <v/>
      </c>
      <c r="W1254" s="103" t="inlineStr">
        <is>
          <t>脱敏规则表</t>
        </is>
      </c>
      <c r="X1254" s="103" t="inlineStr"/>
      <c r="Y1254" s="97" t="inlineStr">
        <is>
          <t>脱敏规则表{规则ID、规则名称|规则ID、规则名称、规则类型、规则条件、创建时间}</t>
        </is>
      </c>
      <c r="Z1254" s="90" t="n"/>
      <c r="AA1254" s="90" t="n"/>
    </row>
    <row r="1255" s="112">
      <c r="A1255" s="72">
        <f>ROW()-1</f>
        <v/>
      </c>
      <c r="B1255" s="175" t="n"/>
      <c r="C1255" s="124" t="n">
        <v>2026</v>
      </c>
      <c r="E1255" s="103" t="n"/>
      <c r="F1255" s="175" t="n"/>
      <c r="G1255" s="175" t="n"/>
      <c r="H1255" s="176" t="n"/>
      <c r="I1255" s="103" t="inlineStr">
        <is>
          <t>查看方案详情</t>
        </is>
      </c>
      <c r="J1255" s="93" t="inlineStr">
        <is>
          <t>EQ</t>
        </is>
      </c>
      <c r="K1255" s="102" t="n"/>
      <c r="L1255" s="102" t="n"/>
      <c r="M1255" s="85">
        <f>IF(OR(Y1255="估算法",Y1255="算法类",Y1255="无法识别"),"",IF(W1255="",IF(OR(J1255="EI",J1255="EO",J1255="EQ"),0,""),LEN(W1255)-LEN(SUBSTITUTE(W1255,"、",""))+1))</f>
        <v/>
      </c>
      <c r="N1255" s="85">
        <f>IF(OR(Y1255="估算法",Y1255="算法类",Y1255="无法识别"),"",IF(X1255="",IF(OR(J1255="ILF",J1255="EIF"),0,""),LEN(X1255)-LEN(SUBSTITUTE(X1255,"、",""))+1))</f>
        <v/>
      </c>
      <c r="O1255" s="85">
        <f>IF(OR(Y1255="估算法",Y1255="算法类",Y1255="无法识别"),"",IF(Y1255="",IF(OR(J1255="ILF",J1255="EIF",J1255="EI",J1255="EO",J1255="EQ"),0,""),LEN(Y1255)-LEN(SUBSTITUTE(SUBSTITUTE(SUBSTITUTE(SUBSTITUTE(SUBSTITUTE(Y1255,"|}","--"),"{|","--"),CHAR(10),""),"、",""),"|",""))+IF(AND(OR(J1255="EI",J1255="EO",J1255="EQ"),$AE$1="NESMA"),2,1)))</f>
        <v/>
      </c>
      <c r="P1255" s="86">
        <f>IF(J1255="EI",IF(OR(Y1255="估算法",Y1255="算法类"),"中",IF(Y1255="无法识别","低",IF(M1255&lt;2,IF(O1255&lt;16,"低","中"),IF(M1255&lt;3,IF(O1255&lt;5,"低",IF(O1255&lt;16,"中","高")),IF(O1255&lt;5,"中","高"))))),IF(OR(J1255="EO",J1255="EQ"),IF(OR(Y1255="估算法",Y1255="算法类"),"中",IF(Y1255="无法识别","低",IF(M1255&lt;2,IF(O1255&lt;20,"低","中"),IF(M1255&lt;4,IF(O1255&lt;6,"低",IF(O1255&lt;20,"中","高")),IF(O1255&lt;6,"中","高"))))),IF(OR(J1255="ILF",J1255="EIF"),IF(OR(Y1255="估算法",Y1255="算法类",Y1255="无法识别"),"低",IF(N1255&lt;2,IF(O1255&lt;51,"低","中"),IF(N1255&lt;6,IF(O1255&lt;20,"低",IF(O1255&lt;51,"中","高")),IF(O1255&lt;20,"中","高")))),"不计算")))</f>
        <v/>
      </c>
      <c r="Q1255" s="172">
        <f>IFERROR(IF(J1255="EI",IF(P1255="低",3,IF(P1255="中",4,6)),IF(J1255="EO",IF(P1255="低",4,IF(P1255="中",5,7)),IF(J1255="EQ",IF(P1255="低",3,IF(P1255="中",4,6)),IF(J1255="ILF",IF(P1255="低",7,IF(P1255="中",10,15)),IF(J1255="EIF",IF(P1255="低",5,IF(P1255="中",7,10)),"不计算")))))*R1255,"不计算")</f>
        <v/>
      </c>
      <c r="R1255" s="172" t="n">
        <v>1</v>
      </c>
      <c r="S1255" s="173">
        <f>调整因子!$F$13</f>
        <v/>
      </c>
      <c r="T1255" s="92" t="n">
        <v>1</v>
      </c>
      <c r="U1255" s="174">
        <f>IFERROR(Q1255*S1255,0)</f>
        <v/>
      </c>
      <c r="V1255" s="178">
        <f>U1255*T1255</f>
        <v/>
      </c>
      <c r="W1255" s="103" t="inlineStr">
        <is>
          <t>故障知识库表</t>
        </is>
      </c>
      <c r="X1255" s="103" t="inlineStr"/>
      <c r="Y1255" s="97" t="inlineStr">
        <is>
          <t>故障知识库表{ID、名称|ID、名称、类型、状态、创建时间、更新时间}</t>
        </is>
      </c>
      <c r="Z1255" s="90" t="n"/>
      <c r="AA1255" s="90" t="n"/>
    </row>
    <row r="1256" s="112">
      <c r="A1256" s="72">
        <f>ROW()-1</f>
        <v/>
      </c>
      <c r="B1256" s="175" t="n"/>
      <c r="C1256" s="124" t="n">
        <v>2026</v>
      </c>
      <c r="E1256" s="103" t="n"/>
      <c r="F1256" s="175" t="n"/>
      <c r="G1256" s="175" t="n"/>
      <c r="H1256" s="97" t="inlineStr">
        <is>
          <t>修复方案应用管理</t>
        </is>
      </c>
      <c r="I1256" s="103" t="inlineStr">
        <is>
          <t>导出应用记录</t>
        </is>
      </c>
      <c r="J1256" s="93" t="inlineStr">
        <is>
          <t>EO</t>
        </is>
      </c>
      <c r="K1256" s="102" t="n"/>
      <c r="L1256" s="102" t="n"/>
      <c r="M1256" s="85">
        <f>IF(OR(Y1256="估算法",Y1256="算法类",Y1256="无法识别"),"",IF(W1256="",IF(OR(J1256="EI",J1256="EO",J1256="EQ"),0,""),LEN(W1256)-LEN(SUBSTITUTE(W1256,"、",""))+1))</f>
        <v/>
      </c>
      <c r="N1256" s="85">
        <f>IF(OR(Y1256="估算法",Y1256="算法类",Y1256="无法识别"),"",IF(X1256="",IF(OR(J1256="ILF",J1256="EIF"),0,""),LEN(X1256)-LEN(SUBSTITUTE(X1256,"、",""))+1))</f>
        <v/>
      </c>
      <c r="O1256" s="85">
        <f>IF(OR(Y1256="估算法",Y1256="算法类",Y1256="无法识别"),"",IF(Y1256="",IF(OR(J1256="ILF",J1256="EIF",J1256="EI",J1256="EO",J1256="EQ"),0,""),LEN(Y1256)-LEN(SUBSTITUTE(SUBSTITUTE(SUBSTITUTE(SUBSTITUTE(SUBSTITUTE(Y1256,"|}","--"),"{|","--"),CHAR(10),""),"、",""),"|",""))+IF(AND(OR(J1256="EI",J1256="EO",J1256="EQ"),$AE$1="NESMA"),2,1)))</f>
        <v/>
      </c>
      <c r="P1256" s="86">
        <f>IF(J1256="EI",IF(OR(Y1256="估算法",Y1256="算法类"),"中",IF(Y1256="无法识别","低",IF(M1256&lt;2,IF(O1256&lt;16,"低","中"),IF(M1256&lt;3,IF(O1256&lt;5,"低",IF(O1256&lt;16,"中","高")),IF(O1256&lt;5,"中","高"))))),IF(OR(J1256="EO",J1256="EQ"),IF(OR(Y1256="估算法",Y1256="算法类"),"中",IF(Y1256="无法识别","低",IF(M1256&lt;2,IF(O1256&lt;20,"低","中"),IF(M1256&lt;4,IF(O1256&lt;6,"低",IF(O1256&lt;20,"中","高")),IF(O1256&lt;6,"中","高"))))),IF(OR(J1256="ILF",J1256="EIF"),IF(OR(Y1256="估算法",Y1256="算法类",Y1256="无法识别"),"低",IF(N1256&lt;2,IF(O1256&lt;51,"低","中"),IF(N1256&lt;6,IF(O1256&lt;20,"低",IF(O1256&lt;51,"中","高")),IF(O1256&lt;20,"中","高")))),"不计算")))</f>
        <v/>
      </c>
      <c r="Q1256" s="172">
        <f>IFERROR(IF(J1256="EI",IF(P1256="低",3,IF(P1256="中",4,6)),IF(J1256="EO",IF(P1256="低",4,IF(P1256="中",5,7)),IF(J1256="EQ",IF(P1256="低",3,IF(P1256="中",4,6)),IF(J1256="ILF",IF(P1256="低",7,IF(P1256="中",10,15)),IF(J1256="EIF",IF(P1256="低",5,IF(P1256="中",7,10)),"不计算")))))*R1256,"不计算")</f>
        <v/>
      </c>
      <c r="R1256" s="172" t="n">
        <v>1</v>
      </c>
      <c r="S1256" s="173">
        <f>调整因子!$F$13</f>
        <v/>
      </c>
      <c r="T1256" s="92" t="n">
        <v>1</v>
      </c>
      <c r="U1256" s="174">
        <f>IFERROR(Q1256*S1256,0)</f>
        <v/>
      </c>
      <c r="V1256" s="178">
        <f>U1256*T1256</f>
        <v/>
      </c>
      <c r="W1256" s="103" t="inlineStr">
        <is>
          <t>漏洞处置单表</t>
        </is>
      </c>
      <c r="X1256" s="103" t="inlineStr"/>
      <c r="Y1256" s="97" t="inlineStr">
        <is>
          <t>漏洞处置单表{漏洞ID、漏洞名称|漏洞ID、漏洞名称、漏洞等级、漏洞类型、CVE编号、发现时间}</t>
        </is>
      </c>
      <c r="Z1256" s="90" t="n"/>
      <c r="AA1256" s="90" t="n"/>
    </row>
    <row r="1257" s="112">
      <c r="A1257" s="72">
        <f>ROW()-1</f>
        <v/>
      </c>
      <c r="B1257" s="175" t="n"/>
      <c r="C1257" s="124" t="n">
        <v>2026</v>
      </c>
      <c r="E1257" s="103" t="n"/>
      <c r="F1257" s="175" t="n"/>
      <c r="G1257" s="175" t="n"/>
      <c r="H1257" s="175" t="n"/>
      <c r="I1257" s="103" t="inlineStr">
        <is>
          <t>查询应用记录</t>
        </is>
      </c>
      <c r="J1257" s="93" t="inlineStr">
        <is>
          <t>EQ</t>
        </is>
      </c>
      <c r="K1257" s="102" t="n"/>
      <c r="L1257" s="102" t="n"/>
      <c r="M1257" s="85">
        <f>IF(OR(Y1257="估算法",Y1257="算法类",Y1257="无法识别"),"",IF(W1257="",IF(OR(J1257="EI",J1257="EO",J1257="EQ"),0,""),LEN(W1257)-LEN(SUBSTITUTE(W1257,"、",""))+1))</f>
        <v/>
      </c>
      <c r="N1257" s="85">
        <f>IF(OR(Y1257="估算法",Y1257="算法类",Y1257="无法识别"),"",IF(X1257="",IF(OR(J1257="ILF",J1257="EIF"),0,""),LEN(X1257)-LEN(SUBSTITUTE(X1257,"、",""))+1))</f>
        <v/>
      </c>
      <c r="O1257" s="85">
        <f>IF(OR(Y1257="估算法",Y1257="算法类",Y1257="无法识别"),"",IF(Y1257="",IF(OR(J1257="ILF",J1257="EIF",J1257="EI",J1257="EO",J1257="EQ"),0,""),LEN(Y1257)-LEN(SUBSTITUTE(SUBSTITUTE(SUBSTITUTE(SUBSTITUTE(SUBSTITUTE(Y1257,"|}","--"),"{|","--"),CHAR(10),""),"、",""),"|",""))+IF(AND(OR(J1257="EI",J1257="EO",J1257="EQ"),$AE$1="NESMA"),2,1)))</f>
        <v/>
      </c>
      <c r="P1257" s="86">
        <f>IF(J1257="EI",IF(OR(Y1257="估算法",Y1257="算法类"),"中",IF(Y1257="无法识别","低",IF(M1257&lt;2,IF(O1257&lt;16,"低","中"),IF(M1257&lt;3,IF(O1257&lt;5,"低",IF(O1257&lt;16,"中","高")),IF(O1257&lt;5,"中","高"))))),IF(OR(J1257="EO",J1257="EQ"),IF(OR(Y1257="估算法",Y1257="算法类"),"中",IF(Y1257="无法识别","低",IF(M1257&lt;2,IF(O1257&lt;20,"低","中"),IF(M1257&lt;4,IF(O1257&lt;6,"低",IF(O1257&lt;20,"中","高")),IF(O1257&lt;6,"中","高"))))),IF(OR(J1257="ILF",J1257="EIF"),IF(OR(Y1257="估算法",Y1257="算法类",Y1257="无法识别"),"低",IF(N1257&lt;2,IF(O1257&lt;51,"低","中"),IF(N1257&lt;6,IF(O1257&lt;20,"低",IF(O1257&lt;51,"中","高")),IF(O1257&lt;20,"中","高")))),"不计算")))</f>
        <v/>
      </c>
      <c r="Q1257" s="172">
        <f>IFERROR(IF(J1257="EI",IF(P1257="低",3,IF(P1257="中",4,6)),IF(J1257="EO",IF(P1257="低",4,IF(P1257="中",5,7)),IF(J1257="EQ",IF(P1257="低",3,IF(P1257="中",4,6)),IF(J1257="ILF",IF(P1257="低",7,IF(P1257="中",10,15)),IF(J1257="EIF",IF(P1257="低",5,IF(P1257="中",7,10)),"不计算")))))*R1257,"不计算")</f>
        <v/>
      </c>
      <c r="R1257" s="172" t="n">
        <v>1</v>
      </c>
      <c r="S1257" s="173">
        <f>调整因子!$F$13</f>
        <v/>
      </c>
      <c r="T1257" s="93" t="n">
        <v>1</v>
      </c>
      <c r="U1257" s="174">
        <f>IFERROR(Q1257*S1257,0)</f>
        <v/>
      </c>
      <c r="V1257" s="178">
        <f>U1257*T1257</f>
        <v/>
      </c>
      <c r="W1257" s="103" t="inlineStr">
        <is>
          <t>接口参数表</t>
        </is>
      </c>
      <c r="X1257" s="103" t="inlineStr"/>
      <c r="Y1257" s="97" t="inlineStr">
        <is>
          <t>接口参数表{接口ID、接口名称|接口ID、接口名称、接口类型、接口地址、调用时间}</t>
        </is>
      </c>
      <c r="Z1257" s="90" t="n"/>
      <c r="AA1257" s="90" t="n"/>
    </row>
    <row r="1258" s="112">
      <c r="A1258" s="72">
        <f>ROW()-1</f>
        <v/>
      </c>
      <c r="B1258" s="175" t="n"/>
      <c r="C1258" s="124" t="n">
        <v>2026</v>
      </c>
      <c r="E1258" s="103" t="n"/>
      <c r="F1258" s="175" t="n"/>
      <c r="G1258" s="175" t="n"/>
      <c r="H1258" s="176" t="n"/>
      <c r="I1258" s="103" t="inlineStr">
        <is>
          <t>查看应用详情</t>
        </is>
      </c>
      <c r="J1258" s="93" t="inlineStr">
        <is>
          <t>EQ</t>
        </is>
      </c>
      <c r="K1258" s="102" t="n"/>
      <c r="L1258" s="102" t="n"/>
      <c r="M1258" s="85">
        <f>IF(OR(Y1258="估算法",Y1258="算法类",Y1258="无法识别"),"",IF(W1258="",IF(OR(J1258="EI",J1258="EO",J1258="EQ"),0,""),LEN(W1258)-LEN(SUBSTITUTE(W1258,"、",""))+1))</f>
        <v/>
      </c>
      <c r="N1258" s="85">
        <f>IF(OR(Y1258="估算法",Y1258="算法类",Y1258="无法识别"),"",IF(X1258="",IF(OR(J1258="ILF",J1258="EIF"),0,""),LEN(X1258)-LEN(SUBSTITUTE(X1258,"、",""))+1))</f>
        <v/>
      </c>
      <c r="O1258" s="85">
        <f>IF(OR(Y1258="估算法",Y1258="算法类",Y1258="无法识别"),"",IF(Y1258="",IF(OR(J1258="ILF",J1258="EIF",J1258="EI",J1258="EO",J1258="EQ"),0,""),LEN(Y1258)-LEN(SUBSTITUTE(SUBSTITUTE(SUBSTITUTE(SUBSTITUTE(SUBSTITUTE(Y1258,"|}","--"),"{|","--"),CHAR(10),""),"、",""),"|",""))+IF(AND(OR(J1258="EI",J1258="EO",J1258="EQ"),$AE$1="NESMA"),2,1)))</f>
        <v/>
      </c>
      <c r="P1258" s="86">
        <f>IF(J1258="EI",IF(OR(Y1258="估算法",Y1258="算法类"),"中",IF(Y1258="无法识别","低",IF(M1258&lt;2,IF(O1258&lt;16,"低","中"),IF(M1258&lt;3,IF(O1258&lt;5,"低",IF(O1258&lt;16,"中","高")),IF(O1258&lt;5,"中","高"))))),IF(OR(J1258="EO",J1258="EQ"),IF(OR(Y1258="估算法",Y1258="算法类"),"中",IF(Y1258="无法识别","低",IF(M1258&lt;2,IF(O1258&lt;20,"低","中"),IF(M1258&lt;4,IF(O1258&lt;6,"低",IF(O1258&lt;20,"中","高")),IF(O1258&lt;6,"中","高"))))),IF(OR(J1258="ILF",J1258="EIF"),IF(OR(Y1258="估算法",Y1258="算法类",Y1258="无法识别"),"低",IF(N1258&lt;2,IF(O1258&lt;51,"低","中"),IF(N1258&lt;6,IF(O1258&lt;20,"低",IF(O1258&lt;51,"中","高")),IF(O1258&lt;20,"中","高")))),"不计算")))</f>
        <v/>
      </c>
      <c r="Q1258" s="172">
        <f>IFERROR(IF(J1258="EI",IF(P1258="低",3,IF(P1258="中",4,6)),IF(J1258="EO",IF(P1258="低",4,IF(P1258="中",5,7)),IF(J1258="EQ",IF(P1258="低",3,IF(P1258="中",4,6)),IF(J1258="ILF",IF(P1258="低",7,IF(P1258="中",10,15)),IF(J1258="EIF",IF(P1258="低",5,IF(P1258="中",7,10)),"不计算")))))*R1258,"不计算")</f>
        <v/>
      </c>
      <c r="R1258" s="172" t="n">
        <v>1</v>
      </c>
      <c r="S1258" s="173">
        <f>调整因子!$F$13</f>
        <v/>
      </c>
      <c r="T1258" s="93" t="n">
        <v>1</v>
      </c>
      <c r="U1258" s="174">
        <f>IFERROR(Q1258*S1258,0)</f>
        <v/>
      </c>
      <c r="V1258" s="178">
        <f>U1258*T1258</f>
        <v/>
      </c>
      <c r="W1258" s="103" t="inlineStr">
        <is>
          <t>分类层级关系表、修复步骤表</t>
        </is>
      </c>
      <c r="X1258" s="103" t="inlineStr"/>
      <c r="Y1258" s="97" t="inlineStr">
        <is>
          <t>分类层级关系表{ID、名称|ID、名称、类型、状态、创建时间、更新时间}
修复步骤表{ID、名称|ID、名称、类型、状态、创建时间、更新时间}</t>
        </is>
      </c>
      <c r="Z1258" s="90" t="n"/>
      <c r="AA1258" s="90" t="n"/>
    </row>
    <row r="1259" s="112">
      <c r="A1259" s="72">
        <f>ROW()-1</f>
        <v/>
      </c>
      <c r="B1259" s="175" t="n"/>
      <c r="C1259" s="124" t="n">
        <v>2026</v>
      </c>
      <c r="E1259" s="103" t="n"/>
      <c r="F1259" s="175" t="n"/>
      <c r="G1259" s="175" t="n"/>
      <c r="H1259" s="97" t="inlineStr">
        <is>
          <t>修复方案共享管理</t>
        </is>
      </c>
      <c r="I1259" s="103" t="inlineStr">
        <is>
          <t>编辑共享权限</t>
        </is>
      </c>
      <c r="J1259" s="93" t="inlineStr">
        <is>
          <t>EI</t>
        </is>
      </c>
      <c r="K1259" s="102" t="n"/>
      <c r="L1259" s="102" t="n"/>
      <c r="M1259" s="85">
        <f>IF(OR(Y1259="估算法",Y1259="算法类",Y1259="无法识别"),"",IF(W1259="",IF(OR(J1259="EI",J1259="EO",J1259="EQ"),0,""),LEN(W1259)-LEN(SUBSTITUTE(W1259,"、",""))+1))</f>
        <v/>
      </c>
      <c r="N1259" s="85">
        <f>IF(OR(Y1259="估算法",Y1259="算法类",Y1259="无法识别"),"",IF(X1259="",IF(OR(J1259="ILF",J1259="EIF"),0,""),LEN(X1259)-LEN(SUBSTITUTE(X1259,"、",""))+1))</f>
        <v/>
      </c>
      <c r="O1259" s="85">
        <f>IF(OR(Y1259="估算法",Y1259="算法类",Y1259="无法识别"),"",IF(Y1259="",IF(OR(J1259="ILF",J1259="EIF",J1259="EI",J1259="EO",J1259="EQ"),0,""),LEN(Y1259)-LEN(SUBSTITUTE(SUBSTITUTE(SUBSTITUTE(SUBSTITUTE(SUBSTITUTE(Y1259,"|}","--"),"{|","--"),CHAR(10),""),"、",""),"|",""))+IF(AND(OR(J1259="EI",J1259="EO",J1259="EQ"),$AE$1="NESMA"),2,1)))</f>
        <v/>
      </c>
      <c r="P1259" s="86">
        <f>IF(J1259="EI",IF(OR(Y1259="估算法",Y1259="算法类"),"中",IF(Y1259="无法识别","低",IF(M1259&lt;2,IF(O1259&lt;16,"低","中"),IF(M1259&lt;3,IF(O1259&lt;5,"低",IF(O1259&lt;16,"中","高")),IF(O1259&lt;5,"中","高"))))),IF(OR(J1259="EO",J1259="EQ"),IF(OR(Y1259="估算法",Y1259="算法类"),"中",IF(Y1259="无法识别","低",IF(M1259&lt;2,IF(O1259&lt;20,"低","中"),IF(M1259&lt;4,IF(O1259&lt;6,"低",IF(O1259&lt;20,"中","高")),IF(O1259&lt;6,"中","高"))))),IF(OR(J1259="ILF",J1259="EIF"),IF(OR(Y1259="估算法",Y1259="算法类",Y1259="无法识别"),"低",IF(N1259&lt;2,IF(O1259&lt;51,"低","中"),IF(N1259&lt;6,IF(O1259&lt;20,"低",IF(O1259&lt;51,"中","高")),IF(O1259&lt;20,"中","高")))),"不计算")))</f>
        <v/>
      </c>
      <c r="Q1259" s="172">
        <f>IFERROR(IF(J1259="EI",IF(P1259="低",3,IF(P1259="中",4,6)),IF(J1259="EO",IF(P1259="低",4,IF(P1259="中",5,7)),IF(J1259="EQ",IF(P1259="低",3,IF(P1259="中",4,6)),IF(J1259="ILF",IF(P1259="低",7,IF(P1259="中",10,15)),IF(J1259="EIF",IF(P1259="低",5,IF(P1259="中",7,10)),"不计算")))))*R1259,"不计算")</f>
        <v/>
      </c>
      <c r="R1259" s="172" t="n">
        <v>1</v>
      </c>
      <c r="S1259" s="173">
        <f>调整因子!$F$13</f>
        <v/>
      </c>
      <c r="T1259" s="92" t="n">
        <v>1</v>
      </c>
      <c r="U1259" s="174">
        <f>IFERROR(Q1259*S1259,0)</f>
        <v/>
      </c>
      <c r="V1259" s="178">
        <f>U1259*T1259</f>
        <v/>
      </c>
      <c r="W1259" s="103" t="inlineStr">
        <is>
          <t>资产同步任务表</t>
        </is>
      </c>
      <c r="X1259" s="103" t="inlineStr"/>
      <c r="Y1259" s="97" t="inlineStr">
        <is>
          <t>资产同步任务表{资产ID、资产名称、IP地址、资产类型、资产状态、创建时间、更新时间|资产ID、资产名称、IP地址}</t>
        </is>
      </c>
      <c r="Z1259" s="90" t="n"/>
      <c r="AA1259" s="90" t="n"/>
    </row>
    <row r="1260" s="112">
      <c r="A1260" s="72">
        <f>ROW()-1</f>
        <v/>
      </c>
      <c r="B1260" s="175" t="n"/>
      <c r="C1260" s="124" t="n">
        <v>2026</v>
      </c>
      <c r="E1260" s="103" t="n"/>
      <c r="F1260" s="175" t="n"/>
      <c r="G1260" s="175" t="n"/>
      <c r="H1260" s="175" t="n"/>
      <c r="I1260" s="103" t="inlineStr">
        <is>
          <t>删除共享权限</t>
        </is>
      </c>
      <c r="J1260" s="93" t="inlineStr">
        <is>
          <t>EI</t>
        </is>
      </c>
      <c r="K1260" s="102" t="n"/>
      <c r="L1260" s="102" t="n"/>
      <c r="M1260" s="85">
        <f>IF(OR(Y1260="估算法",Y1260="算法类",Y1260="无法识别"),"",IF(W1260="",IF(OR(J1260="EI",J1260="EO",J1260="EQ"),0,""),LEN(W1260)-LEN(SUBSTITUTE(W1260,"、",""))+1))</f>
        <v/>
      </c>
      <c r="N1260" s="85">
        <f>IF(OR(Y1260="估算法",Y1260="算法类",Y1260="无法识别"),"",IF(X1260="",IF(OR(J1260="ILF",J1260="EIF"),0,""),LEN(X1260)-LEN(SUBSTITUTE(X1260,"、",""))+1))</f>
        <v/>
      </c>
      <c r="O1260" s="85">
        <f>IF(OR(Y1260="估算法",Y1260="算法类",Y1260="无法识别"),"",IF(Y1260="",IF(OR(J1260="ILF",J1260="EIF",J1260="EI",J1260="EO",J1260="EQ"),0,""),LEN(Y1260)-LEN(SUBSTITUTE(SUBSTITUTE(SUBSTITUTE(SUBSTITUTE(SUBSTITUTE(Y1260,"|}","--"),"{|","--"),CHAR(10),""),"、",""),"|",""))+IF(AND(OR(J1260="EI",J1260="EO",J1260="EQ"),$AE$1="NESMA"),2,1)))</f>
        <v/>
      </c>
      <c r="P1260" s="86">
        <f>IF(J1260="EI",IF(OR(Y1260="估算法",Y1260="算法类"),"中",IF(Y1260="无法识别","低",IF(M1260&lt;2,IF(O1260&lt;16,"低","中"),IF(M1260&lt;3,IF(O1260&lt;5,"低",IF(O1260&lt;16,"中","高")),IF(O1260&lt;5,"中","高"))))),IF(OR(J1260="EO",J1260="EQ"),IF(OR(Y1260="估算法",Y1260="算法类"),"中",IF(Y1260="无法识别","低",IF(M1260&lt;2,IF(O1260&lt;20,"低","中"),IF(M1260&lt;4,IF(O1260&lt;6,"低",IF(O1260&lt;20,"中","高")),IF(O1260&lt;6,"中","高"))))),IF(OR(J1260="ILF",J1260="EIF"),IF(OR(Y1260="估算法",Y1260="算法类",Y1260="无法识别"),"低",IF(N1260&lt;2,IF(O1260&lt;51,"低","中"),IF(N1260&lt;6,IF(O1260&lt;20,"低",IF(O1260&lt;51,"中","高")),IF(O1260&lt;20,"中","高")))),"不计算")))</f>
        <v/>
      </c>
      <c r="Q1260" s="172">
        <f>IFERROR(IF(J1260="EI",IF(P1260="低",3,IF(P1260="中",4,6)),IF(J1260="EO",IF(P1260="低",4,IF(P1260="中",5,7)),IF(J1260="EQ",IF(P1260="低",3,IF(P1260="中",4,6)),IF(J1260="ILF",IF(P1260="低",7,IF(P1260="中",10,15)),IF(J1260="EIF",IF(P1260="低",5,IF(P1260="中",7,10)),"不计算")))))*R1260,"不计算")</f>
        <v/>
      </c>
      <c r="R1260" s="172" t="n">
        <v>0.333333333333333</v>
      </c>
      <c r="S1260" s="173">
        <f>调整因子!$F$13</f>
        <v/>
      </c>
      <c r="T1260" s="92" t="n">
        <v>1</v>
      </c>
      <c r="U1260" s="174">
        <f>IFERROR(Q1260*S1260,0)</f>
        <v/>
      </c>
      <c r="V1260" s="178">
        <f>U1260*T1260</f>
        <v/>
      </c>
      <c r="W1260" s="103" t="inlineStr">
        <is>
          <t>加密规则表、标签分类表</t>
        </is>
      </c>
      <c r="X1260" s="103" t="inlineStr"/>
      <c r="Y1260" s="97" t="inlineStr">
        <is>
          <t>加密规则表{规则ID、规则名称、规则类型、规则条件、创建时间|规则ID、规则名称、规则类型}
标签分类表{ID、名称、类型、状态、创建时间、更新时间|ID、名称、类型}</t>
        </is>
      </c>
      <c r="Z1260" s="90" t="n"/>
      <c r="AA1260" s="90" t="n"/>
    </row>
    <row r="1261" s="112">
      <c r="A1261" s="72">
        <f>ROW()-1</f>
        <v/>
      </c>
      <c r="B1261" s="175" t="n"/>
      <c r="C1261" s="124" t="n">
        <v>2026</v>
      </c>
      <c r="E1261" s="103" t="n"/>
      <c r="F1261" s="175" t="n"/>
      <c r="G1261" s="175" t="n"/>
      <c r="H1261" s="175" t="n"/>
      <c r="I1261" s="103" t="inlineStr">
        <is>
          <t>导出共享方案</t>
        </is>
      </c>
      <c r="J1261" s="93" t="inlineStr">
        <is>
          <t>EO</t>
        </is>
      </c>
      <c r="K1261" s="102" t="n"/>
      <c r="L1261" s="102" t="n"/>
      <c r="M1261" s="85">
        <f>IF(OR(Y1261="估算法",Y1261="算法类",Y1261="无法识别"),"",IF(W1261="",IF(OR(J1261="EI",J1261="EO",J1261="EQ"),0,""),LEN(W1261)-LEN(SUBSTITUTE(W1261,"、",""))+1))</f>
        <v/>
      </c>
      <c r="N1261" s="85">
        <f>IF(OR(Y1261="估算法",Y1261="算法类",Y1261="无法识别"),"",IF(X1261="",IF(OR(J1261="ILF",J1261="EIF"),0,""),LEN(X1261)-LEN(SUBSTITUTE(X1261,"、",""))+1))</f>
        <v/>
      </c>
      <c r="O1261" s="85">
        <f>IF(OR(Y1261="估算法",Y1261="算法类",Y1261="无法识别"),"",IF(Y1261="",IF(OR(J1261="ILF",J1261="EIF",J1261="EI",J1261="EO",J1261="EQ"),0,""),LEN(Y1261)-LEN(SUBSTITUTE(SUBSTITUTE(SUBSTITUTE(SUBSTITUTE(SUBSTITUTE(Y1261,"|}","--"),"{|","--"),CHAR(10),""),"、",""),"|",""))+IF(AND(OR(J1261="EI",J1261="EO",J1261="EQ"),$AE$1="NESMA"),2,1)))</f>
        <v/>
      </c>
      <c r="P1261" s="86">
        <f>IF(J1261="EI",IF(OR(Y1261="估算法",Y1261="算法类"),"中",IF(Y1261="无法识别","低",IF(M1261&lt;2,IF(O1261&lt;16,"低","中"),IF(M1261&lt;3,IF(O1261&lt;5,"低",IF(O1261&lt;16,"中","高")),IF(O1261&lt;5,"中","高"))))),IF(OR(J1261="EO",J1261="EQ"),IF(OR(Y1261="估算法",Y1261="算法类"),"中",IF(Y1261="无法识别","低",IF(M1261&lt;2,IF(O1261&lt;20,"低","中"),IF(M1261&lt;4,IF(O1261&lt;6,"低",IF(O1261&lt;20,"中","高")),IF(O1261&lt;6,"中","高"))))),IF(OR(J1261="ILF",J1261="EIF"),IF(OR(Y1261="估算法",Y1261="算法类",Y1261="无法识别"),"低",IF(N1261&lt;2,IF(O1261&lt;51,"低","中"),IF(N1261&lt;6,IF(O1261&lt;20,"低",IF(O1261&lt;51,"中","高")),IF(O1261&lt;20,"中","高")))),"不计算")))</f>
        <v/>
      </c>
      <c r="Q1261" s="172">
        <f>IFERROR(IF(J1261="EI",IF(P1261="低",3,IF(P1261="中",4,6)),IF(J1261="EO",IF(P1261="低",4,IF(P1261="中",5,7)),IF(J1261="EQ",IF(P1261="低",3,IF(P1261="中",4,6)),IF(J1261="ILF",IF(P1261="低",7,IF(P1261="中",10,15)),IF(J1261="EIF",IF(P1261="低",5,IF(P1261="中",7,10)),"不计算")))))*R1261,"不计算")</f>
        <v/>
      </c>
      <c r="R1261" s="172" t="n">
        <v>1</v>
      </c>
      <c r="S1261" s="173">
        <f>调整因子!$F$13</f>
        <v/>
      </c>
      <c r="T1261" s="93" t="n">
        <v>1</v>
      </c>
      <c r="U1261" s="174">
        <f>IFERROR(Q1261*S1261,0)</f>
        <v/>
      </c>
      <c r="V1261" s="178">
        <f>U1261*T1261</f>
        <v/>
      </c>
      <c r="W1261" s="103" t="inlineStr">
        <is>
          <t>采集记录表、推送任务表</t>
        </is>
      </c>
      <c r="X1261" s="103" t="inlineStr"/>
      <c r="Y1261" s="97" t="inlineStr">
        <is>
          <t>采集记录表{ID、名称|ID、名称、类型、状态、创建时间、更新时间}
推送任务表{任务ID、任务名称|任务ID、任务名称、任务类型、任务状态、创建时间、执行时间}</t>
        </is>
      </c>
      <c r="Z1261" s="90" t="n"/>
      <c r="AA1261" s="90" t="n"/>
    </row>
    <row r="1262" s="112">
      <c r="A1262" s="72">
        <f>ROW()-1</f>
        <v/>
      </c>
      <c r="B1262" s="175" t="n"/>
      <c r="C1262" s="124" t="n">
        <v>2026</v>
      </c>
      <c r="E1262" s="103" t="n"/>
      <c r="F1262" s="175" t="n"/>
      <c r="G1262" s="175" t="n"/>
      <c r="H1262" s="175" t="n"/>
      <c r="I1262" s="103" t="inlineStr">
        <is>
          <t>查询共享方案</t>
        </is>
      </c>
      <c r="J1262" s="93" t="inlineStr">
        <is>
          <t>EQ</t>
        </is>
      </c>
      <c r="K1262" s="102" t="n"/>
      <c r="L1262" s="102" t="n"/>
      <c r="M1262" s="85">
        <f>IF(OR(Y1262="估算法",Y1262="算法类",Y1262="无法识别"),"",IF(W1262="",IF(OR(J1262="EI",J1262="EO",J1262="EQ"),0,""),LEN(W1262)-LEN(SUBSTITUTE(W1262,"、",""))+1))</f>
        <v/>
      </c>
      <c r="N1262" s="85">
        <f>IF(OR(Y1262="估算法",Y1262="算法类",Y1262="无法识别"),"",IF(X1262="",IF(OR(J1262="ILF",J1262="EIF"),0,""),LEN(X1262)-LEN(SUBSTITUTE(X1262,"、",""))+1))</f>
        <v/>
      </c>
      <c r="O1262" s="85">
        <f>IF(OR(Y1262="估算法",Y1262="算法类",Y1262="无法识别"),"",IF(Y1262="",IF(OR(J1262="ILF",J1262="EIF",J1262="EI",J1262="EO",J1262="EQ"),0,""),LEN(Y1262)-LEN(SUBSTITUTE(SUBSTITUTE(SUBSTITUTE(SUBSTITUTE(SUBSTITUTE(Y1262,"|}","--"),"{|","--"),CHAR(10),""),"、",""),"|",""))+IF(AND(OR(J1262="EI",J1262="EO",J1262="EQ"),$AE$1="NESMA"),2,1)))</f>
        <v/>
      </c>
      <c r="P1262" s="86">
        <f>IF(J1262="EI",IF(OR(Y1262="估算法",Y1262="算法类"),"中",IF(Y1262="无法识别","低",IF(M1262&lt;2,IF(O1262&lt;16,"低","中"),IF(M1262&lt;3,IF(O1262&lt;5,"低",IF(O1262&lt;16,"中","高")),IF(O1262&lt;5,"中","高"))))),IF(OR(J1262="EO",J1262="EQ"),IF(OR(Y1262="估算法",Y1262="算法类"),"中",IF(Y1262="无法识别","低",IF(M1262&lt;2,IF(O1262&lt;20,"低","中"),IF(M1262&lt;4,IF(O1262&lt;6,"低",IF(O1262&lt;20,"中","高")),IF(O1262&lt;6,"中","高"))))),IF(OR(J1262="ILF",J1262="EIF"),IF(OR(Y1262="估算法",Y1262="算法类",Y1262="无法识别"),"低",IF(N1262&lt;2,IF(O1262&lt;51,"低","中"),IF(N1262&lt;6,IF(O1262&lt;20,"低",IF(O1262&lt;51,"中","高")),IF(O1262&lt;20,"中","高")))),"不计算")))</f>
        <v/>
      </c>
      <c r="Q1262" s="172">
        <f>IFERROR(IF(J1262="EI",IF(P1262="低",3,IF(P1262="中",4,6)),IF(J1262="EO",IF(P1262="低",4,IF(P1262="中",5,7)),IF(J1262="EQ",IF(P1262="低",3,IF(P1262="中",4,6)),IF(J1262="ILF",IF(P1262="低",7,IF(P1262="中",10,15)),IF(J1262="EIF",IF(P1262="低",5,IF(P1262="中",7,10)),"不计算")))))*R1262,"不计算")</f>
        <v/>
      </c>
      <c r="R1262" s="172" t="n">
        <v>1</v>
      </c>
      <c r="S1262" s="173">
        <f>调整因子!$F$13</f>
        <v/>
      </c>
      <c r="T1262" s="92" t="n">
        <v>1</v>
      </c>
      <c r="U1262" s="174">
        <f>IFERROR(Q1262*S1262,0)</f>
        <v/>
      </c>
      <c r="V1262" s="178">
        <f>U1262*T1262</f>
        <v/>
      </c>
      <c r="W1262" s="103" t="inlineStr">
        <is>
          <t>考核指标配置表、推送对象表</t>
        </is>
      </c>
      <c r="X1262" s="103" t="inlineStr"/>
      <c r="Y1262" s="97" t="inlineStr">
        <is>
          <t>考核指标配置表{配置ID、配置名称|配置ID、配置名称、配置类型、配置值、创建时间}
推送对象表{ID、名称|ID、名称、类型、状态、创建时间、更新时间}</t>
        </is>
      </c>
      <c r="Z1262" s="90" t="n"/>
      <c r="AA1262" s="90" t="n"/>
    </row>
    <row r="1263" s="112">
      <c r="A1263" s="72">
        <f>ROW()-1</f>
        <v/>
      </c>
      <c r="B1263" s="175" t="n"/>
      <c r="C1263" s="124" t="n">
        <v>2026</v>
      </c>
      <c r="E1263" s="103" t="n"/>
      <c r="F1263" s="175" t="n"/>
      <c r="G1263" s="176" t="n"/>
      <c r="H1263" s="176" t="n"/>
      <c r="I1263" s="103" t="inlineStr">
        <is>
          <t>查看共享详情</t>
        </is>
      </c>
      <c r="J1263" s="93" t="inlineStr">
        <is>
          <t>EQ</t>
        </is>
      </c>
      <c r="K1263" s="102" t="n"/>
      <c r="L1263" s="102" t="n"/>
      <c r="M1263" s="85">
        <f>IF(OR(Y1263="估算法",Y1263="算法类",Y1263="无法识别"),"",IF(W1263="",IF(OR(J1263="EI",J1263="EO",J1263="EQ"),0,""),LEN(W1263)-LEN(SUBSTITUTE(W1263,"、",""))+1))</f>
        <v/>
      </c>
      <c r="N1263" s="85">
        <f>IF(OR(Y1263="估算法",Y1263="算法类",Y1263="无法识别"),"",IF(X1263="",IF(OR(J1263="ILF",J1263="EIF"),0,""),LEN(X1263)-LEN(SUBSTITUTE(X1263,"、",""))+1))</f>
        <v/>
      </c>
      <c r="O1263" s="85">
        <f>IF(OR(Y1263="估算法",Y1263="算法类",Y1263="无法识别"),"",IF(Y1263="",IF(OR(J1263="ILF",J1263="EIF",J1263="EI",J1263="EO",J1263="EQ"),0,""),LEN(Y1263)-LEN(SUBSTITUTE(SUBSTITUTE(SUBSTITUTE(SUBSTITUTE(SUBSTITUTE(Y1263,"|}","--"),"{|","--"),CHAR(10),""),"、",""),"|",""))+IF(AND(OR(J1263="EI",J1263="EO",J1263="EQ"),$AE$1="NESMA"),2,1)))</f>
        <v/>
      </c>
      <c r="P1263" s="86">
        <f>IF(J1263="EI",IF(OR(Y1263="估算法",Y1263="算法类"),"中",IF(Y1263="无法识别","低",IF(M1263&lt;2,IF(O1263&lt;16,"低","中"),IF(M1263&lt;3,IF(O1263&lt;5,"低",IF(O1263&lt;16,"中","高")),IF(O1263&lt;5,"中","高"))))),IF(OR(J1263="EO",J1263="EQ"),IF(OR(Y1263="估算法",Y1263="算法类"),"中",IF(Y1263="无法识别","低",IF(M1263&lt;2,IF(O1263&lt;20,"低","中"),IF(M1263&lt;4,IF(O1263&lt;6,"低",IF(O1263&lt;20,"中","高")),IF(O1263&lt;6,"中","高"))))),IF(OR(J1263="ILF",J1263="EIF"),IF(OR(Y1263="估算法",Y1263="算法类",Y1263="无法识别"),"低",IF(N1263&lt;2,IF(O1263&lt;51,"低","中"),IF(N1263&lt;6,IF(O1263&lt;20,"低",IF(O1263&lt;51,"中","高")),IF(O1263&lt;20,"中","高")))),"不计算")))</f>
        <v/>
      </c>
      <c r="Q1263" s="172">
        <f>IFERROR(IF(J1263="EI",IF(P1263="低",3,IF(P1263="中",4,6)),IF(J1263="EO",IF(P1263="低",4,IF(P1263="中",5,7)),IF(J1263="EQ",IF(P1263="低",3,IF(P1263="中",4,6)),IF(J1263="ILF",IF(P1263="低",7,IF(P1263="中",10,15)),IF(J1263="EIF",IF(P1263="低",5,IF(P1263="中",7,10)),"不计算")))))*R1263,"不计算")</f>
        <v/>
      </c>
      <c r="R1263" s="172" t="n">
        <v>1</v>
      </c>
      <c r="S1263" s="173">
        <f>调整因子!$F$13</f>
        <v/>
      </c>
      <c r="T1263" s="92" t="n">
        <v>1</v>
      </c>
      <c r="U1263" s="174">
        <f>IFERROR(Q1263*S1263,0)</f>
        <v/>
      </c>
      <c r="V1263" s="178">
        <f>U1263*T1263</f>
        <v/>
      </c>
      <c r="W1263" s="103" t="inlineStr">
        <is>
          <t>接口监控配置表、通报对象表</t>
        </is>
      </c>
      <c r="X1263" s="103" t="inlineStr"/>
      <c r="Y1263" s="97" t="inlineStr">
        <is>
          <t>接口监控配置表{配置ID、配置名称|配置ID、配置名称、配置类型、配置值、创建时间}
通报对象表{ID、名称|ID、名称、类型、状态、创建时间、更新时间}</t>
        </is>
      </c>
      <c r="Z1263" s="90" t="n"/>
      <c r="AA1263" s="90" t="n"/>
    </row>
    <row r="1264" s="112">
      <c r="A1264" s="72">
        <f>ROW()-1</f>
        <v/>
      </c>
      <c r="B1264" s="175" t="n"/>
      <c r="C1264" s="124" t="n">
        <v>2026</v>
      </c>
      <c r="E1264" s="103" t="n"/>
      <c r="F1264" s="175" t="n"/>
      <c r="G1264" s="97" t="inlineStr">
        <is>
          <t>补丁可视化管理</t>
        </is>
      </c>
      <c r="H1264" s="97" t="inlineStr">
        <is>
          <t>误报知识录入管理</t>
        </is>
      </c>
      <c r="I1264" s="103" t="inlineStr">
        <is>
          <t>编辑误报知识</t>
        </is>
      </c>
      <c r="J1264" s="93" t="inlineStr">
        <is>
          <t>EI</t>
        </is>
      </c>
      <c r="K1264" s="102" t="n"/>
      <c r="L1264" s="102" t="n"/>
      <c r="M1264" s="85">
        <f>IF(OR(Y1264="估算法",Y1264="算法类",Y1264="无法识别"),"",IF(W1264="",IF(OR(J1264="EI",J1264="EO",J1264="EQ"),0,""),LEN(W1264)-LEN(SUBSTITUTE(W1264,"、",""))+1))</f>
        <v/>
      </c>
      <c r="N1264" s="85">
        <f>IF(OR(Y1264="估算法",Y1264="算法类",Y1264="无法识别"),"",IF(X1264="",IF(OR(J1264="ILF",J1264="EIF"),0,""),LEN(X1264)-LEN(SUBSTITUTE(X1264,"、",""))+1))</f>
        <v/>
      </c>
      <c r="O1264" s="85">
        <f>IF(OR(Y1264="估算法",Y1264="算法类",Y1264="无法识别"),"",IF(Y1264="",IF(OR(J1264="ILF",J1264="EIF",J1264="EI",J1264="EO",J1264="EQ"),0,""),LEN(Y1264)-LEN(SUBSTITUTE(SUBSTITUTE(SUBSTITUTE(SUBSTITUTE(SUBSTITUTE(Y1264,"|}","--"),"{|","--"),CHAR(10),""),"、",""),"|",""))+IF(AND(OR(J1264="EI",J1264="EO",J1264="EQ"),$AE$1="NESMA"),2,1)))</f>
        <v/>
      </c>
      <c r="P1264" s="86">
        <f>IF(J1264="EI",IF(OR(Y1264="估算法",Y1264="算法类"),"中",IF(Y1264="无法识别","低",IF(M1264&lt;2,IF(O1264&lt;16,"低","中"),IF(M1264&lt;3,IF(O1264&lt;5,"低",IF(O1264&lt;16,"中","高")),IF(O1264&lt;5,"中","高"))))),IF(OR(J1264="EO",J1264="EQ"),IF(OR(Y1264="估算法",Y1264="算法类"),"中",IF(Y1264="无法识别","低",IF(M1264&lt;2,IF(O1264&lt;20,"低","中"),IF(M1264&lt;4,IF(O1264&lt;6,"低",IF(O1264&lt;20,"中","高")),IF(O1264&lt;6,"中","高"))))),IF(OR(J1264="ILF",J1264="EIF"),IF(OR(Y1264="估算法",Y1264="算法类",Y1264="无法识别"),"低",IF(N1264&lt;2,IF(O1264&lt;51,"低","中"),IF(N1264&lt;6,IF(O1264&lt;20,"低",IF(O1264&lt;51,"中","高")),IF(O1264&lt;20,"中","高")))),"不计算")))</f>
        <v/>
      </c>
      <c r="Q1264" s="172">
        <f>IFERROR(IF(J1264="EI",IF(P1264="低",3,IF(P1264="中",4,6)),IF(J1264="EO",IF(P1264="低",4,IF(P1264="中",5,7)),IF(J1264="EQ",IF(P1264="低",3,IF(P1264="中",4,6)),IF(J1264="ILF",IF(P1264="低",7,IF(P1264="中",10,15)),IF(J1264="EIF",IF(P1264="低",5,IF(P1264="中",7,10)),"不计算")))))*R1264,"不计算")</f>
        <v/>
      </c>
      <c r="R1264" s="172" t="n">
        <v>1</v>
      </c>
      <c r="S1264" s="173">
        <f>调整因子!$F$13</f>
        <v/>
      </c>
      <c r="T1264" s="93" t="n">
        <v>1</v>
      </c>
      <c r="U1264" s="174">
        <f>IFERROR(Q1264*S1264,0)</f>
        <v/>
      </c>
      <c r="V1264" s="178">
        <f>U1264*T1264</f>
        <v/>
      </c>
      <c r="W1264" s="103" t="inlineStr">
        <is>
          <t>任务趋势分析表、通报对象表</t>
        </is>
      </c>
      <c r="X1264" s="103" t="inlineStr"/>
      <c r="Y1264" s="97" t="inlineStr">
        <is>
          <t>任务趋势分析表{任务ID、任务名称、任务类型、任务状态、创建时间、执行时间|任务ID、任务名称、任务类型}
通报对象表{ID、名称、类型、状态、创建时间、更新时间|ID、名称、类型}</t>
        </is>
      </c>
      <c r="Z1264" s="90" t="n"/>
      <c r="AA1264" s="90" t="n"/>
    </row>
    <row r="1265" s="112">
      <c r="A1265" s="72">
        <f>ROW()-1</f>
        <v/>
      </c>
      <c r="B1265" s="175" t="n"/>
      <c r="C1265" s="124" t="n">
        <v>2026</v>
      </c>
      <c r="E1265" s="103" t="n"/>
      <c r="F1265" s="175" t="n"/>
      <c r="G1265" s="175" t="n"/>
      <c r="H1265" s="175" t="n"/>
      <c r="I1265" s="103" t="inlineStr">
        <is>
          <t>删除误报知识</t>
        </is>
      </c>
      <c r="J1265" s="93" t="inlineStr">
        <is>
          <t>EI</t>
        </is>
      </c>
      <c r="K1265" s="102" t="n"/>
      <c r="L1265" s="102" t="n"/>
      <c r="M1265" s="85">
        <f>IF(OR(Y1265="估算法",Y1265="算法类",Y1265="无法识别"),"",IF(W1265="",IF(OR(J1265="EI",J1265="EO",J1265="EQ"),0,""),LEN(W1265)-LEN(SUBSTITUTE(W1265,"、",""))+1))</f>
        <v/>
      </c>
      <c r="N1265" s="85">
        <f>IF(OR(Y1265="估算法",Y1265="算法类",Y1265="无法识别"),"",IF(X1265="",IF(OR(J1265="ILF",J1265="EIF"),0,""),LEN(X1265)-LEN(SUBSTITUTE(X1265,"、",""))+1))</f>
        <v/>
      </c>
      <c r="O1265" s="85">
        <f>IF(OR(Y1265="估算法",Y1265="算法类",Y1265="无法识别"),"",IF(Y1265="",IF(OR(J1265="ILF",J1265="EIF",J1265="EI",J1265="EO",J1265="EQ"),0,""),LEN(Y1265)-LEN(SUBSTITUTE(SUBSTITUTE(SUBSTITUTE(SUBSTITUTE(SUBSTITUTE(Y1265,"|}","--"),"{|","--"),CHAR(10),""),"、",""),"|",""))+IF(AND(OR(J1265="EI",J1265="EO",J1265="EQ"),$AE$1="NESMA"),2,1)))</f>
        <v/>
      </c>
      <c r="P1265" s="86">
        <f>IF(J1265="EI",IF(OR(Y1265="估算法",Y1265="算法类"),"中",IF(Y1265="无法识别","低",IF(M1265&lt;2,IF(O1265&lt;16,"低","中"),IF(M1265&lt;3,IF(O1265&lt;5,"低",IF(O1265&lt;16,"中","高")),IF(O1265&lt;5,"中","高"))))),IF(OR(J1265="EO",J1265="EQ"),IF(OR(Y1265="估算法",Y1265="算法类"),"中",IF(Y1265="无法识别","低",IF(M1265&lt;2,IF(O1265&lt;20,"低","中"),IF(M1265&lt;4,IF(O1265&lt;6,"低",IF(O1265&lt;20,"中","高")),IF(O1265&lt;6,"中","高"))))),IF(OR(J1265="ILF",J1265="EIF"),IF(OR(Y1265="估算法",Y1265="算法类",Y1265="无法识别"),"低",IF(N1265&lt;2,IF(O1265&lt;51,"低","中"),IF(N1265&lt;6,IF(O1265&lt;20,"低",IF(O1265&lt;51,"中","高")),IF(O1265&lt;20,"中","高")))),"不计算")))</f>
        <v/>
      </c>
      <c r="Q1265" s="172">
        <f>IFERROR(IF(J1265="EI",IF(P1265="低",3,IF(P1265="中",4,6)),IF(J1265="EO",IF(P1265="低",4,IF(P1265="中",5,7)),IF(J1265="EQ",IF(P1265="低",3,IF(P1265="中",4,6)),IF(J1265="ILF",IF(P1265="低",7,IF(P1265="中",10,15)),IF(J1265="EIF",IF(P1265="低",5,IF(P1265="中",7,10)),"不计算")))))*R1265,"不计算")</f>
        <v/>
      </c>
      <c r="R1265" s="172" t="n">
        <v>0.333333333333333</v>
      </c>
      <c r="S1265" s="173">
        <f>调整因子!$F$13</f>
        <v/>
      </c>
      <c r="T1265" s="93" t="n">
        <v>1</v>
      </c>
      <c r="U1265" s="174">
        <f>IFERROR(Q1265*S1265,0)</f>
        <v/>
      </c>
      <c r="V1265" s="178">
        <f>U1265*T1265</f>
        <v/>
      </c>
      <c r="W1265" s="103" t="inlineStr">
        <is>
          <t>考核指标配置表、任务统计数据表</t>
        </is>
      </c>
      <c r="X1265" s="103" t="inlineStr"/>
      <c r="Y1265" s="97" t="inlineStr">
        <is>
          <t>考核指标配置表{配置ID、配置名称、配置类型、配置值、创建时间|配置ID、配置名称、配置类型}
任务统计数据表{任务ID、任务名称、任务类型、任务状态、创建时间、执行时间|任务ID、任务名称、任务类型}</t>
        </is>
      </c>
      <c r="Z1265" s="90" t="n"/>
      <c r="AA1265" s="90" t="n"/>
    </row>
    <row r="1266" s="112">
      <c r="A1266" s="72">
        <f>ROW()-1</f>
        <v/>
      </c>
      <c r="B1266" s="175" t="n"/>
      <c r="C1266" s="124" t="n">
        <v>2026</v>
      </c>
      <c r="E1266" s="103" t="n"/>
      <c r="F1266" s="175" t="n"/>
      <c r="G1266" s="175" t="n"/>
      <c r="H1266" s="175" t="n"/>
      <c r="I1266" s="103" t="inlineStr">
        <is>
          <t>启用误报知识</t>
        </is>
      </c>
      <c r="J1266" s="93" t="inlineStr">
        <is>
          <t>EI</t>
        </is>
      </c>
      <c r="K1266" s="102" t="n"/>
      <c r="L1266" s="102" t="n"/>
      <c r="M1266" s="85">
        <f>IF(OR(Y1266="估算法",Y1266="算法类",Y1266="无法识别"),"",IF(W1266="",IF(OR(J1266="EI",J1266="EO",J1266="EQ"),0,""),LEN(W1266)-LEN(SUBSTITUTE(W1266,"、",""))+1))</f>
        <v/>
      </c>
      <c r="N1266" s="85">
        <f>IF(OR(Y1266="估算法",Y1266="算法类",Y1266="无法识别"),"",IF(X1266="",IF(OR(J1266="ILF",J1266="EIF"),0,""),LEN(X1266)-LEN(SUBSTITUTE(X1266,"、",""))+1))</f>
        <v/>
      </c>
      <c r="O1266" s="85">
        <f>IF(OR(Y1266="估算法",Y1266="算法类",Y1266="无法识别"),"",IF(Y1266="",IF(OR(J1266="ILF",J1266="EIF",J1266="EI",J1266="EO",J1266="EQ"),0,""),LEN(Y1266)-LEN(SUBSTITUTE(SUBSTITUTE(SUBSTITUTE(SUBSTITUTE(SUBSTITUTE(Y1266,"|}","--"),"{|","--"),CHAR(10),""),"、",""),"|",""))+IF(AND(OR(J1266="EI",J1266="EO",J1266="EQ"),$AE$1="NESMA"),2,1)))</f>
        <v/>
      </c>
      <c r="P1266" s="86">
        <f>IF(J1266="EI",IF(OR(Y1266="估算法",Y1266="算法类"),"中",IF(Y1266="无法识别","低",IF(M1266&lt;2,IF(O1266&lt;16,"低","中"),IF(M1266&lt;3,IF(O1266&lt;5,"低",IF(O1266&lt;16,"中","高")),IF(O1266&lt;5,"中","高"))))),IF(OR(J1266="EO",J1266="EQ"),IF(OR(Y1266="估算法",Y1266="算法类"),"中",IF(Y1266="无法识别","低",IF(M1266&lt;2,IF(O1266&lt;20,"低","中"),IF(M1266&lt;4,IF(O1266&lt;6,"低",IF(O1266&lt;20,"中","高")),IF(O1266&lt;6,"中","高"))))),IF(OR(J1266="ILF",J1266="EIF"),IF(OR(Y1266="估算法",Y1266="算法类",Y1266="无法识别"),"低",IF(N1266&lt;2,IF(O1266&lt;51,"低","中"),IF(N1266&lt;6,IF(O1266&lt;20,"低",IF(O1266&lt;51,"中","高")),IF(O1266&lt;20,"中","高")))),"不计算")))</f>
        <v/>
      </c>
      <c r="Q1266" s="172">
        <f>IFERROR(IF(J1266="EI",IF(P1266="低",3,IF(P1266="中",4,6)),IF(J1266="EO",IF(P1266="低",4,IF(P1266="中",5,7)),IF(J1266="EQ",IF(P1266="低",3,IF(P1266="中",4,6)),IF(J1266="ILF",IF(P1266="低",7,IF(P1266="中",10,15)),IF(J1266="EIF",IF(P1266="低",5,IF(P1266="中",7,10)),"不计算")))))*R1266,"不计算")</f>
        <v/>
      </c>
      <c r="R1266" s="172" t="n">
        <v>1</v>
      </c>
      <c r="S1266" s="173">
        <f>调整因子!$F$13</f>
        <v/>
      </c>
      <c r="T1266" s="92" t="n">
        <v>1</v>
      </c>
      <c r="U1266" s="174">
        <f>IFERROR(Q1266*S1266,0)</f>
        <v/>
      </c>
      <c r="V1266" s="178">
        <f>U1266*T1266</f>
        <v/>
      </c>
      <c r="W1266" s="103" t="inlineStr">
        <is>
          <t>修复步骤表</t>
        </is>
      </c>
      <c r="X1266" s="103" t="inlineStr"/>
      <c r="Y1266" s="97" t="inlineStr">
        <is>
          <t>修复步骤表{ID、名称、类型、状态、创建时间、更新时间|ID、名称、类型}</t>
        </is>
      </c>
      <c r="Z1266" s="90" t="n"/>
      <c r="AA1266" s="90" t="n"/>
    </row>
    <row r="1267" s="112">
      <c r="A1267" s="72">
        <f>ROW()-1</f>
        <v/>
      </c>
      <c r="B1267" s="175" t="n"/>
      <c r="C1267" s="124" t="n">
        <v>2026</v>
      </c>
      <c r="E1267" s="103" t="n"/>
      <c r="F1267" s="175" t="n"/>
      <c r="G1267" s="175" t="n"/>
      <c r="H1267" s="175" t="n"/>
      <c r="I1267" s="103" t="inlineStr">
        <is>
          <t>停用误报知识</t>
        </is>
      </c>
      <c r="J1267" s="93" t="n"/>
      <c r="K1267" s="102" t="n"/>
      <c r="L1267" s="102" t="inlineStr">
        <is>
          <t>和上行合并，启停为相同功能</t>
        </is>
      </c>
      <c r="M1267" s="85">
        <f>IF(OR(Y1267="估算法",Y1267="算法类",Y1267="无法识别"),"",IF(W1267="",IF(OR(J1267="EI",J1267="EO",J1267="EQ"),0,""),LEN(W1267)-LEN(SUBSTITUTE(W1267,"、",""))+1))</f>
        <v/>
      </c>
      <c r="N1267" s="85">
        <f>IF(OR(Y1267="估算法",Y1267="算法类",Y1267="无法识别"),"",IF(X1267="",IF(OR(J1267="ILF",J1267="EIF"),0,""),LEN(X1267)-LEN(SUBSTITUTE(X1267,"、",""))+1))</f>
        <v/>
      </c>
      <c r="O1267" s="85">
        <f>IF(OR(Y1267="估算法",Y1267="算法类",Y1267="无法识别"),"",IF(Y1267="",IF(OR(J1267="ILF",J1267="EIF",J1267="EI",J1267="EO",J1267="EQ"),0,""),LEN(Y1267)-LEN(SUBSTITUTE(SUBSTITUTE(SUBSTITUTE(SUBSTITUTE(SUBSTITUTE(Y1267,"|}","--"),"{|","--"),CHAR(10),""),"、",""),"|",""))+IF(AND(OR(J1267="EI",J1267="EO",J1267="EQ"),$AE$1="NESMA"),2,1)))</f>
        <v/>
      </c>
      <c r="P1267" s="86">
        <f>IF(J1267="EI",IF(OR(Y1267="估算法",Y1267="算法类"),"中",IF(Y1267="无法识别","低",IF(M1267&lt;2,IF(O1267&lt;16,"低","中"),IF(M1267&lt;3,IF(O1267&lt;5,"低",IF(O1267&lt;16,"中","高")),IF(O1267&lt;5,"中","高"))))),IF(OR(J1267="EO",J1267="EQ"),IF(OR(Y1267="估算法",Y1267="算法类"),"中",IF(Y1267="无法识别","低",IF(M1267&lt;2,IF(O1267&lt;20,"低","中"),IF(M1267&lt;4,IF(O1267&lt;6,"低",IF(O1267&lt;20,"中","高")),IF(O1267&lt;6,"中","高"))))),IF(OR(J1267="ILF",J1267="EIF"),IF(OR(Y1267="估算法",Y1267="算法类",Y1267="无法识别"),"低",IF(N1267&lt;2,IF(O1267&lt;51,"低","中"),IF(N1267&lt;6,IF(O1267&lt;20,"低",IF(O1267&lt;51,"中","高")),IF(O1267&lt;20,"中","高")))),"不计算")))</f>
        <v/>
      </c>
      <c r="Q1267" s="172">
        <f>IFERROR(IF(J1267="EI",IF(P1267="低",3,IF(P1267="中",4,6)),IF(J1267="EO",IF(P1267="低",4,IF(P1267="中",5,7)),IF(J1267="EQ",IF(P1267="低",3,IF(P1267="中",4,6)),IF(J1267="ILF",IF(P1267="低",7,IF(P1267="中",10,15)),IF(J1267="EIF",IF(P1267="低",5,IF(P1267="中",7,10)),"不计算")))))*R1267,"不计算")</f>
        <v/>
      </c>
      <c r="R1267" s="172" t="n">
        <v>1</v>
      </c>
      <c r="S1267" s="173">
        <f>调整因子!$F$13</f>
        <v/>
      </c>
      <c r="T1267" s="92" t="n">
        <v>1</v>
      </c>
      <c r="U1267" s="174">
        <f>IFERROR(Q1267*S1267,0)</f>
        <v/>
      </c>
      <c r="V1267" s="178">
        <f>U1267*T1267</f>
        <v/>
      </c>
      <c r="W1267" s="103" t="inlineStr">
        <is>
          <t>处置单关联表、接口参数配置表</t>
        </is>
      </c>
      <c r="X1267" s="103" t="inlineStr"/>
      <c r="Y1267" s="97" t="inlineStr">
        <is>
          <t>处置单关联表{ID、名称、类型、状态、创建时间、更新时间|ID、名称、类型}
接口参数配置表{配置ID、配置名称、配置类型、配置值、创建时间|配置ID、配置名称、配置类型}</t>
        </is>
      </c>
      <c r="Z1267" s="90" t="n"/>
      <c r="AA1267" s="90" t="n"/>
    </row>
    <row r="1268" s="112">
      <c r="A1268" s="72">
        <f>ROW()-1</f>
        <v/>
      </c>
      <c r="B1268" s="175" t="n"/>
      <c r="C1268" s="124" t="n">
        <v>2026</v>
      </c>
      <c r="E1268" s="103" t="n"/>
      <c r="F1268" s="175" t="n"/>
      <c r="G1268" s="175" t="n"/>
      <c r="H1268" s="175" t="n"/>
      <c r="I1268" s="103" t="inlineStr">
        <is>
          <t>导出误报知识</t>
        </is>
      </c>
      <c r="J1268" s="93" t="inlineStr">
        <is>
          <t>EO</t>
        </is>
      </c>
      <c r="K1268" s="102" t="n"/>
      <c r="L1268" s="102" t="n"/>
      <c r="M1268" s="85">
        <f>IF(OR(Y1268="估算法",Y1268="算法类",Y1268="无法识别"),"",IF(W1268="",IF(OR(J1268="EI",J1268="EO",J1268="EQ"),0,""),LEN(W1268)-LEN(SUBSTITUTE(W1268,"、",""))+1))</f>
        <v/>
      </c>
      <c r="N1268" s="85">
        <f>IF(OR(Y1268="估算法",Y1268="算法类",Y1268="无法识别"),"",IF(X1268="",IF(OR(J1268="ILF",J1268="EIF"),0,""),LEN(X1268)-LEN(SUBSTITUTE(X1268,"、",""))+1))</f>
        <v/>
      </c>
      <c r="O1268" s="85">
        <f>IF(OR(Y1268="估算法",Y1268="算法类",Y1268="无法识别"),"",IF(Y1268="",IF(OR(J1268="ILF",J1268="EIF",J1268="EI",J1268="EO",J1268="EQ"),0,""),LEN(Y1268)-LEN(SUBSTITUTE(SUBSTITUTE(SUBSTITUTE(SUBSTITUTE(SUBSTITUTE(Y1268,"|}","--"),"{|","--"),CHAR(10),""),"、",""),"|",""))+IF(AND(OR(J1268="EI",J1268="EO",J1268="EQ"),$AE$1="NESMA"),2,1)))</f>
        <v/>
      </c>
      <c r="P1268" s="86">
        <f>IF(J1268="EI",IF(OR(Y1268="估算法",Y1268="算法类"),"中",IF(Y1268="无法识别","低",IF(M1268&lt;2,IF(O1268&lt;16,"低","中"),IF(M1268&lt;3,IF(O1268&lt;5,"低",IF(O1268&lt;16,"中","高")),IF(O1268&lt;5,"中","高"))))),IF(OR(J1268="EO",J1268="EQ"),IF(OR(Y1268="估算法",Y1268="算法类"),"中",IF(Y1268="无法识别","低",IF(M1268&lt;2,IF(O1268&lt;20,"低","中"),IF(M1268&lt;4,IF(O1268&lt;6,"低",IF(O1268&lt;20,"中","高")),IF(O1268&lt;6,"中","高"))))),IF(OR(J1268="ILF",J1268="EIF"),IF(OR(Y1268="估算法",Y1268="算法类",Y1268="无法识别"),"低",IF(N1268&lt;2,IF(O1268&lt;51,"低","中"),IF(N1268&lt;6,IF(O1268&lt;20,"低",IF(O1268&lt;51,"中","高")),IF(O1268&lt;20,"中","高")))),"不计算")))</f>
        <v/>
      </c>
      <c r="Q1268" s="172">
        <f>IFERROR(IF(J1268="EI",IF(P1268="低",3,IF(P1268="中",4,6)),IF(J1268="EO",IF(P1268="低",4,IF(P1268="中",5,7)),IF(J1268="EQ",IF(P1268="低",3,IF(P1268="中",4,6)),IF(J1268="ILF",IF(P1268="低",7,IF(P1268="中",10,15)),IF(J1268="EIF",IF(P1268="低",5,IF(P1268="中",7,10)),"不计算")))))*R1268,"不计算")</f>
        <v/>
      </c>
      <c r="R1268" s="172" t="n">
        <v>1</v>
      </c>
      <c r="S1268" s="173">
        <f>调整因子!$F$13</f>
        <v/>
      </c>
      <c r="T1268" s="93" t="n">
        <v>1</v>
      </c>
      <c r="U1268" s="174">
        <f>IFERROR(Q1268*S1268,0)</f>
        <v/>
      </c>
      <c r="V1268" s="178">
        <f>U1268*T1268</f>
        <v/>
      </c>
      <c r="W1268" s="103" t="inlineStr">
        <is>
          <t>日志加密配置表、复测任务表</t>
        </is>
      </c>
      <c r="X1268" s="103" t="inlineStr"/>
      <c r="Y1268" s="97" t="inlineStr">
        <is>
          <t>日志加密配置表{配置ID、配置名称|配置ID、配置名称、配置类型、配置值、创建时间}
复测任务表{任务ID、任务名称|任务ID、任务名称、任务类型、任务状态、创建时间、执行时间}</t>
        </is>
      </c>
      <c r="Z1268" s="90" t="n"/>
      <c r="AA1268" s="90" t="n"/>
    </row>
    <row r="1269" s="112">
      <c r="A1269" s="72">
        <f>ROW()-1</f>
        <v/>
      </c>
      <c r="B1269" s="175" t="n"/>
      <c r="C1269" s="124" t="n">
        <v>2026</v>
      </c>
      <c r="E1269" s="103" t="n"/>
      <c r="F1269" s="175" t="n"/>
      <c r="G1269" s="175" t="n"/>
      <c r="H1269" s="175" t="n"/>
      <c r="I1269" s="103" t="inlineStr">
        <is>
          <t>查询误报知识列表</t>
        </is>
      </c>
      <c r="J1269" s="93" t="inlineStr">
        <is>
          <t>EQ</t>
        </is>
      </c>
      <c r="K1269" s="102" t="n"/>
      <c r="L1269" s="102" t="n"/>
      <c r="M1269" s="85">
        <f>IF(OR(Y1269="估算法",Y1269="算法类",Y1269="无法识别"),"",IF(W1269="",IF(OR(J1269="EI",J1269="EO",J1269="EQ"),0,""),LEN(W1269)-LEN(SUBSTITUTE(W1269,"、",""))+1))</f>
        <v/>
      </c>
      <c r="N1269" s="85">
        <f>IF(OR(Y1269="估算法",Y1269="算法类",Y1269="无法识别"),"",IF(X1269="",IF(OR(J1269="ILF",J1269="EIF"),0,""),LEN(X1269)-LEN(SUBSTITUTE(X1269,"、",""))+1))</f>
        <v/>
      </c>
      <c r="O1269" s="85">
        <f>IF(OR(Y1269="估算法",Y1269="算法类",Y1269="无法识别"),"",IF(Y1269="",IF(OR(J1269="ILF",J1269="EIF",J1269="EI",J1269="EO",J1269="EQ"),0,""),LEN(Y1269)-LEN(SUBSTITUTE(SUBSTITUTE(SUBSTITUTE(SUBSTITUTE(SUBSTITUTE(Y1269,"|}","--"),"{|","--"),CHAR(10),""),"、",""),"|",""))+IF(AND(OR(J1269="EI",J1269="EO",J1269="EQ"),$AE$1="NESMA"),2,1)))</f>
        <v/>
      </c>
      <c r="P1269" s="86">
        <f>IF(J1269="EI",IF(OR(Y1269="估算法",Y1269="算法类"),"中",IF(Y1269="无法识别","低",IF(M1269&lt;2,IF(O1269&lt;16,"低","中"),IF(M1269&lt;3,IF(O1269&lt;5,"低",IF(O1269&lt;16,"中","高")),IF(O1269&lt;5,"中","高"))))),IF(OR(J1269="EO",J1269="EQ"),IF(OR(Y1269="估算法",Y1269="算法类"),"中",IF(Y1269="无法识别","低",IF(M1269&lt;2,IF(O1269&lt;20,"低","中"),IF(M1269&lt;4,IF(O1269&lt;6,"低",IF(O1269&lt;20,"中","高")),IF(O1269&lt;6,"中","高"))))),IF(OR(J1269="ILF",J1269="EIF"),IF(OR(Y1269="估算法",Y1269="算法类",Y1269="无法识别"),"低",IF(N1269&lt;2,IF(O1269&lt;51,"低","中"),IF(N1269&lt;6,IF(O1269&lt;20,"低",IF(O1269&lt;51,"中","高")),IF(O1269&lt;20,"中","高")))),"不计算")))</f>
        <v/>
      </c>
      <c r="Q1269" s="172">
        <f>IFERROR(IF(J1269="EI",IF(P1269="低",3,IF(P1269="中",4,6)),IF(J1269="EO",IF(P1269="低",4,IF(P1269="中",5,7)),IF(J1269="EQ",IF(P1269="低",3,IF(P1269="中",4,6)),IF(J1269="ILF",IF(P1269="低",7,IF(P1269="中",10,15)),IF(J1269="EIF",IF(P1269="低",5,IF(P1269="中",7,10)),"不计算")))))*R1269,"不计算")</f>
        <v/>
      </c>
      <c r="R1269" s="172" t="n">
        <v>1</v>
      </c>
      <c r="S1269" s="173">
        <f>调整因子!$F$13</f>
        <v/>
      </c>
      <c r="T1269" s="92" t="n">
        <v>1</v>
      </c>
      <c r="U1269" s="174">
        <f>IFERROR(Q1269*S1269,0)</f>
        <v/>
      </c>
      <c r="V1269" s="178">
        <f>U1269*T1269</f>
        <v/>
      </c>
      <c r="W1269" s="103" t="inlineStr">
        <is>
          <t>资产扫描覆盖表、推送结果表</t>
        </is>
      </c>
      <c r="X1269" s="103" t="inlineStr"/>
      <c r="Y1269" s="97" t="inlineStr">
        <is>
          <t>资产扫描覆盖表{资产ID、资产名称|资产ID、资产名称、IP地址、资产类型、资产状态、创建时间、更新时间}
推送结果表{ID、名称|ID、名称、类型、状态、创建时间、更新时间}</t>
        </is>
      </c>
      <c r="Z1269" s="90" t="n"/>
      <c r="AA1269" s="90" t="n"/>
    </row>
    <row r="1270" s="112">
      <c r="A1270" s="72">
        <f>ROW()-1</f>
        <v/>
      </c>
      <c r="B1270" s="175" t="n"/>
      <c r="C1270" s="124" t="n">
        <v>2026</v>
      </c>
      <c r="E1270" s="103" t="n"/>
      <c r="F1270" s="175" t="n"/>
      <c r="G1270" s="175" t="n"/>
      <c r="H1270" s="176" t="n"/>
      <c r="I1270" s="103" t="inlineStr">
        <is>
          <t>查看误报知识详情</t>
        </is>
      </c>
      <c r="J1270" s="93" t="inlineStr">
        <is>
          <t>EQ</t>
        </is>
      </c>
      <c r="K1270" s="102" t="n"/>
      <c r="L1270" s="102" t="n"/>
      <c r="M1270" s="85">
        <f>IF(OR(Y1270="估算法",Y1270="算法类",Y1270="无法识别"),"",IF(W1270="",IF(OR(J1270="EI",J1270="EO",J1270="EQ"),0,""),LEN(W1270)-LEN(SUBSTITUTE(W1270,"、",""))+1))</f>
        <v/>
      </c>
      <c r="N1270" s="85">
        <f>IF(OR(Y1270="估算法",Y1270="算法类",Y1270="无法识别"),"",IF(X1270="",IF(OR(J1270="ILF",J1270="EIF"),0,""),LEN(X1270)-LEN(SUBSTITUTE(X1270,"、",""))+1))</f>
        <v/>
      </c>
      <c r="O1270" s="85">
        <f>IF(OR(Y1270="估算法",Y1270="算法类",Y1270="无法识别"),"",IF(Y1270="",IF(OR(J1270="ILF",J1270="EIF",J1270="EI",J1270="EO",J1270="EQ"),0,""),LEN(Y1270)-LEN(SUBSTITUTE(SUBSTITUTE(SUBSTITUTE(SUBSTITUTE(SUBSTITUTE(Y1270,"|}","--"),"{|","--"),CHAR(10),""),"、",""),"|",""))+IF(AND(OR(J1270="EI",J1270="EO",J1270="EQ"),$AE$1="NESMA"),2,1)))</f>
        <v/>
      </c>
      <c r="P1270" s="86">
        <f>IF(J1270="EI",IF(OR(Y1270="估算法",Y1270="算法类"),"中",IF(Y1270="无法识别","低",IF(M1270&lt;2,IF(O1270&lt;16,"低","中"),IF(M1270&lt;3,IF(O1270&lt;5,"低",IF(O1270&lt;16,"中","高")),IF(O1270&lt;5,"中","高"))))),IF(OR(J1270="EO",J1270="EQ"),IF(OR(Y1270="估算法",Y1270="算法类"),"中",IF(Y1270="无法识别","低",IF(M1270&lt;2,IF(O1270&lt;20,"低","中"),IF(M1270&lt;4,IF(O1270&lt;6,"低",IF(O1270&lt;20,"中","高")),IF(O1270&lt;6,"中","高"))))),IF(OR(J1270="ILF",J1270="EIF"),IF(OR(Y1270="估算法",Y1270="算法类",Y1270="无法识别"),"低",IF(N1270&lt;2,IF(O1270&lt;51,"低","中"),IF(N1270&lt;6,IF(O1270&lt;20,"低",IF(O1270&lt;51,"中","高")),IF(O1270&lt;20,"中","高")))),"不计算")))</f>
        <v/>
      </c>
      <c r="Q1270" s="172">
        <f>IFERROR(IF(J1270="EI",IF(P1270="低",3,IF(P1270="中",4,6)),IF(J1270="EO",IF(P1270="低",4,IF(P1270="中",5,7)),IF(J1270="EQ",IF(P1270="低",3,IF(P1270="中",4,6)),IF(J1270="ILF",IF(P1270="低",7,IF(P1270="中",10,15)),IF(J1270="EIF",IF(P1270="低",5,IF(P1270="中",7,10)),"不计算")))))*R1270,"不计算")</f>
        <v/>
      </c>
      <c r="R1270" s="172" t="n">
        <v>1</v>
      </c>
      <c r="S1270" s="173">
        <f>调整因子!$F$13</f>
        <v/>
      </c>
      <c r="T1270" s="92" t="n">
        <v>1</v>
      </c>
      <c r="U1270" s="174">
        <f>IFERROR(Q1270*S1270,0)</f>
        <v/>
      </c>
      <c r="V1270" s="178">
        <f>U1270*T1270</f>
        <v/>
      </c>
      <c r="W1270" s="103" t="inlineStr">
        <is>
          <t>扫描能力缺口表</t>
        </is>
      </c>
      <c r="X1270" s="103" t="inlineStr"/>
      <c r="Y1270" s="97" t="inlineStr">
        <is>
          <t>扫描能力缺口表{任务ID、任务名称|任务ID、任务名称、任务状态、扫描器类型、开始时间、结束时间、扫描结果}</t>
        </is>
      </c>
      <c r="Z1270" s="90" t="n"/>
      <c r="AA1270" s="90" t="n"/>
    </row>
    <row r="1271" s="112">
      <c r="A1271" s="72">
        <f>ROW()-1</f>
        <v/>
      </c>
      <c r="B1271" s="175" t="n"/>
      <c r="C1271" s="124" t="n">
        <v>2026</v>
      </c>
      <c r="E1271" s="103" t="n"/>
      <c r="F1271" s="175" t="n"/>
      <c r="G1271" s="175" t="n"/>
      <c r="H1271" s="97" t="inlineStr">
        <is>
          <t>误报规则管理</t>
        </is>
      </c>
      <c r="I1271" s="103" t="inlineStr">
        <is>
          <t>编辑误报规则</t>
        </is>
      </c>
      <c r="J1271" s="93" t="inlineStr">
        <is>
          <t>EI</t>
        </is>
      </c>
      <c r="K1271" s="102" t="n"/>
      <c r="L1271" s="102" t="n"/>
      <c r="M1271" s="85">
        <f>IF(OR(Y1271="估算法",Y1271="算法类",Y1271="无法识别"),"",IF(W1271="",IF(OR(J1271="EI",J1271="EO",J1271="EQ"),0,""),LEN(W1271)-LEN(SUBSTITUTE(W1271,"、",""))+1))</f>
        <v/>
      </c>
      <c r="N1271" s="85">
        <f>IF(OR(Y1271="估算法",Y1271="算法类",Y1271="无法识别"),"",IF(X1271="",IF(OR(J1271="ILF",J1271="EIF"),0,""),LEN(X1271)-LEN(SUBSTITUTE(X1271,"、",""))+1))</f>
        <v/>
      </c>
      <c r="O1271" s="85">
        <f>IF(OR(Y1271="估算法",Y1271="算法类",Y1271="无法识别"),"",IF(Y1271="",IF(OR(J1271="ILF",J1271="EIF",J1271="EI",J1271="EO",J1271="EQ"),0,""),LEN(Y1271)-LEN(SUBSTITUTE(SUBSTITUTE(SUBSTITUTE(SUBSTITUTE(SUBSTITUTE(Y1271,"|}","--"),"{|","--"),CHAR(10),""),"、",""),"|",""))+IF(AND(OR(J1271="EI",J1271="EO",J1271="EQ"),$AE$1="NESMA"),2,1)))</f>
        <v/>
      </c>
      <c r="P1271" s="86">
        <f>IF(J1271="EI",IF(OR(Y1271="估算法",Y1271="算法类"),"中",IF(Y1271="无法识别","低",IF(M1271&lt;2,IF(O1271&lt;16,"低","中"),IF(M1271&lt;3,IF(O1271&lt;5,"低",IF(O1271&lt;16,"中","高")),IF(O1271&lt;5,"中","高"))))),IF(OR(J1271="EO",J1271="EQ"),IF(OR(Y1271="估算法",Y1271="算法类"),"中",IF(Y1271="无法识别","低",IF(M1271&lt;2,IF(O1271&lt;20,"低","中"),IF(M1271&lt;4,IF(O1271&lt;6,"低",IF(O1271&lt;20,"中","高")),IF(O1271&lt;6,"中","高"))))),IF(OR(J1271="ILF",J1271="EIF"),IF(OR(Y1271="估算法",Y1271="算法类",Y1271="无法识别"),"低",IF(N1271&lt;2,IF(O1271&lt;51,"低","中"),IF(N1271&lt;6,IF(O1271&lt;20,"低",IF(O1271&lt;51,"中","高")),IF(O1271&lt;20,"中","高")))),"不计算")))</f>
        <v/>
      </c>
      <c r="Q1271" s="172">
        <f>IFERROR(IF(J1271="EI",IF(P1271="低",3,IF(P1271="中",4,6)),IF(J1271="EO",IF(P1271="低",4,IF(P1271="中",5,7)),IF(J1271="EQ",IF(P1271="低",3,IF(P1271="中",4,6)),IF(J1271="ILF",IF(P1271="低",7,IF(P1271="中",10,15)),IF(J1271="EIF",IF(P1271="低",5,IF(P1271="中",7,10)),"不计算")))))*R1271,"不计算")</f>
        <v/>
      </c>
      <c r="R1271" s="172" t="n">
        <v>1</v>
      </c>
      <c r="S1271" s="173">
        <f>调整因子!$F$13</f>
        <v/>
      </c>
      <c r="T1271" s="93" t="n">
        <v>1</v>
      </c>
      <c r="U1271" s="174">
        <f>IFERROR(Q1271*S1271,0)</f>
        <v/>
      </c>
      <c r="V1271" s="178">
        <f>U1271*T1271</f>
        <v/>
      </c>
      <c r="W1271" s="103" t="inlineStr">
        <is>
          <t>推送规则表</t>
        </is>
      </c>
      <c r="X1271" s="103" t="inlineStr"/>
      <c r="Y1271" s="97" t="inlineStr">
        <is>
          <t>推送规则表{规则ID、规则名称、规则类型、规则条件、创建时间|规则ID、规则名称、规则类型}</t>
        </is>
      </c>
      <c r="Z1271" s="90" t="n"/>
      <c r="AA1271" s="90" t="n"/>
    </row>
    <row r="1272" s="112">
      <c r="A1272" s="72">
        <f>ROW()-1</f>
        <v/>
      </c>
      <c r="B1272" s="175" t="n"/>
      <c r="C1272" s="124" t="n">
        <v>2026</v>
      </c>
      <c r="E1272" s="103" t="n"/>
      <c r="F1272" s="175" t="n"/>
      <c r="G1272" s="175" t="n"/>
      <c r="H1272" s="175" t="n"/>
      <c r="I1272" s="103" t="inlineStr">
        <is>
          <t>删除误报规则</t>
        </is>
      </c>
      <c r="J1272" s="93" t="inlineStr">
        <is>
          <t>EI</t>
        </is>
      </c>
      <c r="K1272" s="102" t="n"/>
      <c r="L1272" s="102" t="n"/>
      <c r="M1272" s="85">
        <f>IF(OR(Y1272="估算法",Y1272="算法类",Y1272="无法识别"),"",IF(W1272="",IF(OR(J1272="EI",J1272="EO",J1272="EQ"),0,""),LEN(W1272)-LEN(SUBSTITUTE(W1272,"、",""))+1))</f>
        <v/>
      </c>
      <c r="N1272" s="85">
        <f>IF(OR(Y1272="估算法",Y1272="算法类",Y1272="无法识别"),"",IF(X1272="",IF(OR(J1272="ILF",J1272="EIF"),0,""),LEN(X1272)-LEN(SUBSTITUTE(X1272,"、",""))+1))</f>
        <v/>
      </c>
      <c r="O1272" s="85">
        <f>IF(OR(Y1272="估算法",Y1272="算法类",Y1272="无法识别"),"",IF(Y1272="",IF(OR(J1272="ILF",J1272="EIF",J1272="EI",J1272="EO",J1272="EQ"),0,""),LEN(Y1272)-LEN(SUBSTITUTE(SUBSTITUTE(SUBSTITUTE(SUBSTITUTE(SUBSTITUTE(Y1272,"|}","--"),"{|","--"),CHAR(10),""),"、",""),"|",""))+IF(AND(OR(J1272="EI",J1272="EO",J1272="EQ"),$AE$1="NESMA"),2,1)))</f>
        <v/>
      </c>
      <c r="P1272" s="86">
        <f>IF(J1272="EI",IF(OR(Y1272="估算法",Y1272="算法类"),"中",IF(Y1272="无法识别","低",IF(M1272&lt;2,IF(O1272&lt;16,"低","中"),IF(M1272&lt;3,IF(O1272&lt;5,"低",IF(O1272&lt;16,"中","高")),IF(O1272&lt;5,"中","高"))))),IF(OR(J1272="EO",J1272="EQ"),IF(OR(Y1272="估算法",Y1272="算法类"),"中",IF(Y1272="无法识别","低",IF(M1272&lt;2,IF(O1272&lt;20,"低","中"),IF(M1272&lt;4,IF(O1272&lt;6,"低",IF(O1272&lt;20,"中","高")),IF(O1272&lt;6,"中","高"))))),IF(OR(J1272="ILF",J1272="EIF"),IF(OR(Y1272="估算法",Y1272="算法类",Y1272="无法识别"),"低",IF(N1272&lt;2,IF(O1272&lt;51,"低","中"),IF(N1272&lt;6,IF(O1272&lt;20,"低",IF(O1272&lt;51,"中","高")),IF(O1272&lt;20,"中","高")))),"不计算")))</f>
        <v/>
      </c>
      <c r="Q1272" s="172">
        <f>IFERROR(IF(J1272="EI",IF(P1272="低",3,IF(P1272="中",4,6)),IF(J1272="EO",IF(P1272="低",4,IF(P1272="中",5,7)),IF(J1272="EQ",IF(P1272="低",3,IF(P1272="中",4,6)),IF(J1272="ILF",IF(P1272="低",7,IF(P1272="中",10,15)),IF(J1272="EIF",IF(P1272="低",5,IF(P1272="中",7,10)),"不计算")))))*R1272,"不计算")</f>
        <v/>
      </c>
      <c r="R1272" s="172" t="n">
        <v>0.333333333333333</v>
      </c>
      <c r="S1272" s="173">
        <f>调整因子!$F$13</f>
        <v/>
      </c>
      <c r="T1272" s="93" t="n">
        <v>1</v>
      </c>
      <c r="U1272" s="174">
        <f>IFERROR(Q1272*S1272,0)</f>
        <v/>
      </c>
      <c r="V1272" s="178">
        <f>U1272*T1272</f>
        <v/>
      </c>
      <c r="W1272" s="103" t="inlineStr">
        <is>
          <t>推送规则表、提醒规则表</t>
        </is>
      </c>
      <c r="X1272" s="103" t="inlineStr"/>
      <c r="Y1272" s="97" t="inlineStr">
        <is>
          <t>推送规则表{规则ID、规则名称、规则类型、规则条件、创建时间|规则ID、规则名称、规则类型}
提醒规则表{规则ID、规则名称、规则类型、规则条件、创建时间|规则ID、规则名称、规则类型}</t>
        </is>
      </c>
      <c r="Z1272" s="90" t="n"/>
      <c r="AA1272" s="90" t="n"/>
    </row>
    <row r="1273" s="112">
      <c r="A1273" s="72">
        <f>ROW()-1</f>
        <v/>
      </c>
      <c r="B1273" s="175" t="n"/>
      <c r="C1273" s="124" t="n">
        <v>2026</v>
      </c>
      <c r="E1273" s="103" t="n"/>
      <c r="F1273" s="175" t="n"/>
      <c r="G1273" s="175" t="n"/>
      <c r="H1273" s="175" t="n"/>
      <c r="I1273" s="103" t="inlineStr">
        <is>
          <t>启用误报规则</t>
        </is>
      </c>
      <c r="J1273" s="93" t="inlineStr">
        <is>
          <t>EI</t>
        </is>
      </c>
      <c r="K1273" s="102" t="n"/>
      <c r="L1273" s="102" t="n"/>
      <c r="M1273" s="85">
        <f>IF(OR(Y1273="估算法",Y1273="算法类",Y1273="无法识别"),"",IF(W1273="",IF(OR(J1273="EI",J1273="EO",J1273="EQ"),0,""),LEN(W1273)-LEN(SUBSTITUTE(W1273,"、",""))+1))</f>
        <v/>
      </c>
      <c r="N1273" s="85">
        <f>IF(OR(Y1273="估算法",Y1273="算法类",Y1273="无法识别"),"",IF(X1273="",IF(OR(J1273="ILF",J1273="EIF"),0,""),LEN(X1273)-LEN(SUBSTITUTE(X1273,"、",""))+1))</f>
        <v/>
      </c>
      <c r="O1273" s="85">
        <f>IF(OR(Y1273="估算法",Y1273="算法类",Y1273="无法识别"),"",IF(Y1273="",IF(OR(J1273="ILF",J1273="EIF",J1273="EI",J1273="EO",J1273="EQ"),0,""),LEN(Y1273)-LEN(SUBSTITUTE(SUBSTITUTE(SUBSTITUTE(SUBSTITUTE(SUBSTITUTE(Y1273,"|}","--"),"{|","--"),CHAR(10),""),"、",""),"|",""))+IF(AND(OR(J1273="EI",J1273="EO",J1273="EQ"),$AE$1="NESMA"),2,1)))</f>
        <v/>
      </c>
      <c r="P1273" s="86">
        <f>IF(J1273="EI",IF(OR(Y1273="估算法",Y1273="算法类"),"中",IF(Y1273="无法识别","低",IF(M1273&lt;2,IF(O1273&lt;16,"低","中"),IF(M1273&lt;3,IF(O1273&lt;5,"低",IF(O1273&lt;16,"中","高")),IF(O1273&lt;5,"中","高"))))),IF(OR(J1273="EO",J1273="EQ"),IF(OR(Y1273="估算法",Y1273="算法类"),"中",IF(Y1273="无法识别","低",IF(M1273&lt;2,IF(O1273&lt;20,"低","中"),IF(M1273&lt;4,IF(O1273&lt;6,"低",IF(O1273&lt;20,"中","高")),IF(O1273&lt;6,"中","高"))))),IF(OR(J1273="ILF",J1273="EIF"),IF(OR(Y1273="估算法",Y1273="算法类",Y1273="无法识别"),"低",IF(N1273&lt;2,IF(O1273&lt;51,"低","中"),IF(N1273&lt;6,IF(O1273&lt;20,"低",IF(O1273&lt;51,"中","高")),IF(O1273&lt;20,"中","高")))),"不计算")))</f>
        <v/>
      </c>
      <c r="Q1273" s="172">
        <f>IFERROR(IF(J1273="EI",IF(P1273="低",3,IF(P1273="中",4,6)),IF(J1273="EO",IF(P1273="低",4,IF(P1273="中",5,7)),IF(J1273="EQ",IF(P1273="低",3,IF(P1273="中",4,6)),IF(J1273="ILF",IF(P1273="低",7,IF(P1273="中",10,15)),IF(J1273="EIF",IF(P1273="低",5,IF(P1273="中",7,10)),"不计算")))))*R1273,"不计算")</f>
        <v/>
      </c>
      <c r="R1273" s="172" t="n">
        <v>1</v>
      </c>
      <c r="S1273" s="173">
        <f>调整因子!$F$13</f>
        <v/>
      </c>
      <c r="T1273" s="92" t="n">
        <v>1</v>
      </c>
      <c r="U1273" s="174">
        <f>IFERROR(Q1273*S1273,0)</f>
        <v/>
      </c>
      <c r="V1273" s="178">
        <f>U1273*T1273</f>
        <v/>
      </c>
      <c r="W1273" s="103" t="inlineStr">
        <is>
          <t>推送规则表</t>
        </is>
      </c>
      <c r="X1273" s="103" t="inlineStr"/>
      <c r="Y1273" s="97" t="inlineStr">
        <is>
          <t>推送规则表{规则ID、规则名称、规则类型、规则条件、创建时间|规则ID、规则名称、规则类型}</t>
        </is>
      </c>
      <c r="Z1273" s="90" t="n"/>
      <c r="AA1273" s="90" t="n"/>
    </row>
    <row r="1274" s="112">
      <c r="A1274" s="72">
        <f>ROW()-1</f>
        <v/>
      </c>
      <c r="B1274" s="175" t="n"/>
      <c r="C1274" s="124" t="n">
        <v>2026</v>
      </c>
      <c r="E1274" s="103" t="n"/>
      <c r="F1274" s="175" t="n"/>
      <c r="G1274" s="175" t="n"/>
      <c r="H1274" s="175" t="n"/>
      <c r="I1274" s="103" t="inlineStr">
        <is>
          <t>停用误报规则</t>
        </is>
      </c>
      <c r="J1274" s="93" t="n"/>
      <c r="K1274" s="102" t="n"/>
      <c r="L1274" s="102" t="inlineStr">
        <is>
          <t>和上行合并，启停为相同功能</t>
        </is>
      </c>
      <c r="M1274" s="85">
        <f>IF(OR(Y1274="估算法",Y1274="算法类",Y1274="无法识别"),"",IF(W1274="",IF(OR(J1274="EI",J1274="EO",J1274="EQ"),0,""),LEN(W1274)-LEN(SUBSTITUTE(W1274,"、",""))+1))</f>
        <v/>
      </c>
      <c r="N1274" s="85">
        <f>IF(OR(Y1274="估算法",Y1274="算法类",Y1274="无法识别"),"",IF(X1274="",IF(OR(J1274="ILF",J1274="EIF"),0,""),LEN(X1274)-LEN(SUBSTITUTE(X1274,"、",""))+1))</f>
        <v/>
      </c>
      <c r="O1274" s="85">
        <f>IF(OR(Y1274="估算法",Y1274="算法类",Y1274="无法识别"),"",IF(Y1274="",IF(OR(J1274="ILF",J1274="EIF",J1274="EI",J1274="EO",J1274="EQ"),0,""),LEN(Y1274)-LEN(SUBSTITUTE(SUBSTITUTE(SUBSTITUTE(SUBSTITUTE(SUBSTITUTE(Y1274,"|}","--"),"{|","--"),CHAR(10),""),"、",""),"|",""))+IF(AND(OR(J1274="EI",J1274="EO",J1274="EQ"),$AE$1="NESMA"),2,1)))</f>
        <v/>
      </c>
      <c r="P1274" s="86">
        <f>IF(J1274="EI",IF(OR(Y1274="估算法",Y1274="算法类"),"中",IF(Y1274="无法识别","低",IF(M1274&lt;2,IF(O1274&lt;16,"低","中"),IF(M1274&lt;3,IF(O1274&lt;5,"低",IF(O1274&lt;16,"中","高")),IF(O1274&lt;5,"中","高"))))),IF(OR(J1274="EO",J1274="EQ"),IF(OR(Y1274="估算法",Y1274="算法类"),"中",IF(Y1274="无法识别","低",IF(M1274&lt;2,IF(O1274&lt;20,"低","中"),IF(M1274&lt;4,IF(O1274&lt;6,"低",IF(O1274&lt;20,"中","高")),IF(O1274&lt;6,"中","高"))))),IF(OR(J1274="ILF",J1274="EIF"),IF(OR(Y1274="估算法",Y1274="算法类",Y1274="无法识别"),"低",IF(N1274&lt;2,IF(O1274&lt;51,"低","中"),IF(N1274&lt;6,IF(O1274&lt;20,"低",IF(O1274&lt;51,"中","高")),IF(O1274&lt;20,"中","高")))),"不计算")))</f>
        <v/>
      </c>
      <c r="Q1274" s="172">
        <f>IFERROR(IF(J1274="EI",IF(P1274="低",3,IF(P1274="中",4,6)),IF(J1274="EO",IF(P1274="低",4,IF(P1274="中",5,7)),IF(J1274="EQ",IF(P1274="低",3,IF(P1274="中",4,6)),IF(J1274="ILF",IF(P1274="低",7,IF(P1274="中",10,15)),IF(J1274="EIF",IF(P1274="低",5,IF(P1274="中",7,10)),"不计算")))))*R1274,"不计算")</f>
        <v/>
      </c>
      <c r="R1274" s="172" t="n">
        <v>1</v>
      </c>
      <c r="S1274" s="173">
        <f>调整因子!$F$13</f>
        <v/>
      </c>
      <c r="T1274" s="92" t="n">
        <v>1</v>
      </c>
      <c r="U1274" s="174">
        <f>IFERROR(Q1274*S1274,0)</f>
        <v/>
      </c>
      <c r="V1274" s="178">
        <f>U1274*T1274</f>
        <v/>
      </c>
      <c r="W1274" s="103" t="inlineStr">
        <is>
          <t>推送规则表</t>
        </is>
      </c>
      <c r="X1274" s="103" t="inlineStr"/>
      <c r="Y1274" s="97" t="inlineStr">
        <is>
          <t>推送规则表{规则ID、规则名称、规则类型、规则条件、创建时间|规则ID、规则名称、规则类型}</t>
        </is>
      </c>
      <c r="Z1274" s="90" t="n"/>
      <c r="AA1274" s="90" t="n"/>
    </row>
    <row r="1275" s="112">
      <c r="A1275" s="72">
        <f>ROW()-1</f>
        <v/>
      </c>
      <c r="B1275" s="175" t="n"/>
      <c r="C1275" s="124" t="n">
        <v>2026</v>
      </c>
      <c r="E1275" s="103" t="n"/>
      <c r="F1275" s="175" t="n"/>
      <c r="G1275" s="175" t="n"/>
      <c r="H1275" s="175" t="n"/>
      <c r="I1275" s="103" t="inlineStr">
        <is>
          <t>导出误报规则</t>
        </is>
      </c>
      <c r="J1275" s="93" t="inlineStr">
        <is>
          <t>EO</t>
        </is>
      </c>
      <c r="K1275" s="102" t="n"/>
      <c r="L1275" s="102" t="n"/>
      <c r="M1275" s="85">
        <f>IF(OR(Y1275="估算法",Y1275="算法类",Y1275="无法识别"),"",IF(W1275="",IF(OR(J1275="EI",J1275="EO",J1275="EQ"),0,""),LEN(W1275)-LEN(SUBSTITUTE(W1275,"、",""))+1))</f>
        <v/>
      </c>
      <c r="N1275" s="85">
        <f>IF(OR(Y1275="估算法",Y1275="算法类",Y1275="无法识别"),"",IF(X1275="",IF(OR(J1275="ILF",J1275="EIF"),0,""),LEN(X1275)-LEN(SUBSTITUTE(X1275,"、",""))+1))</f>
        <v/>
      </c>
      <c r="O1275" s="85">
        <f>IF(OR(Y1275="估算法",Y1275="算法类",Y1275="无法识别"),"",IF(Y1275="",IF(OR(J1275="ILF",J1275="EIF",J1275="EI",J1275="EO",J1275="EQ"),0,""),LEN(Y1275)-LEN(SUBSTITUTE(SUBSTITUTE(SUBSTITUTE(SUBSTITUTE(SUBSTITUTE(Y1275,"|}","--"),"{|","--"),CHAR(10),""),"、",""),"|",""))+IF(AND(OR(J1275="EI",J1275="EO",J1275="EQ"),$AE$1="NESMA"),2,1)))</f>
        <v/>
      </c>
      <c r="P1275" s="86">
        <f>IF(J1275="EI",IF(OR(Y1275="估算法",Y1275="算法类"),"中",IF(Y1275="无法识别","低",IF(M1275&lt;2,IF(O1275&lt;16,"低","中"),IF(M1275&lt;3,IF(O1275&lt;5,"低",IF(O1275&lt;16,"中","高")),IF(O1275&lt;5,"中","高"))))),IF(OR(J1275="EO",J1275="EQ"),IF(OR(Y1275="估算法",Y1275="算法类"),"中",IF(Y1275="无法识别","低",IF(M1275&lt;2,IF(O1275&lt;20,"低","中"),IF(M1275&lt;4,IF(O1275&lt;6,"低",IF(O1275&lt;20,"中","高")),IF(O1275&lt;6,"中","高"))))),IF(OR(J1275="ILF",J1275="EIF"),IF(OR(Y1275="估算法",Y1275="算法类",Y1275="无法识别"),"低",IF(N1275&lt;2,IF(O1275&lt;51,"低","中"),IF(N1275&lt;6,IF(O1275&lt;20,"低",IF(O1275&lt;51,"中","高")),IF(O1275&lt;20,"中","高")))),"不计算")))</f>
        <v/>
      </c>
      <c r="Q1275" s="172">
        <f>IFERROR(IF(J1275="EI",IF(P1275="低",3,IF(P1275="中",4,6)),IF(J1275="EO",IF(P1275="低",4,IF(P1275="中",5,7)),IF(J1275="EQ",IF(P1275="低",3,IF(P1275="中",4,6)),IF(J1275="ILF",IF(P1275="低",7,IF(P1275="中",10,15)),IF(J1275="EIF",IF(P1275="低",5,IF(P1275="中",7,10)),"不计算")))))*R1275,"不计算")</f>
        <v/>
      </c>
      <c r="R1275" s="172" t="n">
        <v>1</v>
      </c>
      <c r="S1275" s="173">
        <f>调整因子!$F$13</f>
        <v/>
      </c>
      <c r="T1275" s="93" t="n">
        <v>1</v>
      </c>
      <c r="U1275" s="174">
        <f>IFERROR(Q1275*S1275,0)</f>
        <v/>
      </c>
      <c r="V1275" s="178">
        <f>U1275*T1275</f>
        <v/>
      </c>
      <c r="W1275" s="103" t="inlineStr">
        <is>
          <t>推送规则表</t>
        </is>
      </c>
      <c r="X1275" s="103" t="inlineStr"/>
      <c r="Y1275" s="97" t="inlineStr">
        <is>
          <t>推送规则表{规则ID、规则名称|规则ID、规则名称、规则类型、规则条件、创建时间}</t>
        </is>
      </c>
      <c r="Z1275" s="90" t="n"/>
      <c r="AA1275" s="90" t="n"/>
    </row>
    <row r="1276" s="112">
      <c r="A1276" s="72">
        <f>ROW()-1</f>
        <v/>
      </c>
      <c r="B1276" s="175" t="n"/>
      <c r="C1276" s="124" t="n">
        <v>2026</v>
      </c>
      <c r="E1276" s="103" t="n"/>
      <c r="F1276" s="175" t="n"/>
      <c r="G1276" s="175" t="n"/>
      <c r="H1276" s="175" t="n"/>
      <c r="I1276" s="103" t="inlineStr">
        <is>
          <t>查询误报规则</t>
        </is>
      </c>
      <c r="J1276" s="93" t="inlineStr">
        <is>
          <t>EQ</t>
        </is>
      </c>
      <c r="K1276" s="102" t="n"/>
      <c r="L1276" s="102" t="n"/>
      <c r="M1276" s="85">
        <f>IF(OR(Y1276="估算法",Y1276="算法类",Y1276="无法识别"),"",IF(W1276="",IF(OR(J1276="EI",J1276="EO",J1276="EQ"),0,""),LEN(W1276)-LEN(SUBSTITUTE(W1276,"、",""))+1))</f>
        <v/>
      </c>
      <c r="N1276" s="85">
        <f>IF(OR(Y1276="估算法",Y1276="算法类",Y1276="无法识别"),"",IF(X1276="",IF(OR(J1276="ILF",J1276="EIF"),0,""),LEN(X1276)-LEN(SUBSTITUTE(X1276,"、",""))+1))</f>
        <v/>
      </c>
      <c r="O1276" s="85">
        <f>IF(OR(Y1276="估算法",Y1276="算法类",Y1276="无法识别"),"",IF(Y1276="",IF(OR(J1276="ILF",J1276="EIF",J1276="EI",J1276="EO",J1276="EQ"),0,""),LEN(Y1276)-LEN(SUBSTITUTE(SUBSTITUTE(SUBSTITUTE(SUBSTITUTE(SUBSTITUTE(Y1276,"|}","--"),"{|","--"),CHAR(10),""),"、",""),"|",""))+IF(AND(OR(J1276="EI",J1276="EO",J1276="EQ"),$AE$1="NESMA"),2,1)))</f>
        <v/>
      </c>
      <c r="P1276" s="86">
        <f>IF(J1276="EI",IF(OR(Y1276="估算法",Y1276="算法类"),"中",IF(Y1276="无法识别","低",IF(M1276&lt;2,IF(O1276&lt;16,"低","中"),IF(M1276&lt;3,IF(O1276&lt;5,"低",IF(O1276&lt;16,"中","高")),IF(O1276&lt;5,"中","高"))))),IF(OR(J1276="EO",J1276="EQ"),IF(OR(Y1276="估算法",Y1276="算法类"),"中",IF(Y1276="无法识别","低",IF(M1276&lt;2,IF(O1276&lt;20,"低","中"),IF(M1276&lt;4,IF(O1276&lt;6,"低",IF(O1276&lt;20,"中","高")),IF(O1276&lt;6,"中","高"))))),IF(OR(J1276="ILF",J1276="EIF"),IF(OR(Y1276="估算法",Y1276="算法类",Y1276="无法识别"),"低",IF(N1276&lt;2,IF(O1276&lt;51,"低","中"),IF(N1276&lt;6,IF(O1276&lt;20,"低",IF(O1276&lt;51,"中","高")),IF(O1276&lt;20,"中","高")))),"不计算")))</f>
        <v/>
      </c>
      <c r="Q1276" s="172">
        <f>IFERROR(IF(J1276="EI",IF(P1276="低",3,IF(P1276="中",4,6)),IF(J1276="EO",IF(P1276="低",4,IF(P1276="中",5,7)),IF(J1276="EQ",IF(P1276="低",3,IF(P1276="中",4,6)),IF(J1276="ILF",IF(P1276="低",7,IF(P1276="中",10,15)),IF(J1276="EIF",IF(P1276="低",5,IF(P1276="中",7,10)),"不计算")))))*R1276,"不计算")</f>
        <v/>
      </c>
      <c r="R1276" s="172" t="n">
        <v>1</v>
      </c>
      <c r="S1276" s="173">
        <f>调整因子!$F$13</f>
        <v/>
      </c>
      <c r="T1276" s="92" t="n">
        <v>1</v>
      </c>
      <c r="U1276" s="174">
        <f>IFERROR(Q1276*S1276,0)</f>
        <v/>
      </c>
      <c r="V1276" s="178">
        <f>U1276*T1276</f>
        <v/>
      </c>
      <c r="W1276" s="103" t="inlineStr">
        <is>
          <t>推送规则表、提醒规则表</t>
        </is>
      </c>
      <c r="X1276" s="103" t="inlineStr"/>
      <c r="Y1276" s="97" t="inlineStr">
        <is>
          <t>推送规则表{规则ID、规则名称|规则ID、规则名称、规则类型、规则条件、创建时间}
提醒规则表{规则ID、规则名称|规则ID、规则名称、规则类型、规则条件、创建时间}</t>
        </is>
      </c>
      <c r="Z1276" s="90" t="n"/>
      <c r="AA1276" s="90" t="n"/>
    </row>
    <row r="1277" s="112">
      <c r="A1277" s="72">
        <f>ROW()-1</f>
        <v/>
      </c>
      <c r="B1277" s="175" t="n"/>
      <c r="C1277" s="124" t="n">
        <v>2026</v>
      </c>
      <c r="E1277" s="103" t="n"/>
      <c r="F1277" s="175" t="n"/>
      <c r="G1277" s="175" t="n"/>
      <c r="H1277" s="176" t="n"/>
      <c r="I1277" s="103" t="inlineStr">
        <is>
          <t>查看规则详情</t>
        </is>
      </c>
      <c r="J1277" s="93" t="inlineStr">
        <is>
          <t>EQ</t>
        </is>
      </c>
      <c r="K1277" s="102" t="n"/>
      <c r="L1277" s="102" t="n"/>
      <c r="M1277" s="85">
        <f>IF(OR(Y1277="估算法",Y1277="算法类",Y1277="无法识别"),"",IF(W1277="",IF(OR(J1277="EI",J1277="EO",J1277="EQ"),0,""),LEN(W1277)-LEN(SUBSTITUTE(W1277,"、",""))+1))</f>
        <v/>
      </c>
      <c r="N1277" s="85">
        <f>IF(OR(Y1277="估算法",Y1277="算法类",Y1277="无法识别"),"",IF(X1277="",IF(OR(J1277="ILF",J1277="EIF"),0,""),LEN(X1277)-LEN(SUBSTITUTE(X1277,"、",""))+1))</f>
        <v/>
      </c>
      <c r="O1277" s="85">
        <f>IF(OR(Y1277="估算法",Y1277="算法类",Y1277="无法识别"),"",IF(Y1277="",IF(OR(J1277="ILF",J1277="EIF",J1277="EI",J1277="EO",J1277="EQ"),0,""),LEN(Y1277)-LEN(SUBSTITUTE(SUBSTITUTE(SUBSTITUTE(SUBSTITUTE(SUBSTITUTE(Y1277,"|}","--"),"{|","--"),CHAR(10),""),"、",""),"|",""))+IF(AND(OR(J1277="EI",J1277="EO",J1277="EQ"),$AE$1="NESMA"),2,1)))</f>
        <v/>
      </c>
      <c r="P1277" s="86">
        <f>IF(J1277="EI",IF(OR(Y1277="估算法",Y1277="算法类"),"中",IF(Y1277="无法识别","低",IF(M1277&lt;2,IF(O1277&lt;16,"低","中"),IF(M1277&lt;3,IF(O1277&lt;5,"低",IF(O1277&lt;16,"中","高")),IF(O1277&lt;5,"中","高"))))),IF(OR(J1277="EO",J1277="EQ"),IF(OR(Y1277="估算法",Y1277="算法类"),"中",IF(Y1277="无法识别","低",IF(M1277&lt;2,IF(O1277&lt;20,"低","中"),IF(M1277&lt;4,IF(O1277&lt;6,"低",IF(O1277&lt;20,"中","高")),IF(O1277&lt;6,"中","高"))))),IF(OR(J1277="ILF",J1277="EIF"),IF(OR(Y1277="估算法",Y1277="算法类",Y1277="无法识别"),"低",IF(N1277&lt;2,IF(O1277&lt;51,"低","中"),IF(N1277&lt;6,IF(O1277&lt;20,"低",IF(O1277&lt;51,"中","高")),IF(O1277&lt;20,"中","高")))),"不计算")))</f>
        <v/>
      </c>
      <c r="Q1277" s="172">
        <f>IFERROR(IF(J1277="EI",IF(P1277="低",3,IF(P1277="中",4,6)),IF(J1277="EO",IF(P1277="低",4,IF(P1277="中",5,7)),IF(J1277="EQ",IF(P1277="低",3,IF(P1277="中",4,6)),IF(J1277="ILF",IF(P1277="低",7,IF(P1277="中",10,15)),IF(J1277="EIF",IF(P1277="低",5,IF(P1277="中",7,10)),"不计算")))))*R1277,"不计算")</f>
        <v/>
      </c>
      <c r="R1277" s="172" t="n">
        <v>1</v>
      </c>
      <c r="S1277" s="173">
        <f>调整因子!$F$13</f>
        <v/>
      </c>
      <c r="T1277" s="92" t="n">
        <v>1</v>
      </c>
      <c r="U1277" s="174">
        <f>IFERROR(Q1277*S1277,0)</f>
        <v/>
      </c>
      <c r="V1277" s="178">
        <f>U1277*T1277</f>
        <v/>
      </c>
      <c r="W1277" s="103" t="inlineStr">
        <is>
          <t>推送规则表、提醒规则表</t>
        </is>
      </c>
      <c r="X1277" s="103" t="inlineStr"/>
      <c r="Y1277" s="97" t="inlineStr">
        <is>
          <t>推送规则表{规则ID、规则名称|规则ID、规则名称、规则类型、规则条件、创建时间}
提醒规则表{规则ID、规则名称|规则ID、规则名称、规则类型、规则条件、创建时间}</t>
        </is>
      </c>
      <c r="Z1277" s="90" t="n"/>
      <c r="AA1277" s="90" t="n"/>
    </row>
    <row r="1278" s="112">
      <c r="A1278" s="72">
        <f>ROW()-1</f>
        <v/>
      </c>
      <c r="B1278" s="175" t="n"/>
      <c r="C1278" s="124" t="n">
        <v>2026</v>
      </c>
      <c r="E1278" s="103" t="n"/>
      <c r="F1278" s="175" t="n"/>
      <c r="G1278" s="175" t="n"/>
      <c r="H1278" s="97" t="inlineStr">
        <is>
          <t>误报应用管理</t>
        </is>
      </c>
      <c r="I1278" s="103" t="inlineStr">
        <is>
          <t>导出应用记录</t>
        </is>
      </c>
      <c r="J1278" s="93" t="inlineStr">
        <is>
          <t>EO</t>
        </is>
      </c>
      <c r="K1278" s="102" t="n"/>
      <c r="L1278" s="102" t="n"/>
      <c r="M1278" s="85">
        <f>IF(OR(Y1278="估算法",Y1278="算法类",Y1278="无法识别"),"",IF(W1278="",IF(OR(J1278="EI",J1278="EO",J1278="EQ"),0,""),LEN(W1278)-LEN(SUBSTITUTE(W1278,"、",""))+1))</f>
        <v/>
      </c>
      <c r="N1278" s="85">
        <f>IF(OR(Y1278="估算法",Y1278="算法类",Y1278="无法识别"),"",IF(X1278="",IF(OR(J1278="ILF",J1278="EIF"),0,""),LEN(X1278)-LEN(SUBSTITUTE(X1278,"、",""))+1))</f>
        <v/>
      </c>
      <c r="O1278" s="85">
        <f>IF(OR(Y1278="估算法",Y1278="算法类",Y1278="无法识别"),"",IF(Y1278="",IF(OR(J1278="ILF",J1278="EIF",J1278="EI",J1278="EO",J1278="EQ"),0,""),LEN(Y1278)-LEN(SUBSTITUTE(SUBSTITUTE(SUBSTITUTE(SUBSTITUTE(SUBSTITUTE(Y1278,"|}","--"),"{|","--"),CHAR(10),""),"、",""),"|",""))+IF(AND(OR(J1278="EI",J1278="EO",J1278="EQ"),$AE$1="NESMA"),2,1)))</f>
        <v/>
      </c>
      <c r="P1278" s="86">
        <f>IF(J1278="EI",IF(OR(Y1278="估算法",Y1278="算法类"),"中",IF(Y1278="无法识别","低",IF(M1278&lt;2,IF(O1278&lt;16,"低","中"),IF(M1278&lt;3,IF(O1278&lt;5,"低",IF(O1278&lt;16,"中","高")),IF(O1278&lt;5,"中","高"))))),IF(OR(J1278="EO",J1278="EQ"),IF(OR(Y1278="估算法",Y1278="算法类"),"中",IF(Y1278="无法识别","低",IF(M1278&lt;2,IF(O1278&lt;20,"低","中"),IF(M1278&lt;4,IF(O1278&lt;6,"低",IF(O1278&lt;20,"中","高")),IF(O1278&lt;6,"中","高"))))),IF(OR(J1278="ILF",J1278="EIF"),IF(OR(Y1278="估算法",Y1278="算法类",Y1278="无法识别"),"低",IF(N1278&lt;2,IF(O1278&lt;51,"低","中"),IF(N1278&lt;6,IF(O1278&lt;20,"低",IF(O1278&lt;51,"中","高")),IF(O1278&lt;20,"中","高")))),"不计算")))</f>
        <v/>
      </c>
      <c r="Q1278" s="172">
        <f>IFERROR(IF(J1278="EI",IF(P1278="低",3,IF(P1278="中",4,6)),IF(J1278="EO",IF(P1278="低",4,IF(P1278="中",5,7)),IF(J1278="EQ",IF(P1278="低",3,IF(P1278="中",4,6)),IF(J1278="ILF",IF(P1278="低",7,IF(P1278="中",10,15)),IF(J1278="EIF",IF(P1278="低",5,IF(P1278="中",7,10)),"不计算")))))*R1278,"不计算")</f>
        <v/>
      </c>
      <c r="R1278" s="172" t="n">
        <v>1</v>
      </c>
      <c r="S1278" s="173">
        <f>调整因子!$F$13</f>
        <v/>
      </c>
      <c r="T1278" s="93" t="n">
        <v>1</v>
      </c>
      <c r="U1278" s="174">
        <f>IFERROR(Q1278*S1278,0)</f>
        <v/>
      </c>
      <c r="V1278" s="178">
        <f>U1278*T1278</f>
        <v/>
      </c>
      <c r="W1278" s="103" t="inlineStr">
        <is>
          <t>加密策略表</t>
        </is>
      </c>
      <c r="X1278" s="103" t="inlineStr"/>
      <c r="Y1278" s="97" t="inlineStr">
        <is>
          <t>加密策略表{策略ID、策略名称|策略ID、策略名称、策略类型、策略内容、生效时间}</t>
        </is>
      </c>
      <c r="Z1278" s="90" t="n"/>
      <c r="AA1278" s="90" t="n"/>
    </row>
    <row r="1279" s="112">
      <c r="A1279" s="72">
        <f>ROW()-1</f>
        <v/>
      </c>
      <c r="B1279" s="175" t="n"/>
      <c r="C1279" s="124" t="n">
        <v>2026</v>
      </c>
      <c r="E1279" s="103" t="n"/>
      <c r="F1279" s="175" t="n"/>
      <c r="G1279" s="175" t="n"/>
      <c r="H1279" s="175" t="n"/>
      <c r="I1279" s="103" t="inlineStr">
        <is>
          <t>查询应用记录</t>
        </is>
      </c>
      <c r="J1279" s="93" t="inlineStr">
        <is>
          <t>EQ</t>
        </is>
      </c>
      <c r="K1279" s="102" t="n"/>
      <c r="L1279" s="102" t="n"/>
      <c r="M1279" s="85">
        <f>IF(OR(Y1279="估算法",Y1279="算法类",Y1279="无法识别"),"",IF(W1279="",IF(OR(J1279="EI",J1279="EO",J1279="EQ"),0,""),LEN(W1279)-LEN(SUBSTITUTE(W1279,"、",""))+1))</f>
        <v/>
      </c>
      <c r="N1279" s="85">
        <f>IF(OR(Y1279="估算法",Y1279="算法类",Y1279="无法识别"),"",IF(X1279="",IF(OR(J1279="ILF",J1279="EIF"),0,""),LEN(X1279)-LEN(SUBSTITUTE(X1279,"、",""))+1))</f>
        <v/>
      </c>
      <c r="O1279" s="85">
        <f>IF(OR(Y1279="估算法",Y1279="算法类",Y1279="无法识别"),"",IF(Y1279="",IF(OR(J1279="ILF",J1279="EIF",J1279="EI",J1279="EO",J1279="EQ"),0,""),LEN(Y1279)-LEN(SUBSTITUTE(SUBSTITUTE(SUBSTITUTE(SUBSTITUTE(SUBSTITUTE(Y1279,"|}","--"),"{|","--"),CHAR(10),""),"、",""),"|",""))+IF(AND(OR(J1279="EI",J1279="EO",J1279="EQ"),$AE$1="NESMA"),2,1)))</f>
        <v/>
      </c>
      <c r="P1279" s="86">
        <f>IF(J1279="EI",IF(OR(Y1279="估算法",Y1279="算法类"),"中",IF(Y1279="无法识别","低",IF(M1279&lt;2,IF(O1279&lt;16,"低","中"),IF(M1279&lt;3,IF(O1279&lt;5,"低",IF(O1279&lt;16,"中","高")),IF(O1279&lt;5,"中","高"))))),IF(OR(J1279="EO",J1279="EQ"),IF(OR(Y1279="估算法",Y1279="算法类"),"中",IF(Y1279="无法识别","低",IF(M1279&lt;2,IF(O1279&lt;20,"低","中"),IF(M1279&lt;4,IF(O1279&lt;6,"低",IF(O1279&lt;20,"中","高")),IF(O1279&lt;6,"中","高"))))),IF(OR(J1279="ILF",J1279="EIF"),IF(OR(Y1279="估算法",Y1279="算法类",Y1279="无法识别"),"低",IF(N1279&lt;2,IF(O1279&lt;51,"低","中"),IF(N1279&lt;6,IF(O1279&lt;20,"低",IF(O1279&lt;51,"中","高")),IF(O1279&lt;20,"中","高")))),"不计算")))</f>
        <v/>
      </c>
      <c r="Q1279" s="172">
        <f>IFERROR(IF(J1279="EI",IF(P1279="低",3,IF(P1279="中",4,6)),IF(J1279="EO",IF(P1279="低",4,IF(P1279="中",5,7)),IF(J1279="EQ",IF(P1279="低",3,IF(P1279="中",4,6)),IF(J1279="ILF",IF(P1279="低",7,IF(P1279="中",10,15)),IF(J1279="EIF",IF(P1279="低",5,IF(P1279="中",7,10)),"不计算")))))*R1279,"不计算")</f>
        <v/>
      </c>
      <c r="R1279" s="172" t="n">
        <v>1</v>
      </c>
      <c r="S1279" s="173">
        <f>调整因子!$F$13</f>
        <v/>
      </c>
      <c r="T1279" s="93" t="n">
        <v>1</v>
      </c>
      <c r="U1279" s="174">
        <f>IFERROR(Q1279*S1279,0)</f>
        <v/>
      </c>
      <c r="V1279" s="178">
        <f>U1279*T1279</f>
        <v/>
      </c>
      <c r="W1279" s="103" t="inlineStr">
        <is>
          <t>考核指标配置表、处置单关联表</t>
        </is>
      </c>
      <c r="X1279" s="103" t="inlineStr"/>
      <c r="Y1279" s="97" t="inlineStr">
        <is>
          <t>考核指标配置表{配置ID、配置名称|配置ID、配置名称、配置类型、配置值、创建时间}
处置单关联表{ID、名称|ID、名称、类型、状态、创建时间、更新时间}</t>
        </is>
      </c>
      <c r="Z1279" s="90" t="n"/>
      <c r="AA1279" s="90" t="n"/>
    </row>
    <row r="1280" s="112">
      <c r="A1280" s="72">
        <f>ROW()-1</f>
        <v/>
      </c>
      <c r="B1280" s="175" t="n"/>
      <c r="C1280" s="124" t="n">
        <v>2026</v>
      </c>
      <c r="E1280" s="103" t="n"/>
      <c r="F1280" s="175" t="n"/>
      <c r="G1280" s="176" t="n"/>
      <c r="H1280" s="176" t="n"/>
      <c r="I1280" s="103" t="inlineStr">
        <is>
          <t>查看应用详情</t>
        </is>
      </c>
      <c r="J1280" s="93" t="inlineStr">
        <is>
          <t>EQ</t>
        </is>
      </c>
      <c r="K1280" s="102" t="n"/>
      <c r="L1280" s="102" t="n"/>
      <c r="M1280" s="85">
        <f>IF(OR(Y1280="估算法",Y1280="算法类",Y1280="无法识别"),"",IF(W1280="",IF(OR(J1280="EI",J1280="EO",J1280="EQ"),0,""),LEN(W1280)-LEN(SUBSTITUTE(W1280,"、",""))+1))</f>
        <v/>
      </c>
      <c r="N1280" s="85">
        <f>IF(OR(Y1280="估算法",Y1280="算法类",Y1280="无法识别"),"",IF(X1280="",IF(OR(J1280="ILF",J1280="EIF"),0,""),LEN(X1280)-LEN(SUBSTITUTE(X1280,"、",""))+1))</f>
        <v/>
      </c>
      <c r="O1280" s="85">
        <f>IF(OR(Y1280="估算法",Y1280="算法类",Y1280="无法识别"),"",IF(Y1280="",IF(OR(J1280="ILF",J1280="EIF",J1280="EI",J1280="EO",J1280="EQ"),0,""),LEN(Y1280)-LEN(SUBSTITUTE(SUBSTITUTE(SUBSTITUTE(SUBSTITUTE(SUBSTITUTE(Y1280,"|}","--"),"{|","--"),CHAR(10),""),"、",""),"|",""))+IF(AND(OR(J1280="EI",J1280="EO",J1280="EQ"),$AE$1="NESMA"),2,1)))</f>
        <v/>
      </c>
      <c r="P1280" s="86">
        <f>IF(J1280="EI",IF(OR(Y1280="估算法",Y1280="算法类"),"中",IF(Y1280="无法识别","低",IF(M1280&lt;2,IF(O1280&lt;16,"低","中"),IF(M1280&lt;3,IF(O1280&lt;5,"低",IF(O1280&lt;16,"中","高")),IF(O1280&lt;5,"中","高"))))),IF(OR(J1280="EO",J1280="EQ"),IF(OR(Y1280="估算法",Y1280="算法类"),"中",IF(Y1280="无法识别","低",IF(M1280&lt;2,IF(O1280&lt;20,"低","中"),IF(M1280&lt;4,IF(O1280&lt;6,"低",IF(O1280&lt;20,"中","高")),IF(O1280&lt;6,"中","高"))))),IF(OR(J1280="ILF",J1280="EIF"),IF(OR(Y1280="估算法",Y1280="算法类",Y1280="无法识别"),"低",IF(N1280&lt;2,IF(O1280&lt;51,"低","中"),IF(N1280&lt;6,IF(O1280&lt;20,"低",IF(O1280&lt;51,"中","高")),IF(O1280&lt;20,"中","高")))),"不计算")))</f>
        <v/>
      </c>
      <c r="Q1280" s="172">
        <f>IFERROR(IF(J1280="EI",IF(P1280="低",3,IF(P1280="中",4,6)),IF(J1280="EO",IF(P1280="低",4,IF(P1280="中",5,7)),IF(J1280="EQ",IF(P1280="低",3,IF(P1280="中",4,6)),IF(J1280="ILF",IF(P1280="低",7,IF(P1280="中",10,15)),IF(J1280="EIF",IF(P1280="低",5,IF(P1280="中",7,10)),"不计算")))))*R1280,"不计算")</f>
        <v/>
      </c>
      <c r="R1280" s="172" t="n">
        <v>1</v>
      </c>
      <c r="S1280" s="173">
        <f>调整因子!$F$13</f>
        <v/>
      </c>
      <c r="T1280" s="92" t="n">
        <v>1</v>
      </c>
      <c r="U1280" s="174">
        <f>IFERROR(Q1280*S1280,0)</f>
        <v/>
      </c>
      <c r="V1280" s="178">
        <f>U1280*T1280</f>
        <v/>
      </c>
      <c r="W1280" s="103" t="inlineStr">
        <is>
          <t>数据清洗任务表</t>
        </is>
      </c>
      <c r="X1280" s="103" t="inlineStr"/>
      <c r="Y1280" s="97" t="inlineStr">
        <is>
          <t>数据清洗任务表{任务ID、任务名称|任务ID、任务名称、任务类型、任务状态、创建时间、执行时间}</t>
        </is>
      </c>
      <c r="Z1280" s="90" t="n"/>
      <c r="AA1280" s="90" t="n"/>
    </row>
    <row r="1281" s="112">
      <c r="A1281" s="72">
        <f>ROW()-1</f>
        <v/>
      </c>
      <c r="B1281" s="175" t="n"/>
      <c r="C1281" s="124" t="n">
        <v>2026</v>
      </c>
      <c r="E1281" s="103" t="n"/>
      <c r="F1281" s="175" t="n"/>
      <c r="G1281" s="97" t="inlineStr">
        <is>
          <t>产品漏洞与资产关联分析</t>
        </is>
      </c>
      <c r="H1281" s="97" t="inlineStr">
        <is>
          <t>情报采集管理</t>
        </is>
      </c>
      <c r="I1281" s="103" t="inlineStr">
        <is>
          <t>编辑情报采集任务</t>
        </is>
      </c>
      <c r="J1281" s="93" t="inlineStr">
        <is>
          <t>EI</t>
        </is>
      </c>
      <c r="K1281" s="102" t="n"/>
      <c r="L1281" s="102" t="n"/>
      <c r="M1281" s="85">
        <f>IF(OR(Y1281="估算法",Y1281="算法类",Y1281="无法识别"),"",IF(W1281="",IF(OR(J1281="EI",J1281="EO",J1281="EQ"),0,""),LEN(W1281)-LEN(SUBSTITUTE(W1281,"、",""))+1))</f>
        <v/>
      </c>
      <c r="N1281" s="85">
        <f>IF(OR(Y1281="估算法",Y1281="算法类",Y1281="无法识别"),"",IF(X1281="",IF(OR(J1281="ILF",J1281="EIF"),0,""),LEN(X1281)-LEN(SUBSTITUTE(X1281,"、",""))+1))</f>
        <v/>
      </c>
      <c r="O1281" s="85">
        <f>IF(OR(Y1281="估算法",Y1281="算法类",Y1281="无法识别"),"",IF(Y1281="",IF(OR(J1281="ILF",J1281="EIF",J1281="EI",J1281="EO",J1281="EQ"),0,""),LEN(Y1281)-LEN(SUBSTITUTE(SUBSTITUTE(SUBSTITUTE(SUBSTITUTE(SUBSTITUTE(Y1281,"|}","--"),"{|","--"),CHAR(10),""),"、",""),"|",""))+IF(AND(OR(J1281="EI",J1281="EO",J1281="EQ"),$AE$1="NESMA"),2,1)))</f>
        <v/>
      </c>
      <c r="P1281" s="86">
        <f>IF(J1281="EI",IF(OR(Y1281="估算法",Y1281="算法类"),"中",IF(Y1281="无法识别","低",IF(M1281&lt;2,IF(O1281&lt;16,"低","中"),IF(M1281&lt;3,IF(O1281&lt;5,"低",IF(O1281&lt;16,"中","高")),IF(O1281&lt;5,"中","高"))))),IF(OR(J1281="EO",J1281="EQ"),IF(OR(Y1281="估算法",Y1281="算法类"),"中",IF(Y1281="无法识别","低",IF(M1281&lt;2,IF(O1281&lt;20,"低","中"),IF(M1281&lt;4,IF(O1281&lt;6,"低",IF(O1281&lt;20,"中","高")),IF(O1281&lt;6,"中","高"))))),IF(OR(J1281="ILF",J1281="EIF"),IF(OR(Y1281="估算法",Y1281="算法类",Y1281="无法识别"),"低",IF(N1281&lt;2,IF(O1281&lt;51,"低","中"),IF(N1281&lt;6,IF(O1281&lt;20,"低",IF(O1281&lt;51,"中","高")),IF(O1281&lt;20,"中","高")))),"不计算")))</f>
        <v/>
      </c>
      <c r="Q1281" s="172">
        <f>IFERROR(IF(J1281="EI",IF(P1281="低",3,IF(P1281="中",4,6)),IF(J1281="EO",IF(P1281="低",4,IF(P1281="中",5,7)),IF(J1281="EQ",IF(P1281="低",3,IF(P1281="中",4,6)),IF(J1281="ILF",IF(P1281="低",7,IF(P1281="中",10,15)),IF(J1281="EIF",IF(P1281="低",5,IF(P1281="中",7,10)),"不计算")))))*R1281,"不计算")</f>
        <v/>
      </c>
      <c r="R1281" s="172" t="n">
        <v>1</v>
      </c>
      <c r="S1281" s="173">
        <f>调整因子!$F$13</f>
        <v/>
      </c>
      <c r="T1281" s="92" t="n">
        <v>1</v>
      </c>
      <c r="U1281" s="174">
        <f>IFERROR(Q1281*S1281,0)</f>
        <v/>
      </c>
      <c r="V1281" s="178">
        <f>U1281*T1281</f>
        <v/>
      </c>
      <c r="W1281" s="103" t="inlineStr">
        <is>
          <t>数据清洗任务表、资产同步任务表</t>
        </is>
      </c>
      <c r="X1281" s="103" t="inlineStr"/>
      <c r="Y1281" s="97" t="inlineStr">
        <is>
          <t>数据清洗任务表{任务ID、任务名称、任务类型、任务状态、创建时间、执行时间|任务ID、任务名称、任务类型}
资产同步任务表{资产ID、资产名称、IP地址、资产类型、资产状态、创建时间、更新时间|资产ID、资产名称、IP地址}</t>
        </is>
      </c>
      <c r="Z1281" s="90" t="n"/>
      <c r="AA1281" s="90" t="n"/>
    </row>
    <row r="1282" s="112">
      <c r="A1282" s="72">
        <f>ROW()-1</f>
        <v/>
      </c>
      <c r="B1282" s="175" t="n"/>
      <c r="C1282" s="124" t="n">
        <v>2026</v>
      </c>
      <c r="E1282" s="103" t="n"/>
      <c r="F1282" s="175" t="n"/>
      <c r="G1282" s="175" t="n"/>
      <c r="H1282" s="175" t="n"/>
      <c r="I1282" s="103" t="inlineStr">
        <is>
          <t>删除情报采集任务</t>
        </is>
      </c>
      <c r="J1282" s="93" t="inlineStr">
        <is>
          <t>EI</t>
        </is>
      </c>
      <c r="K1282" s="102" t="n"/>
      <c r="L1282" s="102" t="n"/>
      <c r="M1282" s="85">
        <f>IF(OR(Y1282="估算法",Y1282="算法类",Y1282="无法识别"),"",IF(W1282="",IF(OR(J1282="EI",J1282="EO",J1282="EQ"),0,""),LEN(W1282)-LEN(SUBSTITUTE(W1282,"、",""))+1))</f>
        <v/>
      </c>
      <c r="N1282" s="85">
        <f>IF(OR(Y1282="估算法",Y1282="算法类",Y1282="无法识别"),"",IF(X1282="",IF(OR(J1282="ILF",J1282="EIF"),0,""),LEN(X1282)-LEN(SUBSTITUTE(X1282,"、",""))+1))</f>
        <v/>
      </c>
      <c r="O1282" s="85">
        <f>IF(OR(Y1282="估算法",Y1282="算法类",Y1282="无法识别"),"",IF(Y1282="",IF(OR(J1282="ILF",J1282="EIF",J1282="EI",J1282="EO",J1282="EQ"),0,""),LEN(Y1282)-LEN(SUBSTITUTE(SUBSTITUTE(SUBSTITUTE(SUBSTITUTE(SUBSTITUTE(Y1282,"|}","--"),"{|","--"),CHAR(10),""),"、",""),"|",""))+IF(AND(OR(J1282="EI",J1282="EO",J1282="EQ"),$AE$1="NESMA"),2,1)))</f>
        <v/>
      </c>
      <c r="P1282" s="86">
        <f>IF(J1282="EI",IF(OR(Y1282="估算法",Y1282="算法类"),"中",IF(Y1282="无法识别","低",IF(M1282&lt;2,IF(O1282&lt;16,"低","中"),IF(M1282&lt;3,IF(O1282&lt;5,"低",IF(O1282&lt;16,"中","高")),IF(O1282&lt;5,"中","高"))))),IF(OR(J1282="EO",J1282="EQ"),IF(OR(Y1282="估算法",Y1282="算法类"),"中",IF(Y1282="无法识别","低",IF(M1282&lt;2,IF(O1282&lt;20,"低","中"),IF(M1282&lt;4,IF(O1282&lt;6,"低",IF(O1282&lt;20,"中","高")),IF(O1282&lt;6,"中","高"))))),IF(OR(J1282="ILF",J1282="EIF"),IF(OR(Y1282="估算法",Y1282="算法类",Y1282="无法识别"),"低",IF(N1282&lt;2,IF(O1282&lt;51,"低","中"),IF(N1282&lt;6,IF(O1282&lt;20,"低",IF(O1282&lt;51,"中","高")),IF(O1282&lt;20,"中","高")))),"不计算")))</f>
        <v/>
      </c>
      <c r="Q1282" s="172">
        <f>IFERROR(IF(J1282="EI",IF(P1282="低",3,IF(P1282="中",4,6)),IF(J1282="EO",IF(P1282="低",4,IF(P1282="中",5,7)),IF(J1282="EQ",IF(P1282="低",3,IF(P1282="中",4,6)),IF(J1282="ILF",IF(P1282="低",7,IF(P1282="中",10,15)),IF(J1282="EIF",IF(P1282="低",5,IF(P1282="中",7,10)),"不计算")))))*R1282,"不计算")</f>
        <v/>
      </c>
      <c r="R1282" s="172" t="n">
        <v>0.333333333333333</v>
      </c>
      <c r="S1282" s="173">
        <f>调整因子!$F$13</f>
        <v/>
      </c>
      <c r="T1282" s="93" t="n">
        <v>1</v>
      </c>
      <c r="U1282" s="174">
        <f>IFERROR(Q1282*S1282,0)</f>
        <v/>
      </c>
      <c r="V1282" s="178">
        <f>U1282*T1282</f>
        <v/>
      </c>
      <c r="W1282" s="103" t="inlineStr">
        <is>
          <t>数据清洗任务表</t>
        </is>
      </c>
      <c r="X1282" s="103" t="inlineStr"/>
      <c r="Y1282" s="97" t="inlineStr">
        <is>
          <t>数据清洗任务表{任务ID、任务名称、任务类型、任务状态、创建时间、执行时间|任务ID、任务名称、任务类型}</t>
        </is>
      </c>
      <c r="Z1282" s="90" t="n"/>
      <c r="AA1282" s="90" t="n"/>
    </row>
    <row r="1283" s="112">
      <c r="A1283" s="72">
        <f>ROW()-1</f>
        <v/>
      </c>
      <c r="B1283" s="175" t="n"/>
      <c r="C1283" s="124" t="n">
        <v>2026</v>
      </c>
      <c r="E1283" s="103" t="n"/>
      <c r="F1283" s="175" t="n"/>
      <c r="G1283" s="175" t="n"/>
      <c r="H1283" s="175" t="n"/>
      <c r="I1283" s="103" t="inlineStr">
        <is>
          <t>导出采集记录</t>
        </is>
      </c>
      <c r="J1283" s="93" t="inlineStr">
        <is>
          <t>EO</t>
        </is>
      </c>
      <c r="K1283" s="102" t="n"/>
      <c r="L1283" s="102" t="n"/>
      <c r="M1283" s="85">
        <f>IF(OR(Y1283="估算法",Y1283="算法类",Y1283="无法识别"),"",IF(W1283="",IF(OR(J1283="EI",J1283="EO",J1283="EQ"),0,""),LEN(W1283)-LEN(SUBSTITUTE(W1283,"、",""))+1))</f>
        <v/>
      </c>
      <c r="N1283" s="85">
        <f>IF(OR(Y1283="估算法",Y1283="算法类",Y1283="无法识别"),"",IF(X1283="",IF(OR(J1283="ILF",J1283="EIF"),0,""),LEN(X1283)-LEN(SUBSTITUTE(X1283,"、",""))+1))</f>
        <v/>
      </c>
      <c r="O1283" s="85">
        <f>IF(OR(Y1283="估算法",Y1283="算法类",Y1283="无法识别"),"",IF(Y1283="",IF(OR(J1283="ILF",J1283="EIF",J1283="EI",J1283="EO",J1283="EQ"),0,""),LEN(Y1283)-LEN(SUBSTITUTE(SUBSTITUTE(SUBSTITUTE(SUBSTITUTE(SUBSTITUTE(Y1283,"|}","--"),"{|","--"),CHAR(10),""),"、",""),"|",""))+IF(AND(OR(J1283="EI",J1283="EO",J1283="EQ"),$AE$1="NESMA"),2,1)))</f>
        <v/>
      </c>
      <c r="P1283" s="86">
        <f>IF(J1283="EI",IF(OR(Y1283="估算法",Y1283="算法类"),"中",IF(Y1283="无法识别","低",IF(M1283&lt;2,IF(O1283&lt;16,"低","中"),IF(M1283&lt;3,IF(O1283&lt;5,"低",IF(O1283&lt;16,"中","高")),IF(O1283&lt;5,"中","高"))))),IF(OR(J1283="EO",J1283="EQ"),IF(OR(Y1283="估算法",Y1283="算法类"),"中",IF(Y1283="无法识别","低",IF(M1283&lt;2,IF(O1283&lt;20,"低","中"),IF(M1283&lt;4,IF(O1283&lt;6,"低",IF(O1283&lt;20,"中","高")),IF(O1283&lt;6,"中","高"))))),IF(OR(J1283="ILF",J1283="EIF"),IF(OR(Y1283="估算法",Y1283="算法类",Y1283="无法识别"),"低",IF(N1283&lt;2,IF(O1283&lt;51,"低","中"),IF(N1283&lt;6,IF(O1283&lt;20,"低",IF(O1283&lt;51,"中","高")),IF(O1283&lt;20,"中","高")))),"不计算")))</f>
        <v/>
      </c>
      <c r="Q1283" s="172">
        <f>IFERROR(IF(J1283="EI",IF(P1283="低",3,IF(P1283="中",4,6)),IF(J1283="EO",IF(P1283="低",4,IF(P1283="中",5,7)),IF(J1283="EQ",IF(P1283="低",3,IF(P1283="中",4,6)),IF(J1283="ILF",IF(P1283="低",7,IF(P1283="中",10,15)),IF(J1283="EIF",IF(P1283="低",5,IF(P1283="中",7,10)),"不计算")))))*R1283,"不计算")</f>
        <v/>
      </c>
      <c r="R1283" s="172" t="n">
        <v>1</v>
      </c>
      <c r="S1283" s="173">
        <f>调整因子!$F$13</f>
        <v/>
      </c>
      <c r="T1283" s="92" t="n">
        <v>1</v>
      </c>
      <c r="U1283" s="174">
        <f>IFERROR(Q1283*S1283,0)</f>
        <v/>
      </c>
      <c r="V1283" s="178">
        <f>U1283*T1283</f>
        <v/>
      </c>
      <c r="W1283" s="103" t="inlineStr">
        <is>
          <t>接口参数配置表、模板配置表</t>
        </is>
      </c>
      <c r="X1283" s="103" t="inlineStr"/>
      <c r="Y1283" s="97" t="inlineStr">
        <is>
          <t>接口参数配置表{配置ID、配置名称|配置ID、配置名称、配置类型、配置值、创建时间}
模板配置表{配置ID、配置名称|配置ID、配置名称、配置类型、配置值、创建时间}</t>
        </is>
      </c>
      <c r="Z1283" s="90" t="n"/>
      <c r="AA1283" s="90" t="n"/>
    </row>
    <row r="1284" s="112">
      <c r="A1284" s="72">
        <f>ROW()-1</f>
        <v/>
      </c>
      <c r="B1284" s="175" t="n"/>
      <c r="C1284" s="124" t="n">
        <v>2026</v>
      </c>
      <c r="E1284" s="103" t="n"/>
      <c r="F1284" s="175" t="n"/>
      <c r="G1284" s="175" t="n"/>
      <c r="H1284" s="175" t="n"/>
      <c r="I1284" s="103" t="inlineStr">
        <is>
          <t>查询采集任务</t>
        </is>
      </c>
      <c r="J1284" s="93" t="inlineStr">
        <is>
          <t>EQ</t>
        </is>
      </c>
      <c r="K1284" s="102" t="n"/>
      <c r="L1284" s="102" t="n"/>
      <c r="M1284" s="85">
        <f>IF(OR(Y1284="估算法",Y1284="算法类",Y1284="无法识别"),"",IF(W1284="",IF(OR(J1284="EI",J1284="EO",J1284="EQ"),0,""),LEN(W1284)-LEN(SUBSTITUTE(W1284,"、",""))+1))</f>
        <v/>
      </c>
      <c r="N1284" s="85">
        <f>IF(OR(Y1284="估算法",Y1284="算法类",Y1284="无法识别"),"",IF(X1284="",IF(OR(J1284="ILF",J1284="EIF"),0,""),LEN(X1284)-LEN(SUBSTITUTE(X1284,"、",""))+1))</f>
        <v/>
      </c>
      <c r="O1284" s="85">
        <f>IF(OR(Y1284="估算法",Y1284="算法类",Y1284="无法识别"),"",IF(Y1284="",IF(OR(J1284="ILF",J1284="EIF",J1284="EI",J1284="EO",J1284="EQ"),0,""),LEN(Y1284)-LEN(SUBSTITUTE(SUBSTITUTE(SUBSTITUTE(SUBSTITUTE(SUBSTITUTE(Y1284,"|}","--"),"{|","--"),CHAR(10),""),"、",""),"|",""))+IF(AND(OR(J1284="EI",J1284="EO",J1284="EQ"),$AE$1="NESMA"),2,1)))</f>
        <v/>
      </c>
      <c r="P1284" s="86">
        <f>IF(J1284="EI",IF(OR(Y1284="估算法",Y1284="算法类"),"中",IF(Y1284="无法识别","低",IF(M1284&lt;2,IF(O1284&lt;16,"低","中"),IF(M1284&lt;3,IF(O1284&lt;5,"低",IF(O1284&lt;16,"中","高")),IF(O1284&lt;5,"中","高"))))),IF(OR(J1284="EO",J1284="EQ"),IF(OR(Y1284="估算法",Y1284="算法类"),"中",IF(Y1284="无法识别","低",IF(M1284&lt;2,IF(O1284&lt;20,"低","中"),IF(M1284&lt;4,IF(O1284&lt;6,"低",IF(O1284&lt;20,"中","高")),IF(O1284&lt;6,"中","高"))))),IF(OR(J1284="ILF",J1284="EIF"),IF(OR(Y1284="估算法",Y1284="算法类",Y1284="无法识别"),"低",IF(N1284&lt;2,IF(O1284&lt;51,"低","中"),IF(N1284&lt;6,IF(O1284&lt;20,"低",IF(O1284&lt;51,"中","高")),IF(O1284&lt;20,"中","高")))),"不计算")))</f>
        <v/>
      </c>
      <c r="Q1284" s="172">
        <f>IFERROR(IF(J1284="EI",IF(P1284="低",3,IF(P1284="中",4,6)),IF(J1284="EO",IF(P1284="低",4,IF(P1284="中",5,7)),IF(J1284="EQ",IF(P1284="低",3,IF(P1284="中",4,6)),IF(J1284="ILF",IF(P1284="低",7,IF(P1284="中",10,15)),IF(J1284="EIF",IF(P1284="低",5,IF(P1284="中",7,10)),"不计算")))))*R1284,"不计算")</f>
        <v/>
      </c>
      <c r="R1284" s="172" t="n">
        <v>1</v>
      </c>
      <c r="S1284" s="173">
        <f>调整因子!$F$13</f>
        <v/>
      </c>
      <c r="T1284" s="92" t="n">
        <v>1</v>
      </c>
      <c r="U1284" s="174">
        <f>IFERROR(Q1284*S1284,0)</f>
        <v/>
      </c>
      <c r="V1284" s="178">
        <f>U1284*T1284</f>
        <v/>
      </c>
      <c r="W1284" s="103" t="inlineStr">
        <is>
          <t>数据清洗任务表、资产同步任务表</t>
        </is>
      </c>
      <c r="X1284" s="103" t="inlineStr"/>
      <c r="Y1284" s="97" t="inlineStr">
        <is>
          <t>数据清洗任务表{任务ID、任务名称|任务ID、任务名称、任务类型、任务状态、创建时间、执行时间}
资产同步任务表{资产ID、资产名称|资产ID、资产名称、IP地址、资产类型、资产状态、创建时间、更新时间}</t>
        </is>
      </c>
      <c r="Z1284" s="90" t="n"/>
      <c r="AA1284" s="90" t="n"/>
    </row>
    <row r="1285" s="112">
      <c r="A1285" s="72">
        <f>ROW()-1</f>
        <v/>
      </c>
      <c r="B1285" s="175" t="n"/>
      <c r="C1285" s="124" t="n">
        <v>2026</v>
      </c>
      <c r="E1285" s="103" t="n"/>
      <c r="F1285" s="175" t="n"/>
      <c r="G1285" s="175" t="n"/>
      <c r="H1285" s="176" t="n"/>
      <c r="I1285" s="103" t="inlineStr">
        <is>
          <t>查看采集详情</t>
        </is>
      </c>
      <c r="J1285" s="93" t="inlineStr">
        <is>
          <t>EQ</t>
        </is>
      </c>
      <c r="K1285" s="102" t="n"/>
      <c r="L1285" s="102" t="n"/>
      <c r="M1285" s="85">
        <f>IF(OR(Y1285="估算法",Y1285="算法类",Y1285="无法识别"),"",IF(W1285="",IF(OR(J1285="EI",J1285="EO",J1285="EQ"),0,""),LEN(W1285)-LEN(SUBSTITUTE(W1285,"、",""))+1))</f>
        <v/>
      </c>
      <c r="N1285" s="85">
        <f>IF(OR(Y1285="估算法",Y1285="算法类",Y1285="无法识别"),"",IF(X1285="",IF(OR(J1285="ILF",J1285="EIF"),0,""),LEN(X1285)-LEN(SUBSTITUTE(X1285,"、",""))+1))</f>
        <v/>
      </c>
      <c r="O1285" s="85">
        <f>IF(OR(Y1285="估算法",Y1285="算法类",Y1285="无法识别"),"",IF(Y1285="",IF(OR(J1285="ILF",J1285="EIF",J1285="EI",J1285="EO",J1285="EQ"),0,""),LEN(Y1285)-LEN(SUBSTITUTE(SUBSTITUTE(SUBSTITUTE(SUBSTITUTE(SUBSTITUTE(Y1285,"|}","--"),"{|","--"),CHAR(10),""),"、",""),"|",""))+IF(AND(OR(J1285="EI",J1285="EO",J1285="EQ"),$AE$1="NESMA"),2,1)))</f>
        <v/>
      </c>
      <c r="P1285" s="86">
        <f>IF(J1285="EI",IF(OR(Y1285="估算法",Y1285="算法类"),"中",IF(Y1285="无法识别","低",IF(M1285&lt;2,IF(O1285&lt;16,"低","中"),IF(M1285&lt;3,IF(O1285&lt;5,"低",IF(O1285&lt;16,"中","高")),IF(O1285&lt;5,"中","高"))))),IF(OR(J1285="EO",J1285="EQ"),IF(OR(Y1285="估算法",Y1285="算法类"),"中",IF(Y1285="无法识别","低",IF(M1285&lt;2,IF(O1285&lt;20,"低","中"),IF(M1285&lt;4,IF(O1285&lt;6,"低",IF(O1285&lt;20,"中","高")),IF(O1285&lt;6,"中","高"))))),IF(OR(J1285="ILF",J1285="EIF"),IF(OR(Y1285="估算法",Y1285="算法类",Y1285="无法识别"),"低",IF(N1285&lt;2,IF(O1285&lt;51,"低","中"),IF(N1285&lt;6,IF(O1285&lt;20,"低",IF(O1285&lt;51,"中","高")),IF(O1285&lt;20,"中","高")))),"不计算")))</f>
        <v/>
      </c>
      <c r="Q1285" s="172">
        <f>IFERROR(IF(J1285="EI",IF(P1285="低",3,IF(P1285="中",4,6)),IF(J1285="EO",IF(P1285="低",4,IF(P1285="中",5,7)),IF(J1285="EQ",IF(P1285="低",3,IF(P1285="中",4,6)),IF(J1285="ILF",IF(P1285="低",7,IF(P1285="中",10,15)),IF(J1285="EIF",IF(P1285="低",5,IF(P1285="中",7,10)),"不计算")))))*R1285,"不计算")</f>
        <v/>
      </c>
      <c r="R1285" s="172" t="n">
        <v>1</v>
      </c>
      <c r="S1285" s="173">
        <f>调整因子!$F$13</f>
        <v/>
      </c>
      <c r="T1285" s="93" t="n">
        <v>1</v>
      </c>
      <c r="U1285" s="174">
        <f>IFERROR(Q1285*S1285,0)</f>
        <v/>
      </c>
      <c r="V1285" s="178">
        <f>U1285*T1285</f>
        <v/>
      </c>
      <c r="W1285" s="103" t="inlineStr">
        <is>
          <t>处置流程定义表</t>
        </is>
      </c>
      <c r="X1285" s="103" t="inlineStr"/>
      <c r="Y1285" s="97" t="inlineStr">
        <is>
          <t>处置流程定义表{ID、名称|ID、名称、类型、状态、创建时间、更新时间}</t>
        </is>
      </c>
      <c r="Z1285" s="90" t="n"/>
      <c r="AA1285" s="90" t="n"/>
    </row>
    <row r="1286" s="112">
      <c r="A1286" s="72">
        <f>ROW()-1</f>
        <v/>
      </c>
      <c r="B1286" s="175" t="n"/>
      <c r="C1286" s="124" t="n">
        <v>2026</v>
      </c>
      <c r="E1286" s="103" t="n"/>
      <c r="F1286" s="175" t="n"/>
      <c r="G1286" s="175" t="n"/>
      <c r="H1286" s="97" t="inlineStr">
        <is>
          <t>情报解析管理</t>
        </is>
      </c>
      <c r="I1286" s="103" t="inlineStr">
        <is>
          <t>编辑解析规则</t>
        </is>
      </c>
      <c r="J1286" s="93" t="inlineStr">
        <is>
          <t>EI</t>
        </is>
      </c>
      <c r="K1286" s="102" t="n"/>
      <c r="L1286" s="102" t="n"/>
      <c r="M1286" s="85">
        <f>IF(OR(Y1286="估算法",Y1286="算法类",Y1286="无法识别"),"",IF(W1286="",IF(OR(J1286="EI",J1286="EO",J1286="EQ"),0,""),LEN(W1286)-LEN(SUBSTITUTE(W1286,"、",""))+1))</f>
        <v/>
      </c>
      <c r="N1286" s="85">
        <f>IF(OR(Y1286="估算法",Y1286="算法类",Y1286="无法识别"),"",IF(X1286="",IF(OR(J1286="ILF",J1286="EIF"),0,""),LEN(X1286)-LEN(SUBSTITUTE(X1286,"、",""))+1))</f>
        <v/>
      </c>
      <c r="O1286" s="85">
        <f>IF(OR(Y1286="估算法",Y1286="算法类",Y1286="无法识别"),"",IF(Y1286="",IF(OR(J1286="ILF",J1286="EIF",J1286="EI",J1286="EO",J1286="EQ"),0,""),LEN(Y1286)-LEN(SUBSTITUTE(SUBSTITUTE(SUBSTITUTE(SUBSTITUTE(SUBSTITUTE(Y1286,"|}","--"),"{|","--"),CHAR(10),""),"、",""),"|",""))+IF(AND(OR(J1286="EI",J1286="EO",J1286="EQ"),$AE$1="NESMA"),2,1)))</f>
        <v/>
      </c>
      <c r="P1286" s="86">
        <f>IF(J1286="EI",IF(OR(Y1286="估算法",Y1286="算法类"),"中",IF(Y1286="无法识别","低",IF(M1286&lt;2,IF(O1286&lt;16,"低","中"),IF(M1286&lt;3,IF(O1286&lt;5,"低",IF(O1286&lt;16,"中","高")),IF(O1286&lt;5,"中","高"))))),IF(OR(J1286="EO",J1286="EQ"),IF(OR(Y1286="估算法",Y1286="算法类"),"中",IF(Y1286="无法识别","低",IF(M1286&lt;2,IF(O1286&lt;20,"低","中"),IF(M1286&lt;4,IF(O1286&lt;6,"低",IF(O1286&lt;20,"中","高")),IF(O1286&lt;6,"中","高"))))),IF(OR(J1286="ILF",J1286="EIF"),IF(OR(Y1286="估算法",Y1286="算法类",Y1286="无法识别"),"低",IF(N1286&lt;2,IF(O1286&lt;51,"低","中"),IF(N1286&lt;6,IF(O1286&lt;20,"低",IF(O1286&lt;51,"中","高")),IF(O1286&lt;20,"中","高")))),"不计算")))</f>
        <v/>
      </c>
      <c r="Q1286" s="172">
        <f>IFERROR(IF(J1286="EI",IF(P1286="低",3,IF(P1286="中",4,6)),IF(J1286="EO",IF(P1286="低",4,IF(P1286="中",5,7)),IF(J1286="EQ",IF(P1286="低",3,IF(P1286="中",4,6)),IF(J1286="ILF",IF(P1286="低",7,IF(P1286="中",10,15)),IF(J1286="EIF",IF(P1286="低",5,IF(P1286="中",7,10)),"不计算")))))*R1286,"不计算")</f>
        <v/>
      </c>
      <c r="R1286" s="172" t="n">
        <v>1</v>
      </c>
      <c r="S1286" s="173">
        <f>调整因子!$F$13</f>
        <v/>
      </c>
      <c r="T1286" s="93" t="n">
        <v>1</v>
      </c>
      <c r="U1286" s="174">
        <f>IFERROR(Q1286*S1286,0)</f>
        <v/>
      </c>
      <c r="V1286" s="178">
        <f>U1286*T1286</f>
        <v/>
      </c>
      <c r="W1286" s="103" t="inlineStr">
        <is>
          <t>推送规则表、提醒规则表</t>
        </is>
      </c>
      <c r="X1286" s="103" t="inlineStr"/>
      <c r="Y1286" s="97" t="inlineStr">
        <is>
          <t>推送规则表{规则ID、规则名称、规则类型、规则条件、创建时间|规则ID、规则名称、规则类型}
提醒规则表{规则ID、规则名称、规则类型、规则条件、创建时间|规则ID、规则名称、规则类型}</t>
        </is>
      </c>
      <c r="Z1286" s="90" t="n"/>
      <c r="AA1286" s="90" t="n"/>
    </row>
    <row r="1287" s="112">
      <c r="A1287" s="72">
        <f>ROW()-1</f>
        <v/>
      </c>
      <c r="B1287" s="175" t="n"/>
      <c r="C1287" s="124" t="n">
        <v>2026</v>
      </c>
      <c r="E1287" s="103" t="n"/>
      <c r="F1287" s="175" t="n"/>
      <c r="G1287" s="175" t="n"/>
      <c r="H1287" s="175" t="n"/>
      <c r="I1287" s="103" t="inlineStr">
        <is>
          <t>删除解析规则</t>
        </is>
      </c>
      <c r="J1287" s="93" t="inlineStr">
        <is>
          <t>EI</t>
        </is>
      </c>
      <c r="K1287" s="102" t="n"/>
      <c r="L1287" s="102" t="n"/>
      <c r="M1287" s="85">
        <f>IF(OR(Y1287="估算法",Y1287="算法类",Y1287="无法识别"),"",IF(W1287="",IF(OR(J1287="EI",J1287="EO",J1287="EQ"),0,""),LEN(W1287)-LEN(SUBSTITUTE(W1287,"、",""))+1))</f>
        <v/>
      </c>
      <c r="N1287" s="85">
        <f>IF(OR(Y1287="估算法",Y1287="算法类",Y1287="无法识别"),"",IF(X1287="",IF(OR(J1287="ILF",J1287="EIF"),0,""),LEN(X1287)-LEN(SUBSTITUTE(X1287,"、",""))+1))</f>
        <v/>
      </c>
      <c r="O1287" s="85">
        <f>IF(OR(Y1287="估算法",Y1287="算法类",Y1287="无法识别"),"",IF(Y1287="",IF(OR(J1287="ILF",J1287="EIF",J1287="EI",J1287="EO",J1287="EQ"),0,""),LEN(Y1287)-LEN(SUBSTITUTE(SUBSTITUTE(SUBSTITUTE(SUBSTITUTE(SUBSTITUTE(Y1287,"|}","--"),"{|","--"),CHAR(10),""),"、",""),"|",""))+IF(AND(OR(J1287="EI",J1287="EO",J1287="EQ"),$AE$1="NESMA"),2,1)))</f>
        <v/>
      </c>
      <c r="P1287" s="86">
        <f>IF(J1287="EI",IF(OR(Y1287="估算法",Y1287="算法类"),"中",IF(Y1287="无法识别","低",IF(M1287&lt;2,IF(O1287&lt;16,"低","中"),IF(M1287&lt;3,IF(O1287&lt;5,"低",IF(O1287&lt;16,"中","高")),IF(O1287&lt;5,"中","高"))))),IF(OR(J1287="EO",J1287="EQ"),IF(OR(Y1287="估算法",Y1287="算法类"),"中",IF(Y1287="无法识别","低",IF(M1287&lt;2,IF(O1287&lt;20,"低","中"),IF(M1287&lt;4,IF(O1287&lt;6,"低",IF(O1287&lt;20,"中","高")),IF(O1287&lt;6,"中","高"))))),IF(OR(J1287="ILF",J1287="EIF"),IF(OR(Y1287="估算法",Y1287="算法类",Y1287="无法识别"),"低",IF(N1287&lt;2,IF(O1287&lt;51,"低","中"),IF(N1287&lt;6,IF(O1287&lt;20,"低",IF(O1287&lt;51,"中","高")),IF(O1287&lt;20,"中","高")))),"不计算")))</f>
        <v/>
      </c>
      <c r="Q1287" s="172">
        <f>IFERROR(IF(J1287="EI",IF(P1287="低",3,IF(P1287="中",4,6)),IF(J1287="EO",IF(P1287="低",4,IF(P1287="中",5,7)),IF(J1287="EQ",IF(P1287="低",3,IF(P1287="中",4,6)),IF(J1287="ILF",IF(P1287="低",7,IF(P1287="中",10,15)),IF(J1287="EIF",IF(P1287="低",5,IF(P1287="中",7,10)),"不计算")))))*R1287,"不计算")</f>
        <v/>
      </c>
      <c r="R1287" s="172" t="n">
        <v>0.333333333333333</v>
      </c>
      <c r="S1287" s="173">
        <f>调整因子!$F$13</f>
        <v/>
      </c>
      <c r="T1287" s="92" t="n">
        <v>1</v>
      </c>
      <c r="U1287" s="174">
        <f>IFERROR(Q1287*S1287,0)</f>
        <v/>
      </c>
      <c r="V1287" s="178">
        <f>U1287*T1287</f>
        <v/>
      </c>
      <c r="W1287" s="103" t="inlineStr">
        <is>
          <t>推送规则表、提醒规则表</t>
        </is>
      </c>
      <c r="X1287" s="103" t="inlineStr"/>
      <c r="Y1287" s="97" t="inlineStr">
        <is>
          <t>推送规则表{规则ID、规则名称、规则类型、规则条件、创建时间|规则ID、规则名称、规则类型}
提醒规则表{规则ID、规则名称、规则类型、规则条件、创建时间|规则ID、规则名称、规则类型}</t>
        </is>
      </c>
      <c r="Z1287" s="90" t="n"/>
      <c r="AA1287" s="90" t="n"/>
    </row>
    <row r="1288" s="112">
      <c r="A1288" s="72">
        <f>ROW()-1</f>
        <v/>
      </c>
      <c r="B1288" s="175" t="n"/>
      <c r="C1288" s="124" t="n">
        <v>2026</v>
      </c>
      <c r="E1288" s="103" t="n"/>
      <c r="F1288" s="175" t="n"/>
      <c r="G1288" s="175" t="n"/>
      <c r="H1288" s="175" t="n"/>
      <c r="I1288" s="103" t="inlineStr">
        <is>
          <t>启用解析规则</t>
        </is>
      </c>
      <c r="J1288" s="93" t="inlineStr">
        <is>
          <t>EI</t>
        </is>
      </c>
      <c r="K1288" s="102" t="n"/>
      <c r="L1288" s="102" t="n"/>
      <c r="M1288" s="85">
        <f>IF(OR(Y1288="估算法",Y1288="算法类",Y1288="无法识别"),"",IF(W1288="",IF(OR(J1288="EI",J1288="EO",J1288="EQ"),0,""),LEN(W1288)-LEN(SUBSTITUTE(W1288,"、",""))+1))</f>
        <v/>
      </c>
      <c r="N1288" s="85">
        <f>IF(OR(Y1288="估算法",Y1288="算法类",Y1288="无法识别"),"",IF(X1288="",IF(OR(J1288="ILF",J1288="EIF"),0,""),LEN(X1288)-LEN(SUBSTITUTE(X1288,"、",""))+1))</f>
        <v/>
      </c>
      <c r="O1288" s="85">
        <f>IF(OR(Y1288="估算法",Y1288="算法类",Y1288="无法识别"),"",IF(Y1288="",IF(OR(J1288="ILF",J1288="EIF",J1288="EI",J1288="EO",J1288="EQ"),0,""),LEN(Y1288)-LEN(SUBSTITUTE(SUBSTITUTE(SUBSTITUTE(SUBSTITUTE(SUBSTITUTE(Y1288,"|}","--"),"{|","--"),CHAR(10),""),"、",""),"|",""))+IF(AND(OR(J1288="EI",J1288="EO",J1288="EQ"),$AE$1="NESMA"),2,1)))</f>
        <v/>
      </c>
      <c r="P1288" s="86">
        <f>IF(J1288="EI",IF(OR(Y1288="估算法",Y1288="算法类"),"中",IF(Y1288="无法识别","低",IF(M1288&lt;2,IF(O1288&lt;16,"低","中"),IF(M1288&lt;3,IF(O1288&lt;5,"低",IF(O1288&lt;16,"中","高")),IF(O1288&lt;5,"中","高"))))),IF(OR(J1288="EO",J1288="EQ"),IF(OR(Y1288="估算法",Y1288="算法类"),"中",IF(Y1288="无法识别","低",IF(M1288&lt;2,IF(O1288&lt;20,"低","中"),IF(M1288&lt;4,IF(O1288&lt;6,"低",IF(O1288&lt;20,"中","高")),IF(O1288&lt;6,"中","高"))))),IF(OR(J1288="ILF",J1288="EIF"),IF(OR(Y1288="估算法",Y1288="算法类",Y1288="无法识别"),"低",IF(N1288&lt;2,IF(O1288&lt;51,"低","中"),IF(N1288&lt;6,IF(O1288&lt;20,"低",IF(O1288&lt;51,"中","高")),IF(O1288&lt;20,"中","高")))),"不计算")))</f>
        <v/>
      </c>
      <c r="Q1288" s="172">
        <f>IFERROR(IF(J1288="EI",IF(P1288="低",3,IF(P1288="中",4,6)),IF(J1288="EO",IF(P1288="低",4,IF(P1288="中",5,7)),IF(J1288="EQ",IF(P1288="低",3,IF(P1288="中",4,6)),IF(J1288="ILF",IF(P1288="低",7,IF(P1288="中",10,15)),IF(J1288="EIF",IF(P1288="低",5,IF(P1288="中",7,10)),"不计算")))))*R1288,"不计算")</f>
        <v/>
      </c>
      <c r="R1288" s="172" t="n">
        <v>1</v>
      </c>
      <c r="S1288" s="173">
        <f>调整因子!$F$13</f>
        <v/>
      </c>
      <c r="T1288" s="92" t="n">
        <v>1</v>
      </c>
      <c r="U1288" s="174">
        <f>IFERROR(Q1288*S1288,0)</f>
        <v/>
      </c>
      <c r="V1288" s="178">
        <f>U1288*T1288</f>
        <v/>
      </c>
      <c r="W1288" s="103" t="inlineStr">
        <is>
          <t>推送规则表</t>
        </is>
      </c>
      <c r="X1288" s="103" t="inlineStr"/>
      <c r="Y1288" s="97" t="inlineStr">
        <is>
          <t>推送规则表{规则ID、规则名称、规则类型、规则条件、创建时间|规则ID、规则名称、规则类型}</t>
        </is>
      </c>
      <c r="Z1288" s="90" t="n"/>
      <c r="AA1288" s="90" t="n"/>
    </row>
    <row r="1289" s="112">
      <c r="A1289" s="72">
        <f>ROW()-1</f>
        <v/>
      </c>
      <c r="B1289" s="175" t="n"/>
      <c r="C1289" s="124" t="n">
        <v>2026</v>
      </c>
      <c r="E1289" s="103" t="n"/>
      <c r="F1289" s="175" t="n"/>
      <c r="G1289" s="175" t="n"/>
      <c r="H1289" s="175" t="n"/>
      <c r="I1289" s="103" t="inlineStr">
        <is>
          <t>停用解析规则</t>
        </is>
      </c>
      <c r="J1289" s="93" t="n"/>
      <c r="K1289" s="102" t="n"/>
      <c r="L1289" s="102" t="inlineStr">
        <is>
          <t>和上行合并，启停为相同功能</t>
        </is>
      </c>
      <c r="M1289" s="85">
        <f>IF(OR(Y1289="估算法",Y1289="算法类",Y1289="无法识别"),"",IF(W1289="",IF(OR(J1289="EI",J1289="EO",J1289="EQ"),0,""),LEN(W1289)-LEN(SUBSTITUTE(W1289,"、",""))+1))</f>
        <v/>
      </c>
      <c r="N1289" s="85">
        <f>IF(OR(Y1289="估算法",Y1289="算法类",Y1289="无法识别"),"",IF(X1289="",IF(OR(J1289="ILF",J1289="EIF"),0,""),LEN(X1289)-LEN(SUBSTITUTE(X1289,"、",""))+1))</f>
        <v/>
      </c>
      <c r="O1289" s="85">
        <f>IF(OR(Y1289="估算法",Y1289="算法类",Y1289="无法识别"),"",IF(Y1289="",IF(OR(J1289="ILF",J1289="EIF",J1289="EI",J1289="EO",J1289="EQ"),0,""),LEN(Y1289)-LEN(SUBSTITUTE(SUBSTITUTE(SUBSTITUTE(SUBSTITUTE(SUBSTITUTE(Y1289,"|}","--"),"{|","--"),CHAR(10),""),"、",""),"|",""))+IF(AND(OR(J1289="EI",J1289="EO",J1289="EQ"),$AE$1="NESMA"),2,1)))</f>
        <v/>
      </c>
      <c r="P1289" s="86">
        <f>IF(J1289="EI",IF(OR(Y1289="估算法",Y1289="算法类"),"中",IF(Y1289="无法识别","低",IF(M1289&lt;2,IF(O1289&lt;16,"低","中"),IF(M1289&lt;3,IF(O1289&lt;5,"低",IF(O1289&lt;16,"中","高")),IF(O1289&lt;5,"中","高"))))),IF(OR(J1289="EO",J1289="EQ"),IF(OR(Y1289="估算法",Y1289="算法类"),"中",IF(Y1289="无法识别","低",IF(M1289&lt;2,IF(O1289&lt;20,"低","中"),IF(M1289&lt;4,IF(O1289&lt;6,"低",IF(O1289&lt;20,"中","高")),IF(O1289&lt;6,"中","高"))))),IF(OR(J1289="ILF",J1289="EIF"),IF(OR(Y1289="估算法",Y1289="算法类",Y1289="无法识别"),"低",IF(N1289&lt;2,IF(O1289&lt;51,"低","中"),IF(N1289&lt;6,IF(O1289&lt;20,"低",IF(O1289&lt;51,"中","高")),IF(O1289&lt;20,"中","高")))),"不计算")))</f>
        <v/>
      </c>
      <c r="Q1289" s="172">
        <f>IFERROR(IF(J1289="EI",IF(P1289="低",3,IF(P1289="中",4,6)),IF(J1289="EO",IF(P1289="低",4,IF(P1289="中",5,7)),IF(J1289="EQ",IF(P1289="低",3,IF(P1289="中",4,6)),IF(J1289="ILF",IF(P1289="低",7,IF(P1289="中",10,15)),IF(J1289="EIF",IF(P1289="低",5,IF(P1289="中",7,10)),"不计算")))))*R1289,"不计算")</f>
        <v/>
      </c>
      <c r="R1289" s="172" t="n">
        <v>1</v>
      </c>
      <c r="S1289" s="173">
        <f>调整因子!$F$13</f>
        <v/>
      </c>
      <c r="T1289" s="93" t="n">
        <v>1</v>
      </c>
      <c r="U1289" s="174">
        <f>IFERROR(Q1289*S1289,0)</f>
        <v/>
      </c>
      <c r="V1289" s="178">
        <f>U1289*T1289</f>
        <v/>
      </c>
      <c r="W1289" s="103" t="inlineStr">
        <is>
          <t>推送规则表</t>
        </is>
      </c>
      <c r="X1289" s="103" t="inlineStr"/>
      <c r="Y1289" s="97" t="inlineStr">
        <is>
          <t>推送规则表{规则ID、规则名称、规则类型、规则条件、创建时间|规则ID、规则名称、规则类型}</t>
        </is>
      </c>
      <c r="Z1289" s="90" t="n"/>
      <c r="AA1289" s="90" t="n"/>
    </row>
    <row r="1290" s="112">
      <c r="A1290" s="72">
        <f>ROW()-1</f>
        <v/>
      </c>
      <c r="B1290" s="175" t="n"/>
      <c r="C1290" s="124" t="n">
        <v>2026</v>
      </c>
      <c r="E1290" s="103" t="n"/>
      <c r="F1290" s="175" t="n"/>
      <c r="G1290" s="175" t="n"/>
      <c r="H1290" s="175" t="n"/>
      <c r="I1290" s="103" t="inlineStr">
        <is>
          <t>导出解析结果</t>
        </is>
      </c>
      <c r="J1290" s="93" t="inlineStr">
        <is>
          <t>EO</t>
        </is>
      </c>
      <c r="K1290" s="102" t="n"/>
      <c r="L1290" s="102" t="n"/>
      <c r="M1290" s="85">
        <f>IF(OR(Y1290="估算法",Y1290="算法类",Y1290="无法识别"),"",IF(W1290="",IF(OR(J1290="EI",J1290="EO",J1290="EQ"),0,""),LEN(W1290)-LEN(SUBSTITUTE(W1290,"、",""))+1))</f>
        <v/>
      </c>
      <c r="N1290" s="85">
        <f>IF(OR(Y1290="估算法",Y1290="算法类",Y1290="无法识别"),"",IF(X1290="",IF(OR(J1290="ILF",J1290="EIF"),0,""),LEN(X1290)-LEN(SUBSTITUTE(X1290,"、",""))+1))</f>
        <v/>
      </c>
      <c r="O1290" s="85">
        <f>IF(OR(Y1290="估算法",Y1290="算法类",Y1290="无法识别"),"",IF(Y1290="",IF(OR(J1290="ILF",J1290="EIF",J1290="EI",J1290="EO",J1290="EQ"),0,""),LEN(Y1290)-LEN(SUBSTITUTE(SUBSTITUTE(SUBSTITUTE(SUBSTITUTE(SUBSTITUTE(Y1290,"|}","--"),"{|","--"),CHAR(10),""),"、",""),"|",""))+IF(AND(OR(J1290="EI",J1290="EO",J1290="EQ"),$AE$1="NESMA"),2,1)))</f>
        <v/>
      </c>
      <c r="P1290" s="86">
        <f>IF(J1290="EI",IF(OR(Y1290="估算法",Y1290="算法类"),"中",IF(Y1290="无法识别","低",IF(M1290&lt;2,IF(O1290&lt;16,"低","中"),IF(M1290&lt;3,IF(O1290&lt;5,"低",IF(O1290&lt;16,"中","高")),IF(O1290&lt;5,"中","高"))))),IF(OR(J1290="EO",J1290="EQ"),IF(OR(Y1290="估算法",Y1290="算法类"),"中",IF(Y1290="无法识别","低",IF(M1290&lt;2,IF(O1290&lt;20,"低","中"),IF(M1290&lt;4,IF(O1290&lt;6,"低",IF(O1290&lt;20,"中","高")),IF(O1290&lt;6,"中","高"))))),IF(OR(J1290="ILF",J1290="EIF"),IF(OR(Y1290="估算法",Y1290="算法类",Y1290="无法识别"),"低",IF(N1290&lt;2,IF(O1290&lt;51,"低","中"),IF(N1290&lt;6,IF(O1290&lt;20,"低",IF(O1290&lt;51,"中","高")),IF(O1290&lt;20,"中","高")))),"不计算")))</f>
        <v/>
      </c>
      <c r="Q1290" s="172">
        <f>IFERROR(IF(J1290="EI",IF(P1290="低",3,IF(P1290="中",4,6)),IF(J1290="EO",IF(P1290="低",4,IF(P1290="中",5,7)),IF(J1290="EQ",IF(P1290="低",3,IF(P1290="中",4,6)),IF(J1290="ILF",IF(P1290="低",7,IF(P1290="中",10,15)),IF(J1290="EIF",IF(P1290="低",5,IF(P1290="中",7,10)),"不计算")))))*R1290,"不计算")</f>
        <v/>
      </c>
      <c r="R1290" s="172" t="n">
        <v>1</v>
      </c>
      <c r="S1290" s="173">
        <f>调整因子!$F$13</f>
        <v/>
      </c>
      <c r="T1290" s="92" t="n">
        <v>1</v>
      </c>
      <c r="U1290" s="174">
        <f>IFERROR(Q1290*S1290,0)</f>
        <v/>
      </c>
      <c r="V1290" s="178">
        <f>U1290*T1290</f>
        <v/>
      </c>
      <c r="W1290" s="103" t="inlineStr">
        <is>
          <t>模板分类表</t>
        </is>
      </c>
      <c r="X1290" s="103" t="inlineStr"/>
      <c r="Y1290" s="97" t="inlineStr">
        <is>
          <t>模板分类表{ID、名称|ID、名称、类型、状态、创建时间、更新时间}</t>
        </is>
      </c>
      <c r="Z1290" s="90" t="n"/>
      <c r="AA1290" s="90" t="n"/>
    </row>
    <row r="1291" s="112">
      <c r="A1291" s="72">
        <f>ROW()-1</f>
        <v/>
      </c>
      <c r="B1291" s="175" t="n"/>
      <c r="C1291" s="124" t="n">
        <v>2026</v>
      </c>
      <c r="E1291" s="103" t="n"/>
      <c r="F1291" s="175" t="n"/>
      <c r="G1291" s="175" t="n"/>
      <c r="H1291" s="175" t="n"/>
      <c r="I1291" s="103" t="inlineStr">
        <is>
          <t>查询解析规则</t>
        </is>
      </c>
      <c r="J1291" s="93" t="inlineStr">
        <is>
          <t>EQ</t>
        </is>
      </c>
      <c r="K1291" s="102" t="n"/>
      <c r="L1291" s="102" t="n"/>
      <c r="M1291" s="85">
        <f>IF(OR(Y1291="估算法",Y1291="算法类",Y1291="无法识别"),"",IF(W1291="",IF(OR(J1291="EI",J1291="EO",J1291="EQ"),0,""),LEN(W1291)-LEN(SUBSTITUTE(W1291,"、",""))+1))</f>
        <v/>
      </c>
      <c r="N1291" s="85">
        <f>IF(OR(Y1291="估算法",Y1291="算法类",Y1291="无法识别"),"",IF(X1291="",IF(OR(J1291="ILF",J1291="EIF"),0,""),LEN(X1291)-LEN(SUBSTITUTE(X1291,"、",""))+1))</f>
        <v/>
      </c>
      <c r="O1291" s="85">
        <f>IF(OR(Y1291="估算法",Y1291="算法类",Y1291="无法识别"),"",IF(Y1291="",IF(OR(J1291="ILF",J1291="EIF",J1291="EI",J1291="EO",J1291="EQ"),0,""),LEN(Y1291)-LEN(SUBSTITUTE(SUBSTITUTE(SUBSTITUTE(SUBSTITUTE(SUBSTITUTE(Y1291,"|}","--"),"{|","--"),CHAR(10),""),"、",""),"|",""))+IF(AND(OR(J1291="EI",J1291="EO",J1291="EQ"),$AE$1="NESMA"),2,1)))</f>
        <v/>
      </c>
      <c r="P1291" s="86">
        <f>IF(J1291="EI",IF(OR(Y1291="估算法",Y1291="算法类"),"中",IF(Y1291="无法识别","低",IF(M1291&lt;2,IF(O1291&lt;16,"低","中"),IF(M1291&lt;3,IF(O1291&lt;5,"低",IF(O1291&lt;16,"中","高")),IF(O1291&lt;5,"中","高"))))),IF(OR(J1291="EO",J1291="EQ"),IF(OR(Y1291="估算法",Y1291="算法类"),"中",IF(Y1291="无法识别","低",IF(M1291&lt;2,IF(O1291&lt;20,"低","中"),IF(M1291&lt;4,IF(O1291&lt;6,"低",IF(O1291&lt;20,"中","高")),IF(O1291&lt;6,"中","高"))))),IF(OR(J1291="ILF",J1291="EIF"),IF(OR(Y1291="估算法",Y1291="算法类",Y1291="无法识别"),"低",IF(N1291&lt;2,IF(O1291&lt;51,"低","中"),IF(N1291&lt;6,IF(O1291&lt;20,"低",IF(O1291&lt;51,"中","高")),IF(O1291&lt;20,"中","高")))),"不计算")))</f>
        <v/>
      </c>
      <c r="Q1291" s="172">
        <f>IFERROR(IF(J1291="EI",IF(P1291="低",3,IF(P1291="中",4,6)),IF(J1291="EO",IF(P1291="低",4,IF(P1291="中",5,7)),IF(J1291="EQ",IF(P1291="低",3,IF(P1291="中",4,6)),IF(J1291="ILF",IF(P1291="低",7,IF(P1291="中",10,15)),IF(J1291="EIF",IF(P1291="低",5,IF(P1291="中",7,10)),"不计算")))))*R1291,"不计算")</f>
        <v/>
      </c>
      <c r="R1291" s="172" t="n">
        <v>1</v>
      </c>
      <c r="S1291" s="173">
        <f>调整因子!$F$13</f>
        <v/>
      </c>
      <c r="T1291" s="92" t="n">
        <v>1</v>
      </c>
      <c r="U1291" s="174">
        <f>IFERROR(Q1291*S1291,0)</f>
        <v/>
      </c>
      <c r="V1291" s="178">
        <f>U1291*T1291</f>
        <v/>
      </c>
      <c r="W1291" s="103" t="inlineStr">
        <is>
          <t>推送规则表</t>
        </is>
      </c>
      <c r="X1291" s="103" t="inlineStr"/>
      <c r="Y1291" s="97" t="inlineStr">
        <is>
          <t>推送规则表{规则ID、规则名称|规则ID、规则名称、规则类型、规则条件、创建时间}</t>
        </is>
      </c>
      <c r="Z1291" s="90" t="n"/>
      <c r="AA1291" s="90" t="n"/>
    </row>
    <row r="1292" s="112">
      <c r="A1292" s="72">
        <f>ROW()-1</f>
        <v/>
      </c>
      <c r="B1292" s="175" t="n"/>
      <c r="C1292" s="124" t="n">
        <v>2026</v>
      </c>
      <c r="E1292" s="103" t="n"/>
      <c r="F1292" s="175" t="n"/>
      <c r="G1292" s="175" t="n"/>
      <c r="H1292" s="176" t="n"/>
      <c r="I1292" s="103" t="inlineStr">
        <is>
          <t>查看解析详情</t>
        </is>
      </c>
      <c r="J1292" s="93" t="inlineStr">
        <is>
          <t>EQ</t>
        </is>
      </c>
      <c r="K1292" s="102" t="n"/>
      <c r="L1292" s="102" t="n"/>
      <c r="M1292" s="85">
        <f>IF(OR(Y1292="估算法",Y1292="算法类",Y1292="无法识别"),"",IF(W1292="",IF(OR(J1292="EI",J1292="EO",J1292="EQ"),0,""),LEN(W1292)-LEN(SUBSTITUTE(W1292,"、",""))+1))</f>
        <v/>
      </c>
      <c r="N1292" s="85">
        <f>IF(OR(Y1292="估算法",Y1292="算法类",Y1292="无法识别"),"",IF(X1292="",IF(OR(J1292="ILF",J1292="EIF"),0,""),LEN(X1292)-LEN(SUBSTITUTE(X1292,"、",""))+1))</f>
        <v/>
      </c>
      <c r="O1292" s="85">
        <f>IF(OR(Y1292="估算法",Y1292="算法类",Y1292="无法识别"),"",IF(Y1292="",IF(OR(J1292="ILF",J1292="EIF",J1292="EI",J1292="EO",J1292="EQ"),0,""),LEN(Y1292)-LEN(SUBSTITUTE(SUBSTITUTE(SUBSTITUTE(SUBSTITUTE(SUBSTITUTE(Y1292,"|}","--"),"{|","--"),CHAR(10),""),"、",""),"|",""))+IF(AND(OR(J1292="EI",J1292="EO",J1292="EQ"),$AE$1="NESMA"),2,1)))</f>
        <v/>
      </c>
      <c r="P1292" s="86">
        <f>IF(J1292="EI",IF(OR(Y1292="估算法",Y1292="算法类"),"中",IF(Y1292="无法识别","低",IF(M1292&lt;2,IF(O1292&lt;16,"低","中"),IF(M1292&lt;3,IF(O1292&lt;5,"低",IF(O1292&lt;16,"中","高")),IF(O1292&lt;5,"中","高"))))),IF(OR(J1292="EO",J1292="EQ"),IF(OR(Y1292="估算法",Y1292="算法类"),"中",IF(Y1292="无法识别","低",IF(M1292&lt;2,IF(O1292&lt;20,"低","中"),IF(M1292&lt;4,IF(O1292&lt;6,"低",IF(O1292&lt;20,"中","高")),IF(O1292&lt;6,"中","高"))))),IF(OR(J1292="ILF",J1292="EIF"),IF(OR(Y1292="估算法",Y1292="算法类",Y1292="无法识别"),"低",IF(N1292&lt;2,IF(O1292&lt;51,"低","中"),IF(N1292&lt;6,IF(O1292&lt;20,"低",IF(O1292&lt;51,"中","高")),IF(O1292&lt;20,"中","高")))),"不计算")))</f>
        <v/>
      </c>
      <c r="Q1292" s="172">
        <f>IFERROR(IF(J1292="EI",IF(P1292="低",3,IF(P1292="中",4,6)),IF(J1292="EO",IF(P1292="低",4,IF(P1292="中",5,7)),IF(J1292="EQ",IF(P1292="低",3,IF(P1292="中",4,6)),IF(J1292="ILF",IF(P1292="低",7,IF(P1292="中",10,15)),IF(J1292="EIF",IF(P1292="低",5,IF(P1292="中",7,10)),"不计算")))))*R1292,"不计算")</f>
        <v/>
      </c>
      <c r="R1292" s="172" t="n">
        <v>1</v>
      </c>
      <c r="S1292" s="173">
        <f>调整因子!$F$13</f>
        <v/>
      </c>
      <c r="T1292" s="93" t="n">
        <v>1</v>
      </c>
      <c r="U1292" s="174">
        <f>IFERROR(Q1292*S1292,0)</f>
        <v/>
      </c>
      <c r="V1292" s="178">
        <f>U1292*T1292</f>
        <v/>
      </c>
      <c r="W1292" s="103" t="inlineStr">
        <is>
          <t>考核指标配置表</t>
        </is>
      </c>
      <c r="X1292" s="103" t="inlineStr"/>
      <c r="Y1292" s="97" t="inlineStr">
        <is>
          <t>考核指标配置表{配置ID、配置名称|配置ID、配置名称、配置类型、配置值、创建时间}</t>
        </is>
      </c>
      <c r="Z1292" s="90" t="n"/>
      <c r="AA1292" s="90" t="n"/>
    </row>
    <row r="1293" s="112">
      <c r="A1293" s="72">
        <f>ROW()-1</f>
        <v/>
      </c>
      <c r="B1293" s="175" t="n"/>
      <c r="C1293" s="124" t="n">
        <v>2026</v>
      </c>
      <c r="E1293" s="103" t="n"/>
      <c r="F1293" s="175" t="n"/>
      <c r="G1293" s="175" t="n"/>
      <c r="H1293" s="97" t="inlineStr">
        <is>
          <t>情报关联管理</t>
        </is>
      </c>
      <c r="I1293" s="103" t="inlineStr">
        <is>
          <t>编辑情报关联</t>
        </is>
      </c>
      <c r="J1293" s="93" t="inlineStr">
        <is>
          <t>EI</t>
        </is>
      </c>
      <c r="K1293" s="102" t="n"/>
      <c r="L1293" s="102" t="n"/>
      <c r="M1293" s="85">
        <f>IF(OR(Y1293="估算法",Y1293="算法类",Y1293="无法识别"),"",IF(W1293="",IF(OR(J1293="EI",J1293="EO",J1293="EQ"),0,""),LEN(W1293)-LEN(SUBSTITUTE(W1293,"、",""))+1))</f>
        <v/>
      </c>
      <c r="N1293" s="85">
        <f>IF(OR(Y1293="估算法",Y1293="算法类",Y1293="无法识别"),"",IF(X1293="",IF(OR(J1293="ILF",J1293="EIF"),0,""),LEN(X1293)-LEN(SUBSTITUTE(X1293,"、",""))+1))</f>
        <v/>
      </c>
      <c r="O1293" s="85">
        <f>IF(OR(Y1293="估算法",Y1293="算法类",Y1293="无法识别"),"",IF(Y1293="",IF(OR(J1293="ILF",J1293="EIF",J1293="EI",J1293="EO",J1293="EQ"),0,""),LEN(Y1293)-LEN(SUBSTITUTE(SUBSTITUTE(SUBSTITUTE(SUBSTITUTE(SUBSTITUTE(Y1293,"|}","--"),"{|","--"),CHAR(10),""),"、",""),"|",""))+IF(AND(OR(J1293="EI",J1293="EO",J1293="EQ"),$AE$1="NESMA"),2,1)))</f>
        <v/>
      </c>
      <c r="P1293" s="86">
        <f>IF(J1293="EI",IF(OR(Y1293="估算法",Y1293="算法类"),"中",IF(Y1293="无法识别","低",IF(M1293&lt;2,IF(O1293&lt;16,"低","中"),IF(M1293&lt;3,IF(O1293&lt;5,"低",IF(O1293&lt;16,"中","高")),IF(O1293&lt;5,"中","高"))))),IF(OR(J1293="EO",J1293="EQ"),IF(OR(Y1293="估算法",Y1293="算法类"),"中",IF(Y1293="无法识别","低",IF(M1293&lt;2,IF(O1293&lt;20,"低","中"),IF(M1293&lt;4,IF(O1293&lt;6,"低",IF(O1293&lt;20,"中","高")),IF(O1293&lt;6,"中","高"))))),IF(OR(J1293="ILF",J1293="EIF"),IF(OR(Y1293="估算法",Y1293="算法类",Y1293="无法识别"),"低",IF(N1293&lt;2,IF(O1293&lt;51,"低","中"),IF(N1293&lt;6,IF(O1293&lt;20,"低",IF(O1293&lt;51,"中","高")),IF(O1293&lt;20,"中","高")))),"不计算")))</f>
        <v/>
      </c>
      <c r="Q1293" s="172">
        <f>IFERROR(IF(J1293="EI",IF(P1293="低",3,IF(P1293="中",4,6)),IF(J1293="EO",IF(P1293="低",4,IF(P1293="中",5,7)),IF(J1293="EQ",IF(P1293="低",3,IF(P1293="中",4,6)),IF(J1293="ILF",IF(P1293="低",7,IF(P1293="中",10,15)),IF(J1293="EIF",IF(P1293="低",5,IF(P1293="中",7,10)),"不计算")))))*R1293,"不计算")</f>
        <v/>
      </c>
      <c r="R1293" s="172" t="n">
        <v>1</v>
      </c>
      <c r="S1293" s="173">
        <f>调整因子!$F$13</f>
        <v/>
      </c>
      <c r="T1293" s="93" t="n">
        <v>1</v>
      </c>
      <c r="U1293" s="174">
        <f>IFERROR(Q1293*S1293,0)</f>
        <v/>
      </c>
      <c r="V1293" s="178">
        <f>U1293*T1293</f>
        <v/>
      </c>
      <c r="W1293" s="103" t="inlineStr">
        <is>
          <t>任务故障记录表、分类层级关系表</t>
        </is>
      </c>
      <c r="X1293" s="103" t="inlineStr"/>
      <c r="Y1293" s="97" t="inlineStr">
        <is>
          <t>任务故障记录表{任务ID、任务名称、任务类型、任务状态、创建时间、执行时间|任务ID、任务名称、任务类型}
分类层级关系表{ID、名称、类型、状态、创建时间、更新时间|ID、名称、类型}</t>
        </is>
      </c>
      <c r="Z1293" s="90" t="n"/>
      <c r="AA1293" s="90" t="n"/>
    </row>
    <row r="1294" s="112">
      <c r="A1294" s="72">
        <f>ROW()-1</f>
        <v/>
      </c>
      <c r="B1294" s="175" t="n"/>
      <c r="C1294" s="124" t="n">
        <v>2026</v>
      </c>
      <c r="E1294" s="103" t="n"/>
      <c r="F1294" s="175" t="n"/>
      <c r="G1294" s="175" t="n"/>
      <c r="H1294" s="175" t="n"/>
      <c r="I1294" s="103" t="inlineStr">
        <is>
          <t>删除情报关联</t>
        </is>
      </c>
      <c r="J1294" s="93" t="inlineStr">
        <is>
          <t>EI</t>
        </is>
      </c>
      <c r="K1294" s="102" t="n"/>
      <c r="L1294" s="102" t="n"/>
      <c r="M1294" s="85">
        <f>IF(OR(Y1294="估算法",Y1294="算法类",Y1294="无法识别"),"",IF(W1294="",IF(OR(J1294="EI",J1294="EO",J1294="EQ"),0,""),LEN(W1294)-LEN(SUBSTITUTE(W1294,"、",""))+1))</f>
        <v/>
      </c>
      <c r="N1294" s="85">
        <f>IF(OR(Y1294="估算法",Y1294="算法类",Y1294="无法识别"),"",IF(X1294="",IF(OR(J1294="ILF",J1294="EIF"),0,""),LEN(X1294)-LEN(SUBSTITUTE(X1294,"、",""))+1))</f>
        <v/>
      </c>
      <c r="O1294" s="85">
        <f>IF(OR(Y1294="估算法",Y1294="算法类",Y1294="无法识别"),"",IF(Y1294="",IF(OR(J1294="ILF",J1294="EIF",J1294="EI",J1294="EO",J1294="EQ"),0,""),LEN(Y1294)-LEN(SUBSTITUTE(SUBSTITUTE(SUBSTITUTE(SUBSTITUTE(SUBSTITUTE(Y1294,"|}","--"),"{|","--"),CHAR(10),""),"、",""),"|",""))+IF(AND(OR(J1294="EI",J1294="EO",J1294="EQ"),$AE$1="NESMA"),2,1)))</f>
        <v/>
      </c>
      <c r="P1294" s="86">
        <f>IF(J1294="EI",IF(OR(Y1294="估算法",Y1294="算法类"),"中",IF(Y1294="无法识别","低",IF(M1294&lt;2,IF(O1294&lt;16,"低","中"),IF(M1294&lt;3,IF(O1294&lt;5,"低",IF(O1294&lt;16,"中","高")),IF(O1294&lt;5,"中","高"))))),IF(OR(J1294="EO",J1294="EQ"),IF(OR(Y1294="估算法",Y1294="算法类"),"中",IF(Y1294="无法识别","低",IF(M1294&lt;2,IF(O1294&lt;20,"低","中"),IF(M1294&lt;4,IF(O1294&lt;6,"低",IF(O1294&lt;20,"中","高")),IF(O1294&lt;6,"中","高"))))),IF(OR(J1294="ILF",J1294="EIF"),IF(OR(Y1294="估算法",Y1294="算法类",Y1294="无法识别"),"低",IF(N1294&lt;2,IF(O1294&lt;51,"低","中"),IF(N1294&lt;6,IF(O1294&lt;20,"低",IF(O1294&lt;51,"中","高")),IF(O1294&lt;20,"中","高")))),"不计算")))</f>
        <v/>
      </c>
      <c r="Q1294" s="172">
        <f>IFERROR(IF(J1294="EI",IF(P1294="低",3,IF(P1294="中",4,6)),IF(J1294="EO",IF(P1294="低",4,IF(P1294="中",5,7)),IF(J1294="EQ",IF(P1294="低",3,IF(P1294="中",4,6)),IF(J1294="ILF",IF(P1294="低",7,IF(P1294="中",10,15)),IF(J1294="EIF",IF(P1294="低",5,IF(P1294="中",7,10)),"不计算")))))*R1294,"不计算")</f>
        <v/>
      </c>
      <c r="R1294" s="172" t="n">
        <v>0.333333333333333</v>
      </c>
      <c r="S1294" s="173">
        <f>调整因子!$F$13</f>
        <v/>
      </c>
      <c r="T1294" s="92" t="n">
        <v>1</v>
      </c>
      <c r="U1294" s="174">
        <f>IFERROR(Q1294*S1294,0)</f>
        <v/>
      </c>
      <c r="V1294" s="178">
        <f>U1294*T1294</f>
        <v/>
      </c>
      <c r="W1294" s="103" t="inlineStr">
        <is>
          <t>扫描盲区记录表、故障知识库表</t>
        </is>
      </c>
      <c r="X1294" s="103" t="inlineStr"/>
      <c r="Y1294" s="97" t="inlineStr">
        <is>
          <t>扫描盲区记录表{任务ID、任务名称、任务状态、扫描器类型、开始时间、结束时间、扫描结果|任务ID、任务名称、任务状态}
故障知识库表{ID、名称、类型、状态、创建时间、更新时间|ID、名称、类型}</t>
        </is>
      </c>
      <c r="Z1294" s="90" t="n"/>
      <c r="AA1294" s="90" t="n"/>
    </row>
    <row r="1295" s="112">
      <c r="A1295" s="72">
        <f>ROW()-1</f>
        <v/>
      </c>
      <c r="B1295" s="175" t="n"/>
      <c r="C1295" s="124" t="n">
        <v>2026</v>
      </c>
      <c r="E1295" s="103" t="n"/>
      <c r="F1295" s="175" t="n"/>
      <c r="G1295" s="175" t="n"/>
      <c r="H1295" s="175" t="n"/>
      <c r="I1295" s="103" t="inlineStr">
        <is>
          <t>启用情报关联</t>
        </is>
      </c>
      <c r="J1295" s="93" t="inlineStr">
        <is>
          <t>EI</t>
        </is>
      </c>
      <c r="K1295" s="102" t="n"/>
      <c r="L1295" s="102" t="n"/>
      <c r="M1295" s="85">
        <f>IF(OR(Y1295="估算法",Y1295="算法类",Y1295="无法识别"),"",IF(W1295="",IF(OR(J1295="EI",J1295="EO",J1295="EQ"),0,""),LEN(W1295)-LEN(SUBSTITUTE(W1295,"、",""))+1))</f>
        <v/>
      </c>
      <c r="N1295" s="85">
        <f>IF(OR(Y1295="估算法",Y1295="算法类",Y1295="无法识别"),"",IF(X1295="",IF(OR(J1295="ILF",J1295="EIF"),0,""),LEN(X1295)-LEN(SUBSTITUTE(X1295,"、",""))+1))</f>
        <v/>
      </c>
      <c r="O1295" s="85">
        <f>IF(OR(Y1295="估算法",Y1295="算法类",Y1295="无法识别"),"",IF(Y1295="",IF(OR(J1295="ILF",J1295="EIF",J1295="EI",J1295="EO",J1295="EQ"),0,""),LEN(Y1295)-LEN(SUBSTITUTE(SUBSTITUTE(SUBSTITUTE(SUBSTITUTE(SUBSTITUTE(Y1295,"|}","--"),"{|","--"),CHAR(10),""),"、",""),"|",""))+IF(AND(OR(J1295="EI",J1295="EO",J1295="EQ"),$AE$1="NESMA"),2,1)))</f>
        <v/>
      </c>
      <c r="P1295" s="86">
        <f>IF(J1295="EI",IF(OR(Y1295="估算法",Y1295="算法类"),"中",IF(Y1295="无法识别","低",IF(M1295&lt;2,IF(O1295&lt;16,"低","中"),IF(M1295&lt;3,IF(O1295&lt;5,"低",IF(O1295&lt;16,"中","高")),IF(O1295&lt;5,"中","高"))))),IF(OR(J1295="EO",J1295="EQ"),IF(OR(Y1295="估算法",Y1295="算法类"),"中",IF(Y1295="无法识别","低",IF(M1295&lt;2,IF(O1295&lt;20,"低","中"),IF(M1295&lt;4,IF(O1295&lt;6,"低",IF(O1295&lt;20,"中","高")),IF(O1295&lt;6,"中","高"))))),IF(OR(J1295="ILF",J1295="EIF"),IF(OR(Y1295="估算法",Y1295="算法类",Y1295="无法识别"),"低",IF(N1295&lt;2,IF(O1295&lt;51,"低","中"),IF(N1295&lt;6,IF(O1295&lt;20,"低",IF(O1295&lt;51,"中","高")),IF(O1295&lt;20,"中","高")))),"不计算")))</f>
        <v/>
      </c>
      <c r="Q1295" s="172">
        <f>IFERROR(IF(J1295="EI",IF(P1295="低",3,IF(P1295="中",4,6)),IF(J1295="EO",IF(P1295="低",4,IF(P1295="中",5,7)),IF(J1295="EQ",IF(P1295="低",3,IF(P1295="中",4,6)),IF(J1295="ILF",IF(P1295="低",7,IF(P1295="中",10,15)),IF(J1295="EIF",IF(P1295="低",5,IF(P1295="中",7,10)),"不计算")))))*R1295,"不计算")</f>
        <v/>
      </c>
      <c r="R1295" s="172" t="n">
        <v>1</v>
      </c>
      <c r="S1295" s="173">
        <f>调整因子!$F$13</f>
        <v/>
      </c>
      <c r="T1295" s="92" t="n">
        <v>1</v>
      </c>
      <c r="U1295" s="174">
        <f>IFERROR(Q1295*S1295,0)</f>
        <v/>
      </c>
      <c r="V1295" s="178">
        <f>U1295*T1295</f>
        <v/>
      </c>
      <c r="W1295" s="103" t="inlineStr">
        <is>
          <t>资产查询接口配置表、扫描盲区记录表</t>
        </is>
      </c>
      <c r="X1295" s="103" t="inlineStr"/>
      <c r="Y1295" s="97" t="inlineStr">
        <is>
          <t>资产查询接口配置表{资产ID、资产名称、IP地址、资产类型、资产状态、创建时间、更新时间|资产ID、资产名称、IP地址}
扫描盲区记录表{任务ID、任务名称、任务状态、扫描器类型、开始时间、结束时间、扫描结果|任务ID、任务名称、任务状态}</t>
        </is>
      </c>
      <c r="Z1295" s="90" t="n"/>
      <c r="AA1295" s="90" t="n"/>
    </row>
    <row r="1296" s="112">
      <c r="A1296" s="72">
        <f>ROW()-1</f>
        <v/>
      </c>
      <c r="B1296" s="175" t="n"/>
      <c r="C1296" s="124" t="n">
        <v>2026</v>
      </c>
      <c r="E1296" s="103" t="n"/>
      <c r="F1296" s="175" t="n"/>
      <c r="G1296" s="175" t="n"/>
      <c r="H1296" s="175" t="n"/>
      <c r="I1296" s="103" t="inlineStr">
        <is>
          <t>停用情报关联</t>
        </is>
      </c>
      <c r="J1296" s="93" t="n"/>
      <c r="K1296" s="102" t="n"/>
      <c r="L1296" s="102" t="inlineStr">
        <is>
          <t>和上行合并，启停为相同功能</t>
        </is>
      </c>
      <c r="M1296" s="85">
        <f>IF(OR(Y1296="估算法",Y1296="算法类",Y1296="无法识别"),"",IF(W1296="",IF(OR(J1296="EI",J1296="EO",J1296="EQ"),0,""),LEN(W1296)-LEN(SUBSTITUTE(W1296,"、",""))+1))</f>
        <v/>
      </c>
      <c r="N1296" s="85">
        <f>IF(OR(Y1296="估算法",Y1296="算法类",Y1296="无法识别"),"",IF(X1296="",IF(OR(J1296="ILF",J1296="EIF"),0,""),LEN(X1296)-LEN(SUBSTITUTE(X1296,"、",""))+1))</f>
        <v/>
      </c>
      <c r="O1296" s="85">
        <f>IF(OR(Y1296="估算法",Y1296="算法类",Y1296="无法识别"),"",IF(Y1296="",IF(OR(J1296="ILF",J1296="EIF",J1296="EI",J1296="EO",J1296="EQ"),0,""),LEN(Y1296)-LEN(SUBSTITUTE(SUBSTITUTE(SUBSTITUTE(SUBSTITUTE(SUBSTITUTE(Y1296,"|}","--"),"{|","--"),CHAR(10),""),"、",""),"|",""))+IF(AND(OR(J1296="EI",J1296="EO",J1296="EQ"),$AE$1="NESMA"),2,1)))</f>
        <v/>
      </c>
      <c r="P1296" s="86">
        <f>IF(J1296="EI",IF(OR(Y1296="估算法",Y1296="算法类"),"中",IF(Y1296="无法识别","低",IF(M1296&lt;2,IF(O1296&lt;16,"低","中"),IF(M1296&lt;3,IF(O1296&lt;5,"低",IF(O1296&lt;16,"中","高")),IF(O1296&lt;5,"中","高"))))),IF(OR(J1296="EO",J1296="EQ"),IF(OR(Y1296="估算法",Y1296="算法类"),"中",IF(Y1296="无法识别","低",IF(M1296&lt;2,IF(O1296&lt;20,"低","中"),IF(M1296&lt;4,IF(O1296&lt;6,"低",IF(O1296&lt;20,"中","高")),IF(O1296&lt;6,"中","高"))))),IF(OR(J1296="ILF",J1296="EIF"),IF(OR(Y1296="估算法",Y1296="算法类",Y1296="无法识别"),"低",IF(N1296&lt;2,IF(O1296&lt;51,"低","中"),IF(N1296&lt;6,IF(O1296&lt;20,"低",IF(O1296&lt;51,"中","高")),IF(O1296&lt;20,"中","高")))),"不计算")))</f>
        <v/>
      </c>
      <c r="Q1296" s="172">
        <f>IFERROR(IF(J1296="EI",IF(P1296="低",3,IF(P1296="中",4,6)),IF(J1296="EO",IF(P1296="低",4,IF(P1296="中",5,7)),IF(J1296="EQ",IF(P1296="低",3,IF(P1296="中",4,6)),IF(J1296="ILF",IF(P1296="低",7,IF(P1296="中",10,15)),IF(J1296="EIF",IF(P1296="低",5,IF(P1296="中",7,10)),"不计算")))))*R1296,"不计算")</f>
        <v/>
      </c>
      <c r="R1296" s="172" t="n">
        <v>1</v>
      </c>
      <c r="S1296" s="173">
        <f>调整因子!$F$13</f>
        <v/>
      </c>
      <c r="T1296" s="93" t="n">
        <v>1</v>
      </c>
      <c r="U1296" s="174">
        <f>IFERROR(Q1296*S1296,0)</f>
        <v/>
      </c>
      <c r="V1296" s="178">
        <f>U1296*T1296</f>
        <v/>
      </c>
      <c r="W1296" s="103" t="inlineStr">
        <is>
          <t>验证记录表</t>
        </is>
      </c>
      <c r="X1296" s="103" t="inlineStr"/>
      <c r="Y1296" s="97" t="inlineStr">
        <is>
          <t>验证记录表{ID、名称、类型、状态、创建时间、更新时间|ID、名称、类型}</t>
        </is>
      </c>
      <c r="Z1296" s="90" t="n"/>
      <c r="AA1296" s="90" t="n"/>
    </row>
    <row r="1297" s="112">
      <c r="A1297" s="72">
        <f>ROW()-1</f>
        <v/>
      </c>
      <c r="B1297" s="175" t="n"/>
      <c r="C1297" s="124" t="n">
        <v>2026</v>
      </c>
      <c r="E1297" s="103" t="n"/>
      <c r="F1297" s="175" t="n"/>
      <c r="G1297" s="175" t="n"/>
      <c r="H1297" s="175" t="n"/>
      <c r="I1297" s="103" t="inlineStr">
        <is>
          <t>关联资产信息</t>
        </is>
      </c>
      <c r="J1297" s="93" t="inlineStr">
        <is>
          <t>EI</t>
        </is>
      </c>
      <c r="K1297" s="102" t="n"/>
      <c r="L1297" s="102" t="n"/>
      <c r="M1297" s="85">
        <f>IF(OR(Y1297="估算法",Y1297="算法类",Y1297="无法识别"),"",IF(W1297="",IF(OR(J1297="EI",J1297="EO",J1297="EQ"),0,""),LEN(W1297)-LEN(SUBSTITUTE(W1297,"、",""))+1))</f>
        <v/>
      </c>
      <c r="N1297" s="85">
        <f>IF(OR(Y1297="估算法",Y1297="算法类",Y1297="无法识别"),"",IF(X1297="",IF(OR(J1297="ILF",J1297="EIF"),0,""),LEN(X1297)-LEN(SUBSTITUTE(X1297,"、",""))+1))</f>
        <v/>
      </c>
      <c r="O1297" s="85">
        <f>IF(OR(Y1297="估算法",Y1297="算法类",Y1297="无法识别"),"",IF(Y1297="",IF(OR(J1297="ILF",J1297="EIF",J1297="EI",J1297="EO",J1297="EQ"),0,""),LEN(Y1297)-LEN(SUBSTITUTE(SUBSTITUTE(SUBSTITUTE(SUBSTITUTE(SUBSTITUTE(Y1297,"|}","--"),"{|","--"),CHAR(10),""),"、",""),"|",""))+IF(AND(OR(J1297="EI",J1297="EO",J1297="EQ"),$AE$1="NESMA"),2,1)))</f>
        <v/>
      </c>
      <c r="P1297" s="86">
        <f>IF(J1297="EI",IF(OR(Y1297="估算法",Y1297="算法类"),"中",IF(Y1297="无法识别","低",IF(M1297&lt;2,IF(O1297&lt;16,"低","中"),IF(M1297&lt;3,IF(O1297&lt;5,"低",IF(O1297&lt;16,"中","高")),IF(O1297&lt;5,"中","高"))))),IF(OR(J1297="EO",J1297="EQ"),IF(OR(Y1297="估算法",Y1297="算法类"),"中",IF(Y1297="无法识别","低",IF(M1297&lt;2,IF(O1297&lt;20,"低","中"),IF(M1297&lt;4,IF(O1297&lt;6,"低",IF(O1297&lt;20,"中","高")),IF(O1297&lt;6,"中","高"))))),IF(OR(J1297="ILF",J1297="EIF"),IF(OR(Y1297="估算法",Y1297="算法类",Y1297="无法识别"),"低",IF(N1297&lt;2,IF(O1297&lt;51,"低","中"),IF(N1297&lt;6,IF(O1297&lt;20,"低",IF(O1297&lt;51,"中","高")),IF(O1297&lt;20,"中","高")))),"不计算")))</f>
        <v/>
      </c>
      <c r="Q1297" s="172">
        <f>IFERROR(IF(J1297="EI",IF(P1297="低",3,IF(P1297="中",4,6)),IF(J1297="EO",IF(P1297="低",4,IF(P1297="中",5,7)),IF(J1297="EQ",IF(P1297="低",3,IF(P1297="中",4,6)),IF(J1297="ILF",IF(P1297="低",7,IF(P1297="中",10,15)),IF(J1297="EIF",IF(P1297="低",5,IF(P1297="中",7,10)),"不计算")))))*R1297,"不计算")</f>
        <v/>
      </c>
      <c r="R1297" s="172" t="n">
        <v>1</v>
      </c>
      <c r="S1297" s="173">
        <f>调整因子!$F$13</f>
        <v/>
      </c>
      <c r="T1297" s="92" t="n">
        <v>1</v>
      </c>
      <c r="U1297" s="174">
        <f>IFERROR(Q1297*S1297,0)</f>
        <v/>
      </c>
      <c r="V1297" s="178">
        <f>U1297*T1297</f>
        <v/>
      </c>
      <c r="W1297" s="103" t="inlineStr">
        <is>
          <t>资产同步任务表</t>
        </is>
      </c>
      <c r="X1297" s="103" t="inlineStr"/>
      <c r="Y1297" s="97" t="inlineStr">
        <is>
          <t>资产同步任务表{资产ID、资产名称、IP地址、资产类型、资产状态、创建时间、更新时间|资产ID、资产名称、IP地址}</t>
        </is>
      </c>
      <c r="Z1297" s="90" t="n"/>
      <c r="AA1297" s="90" t="n"/>
    </row>
    <row r="1298" s="112">
      <c r="A1298" s="72">
        <f>ROW()-1</f>
        <v/>
      </c>
      <c r="B1298" s="175" t="n"/>
      <c r="C1298" s="124" t="n">
        <v>2026</v>
      </c>
      <c r="E1298" s="103" t="n"/>
      <c r="F1298" s="175" t="n"/>
      <c r="G1298" s="175" t="n"/>
      <c r="H1298" s="175" t="n"/>
      <c r="I1298" s="103" t="inlineStr">
        <is>
          <t>推送情报通知</t>
        </is>
      </c>
      <c r="J1298" s="93" t="inlineStr">
        <is>
          <t>EO</t>
        </is>
      </c>
      <c r="K1298" s="102" t="n"/>
      <c r="L1298" s="102" t="n"/>
      <c r="M1298" s="85">
        <f>IF(OR(Y1298="估算法",Y1298="算法类",Y1298="无法识别"),"",IF(W1298="",IF(OR(J1298="EI",J1298="EO",J1298="EQ"),0,""),LEN(W1298)-LEN(SUBSTITUTE(W1298,"、",""))+1))</f>
        <v/>
      </c>
      <c r="N1298" s="85">
        <f>IF(OR(Y1298="估算法",Y1298="算法类",Y1298="无法识别"),"",IF(X1298="",IF(OR(J1298="ILF",J1298="EIF"),0,""),LEN(X1298)-LEN(SUBSTITUTE(X1298,"、",""))+1))</f>
        <v/>
      </c>
      <c r="O1298" s="85">
        <f>IF(OR(Y1298="估算法",Y1298="算法类",Y1298="无法识别"),"",IF(Y1298="",IF(OR(J1298="ILF",J1298="EIF",J1298="EI",J1298="EO",J1298="EQ"),0,""),LEN(Y1298)-LEN(SUBSTITUTE(SUBSTITUTE(SUBSTITUTE(SUBSTITUTE(SUBSTITUTE(Y1298,"|}","--"),"{|","--"),CHAR(10),""),"、",""),"|",""))+IF(AND(OR(J1298="EI",J1298="EO",J1298="EQ"),$AE$1="NESMA"),2,1)))</f>
        <v/>
      </c>
      <c r="P1298" s="86">
        <f>IF(J1298="EI",IF(OR(Y1298="估算法",Y1298="算法类"),"中",IF(Y1298="无法识别","低",IF(M1298&lt;2,IF(O1298&lt;16,"低","中"),IF(M1298&lt;3,IF(O1298&lt;5,"低",IF(O1298&lt;16,"中","高")),IF(O1298&lt;5,"中","高"))))),IF(OR(J1298="EO",J1298="EQ"),IF(OR(Y1298="估算法",Y1298="算法类"),"中",IF(Y1298="无法识别","低",IF(M1298&lt;2,IF(O1298&lt;20,"低","中"),IF(M1298&lt;4,IF(O1298&lt;6,"低",IF(O1298&lt;20,"中","高")),IF(O1298&lt;6,"中","高"))))),IF(OR(J1298="ILF",J1298="EIF"),IF(OR(Y1298="估算法",Y1298="算法类",Y1298="无法识别"),"低",IF(N1298&lt;2,IF(O1298&lt;51,"低","中"),IF(N1298&lt;6,IF(O1298&lt;20,"低",IF(O1298&lt;51,"中","高")),IF(O1298&lt;20,"中","高")))),"不计算")))</f>
        <v/>
      </c>
      <c r="Q1298" s="172">
        <f>IFERROR(IF(J1298="EI",IF(P1298="低",3,IF(P1298="中",4,6)),IF(J1298="EO",IF(P1298="低",4,IF(P1298="中",5,7)),IF(J1298="EQ",IF(P1298="低",3,IF(P1298="中",4,6)),IF(J1298="ILF",IF(P1298="低",7,IF(P1298="中",10,15)),IF(J1298="EIF",IF(P1298="低",5,IF(P1298="中",7,10)),"不计算")))))*R1298,"不计算")</f>
        <v/>
      </c>
      <c r="R1298" s="172" t="n">
        <v>1</v>
      </c>
      <c r="S1298" s="173">
        <f>调整因子!$F$13</f>
        <v/>
      </c>
      <c r="T1298" s="92" t="n">
        <v>1</v>
      </c>
      <c r="U1298" s="174">
        <f>IFERROR(Q1298*S1298,0)</f>
        <v/>
      </c>
      <c r="V1298" s="178">
        <f>U1298*T1298</f>
        <v/>
      </c>
      <c r="W1298" s="103" t="inlineStr">
        <is>
          <t>提醒规则表、报告导入记录表</t>
        </is>
      </c>
      <c r="X1298" s="103" t="inlineStr"/>
      <c r="Y1298" s="97" t="inlineStr">
        <is>
          <t>提醒规则表{规则ID、规则名称|规则ID、规则名称、规则类型、规则条件、创建时间}
报告导入记录表{ID、名称|ID、名称、类型、状态、创建时间、更新时间}</t>
        </is>
      </c>
      <c r="Z1298" s="90" t="n"/>
      <c r="AA1298" s="90" t="n"/>
    </row>
    <row r="1299" s="112">
      <c r="A1299" s="72">
        <f>ROW()-1</f>
        <v/>
      </c>
      <c r="B1299" s="175" t="n"/>
      <c r="C1299" s="124" t="n">
        <v>2026</v>
      </c>
      <c r="E1299" s="103" t="n"/>
      <c r="F1299" s="175" t="n"/>
      <c r="G1299" s="175" t="n"/>
      <c r="H1299" s="175" t="n"/>
      <c r="I1299" s="103" t="inlineStr">
        <is>
          <t>导出关联关系</t>
        </is>
      </c>
      <c r="J1299" s="93" t="inlineStr">
        <is>
          <t>EO</t>
        </is>
      </c>
      <c r="K1299" s="102" t="n"/>
      <c r="L1299" s="102" t="n"/>
      <c r="M1299" s="85">
        <f>IF(OR(Y1299="估算法",Y1299="算法类",Y1299="无法识别"),"",IF(W1299="",IF(OR(J1299="EI",J1299="EO",J1299="EQ"),0,""),LEN(W1299)-LEN(SUBSTITUTE(W1299,"、",""))+1))</f>
        <v/>
      </c>
      <c r="N1299" s="85">
        <f>IF(OR(Y1299="估算法",Y1299="算法类",Y1299="无法识别"),"",IF(X1299="",IF(OR(J1299="ILF",J1299="EIF"),0,""),LEN(X1299)-LEN(SUBSTITUTE(X1299,"、",""))+1))</f>
        <v/>
      </c>
      <c r="O1299" s="85">
        <f>IF(OR(Y1299="估算法",Y1299="算法类",Y1299="无法识别"),"",IF(Y1299="",IF(OR(J1299="ILF",J1299="EIF",J1299="EI",J1299="EO",J1299="EQ"),0,""),LEN(Y1299)-LEN(SUBSTITUTE(SUBSTITUTE(SUBSTITUTE(SUBSTITUTE(SUBSTITUTE(Y1299,"|}","--"),"{|","--"),CHAR(10),""),"、",""),"|",""))+IF(AND(OR(J1299="EI",J1299="EO",J1299="EQ"),$AE$1="NESMA"),2,1)))</f>
        <v/>
      </c>
      <c r="P1299" s="86">
        <f>IF(J1299="EI",IF(OR(Y1299="估算法",Y1299="算法类"),"中",IF(Y1299="无法识别","低",IF(M1299&lt;2,IF(O1299&lt;16,"低","中"),IF(M1299&lt;3,IF(O1299&lt;5,"低",IF(O1299&lt;16,"中","高")),IF(O1299&lt;5,"中","高"))))),IF(OR(J1299="EO",J1299="EQ"),IF(OR(Y1299="估算法",Y1299="算法类"),"中",IF(Y1299="无法识别","低",IF(M1299&lt;2,IF(O1299&lt;20,"低","中"),IF(M1299&lt;4,IF(O1299&lt;6,"低",IF(O1299&lt;20,"中","高")),IF(O1299&lt;6,"中","高"))))),IF(OR(J1299="ILF",J1299="EIF"),IF(OR(Y1299="估算法",Y1299="算法类",Y1299="无法识别"),"低",IF(N1299&lt;2,IF(O1299&lt;51,"低","中"),IF(N1299&lt;6,IF(O1299&lt;20,"低",IF(O1299&lt;51,"中","高")),IF(O1299&lt;20,"中","高")))),"不计算")))</f>
        <v/>
      </c>
      <c r="Q1299" s="172">
        <f>IFERROR(IF(J1299="EI",IF(P1299="低",3,IF(P1299="中",4,6)),IF(J1299="EO",IF(P1299="低",4,IF(P1299="中",5,7)),IF(J1299="EQ",IF(P1299="低",3,IF(P1299="中",4,6)),IF(J1299="ILF",IF(P1299="低",7,IF(P1299="中",10,15)),IF(J1299="EIF",IF(P1299="低",5,IF(P1299="中",7,10)),"不计算")))))*R1299,"不计算")</f>
        <v/>
      </c>
      <c r="R1299" s="172" t="n">
        <v>1</v>
      </c>
      <c r="S1299" s="173">
        <f>调整因子!$F$13</f>
        <v/>
      </c>
      <c r="T1299" s="93" t="n">
        <v>1</v>
      </c>
      <c r="U1299" s="174">
        <f>IFERROR(Q1299*S1299,0)</f>
        <v/>
      </c>
      <c r="V1299" s="178">
        <f>U1299*T1299</f>
        <v/>
      </c>
      <c r="W1299" s="103" t="inlineStr">
        <is>
          <t>复测任务表</t>
        </is>
      </c>
      <c r="X1299" s="103" t="inlineStr"/>
      <c r="Y1299" s="97" t="inlineStr">
        <is>
          <t>复测任务表{任务ID、任务名称|任务ID、任务名称、任务类型、任务状态、创建时间、执行时间}</t>
        </is>
      </c>
      <c r="Z1299" s="90" t="n"/>
      <c r="AA1299" s="90" t="n"/>
    </row>
    <row r="1300" s="112">
      <c r="A1300" s="72">
        <f>ROW()-1</f>
        <v/>
      </c>
      <c r="B1300" s="175" t="n"/>
      <c r="C1300" s="124" t="n">
        <v>2026</v>
      </c>
      <c r="E1300" s="103" t="n"/>
      <c r="F1300" s="175" t="n"/>
      <c r="G1300" s="175" t="n"/>
      <c r="H1300" s="175" t="n"/>
      <c r="I1300" s="103" t="inlineStr">
        <is>
          <t>查询关联关系</t>
        </is>
      </c>
      <c r="J1300" s="93" t="inlineStr">
        <is>
          <t>EQ</t>
        </is>
      </c>
      <c r="K1300" s="102" t="n"/>
      <c r="L1300" s="102" t="n"/>
      <c r="M1300" s="85">
        <f>IF(OR(Y1300="估算法",Y1300="算法类",Y1300="无法识别"),"",IF(W1300="",IF(OR(J1300="EI",J1300="EO",J1300="EQ"),0,""),LEN(W1300)-LEN(SUBSTITUTE(W1300,"、",""))+1))</f>
        <v/>
      </c>
      <c r="N1300" s="85">
        <f>IF(OR(Y1300="估算法",Y1300="算法类",Y1300="无法识别"),"",IF(X1300="",IF(OR(J1300="ILF",J1300="EIF"),0,""),LEN(X1300)-LEN(SUBSTITUTE(X1300,"、",""))+1))</f>
        <v/>
      </c>
      <c r="O1300" s="85">
        <f>IF(OR(Y1300="估算法",Y1300="算法类",Y1300="无法识别"),"",IF(Y1300="",IF(OR(J1300="ILF",J1300="EIF",J1300="EI",J1300="EO",J1300="EQ"),0,""),LEN(Y1300)-LEN(SUBSTITUTE(SUBSTITUTE(SUBSTITUTE(SUBSTITUTE(SUBSTITUTE(Y1300,"|}","--"),"{|","--"),CHAR(10),""),"、",""),"|",""))+IF(AND(OR(J1300="EI",J1300="EO",J1300="EQ"),$AE$1="NESMA"),2,1)))</f>
        <v/>
      </c>
      <c r="P1300" s="86">
        <f>IF(J1300="EI",IF(OR(Y1300="估算法",Y1300="算法类"),"中",IF(Y1300="无法识别","低",IF(M1300&lt;2,IF(O1300&lt;16,"低","中"),IF(M1300&lt;3,IF(O1300&lt;5,"低",IF(O1300&lt;16,"中","高")),IF(O1300&lt;5,"中","高"))))),IF(OR(J1300="EO",J1300="EQ"),IF(OR(Y1300="估算法",Y1300="算法类"),"中",IF(Y1300="无法识别","低",IF(M1300&lt;2,IF(O1300&lt;20,"低","中"),IF(M1300&lt;4,IF(O1300&lt;6,"低",IF(O1300&lt;20,"中","高")),IF(O1300&lt;6,"中","高"))))),IF(OR(J1300="ILF",J1300="EIF"),IF(OR(Y1300="估算法",Y1300="算法类",Y1300="无法识别"),"低",IF(N1300&lt;2,IF(O1300&lt;51,"低","中"),IF(N1300&lt;6,IF(O1300&lt;20,"低",IF(O1300&lt;51,"中","高")),IF(O1300&lt;20,"中","高")))),"不计算")))</f>
        <v/>
      </c>
      <c r="Q1300" s="172">
        <f>IFERROR(IF(J1300="EI",IF(P1300="低",3,IF(P1300="中",4,6)),IF(J1300="EO",IF(P1300="低",4,IF(P1300="中",5,7)),IF(J1300="EQ",IF(P1300="低",3,IF(P1300="中",4,6)),IF(J1300="ILF",IF(P1300="低",7,IF(P1300="中",10,15)),IF(J1300="EIF",IF(P1300="低",5,IF(P1300="中",7,10)),"不计算")))))*R1300,"不计算")</f>
        <v/>
      </c>
      <c r="R1300" s="172" t="n">
        <v>1</v>
      </c>
      <c r="S1300" s="173">
        <f>调整因子!$F$13</f>
        <v/>
      </c>
      <c r="T1300" s="93" t="n">
        <v>1</v>
      </c>
      <c r="U1300" s="174">
        <f>IFERROR(Q1300*S1300,0)</f>
        <v/>
      </c>
      <c r="V1300" s="178">
        <f>U1300*T1300</f>
        <v/>
      </c>
      <c r="W1300" s="103" t="inlineStr">
        <is>
          <t>复测任务表、修复步骤表</t>
        </is>
      </c>
      <c r="X1300" s="103" t="inlineStr"/>
      <c r="Y1300" s="97" t="inlineStr">
        <is>
          <t>复测任务表{任务ID、任务名称|任务ID、任务名称、任务类型、任务状态、创建时间、执行时间}
修复步骤表{ID、名称|ID、名称、类型、状态、创建时间、更新时间}</t>
        </is>
      </c>
      <c r="Z1300" s="90" t="n"/>
      <c r="AA1300" s="90" t="n"/>
    </row>
    <row r="1301" s="112">
      <c r="A1301" s="72">
        <f>ROW()-1</f>
        <v/>
      </c>
      <c r="B1301" s="175" t="n"/>
      <c r="C1301" s="124" t="n">
        <v>2026</v>
      </c>
      <c r="E1301" s="103" t="n"/>
      <c r="F1301" s="175" t="n"/>
      <c r="G1301" s="176" t="n"/>
      <c r="H1301" s="176" t="n"/>
      <c r="I1301" s="103" t="inlineStr">
        <is>
          <t>查看关联详情</t>
        </is>
      </c>
      <c r="J1301" s="93" t="inlineStr">
        <is>
          <t>EQ</t>
        </is>
      </c>
      <c r="K1301" s="102" t="n"/>
      <c r="L1301" s="102" t="n"/>
      <c r="M1301" s="85">
        <f>IF(OR(Y1301="估算法",Y1301="算法类",Y1301="无法识别"),"",IF(W1301="",IF(OR(J1301="EI",J1301="EO",J1301="EQ"),0,""),LEN(W1301)-LEN(SUBSTITUTE(W1301,"、",""))+1))</f>
        <v/>
      </c>
      <c r="N1301" s="85">
        <f>IF(OR(Y1301="估算法",Y1301="算法类",Y1301="无法识别"),"",IF(X1301="",IF(OR(J1301="ILF",J1301="EIF"),0,""),LEN(X1301)-LEN(SUBSTITUTE(X1301,"、",""))+1))</f>
        <v/>
      </c>
      <c r="O1301" s="85">
        <f>IF(OR(Y1301="估算法",Y1301="算法类",Y1301="无法识别"),"",IF(Y1301="",IF(OR(J1301="ILF",J1301="EIF",J1301="EI",J1301="EO",J1301="EQ"),0,""),LEN(Y1301)-LEN(SUBSTITUTE(SUBSTITUTE(SUBSTITUTE(SUBSTITUTE(SUBSTITUTE(Y1301,"|}","--"),"{|","--"),CHAR(10),""),"、",""),"|",""))+IF(AND(OR(J1301="EI",J1301="EO",J1301="EQ"),$AE$1="NESMA"),2,1)))</f>
        <v/>
      </c>
      <c r="P1301" s="86">
        <f>IF(J1301="EI",IF(OR(Y1301="估算法",Y1301="算法类"),"中",IF(Y1301="无法识别","低",IF(M1301&lt;2,IF(O1301&lt;16,"低","中"),IF(M1301&lt;3,IF(O1301&lt;5,"低",IF(O1301&lt;16,"中","高")),IF(O1301&lt;5,"中","高"))))),IF(OR(J1301="EO",J1301="EQ"),IF(OR(Y1301="估算法",Y1301="算法类"),"中",IF(Y1301="无法识别","低",IF(M1301&lt;2,IF(O1301&lt;20,"低","中"),IF(M1301&lt;4,IF(O1301&lt;6,"低",IF(O1301&lt;20,"中","高")),IF(O1301&lt;6,"中","高"))))),IF(OR(J1301="ILF",J1301="EIF"),IF(OR(Y1301="估算法",Y1301="算法类",Y1301="无法识别"),"低",IF(N1301&lt;2,IF(O1301&lt;51,"低","中"),IF(N1301&lt;6,IF(O1301&lt;20,"低",IF(O1301&lt;51,"中","高")),IF(O1301&lt;20,"中","高")))),"不计算")))</f>
        <v/>
      </c>
      <c r="Q1301" s="172">
        <f>IFERROR(IF(J1301="EI",IF(P1301="低",3,IF(P1301="中",4,6)),IF(J1301="EO",IF(P1301="低",4,IF(P1301="中",5,7)),IF(J1301="EQ",IF(P1301="低",3,IF(P1301="中",4,6)),IF(J1301="ILF",IF(P1301="低",7,IF(P1301="中",10,15)),IF(J1301="EIF",IF(P1301="低",5,IF(P1301="中",7,10)),"不计算")))))*R1301,"不计算")</f>
        <v/>
      </c>
      <c r="R1301" s="172" t="n">
        <v>1</v>
      </c>
      <c r="S1301" s="173">
        <f>调整因子!$F$13</f>
        <v/>
      </c>
      <c r="T1301" s="92" t="n">
        <v>1</v>
      </c>
      <c r="U1301" s="174">
        <f>IFERROR(Q1301*S1301,0)</f>
        <v/>
      </c>
      <c r="V1301" s="178">
        <f>U1301*T1301</f>
        <v/>
      </c>
      <c r="W1301" s="103" t="inlineStr">
        <is>
          <t>任务趋势分析表</t>
        </is>
      </c>
      <c r="X1301" s="103" t="inlineStr"/>
      <c r="Y1301" s="97" t="inlineStr">
        <is>
          <t>任务趋势分析表{任务ID、任务名称|任务ID、任务名称、任务类型、任务状态、创建时间、执行时间}</t>
        </is>
      </c>
      <c r="Z1301" s="90" t="n"/>
      <c r="AA1301" s="90" t="n"/>
    </row>
    <row r="1302" s="112">
      <c r="A1302" s="72">
        <f>ROW()-1</f>
        <v/>
      </c>
      <c r="B1302" s="175" t="n"/>
      <c r="C1302" s="124" t="n">
        <v>2026</v>
      </c>
      <c r="E1302" s="103" t="n"/>
      <c r="F1302" s="175" t="n"/>
      <c r="G1302" s="97" t="inlineStr">
        <is>
          <t>新增产品漏洞自动预警</t>
        </is>
      </c>
      <c r="H1302" s="97" t="inlineStr">
        <is>
          <t>知识分类配置管理</t>
        </is>
      </c>
      <c r="I1302" s="103" t="inlineStr">
        <is>
          <t>编辑知识分类</t>
        </is>
      </c>
      <c r="J1302" s="93" t="inlineStr">
        <is>
          <t>EI</t>
        </is>
      </c>
      <c r="K1302" s="102" t="n"/>
      <c r="L1302" s="102" t="n"/>
      <c r="M1302" s="85">
        <f>IF(OR(Y1302="估算法",Y1302="算法类",Y1302="无法识别"),"",IF(W1302="",IF(OR(J1302="EI",J1302="EO",J1302="EQ"),0,""),LEN(W1302)-LEN(SUBSTITUTE(W1302,"、",""))+1))</f>
        <v/>
      </c>
      <c r="N1302" s="85">
        <f>IF(OR(Y1302="估算法",Y1302="算法类",Y1302="无法识别"),"",IF(X1302="",IF(OR(J1302="ILF",J1302="EIF"),0,""),LEN(X1302)-LEN(SUBSTITUTE(X1302,"、",""))+1))</f>
        <v/>
      </c>
      <c r="O1302" s="85">
        <f>IF(OR(Y1302="估算法",Y1302="算法类",Y1302="无法识别"),"",IF(Y1302="",IF(OR(J1302="ILF",J1302="EIF",J1302="EI",J1302="EO",J1302="EQ"),0,""),LEN(Y1302)-LEN(SUBSTITUTE(SUBSTITUTE(SUBSTITUTE(SUBSTITUTE(SUBSTITUTE(Y1302,"|}","--"),"{|","--"),CHAR(10),""),"、",""),"|",""))+IF(AND(OR(J1302="EI",J1302="EO",J1302="EQ"),$AE$1="NESMA"),2,1)))</f>
        <v/>
      </c>
      <c r="P1302" s="86">
        <f>IF(J1302="EI",IF(OR(Y1302="估算法",Y1302="算法类"),"中",IF(Y1302="无法识别","低",IF(M1302&lt;2,IF(O1302&lt;16,"低","中"),IF(M1302&lt;3,IF(O1302&lt;5,"低",IF(O1302&lt;16,"中","高")),IF(O1302&lt;5,"中","高"))))),IF(OR(J1302="EO",J1302="EQ"),IF(OR(Y1302="估算法",Y1302="算法类"),"中",IF(Y1302="无法识别","低",IF(M1302&lt;2,IF(O1302&lt;20,"低","中"),IF(M1302&lt;4,IF(O1302&lt;6,"低",IF(O1302&lt;20,"中","高")),IF(O1302&lt;6,"中","高"))))),IF(OR(J1302="ILF",J1302="EIF"),IF(OR(Y1302="估算法",Y1302="算法类",Y1302="无法识别"),"低",IF(N1302&lt;2,IF(O1302&lt;51,"低","中"),IF(N1302&lt;6,IF(O1302&lt;20,"低",IF(O1302&lt;51,"中","高")),IF(O1302&lt;20,"中","高")))),"不计算")))</f>
        <v/>
      </c>
      <c r="Q1302" s="172">
        <f>IFERROR(IF(J1302="EI",IF(P1302="低",3,IF(P1302="中",4,6)),IF(J1302="EO",IF(P1302="低",4,IF(P1302="中",5,7)),IF(J1302="EQ",IF(P1302="低",3,IF(P1302="中",4,6)),IF(J1302="ILF",IF(P1302="低",7,IF(P1302="中",10,15)),IF(J1302="EIF",IF(P1302="低",5,IF(P1302="中",7,10)),"不计算")))))*R1302,"不计算")</f>
        <v/>
      </c>
      <c r="R1302" s="172" t="n">
        <v>1</v>
      </c>
      <c r="S1302" s="173">
        <f>调整因子!$F$13</f>
        <v/>
      </c>
      <c r="T1302" s="92" t="n">
        <v>1</v>
      </c>
      <c r="U1302" s="174">
        <f>IFERROR(Q1302*S1302,0)</f>
        <v/>
      </c>
      <c r="V1302" s="178">
        <f>U1302*T1302</f>
        <v/>
      </c>
      <c r="W1302" s="103" t="inlineStr">
        <is>
          <t>扫描策略模板表</t>
        </is>
      </c>
      <c r="X1302" s="103" t="inlineStr"/>
      <c r="Y1302" s="97" t="inlineStr">
        <is>
          <t>扫描策略模板表{任务ID、任务名称、任务状态、扫描器类型、开始时间、结束时间、扫描结果|任务ID、任务名称、任务状态}</t>
        </is>
      </c>
      <c r="Z1302" s="90" t="n"/>
      <c r="AA1302" s="90" t="n"/>
    </row>
    <row r="1303" s="112">
      <c r="A1303" s="72">
        <f>ROW()-1</f>
        <v/>
      </c>
      <c r="B1303" s="175" t="n"/>
      <c r="C1303" s="124" t="n">
        <v>2026</v>
      </c>
      <c r="E1303" s="103" t="n"/>
      <c r="F1303" s="175" t="n"/>
      <c r="G1303" s="175" t="n"/>
      <c r="H1303" s="175" t="n"/>
      <c r="I1303" s="103" t="inlineStr">
        <is>
          <t>删除知识分类</t>
        </is>
      </c>
      <c r="J1303" s="93" t="inlineStr">
        <is>
          <t>EI</t>
        </is>
      </c>
      <c r="K1303" s="102" t="n"/>
      <c r="L1303" s="102" t="n"/>
      <c r="M1303" s="85">
        <f>IF(OR(Y1303="估算法",Y1303="算法类",Y1303="无法识别"),"",IF(W1303="",IF(OR(J1303="EI",J1303="EO",J1303="EQ"),0,""),LEN(W1303)-LEN(SUBSTITUTE(W1303,"、",""))+1))</f>
        <v/>
      </c>
      <c r="N1303" s="85">
        <f>IF(OR(Y1303="估算法",Y1303="算法类",Y1303="无法识别"),"",IF(X1303="",IF(OR(J1303="ILF",J1303="EIF"),0,""),LEN(X1303)-LEN(SUBSTITUTE(X1303,"、",""))+1))</f>
        <v/>
      </c>
      <c r="O1303" s="85">
        <f>IF(OR(Y1303="估算法",Y1303="算法类",Y1303="无法识别"),"",IF(Y1303="",IF(OR(J1303="ILF",J1303="EIF",J1303="EI",J1303="EO",J1303="EQ"),0,""),LEN(Y1303)-LEN(SUBSTITUTE(SUBSTITUTE(SUBSTITUTE(SUBSTITUTE(SUBSTITUTE(Y1303,"|}","--"),"{|","--"),CHAR(10),""),"、",""),"|",""))+IF(AND(OR(J1303="EI",J1303="EO",J1303="EQ"),$AE$1="NESMA"),2,1)))</f>
        <v/>
      </c>
      <c r="P1303" s="86">
        <f>IF(J1303="EI",IF(OR(Y1303="估算法",Y1303="算法类"),"中",IF(Y1303="无法识别","低",IF(M1303&lt;2,IF(O1303&lt;16,"低","中"),IF(M1303&lt;3,IF(O1303&lt;5,"低",IF(O1303&lt;16,"中","高")),IF(O1303&lt;5,"中","高"))))),IF(OR(J1303="EO",J1303="EQ"),IF(OR(Y1303="估算法",Y1303="算法类"),"中",IF(Y1303="无法识别","低",IF(M1303&lt;2,IF(O1303&lt;20,"低","中"),IF(M1303&lt;4,IF(O1303&lt;6,"低",IF(O1303&lt;20,"中","高")),IF(O1303&lt;6,"中","高"))))),IF(OR(J1303="ILF",J1303="EIF"),IF(OR(Y1303="估算法",Y1303="算法类",Y1303="无法识别"),"低",IF(N1303&lt;2,IF(O1303&lt;51,"低","中"),IF(N1303&lt;6,IF(O1303&lt;20,"低",IF(O1303&lt;51,"中","高")),IF(O1303&lt;20,"中","高")))),"不计算")))</f>
        <v/>
      </c>
      <c r="Q1303" s="172">
        <f>IFERROR(IF(J1303="EI",IF(P1303="低",3,IF(P1303="中",4,6)),IF(J1303="EO",IF(P1303="低",4,IF(P1303="中",5,7)),IF(J1303="EQ",IF(P1303="低",3,IF(P1303="中",4,6)),IF(J1303="ILF",IF(P1303="低",7,IF(P1303="中",10,15)),IF(J1303="EIF",IF(P1303="低",5,IF(P1303="中",7,10)),"不计算")))))*R1303,"不计算")</f>
        <v/>
      </c>
      <c r="R1303" s="172" t="n">
        <v>0.333333333333333</v>
      </c>
      <c r="S1303" s="173">
        <f>调整因子!$F$13</f>
        <v/>
      </c>
      <c r="T1303" s="93" t="n">
        <v>1</v>
      </c>
      <c r="U1303" s="174">
        <f>IFERROR(Q1303*S1303,0)</f>
        <v/>
      </c>
      <c r="V1303" s="178">
        <f>U1303*T1303</f>
        <v/>
      </c>
      <c r="W1303" s="103" t="inlineStr">
        <is>
          <t>修复步骤表</t>
        </is>
      </c>
      <c r="X1303" s="103" t="inlineStr"/>
      <c r="Y1303" s="97" t="inlineStr">
        <is>
          <t>修复步骤表{ID、名称、类型、状态、创建时间、更新时间|ID、名称、类型}</t>
        </is>
      </c>
      <c r="Z1303" s="90" t="n"/>
      <c r="AA1303" s="90" t="n"/>
    </row>
    <row r="1304" s="112">
      <c r="A1304" s="72">
        <f>ROW()-1</f>
        <v/>
      </c>
      <c r="B1304" s="175" t="n"/>
      <c r="C1304" s="124" t="n">
        <v>2026</v>
      </c>
      <c r="E1304" s="103" t="n"/>
      <c r="F1304" s="175" t="n"/>
      <c r="G1304" s="175" t="n"/>
      <c r="H1304" s="175" t="n"/>
      <c r="I1304" s="103" t="inlineStr">
        <is>
          <t>启用知识分类</t>
        </is>
      </c>
      <c r="J1304" s="93" t="inlineStr">
        <is>
          <t>EI</t>
        </is>
      </c>
      <c r="K1304" s="102" t="n"/>
      <c r="L1304" s="102" t="n"/>
      <c r="M1304" s="85">
        <f>IF(OR(Y1304="估算法",Y1304="算法类",Y1304="无法识别"),"",IF(W1304="",IF(OR(J1304="EI",J1304="EO",J1304="EQ"),0,""),LEN(W1304)-LEN(SUBSTITUTE(W1304,"、",""))+1))</f>
        <v/>
      </c>
      <c r="N1304" s="85">
        <f>IF(OR(Y1304="估算法",Y1304="算法类",Y1304="无法识别"),"",IF(X1304="",IF(OR(J1304="ILF",J1304="EIF"),0,""),LEN(X1304)-LEN(SUBSTITUTE(X1304,"、",""))+1))</f>
        <v/>
      </c>
      <c r="O1304" s="85">
        <f>IF(OR(Y1304="估算法",Y1304="算法类",Y1304="无法识别"),"",IF(Y1304="",IF(OR(J1304="ILF",J1304="EIF",J1304="EI",J1304="EO",J1304="EQ"),0,""),LEN(Y1304)-LEN(SUBSTITUTE(SUBSTITUTE(SUBSTITUTE(SUBSTITUTE(SUBSTITUTE(Y1304,"|}","--"),"{|","--"),CHAR(10),""),"、",""),"|",""))+IF(AND(OR(J1304="EI",J1304="EO",J1304="EQ"),$AE$1="NESMA"),2,1)))</f>
        <v/>
      </c>
      <c r="P1304" s="86">
        <f>IF(J1304="EI",IF(OR(Y1304="估算法",Y1304="算法类"),"中",IF(Y1304="无法识别","低",IF(M1304&lt;2,IF(O1304&lt;16,"低","中"),IF(M1304&lt;3,IF(O1304&lt;5,"低",IF(O1304&lt;16,"中","高")),IF(O1304&lt;5,"中","高"))))),IF(OR(J1304="EO",J1304="EQ"),IF(OR(Y1304="估算法",Y1304="算法类"),"中",IF(Y1304="无法识别","低",IF(M1304&lt;2,IF(O1304&lt;20,"低","中"),IF(M1304&lt;4,IF(O1304&lt;6,"低",IF(O1304&lt;20,"中","高")),IF(O1304&lt;6,"中","高"))))),IF(OR(J1304="ILF",J1304="EIF"),IF(OR(Y1304="估算法",Y1304="算法类",Y1304="无法识别"),"低",IF(N1304&lt;2,IF(O1304&lt;51,"低","中"),IF(N1304&lt;6,IF(O1304&lt;20,"低",IF(O1304&lt;51,"中","高")),IF(O1304&lt;20,"中","高")))),"不计算")))</f>
        <v/>
      </c>
      <c r="Q1304" s="172">
        <f>IFERROR(IF(J1304="EI",IF(P1304="低",3,IF(P1304="中",4,6)),IF(J1304="EO",IF(P1304="低",4,IF(P1304="中",5,7)),IF(J1304="EQ",IF(P1304="低",3,IF(P1304="中",4,6)),IF(J1304="ILF",IF(P1304="低",7,IF(P1304="中",10,15)),IF(J1304="EIF",IF(P1304="低",5,IF(P1304="中",7,10)),"不计算")))))*R1304,"不计算")</f>
        <v/>
      </c>
      <c r="R1304" s="172" t="n">
        <v>1</v>
      </c>
      <c r="S1304" s="173">
        <f>调整因子!$F$13</f>
        <v/>
      </c>
      <c r="T1304" s="92" t="n">
        <v>1</v>
      </c>
      <c r="U1304" s="174">
        <f>IFERROR(Q1304*S1304,0)</f>
        <v/>
      </c>
      <c r="V1304" s="178">
        <f>U1304*T1304</f>
        <v/>
      </c>
      <c r="W1304" s="103" t="inlineStr">
        <is>
          <t>复测任务表</t>
        </is>
      </c>
      <c r="X1304" s="103" t="inlineStr"/>
      <c r="Y1304" s="97" t="inlineStr">
        <is>
          <t>复测任务表{任务ID、任务名称、任务类型、任务状态、创建时间、执行时间|任务ID、任务名称、任务类型}</t>
        </is>
      </c>
      <c r="Z1304" s="90" t="n"/>
      <c r="AA1304" s="90" t="n"/>
    </row>
    <row r="1305" s="112">
      <c r="A1305" s="72">
        <f>ROW()-1</f>
        <v/>
      </c>
      <c r="B1305" s="175" t="n"/>
      <c r="C1305" s="124" t="n">
        <v>2026</v>
      </c>
      <c r="E1305" s="103" t="n"/>
      <c r="F1305" s="175" t="n"/>
      <c r="G1305" s="175" t="n"/>
      <c r="H1305" s="175" t="n"/>
      <c r="I1305" s="103" t="inlineStr">
        <is>
          <t>停用知识分类</t>
        </is>
      </c>
      <c r="J1305" s="93" t="n"/>
      <c r="K1305" s="102" t="n"/>
      <c r="L1305" s="102" t="inlineStr">
        <is>
          <t>和上行合并，启停为相同功能</t>
        </is>
      </c>
      <c r="M1305" s="85">
        <f>IF(OR(Y1305="估算法",Y1305="算法类",Y1305="无法识别"),"",IF(W1305="",IF(OR(J1305="EI",J1305="EO",J1305="EQ"),0,""),LEN(W1305)-LEN(SUBSTITUTE(W1305,"、",""))+1))</f>
        <v/>
      </c>
      <c r="N1305" s="85">
        <f>IF(OR(Y1305="估算法",Y1305="算法类",Y1305="无法识别"),"",IF(X1305="",IF(OR(J1305="ILF",J1305="EIF"),0,""),LEN(X1305)-LEN(SUBSTITUTE(X1305,"、",""))+1))</f>
        <v/>
      </c>
      <c r="O1305" s="85">
        <f>IF(OR(Y1305="估算法",Y1305="算法类",Y1305="无法识别"),"",IF(Y1305="",IF(OR(J1305="ILF",J1305="EIF",J1305="EI",J1305="EO",J1305="EQ"),0,""),LEN(Y1305)-LEN(SUBSTITUTE(SUBSTITUTE(SUBSTITUTE(SUBSTITUTE(SUBSTITUTE(Y1305,"|}","--"),"{|","--"),CHAR(10),""),"、",""),"|",""))+IF(AND(OR(J1305="EI",J1305="EO",J1305="EQ"),$AE$1="NESMA"),2,1)))</f>
        <v/>
      </c>
      <c r="P1305" s="86">
        <f>IF(J1305="EI",IF(OR(Y1305="估算法",Y1305="算法类"),"中",IF(Y1305="无法识别","低",IF(M1305&lt;2,IF(O1305&lt;16,"低","中"),IF(M1305&lt;3,IF(O1305&lt;5,"低",IF(O1305&lt;16,"中","高")),IF(O1305&lt;5,"中","高"))))),IF(OR(J1305="EO",J1305="EQ"),IF(OR(Y1305="估算法",Y1305="算法类"),"中",IF(Y1305="无法识别","低",IF(M1305&lt;2,IF(O1305&lt;20,"低","中"),IF(M1305&lt;4,IF(O1305&lt;6,"低",IF(O1305&lt;20,"中","高")),IF(O1305&lt;6,"中","高"))))),IF(OR(J1305="ILF",J1305="EIF"),IF(OR(Y1305="估算法",Y1305="算法类",Y1305="无法识别"),"低",IF(N1305&lt;2,IF(O1305&lt;51,"低","中"),IF(N1305&lt;6,IF(O1305&lt;20,"低",IF(O1305&lt;51,"中","高")),IF(O1305&lt;20,"中","高")))),"不计算")))</f>
        <v/>
      </c>
      <c r="Q1305" s="172">
        <f>IFERROR(IF(J1305="EI",IF(P1305="低",3,IF(P1305="中",4,6)),IF(J1305="EO",IF(P1305="低",4,IF(P1305="中",5,7)),IF(J1305="EQ",IF(P1305="低",3,IF(P1305="中",4,6)),IF(J1305="ILF",IF(P1305="低",7,IF(P1305="中",10,15)),IF(J1305="EIF",IF(P1305="低",5,IF(P1305="中",7,10)),"不计算")))))*R1305,"不计算")</f>
        <v/>
      </c>
      <c r="R1305" s="172" t="n">
        <v>1</v>
      </c>
      <c r="S1305" s="173">
        <f>调整因子!$F$13</f>
        <v/>
      </c>
      <c r="T1305" s="92" t="n">
        <v>1</v>
      </c>
      <c r="U1305" s="174">
        <f>IFERROR(Q1305*S1305,0)</f>
        <v/>
      </c>
      <c r="V1305" s="178">
        <f>U1305*T1305</f>
        <v/>
      </c>
      <c r="W1305" s="103" t="inlineStr">
        <is>
          <t>修复步骤表、接口参数表</t>
        </is>
      </c>
      <c r="X1305" s="103" t="inlineStr"/>
      <c r="Y1305" s="97" t="inlineStr">
        <is>
          <t>修复步骤表{ID、名称、类型、状态、创建时间、更新时间|ID、名称、类型}
接口参数表{接口ID、接口名称、接口类型、接口地址、调用时间|接口ID、接口名称、接口类型}</t>
        </is>
      </c>
      <c r="Z1305" s="90" t="n"/>
      <c r="AA1305" s="90" t="n"/>
    </row>
    <row r="1306" s="112">
      <c r="A1306" s="72">
        <f>ROW()-1</f>
        <v/>
      </c>
      <c r="B1306" s="175" t="n"/>
      <c r="C1306" s="124" t="n">
        <v>2026</v>
      </c>
      <c r="E1306" s="103" t="n"/>
      <c r="F1306" s="175" t="n"/>
      <c r="G1306" s="175" t="n"/>
      <c r="H1306" s="175" t="n"/>
      <c r="I1306" s="103" t="inlineStr">
        <is>
          <t>导出分类配置</t>
        </is>
      </c>
      <c r="J1306" s="93" t="inlineStr">
        <is>
          <t>EO</t>
        </is>
      </c>
      <c r="K1306" s="102" t="n"/>
      <c r="L1306" s="102" t="n"/>
      <c r="M1306" s="85">
        <f>IF(OR(Y1306="估算法",Y1306="算法类",Y1306="无法识别"),"",IF(W1306="",IF(OR(J1306="EI",J1306="EO",J1306="EQ"),0,""),LEN(W1306)-LEN(SUBSTITUTE(W1306,"、",""))+1))</f>
        <v/>
      </c>
      <c r="N1306" s="85">
        <f>IF(OR(Y1306="估算法",Y1306="算法类",Y1306="无法识别"),"",IF(X1306="",IF(OR(J1306="ILF",J1306="EIF"),0,""),LEN(X1306)-LEN(SUBSTITUTE(X1306,"、",""))+1))</f>
        <v/>
      </c>
      <c r="O1306" s="85">
        <f>IF(OR(Y1306="估算法",Y1306="算法类",Y1306="无法识别"),"",IF(Y1306="",IF(OR(J1306="ILF",J1306="EIF",J1306="EI",J1306="EO",J1306="EQ"),0,""),LEN(Y1306)-LEN(SUBSTITUTE(SUBSTITUTE(SUBSTITUTE(SUBSTITUTE(SUBSTITUTE(Y1306,"|}","--"),"{|","--"),CHAR(10),""),"、",""),"|",""))+IF(AND(OR(J1306="EI",J1306="EO",J1306="EQ"),$AE$1="NESMA"),2,1)))</f>
        <v/>
      </c>
      <c r="P1306" s="86">
        <f>IF(J1306="EI",IF(OR(Y1306="估算法",Y1306="算法类"),"中",IF(Y1306="无法识别","低",IF(M1306&lt;2,IF(O1306&lt;16,"低","中"),IF(M1306&lt;3,IF(O1306&lt;5,"低",IF(O1306&lt;16,"中","高")),IF(O1306&lt;5,"中","高"))))),IF(OR(J1306="EO",J1306="EQ"),IF(OR(Y1306="估算法",Y1306="算法类"),"中",IF(Y1306="无法识别","低",IF(M1306&lt;2,IF(O1306&lt;20,"低","中"),IF(M1306&lt;4,IF(O1306&lt;6,"低",IF(O1306&lt;20,"中","高")),IF(O1306&lt;6,"中","高"))))),IF(OR(J1306="ILF",J1306="EIF"),IF(OR(Y1306="估算法",Y1306="算法类",Y1306="无法识别"),"低",IF(N1306&lt;2,IF(O1306&lt;51,"低","中"),IF(N1306&lt;6,IF(O1306&lt;20,"低",IF(O1306&lt;51,"中","高")),IF(O1306&lt;20,"中","高")))),"不计算")))</f>
        <v/>
      </c>
      <c r="Q1306" s="172">
        <f>IFERROR(IF(J1306="EI",IF(P1306="低",3,IF(P1306="中",4,6)),IF(J1306="EO",IF(P1306="低",4,IF(P1306="中",5,7)),IF(J1306="EQ",IF(P1306="低",3,IF(P1306="中",4,6)),IF(J1306="ILF",IF(P1306="低",7,IF(P1306="中",10,15)),IF(J1306="EIF",IF(P1306="低",5,IF(P1306="中",7,10)),"不计算")))))*R1306,"不计算")</f>
        <v/>
      </c>
      <c r="R1306" s="172" t="n">
        <v>1</v>
      </c>
      <c r="S1306" s="173">
        <f>调整因子!$F$13</f>
        <v/>
      </c>
      <c r="T1306" s="93" t="n">
        <v>1</v>
      </c>
      <c r="U1306" s="174">
        <f>IFERROR(Q1306*S1306,0)</f>
        <v/>
      </c>
      <c r="V1306" s="178">
        <f>U1306*T1306</f>
        <v/>
      </c>
      <c r="W1306" s="103" t="inlineStr">
        <is>
          <t>任务优先级配置表</t>
        </is>
      </c>
      <c r="X1306" s="103" t="inlineStr"/>
      <c r="Y1306" s="97" t="inlineStr">
        <is>
          <t>任务优先级配置表{任务ID、任务名称|任务ID、任务名称、任务类型、任务状态、创建时间、执行时间}</t>
        </is>
      </c>
      <c r="Z1306" s="90" t="n"/>
      <c r="AA1306" s="90" t="n"/>
    </row>
    <row r="1307" s="112">
      <c r="A1307" s="72">
        <f>ROW()-1</f>
        <v/>
      </c>
      <c r="B1307" s="175" t="n"/>
      <c r="C1307" s="124" t="n">
        <v>2026</v>
      </c>
      <c r="E1307" s="103" t="n"/>
      <c r="F1307" s="175" t="n"/>
      <c r="G1307" s="175" t="n"/>
      <c r="H1307" s="175" t="n"/>
      <c r="I1307" s="103" t="inlineStr">
        <is>
          <t>查询分类列表</t>
        </is>
      </c>
      <c r="J1307" s="93" t="inlineStr">
        <is>
          <t>EO</t>
        </is>
      </c>
      <c r="K1307" s="102" t="n"/>
      <c r="L1307" s="102" t="n"/>
      <c r="M1307" s="85">
        <f>IF(OR(Y1307="估算法",Y1307="算法类",Y1307="无法识别"),"",IF(W1307="",IF(OR(J1307="EI",J1307="EO",J1307="EQ"),0,""),LEN(W1307)-LEN(SUBSTITUTE(W1307,"、",""))+1))</f>
        <v/>
      </c>
      <c r="N1307" s="85">
        <f>IF(OR(Y1307="估算法",Y1307="算法类",Y1307="无法识别"),"",IF(X1307="",IF(OR(J1307="ILF",J1307="EIF"),0,""),LEN(X1307)-LEN(SUBSTITUTE(X1307,"、",""))+1))</f>
        <v/>
      </c>
      <c r="O1307" s="85">
        <f>IF(OR(Y1307="估算法",Y1307="算法类",Y1307="无法识别"),"",IF(Y1307="",IF(OR(J1307="ILF",J1307="EIF",J1307="EI",J1307="EO",J1307="EQ"),0,""),LEN(Y1307)-LEN(SUBSTITUTE(SUBSTITUTE(SUBSTITUTE(SUBSTITUTE(SUBSTITUTE(Y1307,"|}","--"),"{|","--"),CHAR(10),""),"、",""),"|",""))+IF(AND(OR(J1307="EI",J1307="EO",J1307="EQ"),$AE$1="NESMA"),2,1)))</f>
        <v/>
      </c>
      <c r="P1307" s="86">
        <f>IF(J1307="EI",IF(OR(Y1307="估算法",Y1307="算法类"),"中",IF(Y1307="无法识别","低",IF(M1307&lt;2,IF(O1307&lt;16,"低","中"),IF(M1307&lt;3,IF(O1307&lt;5,"低",IF(O1307&lt;16,"中","高")),IF(O1307&lt;5,"中","高"))))),IF(OR(J1307="EO",J1307="EQ"),IF(OR(Y1307="估算法",Y1307="算法类"),"中",IF(Y1307="无法识别","低",IF(M1307&lt;2,IF(O1307&lt;20,"低","中"),IF(M1307&lt;4,IF(O1307&lt;6,"低",IF(O1307&lt;20,"中","高")),IF(O1307&lt;6,"中","高"))))),IF(OR(J1307="ILF",J1307="EIF"),IF(OR(Y1307="估算法",Y1307="算法类",Y1307="无法识别"),"低",IF(N1307&lt;2,IF(O1307&lt;51,"低","中"),IF(N1307&lt;6,IF(O1307&lt;20,"低",IF(O1307&lt;51,"中","高")),IF(O1307&lt;20,"中","高")))),"不计算")))</f>
        <v/>
      </c>
      <c r="Q1307" s="172">
        <f>IFERROR(IF(J1307="EI",IF(P1307="低",3,IF(P1307="中",4,6)),IF(J1307="EO",IF(P1307="低",4,IF(P1307="中",5,7)),IF(J1307="EQ",IF(P1307="低",3,IF(P1307="中",4,6)),IF(J1307="ILF",IF(P1307="低",7,IF(P1307="中",10,15)),IF(J1307="EIF",IF(P1307="低",5,IF(P1307="中",7,10)),"不计算")))))*R1307,"不计算")</f>
        <v/>
      </c>
      <c r="R1307" s="172" t="n">
        <v>1</v>
      </c>
      <c r="S1307" s="173">
        <f>调整因子!$F$13</f>
        <v/>
      </c>
      <c r="T1307" s="93" t="n">
        <v>1</v>
      </c>
      <c r="U1307" s="174">
        <f>IFERROR(Q1307*S1307,0)</f>
        <v/>
      </c>
      <c r="V1307" s="178">
        <f>U1307*T1307</f>
        <v/>
      </c>
      <c r="W1307" s="103" t="inlineStr">
        <is>
          <t>任务优先级配置表、推送配置表</t>
        </is>
      </c>
      <c r="X1307" s="103" t="inlineStr"/>
      <c r="Y1307" s="97" t="inlineStr">
        <is>
          <t>任务优先级配置表{任务ID、任务名称|任务ID、任务名称、任务类型、任务状态、创建时间、执行时间}
推送配置表{配置ID、配置名称|配置ID、配置名称、配置类型、配置值、创建时间}</t>
        </is>
      </c>
      <c r="Z1307" s="90" t="n"/>
      <c r="AA1307" s="90" t="n"/>
    </row>
    <row r="1308" s="112">
      <c r="A1308" s="72">
        <f>ROW()-1</f>
        <v/>
      </c>
      <c r="B1308" s="175" t="n"/>
      <c r="C1308" s="124" t="n">
        <v>2026</v>
      </c>
      <c r="E1308" s="103" t="n"/>
      <c r="F1308" s="175" t="n"/>
      <c r="G1308" s="175" t="n"/>
      <c r="H1308" s="176" t="n"/>
      <c r="I1308" s="103" t="inlineStr">
        <is>
          <t>查看分类详情</t>
        </is>
      </c>
      <c r="J1308" s="93" t="inlineStr">
        <is>
          <t>EQ</t>
        </is>
      </c>
      <c r="K1308" s="102" t="n"/>
      <c r="L1308" s="102" t="n"/>
      <c r="M1308" s="85">
        <f>IF(OR(Y1308="估算法",Y1308="算法类",Y1308="无法识别"),"",IF(W1308="",IF(OR(J1308="EI",J1308="EO",J1308="EQ"),0,""),LEN(W1308)-LEN(SUBSTITUTE(W1308,"、",""))+1))</f>
        <v/>
      </c>
      <c r="N1308" s="85">
        <f>IF(OR(Y1308="估算法",Y1308="算法类",Y1308="无法识别"),"",IF(X1308="",IF(OR(J1308="ILF",J1308="EIF"),0,""),LEN(X1308)-LEN(SUBSTITUTE(X1308,"、",""))+1))</f>
        <v/>
      </c>
      <c r="O1308" s="85">
        <f>IF(OR(Y1308="估算法",Y1308="算法类",Y1308="无法识别"),"",IF(Y1308="",IF(OR(J1308="ILF",J1308="EIF",J1308="EI",J1308="EO",J1308="EQ"),0,""),LEN(Y1308)-LEN(SUBSTITUTE(SUBSTITUTE(SUBSTITUTE(SUBSTITUTE(SUBSTITUTE(Y1308,"|}","--"),"{|","--"),CHAR(10),""),"、",""),"|",""))+IF(AND(OR(J1308="EI",J1308="EO",J1308="EQ"),$AE$1="NESMA"),2,1)))</f>
        <v/>
      </c>
      <c r="P1308" s="86">
        <f>IF(J1308="EI",IF(OR(Y1308="估算法",Y1308="算法类"),"中",IF(Y1308="无法识别","低",IF(M1308&lt;2,IF(O1308&lt;16,"低","中"),IF(M1308&lt;3,IF(O1308&lt;5,"低",IF(O1308&lt;16,"中","高")),IF(O1308&lt;5,"中","高"))))),IF(OR(J1308="EO",J1308="EQ"),IF(OR(Y1308="估算法",Y1308="算法类"),"中",IF(Y1308="无法识别","低",IF(M1308&lt;2,IF(O1308&lt;20,"低","中"),IF(M1308&lt;4,IF(O1308&lt;6,"低",IF(O1308&lt;20,"中","高")),IF(O1308&lt;6,"中","高"))))),IF(OR(J1308="ILF",J1308="EIF"),IF(OR(Y1308="估算法",Y1308="算法类",Y1308="无法识别"),"低",IF(N1308&lt;2,IF(O1308&lt;51,"低","中"),IF(N1308&lt;6,IF(O1308&lt;20,"低",IF(O1308&lt;51,"中","高")),IF(O1308&lt;20,"中","高")))),"不计算")))</f>
        <v/>
      </c>
      <c r="Q1308" s="172">
        <f>IFERROR(IF(J1308="EI",IF(P1308="低",3,IF(P1308="中",4,6)),IF(J1308="EO",IF(P1308="低",4,IF(P1308="中",5,7)),IF(J1308="EQ",IF(P1308="低",3,IF(P1308="中",4,6)),IF(J1308="ILF",IF(P1308="低",7,IF(P1308="中",10,15)),IF(J1308="EIF",IF(P1308="低",5,IF(P1308="中",7,10)),"不计算")))))*R1308,"不计算")</f>
        <v/>
      </c>
      <c r="R1308" s="172" t="n">
        <v>1</v>
      </c>
      <c r="S1308" s="173">
        <f>调整因子!$F$13</f>
        <v/>
      </c>
      <c r="T1308" s="92" t="n">
        <v>1</v>
      </c>
      <c r="U1308" s="174">
        <f>IFERROR(Q1308*S1308,0)</f>
        <v/>
      </c>
      <c r="V1308" s="178">
        <f>U1308*T1308</f>
        <v/>
      </c>
      <c r="W1308" s="103" t="inlineStr">
        <is>
          <t>故障知识库表、推送配置表</t>
        </is>
      </c>
      <c r="X1308" s="103" t="inlineStr"/>
      <c r="Y1308" s="97" t="inlineStr">
        <is>
          <t>故障知识库表{ID、名称|ID、名称、类型、状态、创建时间、更新时间}
推送配置表{配置ID、配置名称|配置ID、配置名称、配置类型、配置值、创建时间}</t>
        </is>
      </c>
      <c r="Z1308" s="90" t="n"/>
      <c r="AA1308" s="90" t="n"/>
    </row>
    <row r="1309" s="112">
      <c r="A1309" s="72">
        <f>ROW()-1</f>
        <v/>
      </c>
      <c r="B1309" s="175" t="n"/>
      <c r="C1309" s="124" t="n">
        <v>2026</v>
      </c>
      <c r="E1309" s="103" t="n"/>
      <c r="F1309" s="175" t="n"/>
      <c r="G1309" s="175" t="n"/>
      <c r="H1309" s="97" t="inlineStr">
        <is>
          <t>知识标签配置管理</t>
        </is>
      </c>
      <c r="I1309" s="103" t="inlineStr">
        <is>
          <t>编辑知识标签</t>
        </is>
      </c>
      <c r="J1309" s="93" t="inlineStr">
        <is>
          <t>EI</t>
        </is>
      </c>
      <c r="K1309" s="102" t="n"/>
      <c r="L1309" s="102" t="n"/>
      <c r="M1309" s="85">
        <f>IF(OR(Y1309="估算法",Y1309="算法类",Y1309="无法识别"),"",IF(W1309="",IF(OR(J1309="EI",J1309="EO",J1309="EQ"),0,""),LEN(W1309)-LEN(SUBSTITUTE(W1309,"、",""))+1))</f>
        <v/>
      </c>
      <c r="N1309" s="85">
        <f>IF(OR(Y1309="估算法",Y1309="算法类",Y1309="无法识别"),"",IF(X1309="",IF(OR(J1309="ILF",J1309="EIF"),0,""),LEN(X1309)-LEN(SUBSTITUTE(X1309,"、",""))+1))</f>
        <v/>
      </c>
      <c r="O1309" s="85">
        <f>IF(OR(Y1309="估算法",Y1309="算法类",Y1309="无法识别"),"",IF(Y1309="",IF(OR(J1309="ILF",J1309="EIF",J1309="EI",J1309="EO",J1309="EQ"),0,""),LEN(Y1309)-LEN(SUBSTITUTE(SUBSTITUTE(SUBSTITUTE(SUBSTITUTE(SUBSTITUTE(Y1309,"|}","--"),"{|","--"),CHAR(10),""),"、",""),"|",""))+IF(AND(OR(J1309="EI",J1309="EO",J1309="EQ"),$AE$1="NESMA"),2,1)))</f>
        <v/>
      </c>
      <c r="P1309" s="86">
        <f>IF(J1309="EI",IF(OR(Y1309="估算法",Y1309="算法类"),"中",IF(Y1309="无法识别","低",IF(M1309&lt;2,IF(O1309&lt;16,"低","中"),IF(M1309&lt;3,IF(O1309&lt;5,"低",IF(O1309&lt;16,"中","高")),IF(O1309&lt;5,"中","高"))))),IF(OR(J1309="EO",J1309="EQ"),IF(OR(Y1309="估算法",Y1309="算法类"),"中",IF(Y1309="无法识别","低",IF(M1309&lt;2,IF(O1309&lt;20,"低","中"),IF(M1309&lt;4,IF(O1309&lt;6,"低",IF(O1309&lt;20,"中","高")),IF(O1309&lt;6,"中","高"))))),IF(OR(J1309="ILF",J1309="EIF"),IF(OR(Y1309="估算法",Y1309="算法类",Y1309="无法识别"),"低",IF(N1309&lt;2,IF(O1309&lt;51,"低","中"),IF(N1309&lt;6,IF(O1309&lt;20,"低",IF(O1309&lt;51,"中","高")),IF(O1309&lt;20,"中","高")))),"不计算")))</f>
        <v/>
      </c>
      <c r="Q1309" s="172">
        <f>IFERROR(IF(J1309="EI",IF(P1309="低",3,IF(P1309="中",4,6)),IF(J1309="EO",IF(P1309="低",4,IF(P1309="中",5,7)),IF(J1309="EQ",IF(P1309="低",3,IF(P1309="中",4,6)),IF(J1309="ILF",IF(P1309="低",7,IF(P1309="中",10,15)),IF(J1309="EIF",IF(P1309="低",5,IF(P1309="中",7,10)),"不计算")))))*R1309,"不计算")</f>
        <v/>
      </c>
      <c r="R1309" s="172" t="n">
        <v>1</v>
      </c>
      <c r="S1309" s="173">
        <f>调整因子!$F$13</f>
        <v/>
      </c>
      <c r="T1309" s="92" t="n">
        <v>1</v>
      </c>
      <c r="U1309" s="174">
        <f>IFERROR(Q1309*S1309,0)</f>
        <v/>
      </c>
      <c r="V1309" s="178">
        <f>U1309*T1309</f>
        <v/>
      </c>
      <c r="W1309" s="103" t="inlineStr">
        <is>
          <t>通报对象表、分布分析表</t>
        </is>
      </c>
      <c r="X1309" s="103" t="inlineStr"/>
      <c r="Y1309" s="97" t="inlineStr">
        <is>
          <t>通报对象表{ID、名称、类型、状态、创建时间、更新时间|ID、名称、类型}
分布分析表{ID、名称、类型、状态、创建时间、更新时间|ID、名称、类型}</t>
        </is>
      </c>
      <c r="Z1309" s="90" t="n"/>
      <c r="AA1309" s="90" t="n"/>
    </row>
    <row r="1310" s="112">
      <c r="A1310" s="72">
        <f>ROW()-1</f>
        <v/>
      </c>
      <c r="B1310" s="175" t="n"/>
      <c r="C1310" s="124" t="n">
        <v>2026</v>
      </c>
      <c r="E1310" s="103" t="n"/>
      <c r="F1310" s="175" t="n"/>
      <c r="G1310" s="175" t="n"/>
      <c r="H1310" s="175" t="n"/>
      <c r="I1310" s="103" t="inlineStr">
        <is>
          <t>删除知识标签</t>
        </is>
      </c>
      <c r="J1310" s="93" t="inlineStr">
        <is>
          <t>EI</t>
        </is>
      </c>
      <c r="K1310" s="102" t="n"/>
      <c r="L1310" s="102" t="n"/>
      <c r="M1310" s="85">
        <f>IF(OR(Y1310="估算法",Y1310="算法类",Y1310="无法识别"),"",IF(W1310="",IF(OR(J1310="EI",J1310="EO",J1310="EQ"),0,""),LEN(W1310)-LEN(SUBSTITUTE(W1310,"、",""))+1))</f>
        <v/>
      </c>
      <c r="N1310" s="85">
        <f>IF(OR(Y1310="估算法",Y1310="算法类",Y1310="无法识别"),"",IF(X1310="",IF(OR(J1310="ILF",J1310="EIF"),0,""),LEN(X1310)-LEN(SUBSTITUTE(X1310,"、",""))+1))</f>
        <v/>
      </c>
      <c r="O1310" s="85">
        <f>IF(OR(Y1310="估算法",Y1310="算法类",Y1310="无法识别"),"",IF(Y1310="",IF(OR(J1310="ILF",J1310="EIF",J1310="EI",J1310="EO",J1310="EQ"),0,""),LEN(Y1310)-LEN(SUBSTITUTE(SUBSTITUTE(SUBSTITUTE(SUBSTITUTE(SUBSTITUTE(Y1310,"|}","--"),"{|","--"),CHAR(10),""),"、",""),"|",""))+IF(AND(OR(J1310="EI",J1310="EO",J1310="EQ"),$AE$1="NESMA"),2,1)))</f>
        <v/>
      </c>
      <c r="P1310" s="86">
        <f>IF(J1310="EI",IF(OR(Y1310="估算法",Y1310="算法类"),"中",IF(Y1310="无法识别","低",IF(M1310&lt;2,IF(O1310&lt;16,"低","中"),IF(M1310&lt;3,IF(O1310&lt;5,"低",IF(O1310&lt;16,"中","高")),IF(O1310&lt;5,"中","高"))))),IF(OR(J1310="EO",J1310="EQ"),IF(OR(Y1310="估算法",Y1310="算法类"),"中",IF(Y1310="无法识别","低",IF(M1310&lt;2,IF(O1310&lt;20,"低","中"),IF(M1310&lt;4,IF(O1310&lt;6,"低",IF(O1310&lt;20,"中","高")),IF(O1310&lt;6,"中","高"))))),IF(OR(J1310="ILF",J1310="EIF"),IF(OR(Y1310="估算法",Y1310="算法类",Y1310="无法识别"),"低",IF(N1310&lt;2,IF(O1310&lt;51,"低","中"),IF(N1310&lt;6,IF(O1310&lt;20,"低",IF(O1310&lt;51,"中","高")),IF(O1310&lt;20,"中","高")))),"不计算")))</f>
        <v/>
      </c>
      <c r="Q1310" s="172">
        <f>IFERROR(IF(J1310="EI",IF(P1310="低",3,IF(P1310="中",4,6)),IF(J1310="EO",IF(P1310="低",4,IF(P1310="中",5,7)),IF(J1310="EQ",IF(P1310="低",3,IF(P1310="中",4,6)),IF(J1310="ILF",IF(P1310="低",7,IF(P1310="中",10,15)),IF(J1310="EIF",IF(P1310="低",5,IF(P1310="中",7,10)),"不计算")))))*R1310,"不计算")</f>
        <v/>
      </c>
      <c r="R1310" s="172" t="n">
        <v>0.333333333333333</v>
      </c>
      <c r="S1310" s="173">
        <f>调整因子!$F$13</f>
        <v/>
      </c>
      <c r="T1310" s="93" t="n">
        <v>1</v>
      </c>
      <c r="U1310" s="174">
        <f>IFERROR(Q1310*S1310,0)</f>
        <v/>
      </c>
      <c r="V1310" s="178">
        <f>U1310*T1310</f>
        <v/>
      </c>
      <c r="W1310" s="103" t="inlineStr">
        <is>
          <t>接口参数配置表、处置单配置表</t>
        </is>
      </c>
      <c r="X1310" s="103" t="inlineStr"/>
      <c r="Y1310" s="97" t="inlineStr">
        <is>
          <t>接口参数配置表{配置ID、配置名称、配置类型、配置值、创建时间|配置ID、配置名称、配置类型}
处置单配置表{配置ID、配置名称、配置类型、配置值、创建时间|配置ID、配置名称、配置类型}</t>
        </is>
      </c>
      <c r="Z1310" s="90" t="n"/>
      <c r="AA1310" s="90" t="n"/>
    </row>
    <row r="1311" s="112">
      <c r="A1311" s="72">
        <f>ROW()-1</f>
        <v/>
      </c>
      <c r="B1311" s="175" t="n"/>
      <c r="C1311" s="124" t="n">
        <v>2026</v>
      </c>
      <c r="E1311" s="103" t="n"/>
      <c r="F1311" s="175" t="n"/>
      <c r="G1311" s="175" t="n"/>
      <c r="H1311" s="175" t="n"/>
      <c r="I1311" s="103" t="inlineStr">
        <is>
          <t>启用知识标签</t>
        </is>
      </c>
      <c r="J1311" s="93" t="inlineStr">
        <is>
          <t>EI</t>
        </is>
      </c>
      <c r="K1311" s="102" t="n"/>
      <c r="L1311" s="102" t="n"/>
      <c r="M1311" s="85">
        <f>IF(OR(Y1311="估算法",Y1311="算法类",Y1311="无法识别"),"",IF(W1311="",IF(OR(J1311="EI",J1311="EO",J1311="EQ"),0,""),LEN(W1311)-LEN(SUBSTITUTE(W1311,"、",""))+1))</f>
        <v/>
      </c>
      <c r="N1311" s="85">
        <f>IF(OR(Y1311="估算法",Y1311="算法类",Y1311="无法识别"),"",IF(X1311="",IF(OR(J1311="ILF",J1311="EIF"),0,""),LEN(X1311)-LEN(SUBSTITUTE(X1311,"、",""))+1))</f>
        <v/>
      </c>
      <c r="O1311" s="85">
        <f>IF(OR(Y1311="估算法",Y1311="算法类",Y1311="无法识别"),"",IF(Y1311="",IF(OR(J1311="ILF",J1311="EIF",J1311="EI",J1311="EO",J1311="EQ"),0,""),LEN(Y1311)-LEN(SUBSTITUTE(SUBSTITUTE(SUBSTITUTE(SUBSTITUTE(SUBSTITUTE(Y1311,"|}","--"),"{|","--"),CHAR(10),""),"、",""),"|",""))+IF(AND(OR(J1311="EI",J1311="EO",J1311="EQ"),$AE$1="NESMA"),2,1)))</f>
        <v/>
      </c>
      <c r="P1311" s="86">
        <f>IF(J1311="EI",IF(OR(Y1311="估算法",Y1311="算法类"),"中",IF(Y1311="无法识别","低",IF(M1311&lt;2,IF(O1311&lt;16,"低","中"),IF(M1311&lt;3,IF(O1311&lt;5,"低",IF(O1311&lt;16,"中","高")),IF(O1311&lt;5,"中","高"))))),IF(OR(J1311="EO",J1311="EQ"),IF(OR(Y1311="估算法",Y1311="算法类"),"中",IF(Y1311="无法识别","低",IF(M1311&lt;2,IF(O1311&lt;20,"低","中"),IF(M1311&lt;4,IF(O1311&lt;6,"低",IF(O1311&lt;20,"中","高")),IF(O1311&lt;6,"中","高"))))),IF(OR(J1311="ILF",J1311="EIF"),IF(OR(Y1311="估算法",Y1311="算法类",Y1311="无法识别"),"低",IF(N1311&lt;2,IF(O1311&lt;51,"低","中"),IF(N1311&lt;6,IF(O1311&lt;20,"低",IF(O1311&lt;51,"中","高")),IF(O1311&lt;20,"中","高")))),"不计算")))</f>
        <v/>
      </c>
      <c r="Q1311" s="172">
        <f>IFERROR(IF(J1311="EI",IF(P1311="低",3,IF(P1311="中",4,6)),IF(J1311="EO",IF(P1311="低",4,IF(P1311="中",5,7)),IF(J1311="EQ",IF(P1311="低",3,IF(P1311="中",4,6)),IF(J1311="ILF",IF(P1311="低",7,IF(P1311="中",10,15)),IF(J1311="EIF",IF(P1311="低",5,IF(P1311="中",7,10)),"不计算")))))*R1311,"不计算")</f>
        <v/>
      </c>
      <c r="R1311" s="172" t="n">
        <v>1</v>
      </c>
      <c r="S1311" s="173">
        <f>调整因子!$F$13</f>
        <v/>
      </c>
      <c r="T1311" s="92" t="n">
        <v>1</v>
      </c>
      <c r="U1311" s="174">
        <f>IFERROR(Q1311*S1311,0)</f>
        <v/>
      </c>
      <c r="V1311" s="178">
        <f>U1311*T1311</f>
        <v/>
      </c>
      <c r="W1311" s="103" t="inlineStr">
        <is>
          <t>日志采集配置表</t>
        </is>
      </c>
      <c r="X1311" s="103" t="inlineStr"/>
      <c r="Y1311" s="97" t="inlineStr">
        <is>
          <t>日志采集配置表{配置ID、配置名称、配置类型、配置值、创建时间|配置ID、配置名称、配置类型}</t>
        </is>
      </c>
      <c r="Z1311" s="90" t="n"/>
      <c r="AA1311" s="90" t="n"/>
    </row>
    <row r="1312" s="112">
      <c r="A1312" s="72">
        <f>ROW()-1</f>
        <v/>
      </c>
      <c r="B1312" s="175" t="n"/>
      <c r="C1312" s="124" t="n">
        <v>2026</v>
      </c>
      <c r="E1312" s="103" t="n"/>
      <c r="F1312" s="175" t="n"/>
      <c r="G1312" s="175" t="n"/>
      <c r="H1312" s="175" t="n"/>
      <c r="I1312" s="103" t="inlineStr">
        <is>
          <t>停用知识标签</t>
        </is>
      </c>
      <c r="J1312" s="93" t="n"/>
      <c r="K1312" s="102" t="n"/>
      <c r="L1312" s="102" t="inlineStr">
        <is>
          <t>和上行合并，启停为相同功能</t>
        </is>
      </c>
      <c r="M1312" s="85">
        <f>IF(OR(Y1312="估算法",Y1312="算法类",Y1312="无法识别"),"",IF(W1312="",IF(OR(J1312="EI",J1312="EO",J1312="EQ"),0,""),LEN(W1312)-LEN(SUBSTITUTE(W1312,"、",""))+1))</f>
        <v/>
      </c>
      <c r="N1312" s="85">
        <f>IF(OR(Y1312="估算法",Y1312="算法类",Y1312="无法识别"),"",IF(X1312="",IF(OR(J1312="ILF",J1312="EIF"),0,""),LEN(X1312)-LEN(SUBSTITUTE(X1312,"、",""))+1))</f>
        <v/>
      </c>
      <c r="O1312" s="85">
        <f>IF(OR(Y1312="估算法",Y1312="算法类",Y1312="无法识别"),"",IF(Y1312="",IF(OR(J1312="ILF",J1312="EIF",J1312="EI",J1312="EO",J1312="EQ"),0,""),LEN(Y1312)-LEN(SUBSTITUTE(SUBSTITUTE(SUBSTITUTE(SUBSTITUTE(SUBSTITUTE(Y1312,"|}","--"),"{|","--"),CHAR(10),""),"、",""),"|",""))+IF(AND(OR(J1312="EI",J1312="EO",J1312="EQ"),$AE$1="NESMA"),2,1)))</f>
        <v/>
      </c>
      <c r="P1312" s="86">
        <f>IF(J1312="EI",IF(OR(Y1312="估算法",Y1312="算法类"),"中",IF(Y1312="无法识别","低",IF(M1312&lt;2,IF(O1312&lt;16,"低","中"),IF(M1312&lt;3,IF(O1312&lt;5,"低",IF(O1312&lt;16,"中","高")),IF(O1312&lt;5,"中","高"))))),IF(OR(J1312="EO",J1312="EQ"),IF(OR(Y1312="估算法",Y1312="算法类"),"中",IF(Y1312="无法识别","低",IF(M1312&lt;2,IF(O1312&lt;20,"低","中"),IF(M1312&lt;4,IF(O1312&lt;6,"低",IF(O1312&lt;20,"中","高")),IF(O1312&lt;6,"中","高"))))),IF(OR(J1312="ILF",J1312="EIF"),IF(OR(Y1312="估算法",Y1312="算法类",Y1312="无法识别"),"低",IF(N1312&lt;2,IF(O1312&lt;51,"低","中"),IF(N1312&lt;6,IF(O1312&lt;20,"低",IF(O1312&lt;51,"中","高")),IF(O1312&lt;20,"中","高")))),"不计算")))</f>
        <v/>
      </c>
      <c r="Q1312" s="172">
        <f>IFERROR(IF(J1312="EI",IF(P1312="低",3,IF(P1312="中",4,6)),IF(J1312="EO",IF(P1312="低",4,IF(P1312="中",5,7)),IF(J1312="EQ",IF(P1312="低",3,IF(P1312="中",4,6)),IF(J1312="ILF",IF(P1312="低",7,IF(P1312="中",10,15)),IF(J1312="EIF",IF(P1312="低",5,IF(P1312="中",7,10)),"不计算")))))*R1312,"不计算")</f>
        <v/>
      </c>
      <c r="R1312" s="172" t="n">
        <v>1</v>
      </c>
      <c r="S1312" s="173">
        <f>调整因子!$F$13</f>
        <v/>
      </c>
      <c r="T1312" s="92" t="n">
        <v>1</v>
      </c>
      <c r="U1312" s="174">
        <f>IFERROR(Q1312*S1312,0)</f>
        <v/>
      </c>
      <c r="V1312" s="178">
        <f>U1312*T1312</f>
        <v/>
      </c>
      <c r="W1312" s="103" t="inlineStr">
        <is>
          <t>指标阈值表</t>
        </is>
      </c>
      <c r="X1312" s="103" t="inlineStr"/>
      <c r="Y1312" s="97" t="inlineStr">
        <is>
          <t>指标阈值表{ID、名称、类型、状态、创建时间、更新时间|ID、名称、类型}</t>
        </is>
      </c>
      <c r="Z1312" s="90" t="n"/>
      <c r="AA1312" s="90" t="n"/>
    </row>
    <row r="1313" s="112">
      <c r="A1313" s="72">
        <f>ROW()-1</f>
        <v/>
      </c>
      <c r="B1313" s="175" t="n"/>
      <c r="C1313" s="124" t="n">
        <v>2026</v>
      </c>
      <c r="E1313" s="103" t="n"/>
      <c r="F1313" s="175" t="n"/>
      <c r="G1313" s="175" t="n"/>
      <c r="H1313" s="175" t="n"/>
      <c r="I1313" s="103" t="inlineStr">
        <is>
          <t>导出标签配置</t>
        </is>
      </c>
      <c r="J1313" s="93" t="inlineStr">
        <is>
          <t>EO</t>
        </is>
      </c>
      <c r="K1313" s="102" t="n"/>
      <c r="L1313" s="102" t="n"/>
      <c r="M1313" s="85">
        <f>IF(OR(Y1313="估算法",Y1313="算法类",Y1313="无法识别"),"",IF(W1313="",IF(OR(J1313="EI",J1313="EO",J1313="EQ"),0,""),LEN(W1313)-LEN(SUBSTITUTE(W1313,"、",""))+1))</f>
        <v/>
      </c>
      <c r="N1313" s="85">
        <f>IF(OR(Y1313="估算法",Y1313="算法类",Y1313="无法识别"),"",IF(X1313="",IF(OR(J1313="ILF",J1313="EIF"),0,""),LEN(X1313)-LEN(SUBSTITUTE(X1313,"、",""))+1))</f>
        <v/>
      </c>
      <c r="O1313" s="85">
        <f>IF(OR(Y1313="估算法",Y1313="算法类",Y1313="无法识别"),"",IF(Y1313="",IF(OR(J1313="ILF",J1313="EIF",J1313="EI",J1313="EO",J1313="EQ"),0,""),LEN(Y1313)-LEN(SUBSTITUTE(SUBSTITUTE(SUBSTITUTE(SUBSTITUTE(SUBSTITUTE(Y1313,"|}","--"),"{|","--"),CHAR(10),""),"、",""),"|",""))+IF(AND(OR(J1313="EI",J1313="EO",J1313="EQ"),$AE$1="NESMA"),2,1)))</f>
        <v/>
      </c>
      <c r="P1313" s="86">
        <f>IF(J1313="EI",IF(OR(Y1313="估算法",Y1313="算法类"),"中",IF(Y1313="无法识别","低",IF(M1313&lt;2,IF(O1313&lt;16,"低","中"),IF(M1313&lt;3,IF(O1313&lt;5,"低",IF(O1313&lt;16,"中","高")),IF(O1313&lt;5,"中","高"))))),IF(OR(J1313="EO",J1313="EQ"),IF(OR(Y1313="估算法",Y1313="算法类"),"中",IF(Y1313="无法识别","低",IF(M1313&lt;2,IF(O1313&lt;20,"低","中"),IF(M1313&lt;4,IF(O1313&lt;6,"低",IF(O1313&lt;20,"中","高")),IF(O1313&lt;6,"中","高"))))),IF(OR(J1313="ILF",J1313="EIF"),IF(OR(Y1313="估算法",Y1313="算法类",Y1313="无法识别"),"低",IF(N1313&lt;2,IF(O1313&lt;51,"低","中"),IF(N1313&lt;6,IF(O1313&lt;20,"低",IF(O1313&lt;51,"中","高")),IF(O1313&lt;20,"中","高")))),"不计算")))</f>
        <v/>
      </c>
      <c r="Q1313" s="172">
        <f>IFERROR(IF(J1313="EI",IF(P1313="低",3,IF(P1313="中",4,6)),IF(J1313="EO",IF(P1313="低",4,IF(P1313="中",5,7)),IF(J1313="EQ",IF(P1313="低",3,IF(P1313="中",4,6)),IF(J1313="ILF",IF(P1313="低",7,IF(P1313="中",10,15)),IF(J1313="EIF",IF(P1313="低",5,IF(P1313="中",7,10)),"不计算")))))*R1313,"不计算")</f>
        <v/>
      </c>
      <c r="R1313" s="172" t="n">
        <v>1</v>
      </c>
      <c r="S1313" s="173">
        <f>调整因子!$F$13</f>
        <v/>
      </c>
      <c r="T1313" s="93" t="n">
        <v>1</v>
      </c>
      <c r="U1313" s="174">
        <f>IFERROR(Q1313*S1313,0)</f>
        <v/>
      </c>
      <c r="V1313" s="178">
        <f>U1313*T1313</f>
        <v/>
      </c>
      <c r="W1313" s="103" t="inlineStr">
        <is>
          <t>任务优先级配置表</t>
        </is>
      </c>
      <c r="X1313" s="103" t="inlineStr"/>
      <c r="Y1313" s="97" t="inlineStr">
        <is>
          <t>任务优先级配置表{任务ID、任务名称|任务ID、任务名称、任务类型、任务状态、创建时间、执行时间}</t>
        </is>
      </c>
      <c r="Z1313" s="90" t="n"/>
      <c r="AA1313" s="90" t="n"/>
    </row>
    <row r="1314" s="112">
      <c r="A1314" s="72">
        <f>ROW()-1</f>
        <v/>
      </c>
      <c r="B1314" s="175" t="n"/>
      <c r="C1314" s="124" t="n">
        <v>2026</v>
      </c>
      <c r="E1314" s="103" t="n"/>
      <c r="F1314" s="175" t="n"/>
      <c r="G1314" s="175" t="n"/>
      <c r="H1314" s="175" t="n"/>
      <c r="I1314" s="103" t="inlineStr">
        <is>
          <t>查询标签列表</t>
        </is>
      </c>
      <c r="J1314" s="93" t="inlineStr">
        <is>
          <t>EO</t>
        </is>
      </c>
      <c r="K1314" s="102" t="n"/>
      <c r="L1314" s="102" t="n"/>
      <c r="M1314" s="85">
        <f>IF(OR(Y1314="估算法",Y1314="算法类",Y1314="无法识别"),"",IF(W1314="",IF(OR(J1314="EI",J1314="EO",J1314="EQ"),0,""),LEN(W1314)-LEN(SUBSTITUTE(W1314,"、",""))+1))</f>
        <v/>
      </c>
      <c r="N1314" s="85">
        <f>IF(OR(Y1314="估算法",Y1314="算法类",Y1314="无法识别"),"",IF(X1314="",IF(OR(J1314="ILF",J1314="EIF"),0,""),LEN(X1314)-LEN(SUBSTITUTE(X1314,"、",""))+1))</f>
        <v/>
      </c>
      <c r="O1314" s="85">
        <f>IF(OR(Y1314="估算法",Y1314="算法类",Y1314="无法识别"),"",IF(Y1314="",IF(OR(J1314="ILF",J1314="EIF",J1314="EI",J1314="EO",J1314="EQ"),0,""),LEN(Y1314)-LEN(SUBSTITUTE(SUBSTITUTE(SUBSTITUTE(SUBSTITUTE(SUBSTITUTE(Y1314,"|}","--"),"{|","--"),CHAR(10),""),"、",""),"|",""))+IF(AND(OR(J1314="EI",J1314="EO",J1314="EQ"),$AE$1="NESMA"),2,1)))</f>
        <v/>
      </c>
      <c r="P1314" s="86">
        <f>IF(J1314="EI",IF(OR(Y1314="估算法",Y1314="算法类"),"中",IF(Y1314="无法识别","低",IF(M1314&lt;2,IF(O1314&lt;16,"低","中"),IF(M1314&lt;3,IF(O1314&lt;5,"低",IF(O1314&lt;16,"中","高")),IF(O1314&lt;5,"中","高"))))),IF(OR(J1314="EO",J1314="EQ"),IF(OR(Y1314="估算法",Y1314="算法类"),"中",IF(Y1314="无法识别","低",IF(M1314&lt;2,IF(O1314&lt;20,"低","中"),IF(M1314&lt;4,IF(O1314&lt;6,"低",IF(O1314&lt;20,"中","高")),IF(O1314&lt;6,"中","高"))))),IF(OR(J1314="ILF",J1314="EIF"),IF(OR(Y1314="估算法",Y1314="算法类",Y1314="无法识别"),"低",IF(N1314&lt;2,IF(O1314&lt;51,"低","中"),IF(N1314&lt;6,IF(O1314&lt;20,"低",IF(O1314&lt;51,"中","高")),IF(O1314&lt;20,"中","高")))),"不计算")))</f>
        <v/>
      </c>
      <c r="Q1314" s="172">
        <f>IFERROR(IF(J1314="EI",IF(P1314="低",3,IF(P1314="中",4,6)),IF(J1314="EO",IF(P1314="低",4,IF(P1314="中",5,7)),IF(J1314="EQ",IF(P1314="低",3,IF(P1314="中",4,6)),IF(J1314="ILF",IF(P1314="低",7,IF(P1314="中",10,15)),IF(J1314="EIF",IF(P1314="低",5,IF(P1314="中",7,10)),"不计算")))))*R1314,"不计算")</f>
        <v/>
      </c>
      <c r="R1314" s="172" t="n">
        <v>1</v>
      </c>
      <c r="S1314" s="173">
        <f>调整因子!$F$13</f>
        <v/>
      </c>
      <c r="T1314" s="93" t="n">
        <v>1</v>
      </c>
      <c r="U1314" s="174">
        <f>IFERROR(Q1314*S1314,0)</f>
        <v/>
      </c>
      <c r="V1314" s="178">
        <f>U1314*T1314</f>
        <v/>
      </c>
      <c r="W1314" s="103" t="inlineStr">
        <is>
          <t>推送对象表</t>
        </is>
      </c>
      <c r="X1314" s="103" t="inlineStr"/>
      <c r="Y1314" s="97" t="inlineStr">
        <is>
          <t>推送对象表{ID、名称|ID、名称、类型、状态、创建时间、更新时间}</t>
        </is>
      </c>
      <c r="Z1314" s="90" t="n"/>
      <c r="AA1314" s="90" t="n"/>
    </row>
    <row r="1315" s="112">
      <c r="A1315" s="72">
        <f>ROW()-1</f>
        <v/>
      </c>
      <c r="B1315" s="175" t="n"/>
      <c r="C1315" s="124" t="n">
        <v>2026</v>
      </c>
      <c r="E1315" s="103" t="n"/>
      <c r="F1315" s="175" t="n"/>
      <c r="G1315" s="175" t="n"/>
      <c r="H1315" s="176" t="n"/>
      <c r="I1315" s="103" t="inlineStr">
        <is>
          <t>查看标签详情</t>
        </is>
      </c>
      <c r="J1315" s="93" t="inlineStr">
        <is>
          <t>EQ</t>
        </is>
      </c>
      <c r="K1315" s="102" t="n"/>
      <c r="L1315" s="102" t="n"/>
      <c r="M1315" s="85">
        <f>IF(OR(Y1315="估算法",Y1315="算法类",Y1315="无法识别"),"",IF(W1315="",IF(OR(J1315="EI",J1315="EO",J1315="EQ"),0,""),LEN(W1315)-LEN(SUBSTITUTE(W1315,"、",""))+1))</f>
        <v/>
      </c>
      <c r="N1315" s="85">
        <f>IF(OR(Y1315="估算法",Y1315="算法类",Y1315="无法识别"),"",IF(X1315="",IF(OR(J1315="ILF",J1315="EIF"),0,""),LEN(X1315)-LEN(SUBSTITUTE(X1315,"、",""))+1))</f>
        <v/>
      </c>
      <c r="O1315" s="85">
        <f>IF(OR(Y1315="估算法",Y1315="算法类",Y1315="无法识别"),"",IF(Y1315="",IF(OR(J1315="ILF",J1315="EIF",J1315="EI",J1315="EO",J1315="EQ"),0,""),LEN(Y1315)-LEN(SUBSTITUTE(SUBSTITUTE(SUBSTITUTE(SUBSTITUTE(SUBSTITUTE(Y1315,"|}","--"),"{|","--"),CHAR(10),""),"、",""),"|",""))+IF(AND(OR(J1315="EI",J1315="EO",J1315="EQ"),$AE$1="NESMA"),2,1)))</f>
        <v/>
      </c>
      <c r="P1315" s="86">
        <f>IF(J1315="EI",IF(OR(Y1315="估算法",Y1315="算法类"),"中",IF(Y1315="无法识别","低",IF(M1315&lt;2,IF(O1315&lt;16,"低","中"),IF(M1315&lt;3,IF(O1315&lt;5,"低",IF(O1315&lt;16,"中","高")),IF(O1315&lt;5,"中","高"))))),IF(OR(J1315="EO",J1315="EQ"),IF(OR(Y1315="估算法",Y1315="算法类"),"中",IF(Y1315="无法识别","低",IF(M1315&lt;2,IF(O1315&lt;20,"低","中"),IF(M1315&lt;4,IF(O1315&lt;6,"低",IF(O1315&lt;20,"中","高")),IF(O1315&lt;6,"中","高"))))),IF(OR(J1315="ILF",J1315="EIF"),IF(OR(Y1315="估算法",Y1315="算法类",Y1315="无法识别"),"低",IF(N1315&lt;2,IF(O1315&lt;51,"低","中"),IF(N1315&lt;6,IF(O1315&lt;20,"低",IF(O1315&lt;51,"中","高")),IF(O1315&lt;20,"中","高")))),"不计算")))</f>
        <v/>
      </c>
      <c r="Q1315" s="172">
        <f>IFERROR(IF(J1315="EI",IF(P1315="低",3,IF(P1315="中",4,6)),IF(J1315="EO",IF(P1315="低",4,IF(P1315="中",5,7)),IF(J1315="EQ",IF(P1315="低",3,IF(P1315="中",4,6)),IF(J1315="ILF",IF(P1315="低",7,IF(P1315="中",10,15)),IF(J1315="EIF",IF(P1315="低",5,IF(P1315="中",7,10)),"不计算")))))*R1315,"不计算")</f>
        <v/>
      </c>
      <c r="R1315" s="172" t="n">
        <v>1</v>
      </c>
      <c r="S1315" s="173">
        <f>调整因子!$F$13</f>
        <v/>
      </c>
      <c r="T1315" s="92" t="n">
        <v>1</v>
      </c>
      <c r="U1315" s="174">
        <f>IFERROR(Q1315*S1315,0)</f>
        <v/>
      </c>
      <c r="V1315" s="178">
        <f>U1315*T1315</f>
        <v/>
      </c>
      <c r="W1315" s="103" t="inlineStr">
        <is>
          <t>分布分析表</t>
        </is>
      </c>
      <c r="X1315" s="103" t="inlineStr"/>
      <c r="Y1315" s="97" t="inlineStr">
        <is>
          <t>分布分析表{ID、名称|ID、名称、类型、状态、创建时间、更新时间}</t>
        </is>
      </c>
      <c r="Z1315" s="90" t="n"/>
      <c r="AA1315" s="90" t="n"/>
    </row>
    <row r="1316" s="112">
      <c r="A1316" s="72">
        <f>ROW()-1</f>
        <v/>
      </c>
      <c r="B1316" s="175" t="n"/>
      <c r="C1316" s="124" t="n">
        <v>2026</v>
      </c>
      <c r="E1316" s="103" t="n"/>
      <c r="F1316" s="175" t="n"/>
      <c r="G1316" s="175" t="n"/>
      <c r="H1316" s="97" t="inlineStr">
        <is>
          <t>知识权限配置管理</t>
        </is>
      </c>
      <c r="I1316" s="103" t="inlineStr">
        <is>
          <t>编辑知识权限</t>
        </is>
      </c>
      <c r="J1316" s="93" t="inlineStr">
        <is>
          <t>EI</t>
        </is>
      </c>
      <c r="K1316" s="102" t="n"/>
      <c r="L1316" s="102" t="n"/>
      <c r="M1316" s="85">
        <f>IF(OR(Y1316="估算法",Y1316="算法类",Y1316="无法识别"),"",IF(W1316="",IF(OR(J1316="EI",J1316="EO",J1316="EQ"),0,""),LEN(W1316)-LEN(SUBSTITUTE(W1316,"、",""))+1))</f>
        <v/>
      </c>
      <c r="N1316" s="85">
        <f>IF(OR(Y1316="估算法",Y1316="算法类",Y1316="无法识别"),"",IF(X1316="",IF(OR(J1316="ILF",J1316="EIF"),0,""),LEN(X1316)-LEN(SUBSTITUTE(X1316,"、",""))+1))</f>
        <v/>
      </c>
      <c r="O1316" s="85">
        <f>IF(OR(Y1316="估算法",Y1316="算法类",Y1316="无法识别"),"",IF(Y1316="",IF(OR(J1316="ILF",J1316="EIF",J1316="EI",J1316="EO",J1316="EQ"),0,""),LEN(Y1316)-LEN(SUBSTITUTE(SUBSTITUTE(SUBSTITUTE(SUBSTITUTE(SUBSTITUTE(Y1316,"|}","--"),"{|","--"),CHAR(10),""),"、",""),"|",""))+IF(AND(OR(J1316="EI",J1316="EO",J1316="EQ"),$AE$1="NESMA"),2,1)))</f>
        <v/>
      </c>
      <c r="P1316" s="86">
        <f>IF(J1316="EI",IF(OR(Y1316="估算法",Y1316="算法类"),"中",IF(Y1316="无法识别","低",IF(M1316&lt;2,IF(O1316&lt;16,"低","中"),IF(M1316&lt;3,IF(O1316&lt;5,"低",IF(O1316&lt;16,"中","高")),IF(O1316&lt;5,"中","高"))))),IF(OR(J1316="EO",J1316="EQ"),IF(OR(Y1316="估算法",Y1316="算法类"),"中",IF(Y1316="无法识别","低",IF(M1316&lt;2,IF(O1316&lt;20,"低","中"),IF(M1316&lt;4,IF(O1316&lt;6,"低",IF(O1316&lt;20,"中","高")),IF(O1316&lt;6,"中","高"))))),IF(OR(J1316="ILF",J1316="EIF"),IF(OR(Y1316="估算法",Y1316="算法类",Y1316="无法识别"),"低",IF(N1316&lt;2,IF(O1316&lt;51,"低","中"),IF(N1316&lt;6,IF(O1316&lt;20,"低",IF(O1316&lt;51,"中","高")),IF(O1316&lt;20,"中","高")))),"不计算")))</f>
        <v/>
      </c>
      <c r="Q1316" s="172">
        <f>IFERROR(IF(J1316="EI",IF(P1316="低",3,IF(P1316="中",4,6)),IF(J1316="EO",IF(P1316="低",4,IF(P1316="中",5,7)),IF(J1316="EQ",IF(P1316="低",3,IF(P1316="中",4,6)),IF(J1316="ILF",IF(P1316="低",7,IF(P1316="中",10,15)),IF(J1316="EIF",IF(P1316="低",5,IF(P1316="中",7,10)),"不计算")))))*R1316,"不计算")</f>
        <v/>
      </c>
      <c r="R1316" s="172" t="n">
        <v>1</v>
      </c>
      <c r="S1316" s="173">
        <f>调整因子!$F$13</f>
        <v/>
      </c>
      <c r="T1316" s="92" t="n">
        <v>1</v>
      </c>
      <c r="U1316" s="174">
        <f>IFERROR(Q1316*S1316,0)</f>
        <v/>
      </c>
      <c r="V1316" s="178">
        <f>U1316*T1316</f>
        <v/>
      </c>
      <c r="W1316" s="103" t="inlineStr">
        <is>
          <t>态势大屏配置表、同步任务调度表</t>
        </is>
      </c>
      <c r="X1316" s="103" t="inlineStr"/>
      <c r="Y1316" s="97" t="inlineStr">
        <is>
          <t>态势大屏配置表{配置ID、配置名称、配置类型、配置值、创建时间|配置ID、配置名称、配置类型}
同步任务调度表{任务ID、任务名称、任务类型、任务状态、创建时间、执行时间|任务ID、任务名称、任务类型}</t>
        </is>
      </c>
      <c r="Z1316" s="90" t="n"/>
      <c r="AA1316" s="90" t="n"/>
    </row>
    <row r="1317" s="112">
      <c r="A1317" s="72">
        <f>ROW()-1</f>
        <v/>
      </c>
      <c r="B1317" s="175" t="n"/>
      <c r="C1317" s="124" t="n">
        <v>2026</v>
      </c>
      <c r="E1317" s="103" t="n"/>
      <c r="F1317" s="175" t="n"/>
      <c r="G1317" s="175" t="n"/>
      <c r="H1317" s="175" t="n"/>
      <c r="I1317" s="103" t="inlineStr">
        <is>
          <t>删除知识权限</t>
        </is>
      </c>
      <c r="J1317" s="93" t="inlineStr">
        <is>
          <t>EI</t>
        </is>
      </c>
      <c r="K1317" s="102" t="n"/>
      <c r="L1317" s="102" t="n"/>
      <c r="M1317" s="85">
        <f>IF(OR(Y1317="估算法",Y1317="算法类",Y1317="无法识别"),"",IF(W1317="",IF(OR(J1317="EI",J1317="EO",J1317="EQ"),0,""),LEN(W1317)-LEN(SUBSTITUTE(W1317,"、",""))+1))</f>
        <v/>
      </c>
      <c r="N1317" s="85">
        <f>IF(OR(Y1317="估算法",Y1317="算法类",Y1317="无法识别"),"",IF(X1317="",IF(OR(J1317="ILF",J1317="EIF"),0,""),LEN(X1317)-LEN(SUBSTITUTE(X1317,"、",""))+1))</f>
        <v/>
      </c>
      <c r="O1317" s="85">
        <f>IF(OR(Y1317="估算法",Y1317="算法类",Y1317="无法识别"),"",IF(Y1317="",IF(OR(J1317="ILF",J1317="EIF",J1317="EI",J1317="EO",J1317="EQ"),0,""),LEN(Y1317)-LEN(SUBSTITUTE(SUBSTITUTE(SUBSTITUTE(SUBSTITUTE(SUBSTITUTE(Y1317,"|}","--"),"{|","--"),CHAR(10),""),"、",""),"|",""))+IF(AND(OR(J1317="EI",J1317="EO",J1317="EQ"),$AE$1="NESMA"),2,1)))</f>
        <v/>
      </c>
      <c r="P1317" s="86">
        <f>IF(J1317="EI",IF(OR(Y1317="估算法",Y1317="算法类"),"中",IF(Y1317="无法识别","低",IF(M1317&lt;2,IF(O1317&lt;16,"低","中"),IF(M1317&lt;3,IF(O1317&lt;5,"低",IF(O1317&lt;16,"中","高")),IF(O1317&lt;5,"中","高"))))),IF(OR(J1317="EO",J1317="EQ"),IF(OR(Y1317="估算法",Y1317="算法类"),"中",IF(Y1317="无法识别","低",IF(M1317&lt;2,IF(O1317&lt;20,"低","中"),IF(M1317&lt;4,IF(O1317&lt;6,"低",IF(O1317&lt;20,"中","高")),IF(O1317&lt;6,"中","高"))))),IF(OR(J1317="ILF",J1317="EIF"),IF(OR(Y1317="估算法",Y1317="算法类",Y1317="无法识别"),"低",IF(N1317&lt;2,IF(O1317&lt;51,"低","中"),IF(N1317&lt;6,IF(O1317&lt;20,"低",IF(O1317&lt;51,"中","高")),IF(O1317&lt;20,"中","高")))),"不计算")))</f>
        <v/>
      </c>
      <c r="Q1317" s="172">
        <f>IFERROR(IF(J1317="EI",IF(P1317="低",3,IF(P1317="中",4,6)),IF(J1317="EO",IF(P1317="低",4,IF(P1317="中",5,7)),IF(J1317="EQ",IF(P1317="低",3,IF(P1317="中",4,6)),IF(J1317="ILF",IF(P1317="低",7,IF(P1317="中",10,15)),IF(J1317="EIF",IF(P1317="低",5,IF(P1317="中",7,10)),"不计算")))))*R1317,"不计算")</f>
        <v/>
      </c>
      <c r="R1317" s="172" t="n">
        <v>0.333333333333333</v>
      </c>
      <c r="S1317" s="173">
        <f>调整因子!$F$13</f>
        <v/>
      </c>
      <c r="T1317" s="93" t="n">
        <v>1</v>
      </c>
      <c r="U1317" s="174">
        <f>IFERROR(Q1317*S1317,0)</f>
        <v/>
      </c>
      <c r="V1317" s="178">
        <f>U1317*T1317</f>
        <v/>
      </c>
      <c r="W1317" s="103" t="inlineStr">
        <is>
          <t>任务优先级配置表、接口参数表</t>
        </is>
      </c>
      <c r="X1317" s="103" t="inlineStr"/>
      <c r="Y1317" s="97" t="inlineStr">
        <is>
          <t>任务优先级配置表{任务ID、任务名称、任务类型、任务状态、创建时间、执行时间|任务ID、任务名称、任务类型}
接口参数表{接口ID、接口名称、接口类型、接口地址、调用时间|接口ID、接口名称、接口类型}</t>
        </is>
      </c>
      <c r="Z1317" s="90" t="n"/>
      <c r="AA1317" s="90" t="n"/>
    </row>
    <row r="1318" s="112">
      <c r="A1318" s="72">
        <f>ROW()-1</f>
        <v/>
      </c>
      <c r="B1318" s="175" t="n"/>
      <c r="C1318" s="124" t="n">
        <v>2026</v>
      </c>
      <c r="E1318" s="103" t="n"/>
      <c r="F1318" s="175" t="n"/>
      <c r="G1318" s="175" t="n"/>
      <c r="H1318" s="175" t="n"/>
      <c r="I1318" s="103" t="inlineStr">
        <is>
          <t>导出权限配置</t>
        </is>
      </c>
      <c r="J1318" s="93" t="inlineStr">
        <is>
          <t>EO</t>
        </is>
      </c>
      <c r="K1318" s="102" t="n"/>
      <c r="L1318" s="102" t="n"/>
      <c r="M1318" s="85">
        <f>IF(OR(Y1318="估算法",Y1318="算法类",Y1318="无法识别"),"",IF(W1318="",IF(OR(J1318="EI",J1318="EO",J1318="EQ"),0,""),LEN(W1318)-LEN(SUBSTITUTE(W1318,"、",""))+1))</f>
        <v/>
      </c>
      <c r="N1318" s="85">
        <f>IF(OR(Y1318="估算法",Y1318="算法类",Y1318="无法识别"),"",IF(X1318="",IF(OR(J1318="ILF",J1318="EIF"),0,""),LEN(X1318)-LEN(SUBSTITUTE(X1318,"、",""))+1))</f>
        <v/>
      </c>
      <c r="O1318" s="85">
        <f>IF(OR(Y1318="估算法",Y1318="算法类",Y1318="无法识别"),"",IF(Y1318="",IF(OR(J1318="ILF",J1318="EIF",J1318="EI",J1318="EO",J1318="EQ"),0,""),LEN(Y1318)-LEN(SUBSTITUTE(SUBSTITUTE(SUBSTITUTE(SUBSTITUTE(SUBSTITUTE(Y1318,"|}","--"),"{|","--"),CHAR(10),""),"、",""),"|",""))+IF(AND(OR(J1318="EI",J1318="EO",J1318="EQ"),$AE$1="NESMA"),2,1)))</f>
        <v/>
      </c>
      <c r="P1318" s="86">
        <f>IF(J1318="EI",IF(OR(Y1318="估算法",Y1318="算法类"),"中",IF(Y1318="无法识别","低",IF(M1318&lt;2,IF(O1318&lt;16,"低","中"),IF(M1318&lt;3,IF(O1318&lt;5,"低",IF(O1318&lt;16,"中","高")),IF(O1318&lt;5,"中","高"))))),IF(OR(J1318="EO",J1318="EQ"),IF(OR(Y1318="估算法",Y1318="算法类"),"中",IF(Y1318="无法识别","低",IF(M1318&lt;2,IF(O1318&lt;20,"低","中"),IF(M1318&lt;4,IF(O1318&lt;6,"低",IF(O1318&lt;20,"中","高")),IF(O1318&lt;6,"中","高"))))),IF(OR(J1318="ILF",J1318="EIF"),IF(OR(Y1318="估算法",Y1318="算法类",Y1318="无法识别"),"低",IF(N1318&lt;2,IF(O1318&lt;51,"低","中"),IF(N1318&lt;6,IF(O1318&lt;20,"低",IF(O1318&lt;51,"中","高")),IF(O1318&lt;20,"中","高")))),"不计算")))</f>
        <v/>
      </c>
      <c r="Q1318" s="172">
        <f>IFERROR(IF(J1318="EI",IF(P1318="低",3,IF(P1318="中",4,6)),IF(J1318="EO",IF(P1318="低",4,IF(P1318="中",5,7)),IF(J1318="EQ",IF(P1318="低",3,IF(P1318="中",4,6)),IF(J1318="ILF",IF(P1318="低",7,IF(P1318="中",10,15)),IF(J1318="EIF",IF(P1318="低",5,IF(P1318="中",7,10)),"不计算")))))*R1318,"不计算")</f>
        <v/>
      </c>
      <c r="R1318" s="172" t="n">
        <v>1</v>
      </c>
      <c r="S1318" s="173">
        <f>调整因子!$F$13</f>
        <v/>
      </c>
      <c r="T1318" s="92" t="n">
        <v>1</v>
      </c>
      <c r="U1318" s="174">
        <f>IFERROR(Q1318*S1318,0)</f>
        <v/>
      </c>
      <c r="V1318" s="178">
        <f>U1318*T1318</f>
        <v/>
      </c>
      <c r="W1318" s="103" t="inlineStr">
        <is>
          <t>任务优先级配置表</t>
        </is>
      </c>
      <c r="X1318" s="103" t="inlineStr"/>
      <c r="Y1318" s="97" t="inlineStr">
        <is>
          <t>任务优先级配置表{任务ID、任务名称|任务ID、任务名称、任务类型、任务状态、创建时间、执行时间}</t>
        </is>
      </c>
      <c r="Z1318" s="90" t="n"/>
      <c r="AA1318" s="90" t="n"/>
    </row>
    <row r="1319" s="112">
      <c r="A1319" s="72">
        <f>ROW()-1</f>
        <v/>
      </c>
      <c r="B1319" s="175" t="n"/>
      <c r="C1319" s="124" t="n">
        <v>2026</v>
      </c>
      <c r="E1319" s="103" t="n"/>
      <c r="F1319" s="175" t="n"/>
      <c r="G1319" s="175" t="n"/>
      <c r="H1319" s="175" t="n"/>
      <c r="I1319" s="103" t="inlineStr">
        <is>
          <t>查询权限配置</t>
        </is>
      </c>
      <c r="J1319" s="93" t="inlineStr">
        <is>
          <t>EQ</t>
        </is>
      </c>
      <c r="K1319" s="102" t="n"/>
      <c r="L1319" s="102" t="n"/>
      <c r="M1319" s="85">
        <f>IF(OR(Y1319="估算法",Y1319="算法类",Y1319="无法识别"),"",IF(W1319="",IF(OR(J1319="EI",J1319="EO",J1319="EQ"),0,""),LEN(W1319)-LEN(SUBSTITUTE(W1319,"、",""))+1))</f>
        <v/>
      </c>
      <c r="N1319" s="85">
        <f>IF(OR(Y1319="估算法",Y1319="算法类",Y1319="无法识别"),"",IF(X1319="",IF(OR(J1319="ILF",J1319="EIF"),0,""),LEN(X1319)-LEN(SUBSTITUTE(X1319,"、",""))+1))</f>
        <v/>
      </c>
      <c r="O1319" s="85">
        <f>IF(OR(Y1319="估算法",Y1319="算法类",Y1319="无法识别"),"",IF(Y1319="",IF(OR(J1319="ILF",J1319="EIF",J1319="EI",J1319="EO",J1319="EQ"),0,""),LEN(Y1319)-LEN(SUBSTITUTE(SUBSTITUTE(SUBSTITUTE(SUBSTITUTE(SUBSTITUTE(Y1319,"|}","--"),"{|","--"),CHAR(10),""),"、",""),"|",""))+IF(AND(OR(J1319="EI",J1319="EO",J1319="EQ"),$AE$1="NESMA"),2,1)))</f>
        <v/>
      </c>
      <c r="P1319" s="86">
        <f>IF(J1319="EI",IF(OR(Y1319="估算法",Y1319="算法类"),"中",IF(Y1319="无法识别","低",IF(M1319&lt;2,IF(O1319&lt;16,"低","中"),IF(M1319&lt;3,IF(O1319&lt;5,"低",IF(O1319&lt;16,"中","高")),IF(O1319&lt;5,"中","高"))))),IF(OR(J1319="EO",J1319="EQ"),IF(OR(Y1319="估算法",Y1319="算法类"),"中",IF(Y1319="无法识别","低",IF(M1319&lt;2,IF(O1319&lt;20,"低","中"),IF(M1319&lt;4,IF(O1319&lt;6,"低",IF(O1319&lt;20,"中","高")),IF(O1319&lt;6,"中","高"))))),IF(OR(J1319="ILF",J1319="EIF"),IF(OR(Y1319="估算法",Y1319="算法类",Y1319="无法识别"),"低",IF(N1319&lt;2,IF(O1319&lt;51,"低","中"),IF(N1319&lt;6,IF(O1319&lt;20,"低",IF(O1319&lt;51,"中","高")),IF(O1319&lt;20,"中","高")))),"不计算")))</f>
        <v/>
      </c>
      <c r="Q1319" s="172">
        <f>IFERROR(IF(J1319="EI",IF(P1319="低",3,IF(P1319="中",4,6)),IF(J1319="EO",IF(P1319="低",4,IF(P1319="中",5,7)),IF(J1319="EQ",IF(P1319="低",3,IF(P1319="中",4,6)),IF(J1319="ILF",IF(P1319="低",7,IF(P1319="中",10,15)),IF(J1319="EIF",IF(P1319="低",5,IF(P1319="中",7,10)),"不计算")))))*R1319,"不计算")</f>
        <v/>
      </c>
      <c r="R1319" s="172" t="n">
        <v>1</v>
      </c>
      <c r="S1319" s="173">
        <f>调整因子!$F$13</f>
        <v/>
      </c>
      <c r="T1319" s="92" t="n">
        <v>1</v>
      </c>
      <c r="U1319" s="174">
        <f>IFERROR(Q1319*S1319,0)</f>
        <v/>
      </c>
      <c r="V1319" s="178">
        <f>U1319*T1319</f>
        <v/>
      </c>
      <c r="W1319" s="103" t="inlineStr">
        <is>
          <t>任务优先级配置表</t>
        </is>
      </c>
      <c r="X1319" s="103" t="inlineStr"/>
      <c r="Y1319" s="97" t="inlineStr">
        <is>
          <t>任务优先级配置表{任务ID、任务名称|任务ID、任务名称、任务类型、任务状态、创建时间、执行时间}</t>
        </is>
      </c>
      <c r="Z1319" s="90" t="n"/>
      <c r="AA1319" s="90" t="n"/>
    </row>
    <row r="1320" s="112">
      <c r="A1320" s="72">
        <f>ROW()-1</f>
        <v/>
      </c>
      <c r="B1320" s="175" t="n"/>
      <c r="C1320" s="124" t="n">
        <v>2026</v>
      </c>
      <c r="E1320" s="103" t="n"/>
      <c r="F1320" s="176" t="n"/>
      <c r="G1320" s="176" t="n"/>
      <c r="H1320" s="176" t="n"/>
      <c r="I1320" s="103" t="inlineStr">
        <is>
          <t>查看权限详情</t>
        </is>
      </c>
      <c r="J1320" s="93" t="inlineStr">
        <is>
          <t>EQ</t>
        </is>
      </c>
      <c r="K1320" s="102" t="n"/>
      <c r="L1320" s="102" t="n"/>
      <c r="M1320" s="85">
        <f>IF(OR(Y1320="估算法",Y1320="算法类",Y1320="无法识别"),"",IF(W1320="",IF(OR(J1320="EI",J1320="EO",J1320="EQ"),0,""),LEN(W1320)-LEN(SUBSTITUTE(W1320,"、",""))+1))</f>
        <v/>
      </c>
      <c r="N1320" s="85">
        <f>IF(OR(Y1320="估算法",Y1320="算法类",Y1320="无法识别"),"",IF(X1320="",IF(OR(J1320="ILF",J1320="EIF"),0,""),LEN(X1320)-LEN(SUBSTITUTE(X1320,"、",""))+1))</f>
        <v/>
      </c>
      <c r="O1320" s="85">
        <f>IF(OR(Y1320="估算法",Y1320="算法类",Y1320="无法识别"),"",IF(Y1320="",IF(OR(J1320="ILF",J1320="EIF",J1320="EI",J1320="EO",J1320="EQ"),0,""),LEN(Y1320)-LEN(SUBSTITUTE(SUBSTITUTE(SUBSTITUTE(SUBSTITUTE(SUBSTITUTE(Y1320,"|}","--"),"{|","--"),CHAR(10),""),"、",""),"|",""))+IF(AND(OR(J1320="EI",J1320="EO",J1320="EQ"),$AE$1="NESMA"),2,1)))</f>
        <v/>
      </c>
      <c r="P1320" s="86">
        <f>IF(J1320="EI",IF(OR(Y1320="估算法",Y1320="算法类"),"中",IF(Y1320="无法识别","低",IF(M1320&lt;2,IF(O1320&lt;16,"低","中"),IF(M1320&lt;3,IF(O1320&lt;5,"低",IF(O1320&lt;16,"中","高")),IF(O1320&lt;5,"中","高"))))),IF(OR(J1320="EO",J1320="EQ"),IF(OR(Y1320="估算法",Y1320="算法类"),"中",IF(Y1320="无法识别","低",IF(M1320&lt;2,IF(O1320&lt;20,"低","中"),IF(M1320&lt;4,IF(O1320&lt;6,"低",IF(O1320&lt;20,"中","高")),IF(O1320&lt;6,"中","高"))))),IF(OR(J1320="ILF",J1320="EIF"),IF(OR(Y1320="估算法",Y1320="算法类",Y1320="无法识别"),"低",IF(N1320&lt;2,IF(O1320&lt;51,"低","中"),IF(N1320&lt;6,IF(O1320&lt;20,"低",IF(O1320&lt;51,"中","高")),IF(O1320&lt;20,"中","高")))),"不计算")))</f>
        <v/>
      </c>
      <c r="Q1320" s="172">
        <f>IFERROR(IF(J1320="EI",IF(P1320="低",3,IF(P1320="中",4,6)),IF(J1320="EO",IF(P1320="低",4,IF(P1320="中",5,7)),IF(J1320="EQ",IF(P1320="低",3,IF(P1320="中",4,6)),IF(J1320="ILF",IF(P1320="低",7,IF(P1320="中",10,15)),IF(J1320="EIF",IF(P1320="低",5,IF(P1320="中",7,10)),"不计算")))))*R1320,"不计算")</f>
        <v/>
      </c>
      <c r="R1320" s="172" t="n">
        <v>1</v>
      </c>
      <c r="S1320" s="173">
        <f>调整因子!$F$13</f>
        <v/>
      </c>
      <c r="T1320" s="93" t="n">
        <v>1</v>
      </c>
      <c r="U1320" s="174">
        <f>IFERROR(Q1320*S1320,0)</f>
        <v/>
      </c>
      <c r="V1320" s="178">
        <f>U1320*T1320</f>
        <v/>
      </c>
      <c r="W1320" s="103" t="inlineStr">
        <is>
          <t>任务优先级配置表、验证记录表</t>
        </is>
      </c>
      <c r="X1320" s="103" t="inlineStr"/>
      <c r="Y1320" s="97" t="inlineStr">
        <is>
          <t>任务优先级配置表{任务ID、任务名称|任务ID、任务名称、任务类型、任务状态、创建时间}
验证记录表{ID、名称|ID、名称、类型、状态、创建时间}</t>
        </is>
      </c>
      <c r="Z1320" s="90" t="n"/>
      <c r="AA1320" s="90" t="n"/>
    </row>
    <row r="1321" s="112">
      <c r="A1321" s="72">
        <f>ROW()-1</f>
        <v/>
      </c>
      <c r="B1321" s="175" t="n"/>
      <c r="C1321" s="124" t="n">
        <v>2026</v>
      </c>
      <c r="E1321" s="103" t="n"/>
      <c r="F1321" s="97" t="inlineStr">
        <is>
          <t>漏洞闭环处置</t>
        </is>
      </c>
      <c r="G1321" s="97" t="inlineStr">
        <is>
          <t>多源漏洞数据统一汇聚</t>
        </is>
      </c>
      <c r="H1321" s="97" t="inlineStr">
        <is>
          <t>处置单创建管理</t>
        </is>
      </c>
      <c r="I1321" s="103" t="inlineStr">
        <is>
          <t>漏洞处置单表</t>
        </is>
      </c>
      <c r="J1321" s="93" t="inlineStr">
        <is>
          <t>ILF</t>
        </is>
      </c>
      <c r="K1321" s="102" t="n"/>
      <c r="L1321" s="102" t="n"/>
      <c r="M1321" s="85">
        <f>IF(OR(Y1321="估算法",Y1321="算法类",Y1321="无法识别"),"",IF(W1321="",IF(OR(J1321="EI",J1321="EO",J1321="EQ"),0,""),LEN(W1321)-LEN(SUBSTITUTE(W1321,"、",""))+1))</f>
        <v/>
      </c>
      <c r="N1321" s="85">
        <f>IF(OR(Y1321="估算法",Y1321="算法类",Y1321="无法识别"),"",IF(X1321="",IF(OR(J1321="ILF",J1321="EIF"),0,""),LEN(X1321)-LEN(SUBSTITUTE(X1321,"、",""))+1))</f>
        <v/>
      </c>
      <c r="O1321" s="85">
        <f>IF(OR(Y1321="估算法",Y1321="算法类",Y1321="无法识别"),"",IF(Y1321="",IF(OR(J1321="ILF",J1321="EIF",J1321="EI",J1321="EO",J1321="EQ"),0,""),LEN(Y1321)-LEN(SUBSTITUTE(SUBSTITUTE(SUBSTITUTE(SUBSTITUTE(SUBSTITUTE(Y1321,"|}","--"),"{|","--"),CHAR(10),""),"、",""),"|",""))+IF(AND(OR(J1321="EI",J1321="EO",J1321="EQ"),$AE$1="NESMA"),2,1)))</f>
        <v/>
      </c>
      <c r="P1321" s="86">
        <f>IF(J1321="EI",IF(OR(Y1321="估算法",Y1321="算法类"),"中",IF(Y1321="无法识别","低",IF(M1321&lt;2,IF(O1321&lt;16,"低","中"),IF(M1321&lt;3,IF(O1321&lt;5,"低",IF(O1321&lt;16,"中","高")),IF(O1321&lt;5,"中","高"))))),IF(OR(J1321="EO",J1321="EQ"),IF(OR(Y1321="估算法",Y1321="算法类"),"中",IF(Y1321="无法识别","低",IF(M1321&lt;2,IF(O1321&lt;20,"低","中"),IF(M1321&lt;4,IF(O1321&lt;6,"低",IF(O1321&lt;20,"中","高")),IF(O1321&lt;6,"中","高"))))),IF(OR(J1321="ILF",J1321="EIF"),IF(OR(Y1321="估算法",Y1321="算法类",Y1321="无法识别"),"低",IF(N1321&lt;2,IF(O1321&lt;51,"低","中"),IF(N1321&lt;6,IF(O1321&lt;20,"低",IF(O1321&lt;51,"中","高")),IF(O1321&lt;20,"中","高")))),"不计算")))</f>
        <v/>
      </c>
      <c r="Q1321" s="172">
        <f>IFERROR(IF(J1321="EI",IF(P1321="低",3,IF(P1321="中",4,6)),IF(J1321="EO",IF(P1321="低",4,IF(P1321="中",5,7)),IF(J1321="EQ",IF(P1321="低",3,IF(P1321="中",4,6)),IF(J1321="ILF",IF(P1321="低",7,IF(P1321="中",10,15)),IF(J1321="EIF",IF(P1321="低",5,IF(P1321="中",7,10)),"不计算")))))*R1321,"不计算")</f>
        <v/>
      </c>
      <c r="R1321" s="172" t="n">
        <v>1</v>
      </c>
      <c r="S1321" s="173">
        <f>调整因子!$F$13</f>
        <v/>
      </c>
      <c r="T1321" s="93" t="n">
        <v>1</v>
      </c>
      <c r="U1321" s="174">
        <f>IFERROR(Q1321*S1321,0)</f>
        <v/>
      </c>
      <c r="V1321" s="178">
        <f>U1321*T1321</f>
        <v/>
      </c>
      <c r="W1321" s="103" t="inlineStr"/>
      <c r="X1321" s="103" t="inlineStr">
        <is>
          <t>系统漏洞、Web漏洞</t>
        </is>
      </c>
      <c r="Y1321" s="97" t="inlineStr">
        <is>
          <t>漏洞处置单表{漏洞ID、漏洞名称、漏洞等级|漏洞ID、漏洞名称、漏洞等级、漏洞类型、CVE编号、发现时间、修复状态}</t>
        </is>
      </c>
      <c r="Z1321" s="90">
        <f>IF(COUNTIFS(W:W,"*"&amp;I1321&amp;"*")&gt;0,"存在","不存在")</f>
        <v/>
      </c>
      <c r="AA1321" s="90">
        <f>IF(COUNTIFS(AB:AB,"*"&amp;I1321&amp;"*")&gt;0,"存在","不存在")</f>
        <v/>
      </c>
    </row>
    <row r="1322" s="112">
      <c r="A1322" s="72">
        <f>ROW()-1</f>
        <v/>
      </c>
      <c r="B1322" s="175" t="n"/>
      <c r="C1322" s="124" t="n">
        <v>2026</v>
      </c>
      <c r="E1322" s="103" t="n"/>
      <c r="F1322" s="175" t="n"/>
      <c r="G1322" s="175" t="n"/>
      <c r="H1322" s="175" t="n"/>
      <c r="I1322" s="103" t="inlineStr">
        <is>
          <t>处置单配置表</t>
        </is>
      </c>
      <c r="J1322" s="93" t="inlineStr">
        <is>
          <t>ILF</t>
        </is>
      </c>
      <c r="K1322" s="102" t="n"/>
      <c r="L1322" s="102" t="n"/>
      <c r="M1322" s="85">
        <f>IF(OR(Y1322="估算法",Y1322="算法类",Y1322="无法识别"),"",IF(W1322="",IF(OR(J1322="EI",J1322="EO",J1322="EQ"),0,""),LEN(W1322)-LEN(SUBSTITUTE(W1322,"、",""))+1))</f>
        <v/>
      </c>
      <c r="N1322" s="85">
        <f>IF(OR(Y1322="估算法",Y1322="算法类",Y1322="无法识别"),"",IF(X1322="",IF(OR(J1322="ILF",J1322="EIF"),0,""),LEN(X1322)-LEN(SUBSTITUTE(X1322,"、",""))+1))</f>
        <v/>
      </c>
      <c r="O1322" s="85">
        <f>IF(OR(Y1322="估算法",Y1322="算法类",Y1322="无法识别"),"",IF(Y1322="",IF(OR(J1322="ILF",J1322="EIF",J1322="EI",J1322="EO",J1322="EQ"),0,""),LEN(Y1322)-LEN(SUBSTITUTE(SUBSTITUTE(SUBSTITUTE(SUBSTITUTE(SUBSTITUTE(Y1322,"|}","--"),"{|","--"),CHAR(10),""),"、",""),"|",""))+IF(AND(OR(J1322="EI",J1322="EO",J1322="EQ"),$AE$1="NESMA"),2,1)))</f>
        <v/>
      </c>
      <c r="P1322" s="86">
        <f>IF(J1322="EI",IF(OR(Y1322="估算法",Y1322="算法类"),"中",IF(Y1322="无法识别","低",IF(M1322&lt;2,IF(O1322&lt;16,"低","中"),IF(M1322&lt;3,IF(O1322&lt;5,"低",IF(O1322&lt;16,"中","高")),IF(O1322&lt;5,"中","高"))))),IF(OR(J1322="EO",J1322="EQ"),IF(OR(Y1322="估算法",Y1322="算法类"),"中",IF(Y1322="无法识别","低",IF(M1322&lt;2,IF(O1322&lt;20,"低","中"),IF(M1322&lt;4,IF(O1322&lt;6,"低",IF(O1322&lt;20,"中","高")),IF(O1322&lt;6,"中","高"))))),IF(OR(J1322="ILF",J1322="EIF"),IF(OR(Y1322="估算法",Y1322="算法类",Y1322="无法识别"),"低",IF(N1322&lt;2,IF(O1322&lt;51,"低","中"),IF(N1322&lt;6,IF(O1322&lt;20,"低",IF(O1322&lt;51,"中","高")),IF(O1322&lt;20,"中","高")))),"不计算")))</f>
        <v/>
      </c>
      <c r="Q1322" s="172">
        <f>IFERROR(IF(J1322="EI",IF(P1322="低",3,IF(P1322="中",4,6)),IF(J1322="EO",IF(P1322="低",4,IF(P1322="中",5,7)),IF(J1322="EQ",IF(P1322="低",3,IF(P1322="中",4,6)),IF(J1322="ILF",IF(P1322="低",7,IF(P1322="中",10,15)),IF(J1322="EIF",IF(P1322="低",5,IF(P1322="中",7,10)),"不计算")))))*R1322,"不计算")</f>
        <v/>
      </c>
      <c r="R1322" s="172" t="n">
        <v>1</v>
      </c>
      <c r="S1322" s="173">
        <f>调整因子!$F$13</f>
        <v/>
      </c>
      <c r="T1322" s="92" t="n">
        <v>1</v>
      </c>
      <c r="U1322" s="174">
        <f>IFERROR(Q1322*S1322,0)</f>
        <v/>
      </c>
      <c r="V1322" s="178">
        <f>U1322*T1322</f>
        <v/>
      </c>
      <c r="W1322" s="103" t="inlineStr"/>
      <c r="X1322" s="103" t="inlineStr">
        <is>
          <t>配置项</t>
        </is>
      </c>
      <c r="Y1322" s="97" t="inlineStr">
        <is>
          <t>处置单配置表{配置ID、配置名称、配置类型|配置ID、配置名称、配置类型、配置值、创建时间}</t>
        </is>
      </c>
      <c r="Z1322" s="90">
        <f>IF(COUNTIFS(W:W,"*"&amp;I1322&amp;"*")&gt;0,"存在","不存在")</f>
        <v/>
      </c>
      <c r="AA1322" s="90">
        <f>IF(COUNTIFS(AB:AB,"*"&amp;I1322&amp;"*")&gt;0,"存在","不存在")</f>
        <v/>
      </c>
    </row>
    <row r="1323" s="112">
      <c r="A1323" s="72">
        <f>ROW()-1</f>
        <v/>
      </c>
      <c r="B1323" s="175" t="n"/>
      <c r="C1323" s="124" t="n">
        <v>2026</v>
      </c>
      <c r="E1323" s="103" t="n"/>
      <c r="F1323" s="175" t="n"/>
      <c r="G1323" s="175" t="n"/>
      <c r="H1323" s="175" t="n"/>
      <c r="I1323" s="103" t="inlineStr">
        <is>
          <t>处置单关联表</t>
        </is>
      </c>
      <c r="J1323" s="93" t="inlineStr">
        <is>
          <t>ILF</t>
        </is>
      </c>
      <c r="K1323" s="102" t="n"/>
      <c r="L1323" s="102" t="n"/>
      <c r="M1323" s="85">
        <f>IF(OR(Y1323="估算法",Y1323="算法类",Y1323="无法识别"),"",IF(W1323="",IF(OR(J1323="EI",J1323="EO",J1323="EQ"),0,""),LEN(W1323)-LEN(SUBSTITUTE(W1323,"、",""))+1))</f>
        <v/>
      </c>
      <c r="N1323" s="85">
        <f>IF(OR(Y1323="估算法",Y1323="算法类",Y1323="无法识别"),"",IF(X1323="",IF(OR(J1323="ILF",J1323="EIF"),0,""),LEN(X1323)-LEN(SUBSTITUTE(X1323,"、",""))+1))</f>
        <v/>
      </c>
      <c r="O1323" s="85">
        <f>IF(OR(Y1323="估算法",Y1323="算法类",Y1323="无法识别"),"",IF(Y1323="",IF(OR(J1323="ILF",J1323="EIF",J1323="EI",J1323="EO",J1323="EQ"),0,""),LEN(Y1323)-LEN(SUBSTITUTE(SUBSTITUTE(SUBSTITUTE(SUBSTITUTE(SUBSTITUTE(Y1323,"|}","--"),"{|","--"),CHAR(10),""),"、",""),"|",""))+IF(AND(OR(J1323="EI",J1323="EO",J1323="EQ"),$AE$1="NESMA"),2,1)))</f>
        <v/>
      </c>
      <c r="P1323" s="86">
        <f>IF(J1323="EI",IF(OR(Y1323="估算法",Y1323="算法类"),"中",IF(Y1323="无法识别","低",IF(M1323&lt;2,IF(O1323&lt;16,"低","中"),IF(M1323&lt;3,IF(O1323&lt;5,"低",IF(O1323&lt;16,"中","高")),IF(O1323&lt;5,"中","高"))))),IF(OR(J1323="EO",J1323="EQ"),IF(OR(Y1323="估算法",Y1323="算法类"),"中",IF(Y1323="无法识别","低",IF(M1323&lt;2,IF(O1323&lt;20,"低","中"),IF(M1323&lt;4,IF(O1323&lt;6,"低",IF(O1323&lt;20,"中","高")),IF(O1323&lt;6,"中","高"))))),IF(OR(J1323="ILF",J1323="EIF"),IF(OR(Y1323="估算法",Y1323="算法类",Y1323="无法识别"),"低",IF(N1323&lt;2,IF(O1323&lt;51,"低","中"),IF(N1323&lt;6,IF(O1323&lt;20,"低",IF(O1323&lt;51,"中","高")),IF(O1323&lt;20,"中","高")))),"不计算")))</f>
        <v/>
      </c>
      <c r="Q1323" s="172">
        <f>IFERROR(IF(J1323="EI",IF(P1323="低",3,IF(P1323="中",4,6)),IF(J1323="EO",IF(P1323="低",4,IF(P1323="中",5,7)),IF(J1323="EQ",IF(P1323="低",3,IF(P1323="中",4,6)),IF(J1323="ILF",IF(P1323="低",7,IF(P1323="中",10,15)),IF(J1323="EIF",IF(P1323="低",5,IF(P1323="中",7,10)),"不计算")))))*R1323,"不计算")</f>
        <v/>
      </c>
      <c r="R1323" s="172" t="n">
        <v>1</v>
      </c>
      <c r="S1323" s="173">
        <f>调整因子!$F$13</f>
        <v/>
      </c>
      <c r="T1323" s="92" t="n">
        <v>1</v>
      </c>
      <c r="U1323" s="174">
        <f>IFERROR(Q1323*S1323,0)</f>
        <v/>
      </c>
      <c r="V1323" s="178">
        <f>U1323*T1323</f>
        <v/>
      </c>
      <c r="W1323" s="103" t="inlineStr"/>
      <c r="X1323" s="103" t="inlineStr">
        <is>
          <t>数据记录</t>
        </is>
      </c>
      <c r="Y1323" s="97" t="inlineStr">
        <is>
          <t>处置单关联表{ID、名称、类型|ID、名称、类型、状态、创建时间、更新时间}</t>
        </is>
      </c>
      <c r="Z1323" s="90">
        <f>IF(COUNTIFS(W:W,"*"&amp;I1323&amp;"*")&gt;0,"存在","不存在")</f>
        <v/>
      </c>
      <c r="AA1323" s="90">
        <f>IF(COUNTIFS(AB:AB,"*"&amp;I1323&amp;"*")&gt;0,"存在","不存在")</f>
        <v/>
      </c>
    </row>
    <row r="1324" s="112">
      <c r="A1324" s="72">
        <f>ROW()-1</f>
        <v/>
      </c>
      <c r="B1324" s="175" t="n"/>
      <c r="C1324" s="124" t="n">
        <v>2026</v>
      </c>
      <c r="E1324" s="103" t="n"/>
      <c r="F1324" s="175" t="n"/>
      <c r="G1324" s="175" t="n"/>
      <c r="H1324" s="175" t="n"/>
      <c r="I1324" s="103" t="inlineStr">
        <is>
          <t>编辑处置单</t>
        </is>
      </c>
      <c r="J1324" s="93" t="inlineStr">
        <is>
          <t>EI</t>
        </is>
      </c>
      <c r="K1324" s="102" t="n"/>
      <c r="L1324" s="102" t="n"/>
      <c r="M1324" s="85">
        <f>IF(OR(Y1324="估算法",Y1324="算法类",Y1324="无法识别"),"",IF(W1324="",IF(OR(J1324="EI",J1324="EO",J1324="EQ"),0,""),LEN(W1324)-LEN(SUBSTITUTE(W1324,"、",""))+1))</f>
        <v/>
      </c>
      <c r="N1324" s="85">
        <f>IF(OR(Y1324="估算法",Y1324="算法类",Y1324="无法识别"),"",IF(X1324="",IF(OR(J1324="ILF",J1324="EIF"),0,""),LEN(X1324)-LEN(SUBSTITUTE(X1324,"、",""))+1))</f>
        <v/>
      </c>
      <c r="O1324" s="85">
        <f>IF(OR(Y1324="估算法",Y1324="算法类",Y1324="无法识别"),"",IF(Y1324="",IF(OR(J1324="ILF",J1324="EIF",J1324="EI",J1324="EO",J1324="EQ"),0,""),LEN(Y1324)-LEN(SUBSTITUTE(SUBSTITUTE(SUBSTITUTE(SUBSTITUTE(SUBSTITUTE(Y1324,"|}","--"),"{|","--"),CHAR(10),""),"、",""),"|",""))+IF(AND(OR(J1324="EI",J1324="EO",J1324="EQ"),$AE$1="NESMA"),2,1)))</f>
        <v/>
      </c>
      <c r="P1324" s="86">
        <f>IF(J1324="EI",IF(OR(Y1324="估算法",Y1324="算法类"),"中",IF(Y1324="无法识别","低",IF(M1324&lt;2,IF(O1324&lt;16,"低","中"),IF(M1324&lt;3,IF(O1324&lt;5,"低",IF(O1324&lt;16,"中","高")),IF(O1324&lt;5,"中","高"))))),IF(OR(J1324="EO",J1324="EQ"),IF(OR(Y1324="估算法",Y1324="算法类"),"中",IF(Y1324="无法识别","低",IF(M1324&lt;2,IF(O1324&lt;20,"低","中"),IF(M1324&lt;4,IF(O1324&lt;6,"低",IF(O1324&lt;20,"中","高")),IF(O1324&lt;6,"中","高"))))),IF(OR(J1324="ILF",J1324="EIF"),IF(OR(Y1324="估算法",Y1324="算法类",Y1324="无法识别"),"低",IF(N1324&lt;2,IF(O1324&lt;51,"低","中"),IF(N1324&lt;6,IF(O1324&lt;20,"低",IF(O1324&lt;51,"中","高")),IF(O1324&lt;20,"中","高")))),"不计算")))</f>
        <v/>
      </c>
      <c r="Q1324" s="172">
        <f>IFERROR(IF(J1324="EI",IF(P1324="低",3,IF(P1324="中",4,6)),IF(J1324="EO",IF(P1324="低",4,IF(P1324="中",5,7)),IF(J1324="EQ",IF(P1324="低",3,IF(P1324="中",4,6)),IF(J1324="ILF",IF(P1324="低",7,IF(P1324="中",10,15)),IF(J1324="EIF",IF(P1324="低",5,IF(P1324="中",7,10)),"不计算")))))*R1324,"不计算")</f>
        <v/>
      </c>
      <c r="R1324" s="172" t="n">
        <v>1</v>
      </c>
      <c r="S1324" s="173">
        <f>调整因子!$F$13</f>
        <v/>
      </c>
      <c r="T1324" s="93" t="n">
        <v>1</v>
      </c>
      <c r="U1324" s="174">
        <f>IFERROR(Q1324*S1324,0)</f>
        <v/>
      </c>
      <c r="V1324" s="178">
        <f>U1324*T1324</f>
        <v/>
      </c>
      <c r="W1324" s="103" t="inlineStr">
        <is>
          <t>考核指标配置表、任务趋势分析表</t>
        </is>
      </c>
      <c r="X1324" s="103" t="inlineStr"/>
      <c r="Y1324" s="97" t="inlineStr">
        <is>
          <t>考核指标配置表{配置ID、配置名称、配置类型、配置值、创建时间|配置ID、配置名称、配置类型}
任务趋势分析表{任务ID、任务名称、任务类型、任务状态、创建时间、执行时间|任务ID、任务名称、任务类型}</t>
        </is>
      </c>
      <c r="Z1324" s="90" t="n"/>
      <c r="AA1324" s="90" t="n"/>
    </row>
    <row r="1325" s="112">
      <c r="A1325" s="72">
        <f>ROW()-1</f>
        <v/>
      </c>
      <c r="B1325" s="175" t="n"/>
      <c r="C1325" s="124" t="n">
        <v>2026</v>
      </c>
      <c r="E1325" s="103" t="n"/>
      <c r="F1325" s="175" t="n"/>
      <c r="G1325" s="175" t="n"/>
      <c r="H1325" s="175" t="n"/>
      <c r="I1325" s="103" t="inlineStr">
        <is>
          <t>删除处置单</t>
        </is>
      </c>
      <c r="J1325" s="93" t="inlineStr">
        <is>
          <t>EI</t>
        </is>
      </c>
      <c r="K1325" s="102" t="n"/>
      <c r="L1325" s="102" t="n"/>
      <c r="M1325" s="85">
        <f>IF(OR(Y1325="估算法",Y1325="算法类",Y1325="无法识别"),"",IF(W1325="",IF(OR(J1325="EI",J1325="EO",J1325="EQ"),0,""),LEN(W1325)-LEN(SUBSTITUTE(W1325,"、",""))+1))</f>
        <v/>
      </c>
      <c r="N1325" s="85">
        <f>IF(OR(Y1325="估算法",Y1325="算法类",Y1325="无法识别"),"",IF(X1325="",IF(OR(J1325="ILF",J1325="EIF"),0,""),LEN(X1325)-LEN(SUBSTITUTE(X1325,"、",""))+1))</f>
        <v/>
      </c>
      <c r="O1325" s="85">
        <f>IF(OR(Y1325="估算法",Y1325="算法类",Y1325="无法识别"),"",IF(Y1325="",IF(OR(J1325="ILF",J1325="EIF",J1325="EI",J1325="EO",J1325="EQ"),0,""),LEN(Y1325)-LEN(SUBSTITUTE(SUBSTITUTE(SUBSTITUTE(SUBSTITUTE(SUBSTITUTE(Y1325,"|}","--"),"{|","--"),CHAR(10),""),"、",""),"|",""))+IF(AND(OR(J1325="EI",J1325="EO",J1325="EQ"),$AE$1="NESMA"),2,1)))</f>
        <v/>
      </c>
      <c r="P1325" s="86">
        <f>IF(J1325="EI",IF(OR(Y1325="估算法",Y1325="算法类"),"中",IF(Y1325="无法识别","低",IF(M1325&lt;2,IF(O1325&lt;16,"低","中"),IF(M1325&lt;3,IF(O1325&lt;5,"低",IF(O1325&lt;16,"中","高")),IF(O1325&lt;5,"中","高"))))),IF(OR(J1325="EO",J1325="EQ"),IF(OR(Y1325="估算法",Y1325="算法类"),"中",IF(Y1325="无法识别","低",IF(M1325&lt;2,IF(O1325&lt;20,"低","中"),IF(M1325&lt;4,IF(O1325&lt;6,"低",IF(O1325&lt;20,"中","高")),IF(O1325&lt;6,"中","高"))))),IF(OR(J1325="ILF",J1325="EIF"),IF(OR(Y1325="估算法",Y1325="算法类",Y1325="无法识别"),"低",IF(N1325&lt;2,IF(O1325&lt;51,"低","中"),IF(N1325&lt;6,IF(O1325&lt;20,"低",IF(O1325&lt;51,"中","高")),IF(O1325&lt;20,"中","高")))),"不计算")))</f>
        <v/>
      </c>
      <c r="Q1325" s="172">
        <f>IFERROR(IF(J1325="EI",IF(P1325="低",3,IF(P1325="中",4,6)),IF(J1325="EO",IF(P1325="低",4,IF(P1325="中",5,7)),IF(J1325="EQ",IF(P1325="低",3,IF(P1325="中",4,6)),IF(J1325="ILF",IF(P1325="低",7,IF(P1325="中",10,15)),IF(J1325="EIF",IF(P1325="低",5,IF(P1325="中",7,10)),"不计算")))))*R1325,"不计算")</f>
        <v/>
      </c>
      <c r="R1325" s="172" t="n">
        <v>0.333333333333333</v>
      </c>
      <c r="S1325" s="173">
        <f>调整因子!$F$13</f>
        <v/>
      </c>
      <c r="T1325" s="92" t="n">
        <v>1</v>
      </c>
      <c r="U1325" s="174">
        <f>IFERROR(Q1325*S1325,0)</f>
        <v/>
      </c>
      <c r="V1325" s="178">
        <f>U1325*T1325</f>
        <v/>
      </c>
      <c r="W1325" s="103" t="inlineStr">
        <is>
          <t>方案审批表</t>
        </is>
      </c>
      <c r="X1325" s="103" t="inlineStr"/>
      <c r="Y1325" s="97" t="inlineStr">
        <is>
          <t>方案审批表{ID、名称、类型、状态、创建时间、更新时间|ID、名称、类型}</t>
        </is>
      </c>
      <c r="Z1325" s="90" t="n"/>
      <c r="AA1325" s="90" t="n"/>
    </row>
    <row r="1326" s="112">
      <c r="A1326" s="72">
        <f>ROW()-1</f>
        <v/>
      </c>
      <c r="B1326" s="175" t="n"/>
      <c r="C1326" s="124" t="n">
        <v>2026</v>
      </c>
      <c r="E1326" s="103" t="n"/>
      <c r="F1326" s="175" t="n"/>
      <c r="G1326" s="175" t="n"/>
      <c r="H1326" s="175" t="n"/>
      <c r="I1326" s="103" t="inlineStr">
        <is>
          <t>关联漏洞信息</t>
        </is>
      </c>
      <c r="J1326" s="93" t="n"/>
      <c r="K1326" s="102" t="n"/>
      <c r="L1326" s="102" t="inlineStr">
        <is>
          <t>功能描述不清楚</t>
        </is>
      </c>
      <c r="M1326" s="85">
        <f>IF(OR(Y1326="估算法",Y1326="算法类",Y1326="无法识别"),"",IF(W1326="",IF(OR(J1326="EI",J1326="EO",J1326="EQ"),0,""),LEN(W1326)-LEN(SUBSTITUTE(W1326,"、",""))+1))</f>
        <v/>
      </c>
      <c r="N1326" s="85">
        <f>IF(OR(Y1326="估算法",Y1326="算法类",Y1326="无法识别"),"",IF(X1326="",IF(OR(J1326="ILF",J1326="EIF"),0,""),LEN(X1326)-LEN(SUBSTITUTE(X1326,"、",""))+1))</f>
        <v/>
      </c>
      <c r="O1326" s="85">
        <f>IF(OR(Y1326="估算法",Y1326="算法类",Y1326="无法识别"),"",IF(Y1326="",IF(OR(J1326="ILF",J1326="EIF",J1326="EI",J1326="EO",J1326="EQ"),0,""),LEN(Y1326)-LEN(SUBSTITUTE(SUBSTITUTE(SUBSTITUTE(SUBSTITUTE(SUBSTITUTE(Y1326,"|}","--"),"{|","--"),CHAR(10),""),"、",""),"|",""))+IF(AND(OR(J1326="EI",J1326="EO",J1326="EQ"),$AE$1="NESMA"),2,1)))</f>
        <v/>
      </c>
      <c r="P1326" s="86">
        <f>IF(J1326="EI",IF(OR(Y1326="估算法",Y1326="算法类"),"中",IF(Y1326="无法识别","低",IF(M1326&lt;2,IF(O1326&lt;16,"低","中"),IF(M1326&lt;3,IF(O1326&lt;5,"低",IF(O1326&lt;16,"中","高")),IF(O1326&lt;5,"中","高"))))),IF(OR(J1326="EO",J1326="EQ"),IF(OR(Y1326="估算法",Y1326="算法类"),"中",IF(Y1326="无法识别","低",IF(M1326&lt;2,IF(O1326&lt;20,"低","中"),IF(M1326&lt;4,IF(O1326&lt;6,"低",IF(O1326&lt;20,"中","高")),IF(O1326&lt;6,"中","高"))))),IF(OR(J1326="ILF",J1326="EIF"),IF(OR(Y1326="估算法",Y1326="算法类",Y1326="无法识别"),"低",IF(N1326&lt;2,IF(O1326&lt;51,"低","中"),IF(N1326&lt;6,IF(O1326&lt;20,"低",IF(O1326&lt;51,"中","高")),IF(O1326&lt;20,"中","高")))),"不计算")))</f>
        <v/>
      </c>
      <c r="Q1326" s="172">
        <f>IFERROR(IF(J1326="EI",IF(P1326="低",3,IF(P1326="中",4,6)),IF(J1326="EO",IF(P1326="低",4,IF(P1326="中",5,7)),IF(J1326="EQ",IF(P1326="低",3,IF(P1326="中",4,6)),IF(J1326="ILF",IF(P1326="低",7,IF(P1326="中",10,15)),IF(J1326="EIF",IF(P1326="低",5,IF(P1326="中",7,10)),"不计算")))))*R1326,"不计算")</f>
        <v/>
      </c>
      <c r="R1326" s="172" t="n">
        <v>1</v>
      </c>
      <c r="S1326" s="173">
        <f>调整因子!$F$13</f>
        <v/>
      </c>
      <c r="T1326" s="92" t="n">
        <v>1</v>
      </c>
      <c r="U1326" s="174">
        <f>IFERROR(Q1326*S1326,0)</f>
        <v/>
      </c>
      <c r="V1326" s="178">
        <f>U1326*T1326</f>
        <v/>
      </c>
      <c r="W1326" s="103" t="inlineStr">
        <is>
          <t>漏洞处置单表、漏洞统计数据表</t>
        </is>
      </c>
      <c r="X1326" s="103" t="inlineStr"/>
      <c r="Y1326"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326" s="90" t="n"/>
      <c r="AA1326" s="90" t="n"/>
    </row>
    <row r="1327" s="112">
      <c r="A1327" s="72">
        <f>ROW()-1</f>
        <v/>
      </c>
      <c r="B1327" s="175" t="n"/>
      <c r="C1327" s="124" t="n">
        <v>2026</v>
      </c>
      <c r="E1327" s="103" t="n"/>
      <c r="F1327" s="175" t="n"/>
      <c r="G1327" s="175" t="n"/>
      <c r="H1327" s="175" t="n"/>
      <c r="I1327" s="103" t="inlineStr">
        <is>
          <t>关联资产信息</t>
        </is>
      </c>
      <c r="J1327" s="93" t="n"/>
      <c r="K1327" s="102" t="n"/>
      <c r="L1327" s="102" t="inlineStr">
        <is>
          <t>功能描述不清楚</t>
        </is>
      </c>
      <c r="M1327" s="85">
        <f>IF(OR(Y1327="估算法",Y1327="算法类",Y1327="无法识别"),"",IF(W1327="",IF(OR(J1327="EI",J1327="EO",J1327="EQ"),0,""),LEN(W1327)-LEN(SUBSTITUTE(W1327,"、",""))+1))</f>
        <v/>
      </c>
      <c r="N1327" s="85">
        <f>IF(OR(Y1327="估算法",Y1327="算法类",Y1327="无法识别"),"",IF(X1327="",IF(OR(J1327="ILF",J1327="EIF"),0,""),LEN(X1327)-LEN(SUBSTITUTE(X1327,"、",""))+1))</f>
        <v/>
      </c>
      <c r="O1327" s="85">
        <f>IF(OR(Y1327="估算法",Y1327="算法类",Y1327="无法识别"),"",IF(Y1327="",IF(OR(J1327="ILF",J1327="EIF",J1327="EI",J1327="EO",J1327="EQ"),0,""),LEN(Y1327)-LEN(SUBSTITUTE(SUBSTITUTE(SUBSTITUTE(SUBSTITUTE(SUBSTITUTE(Y1327,"|}","--"),"{|","--"),CHAR(10),""),"、",""),"|",""))+IF(AND(OR(J1327="EI",J1327="EO",J1327="EQ"),$AE$1="NESMA"),2,1)))</f>
        <v/>
      </c>
      <c r="P1327" s="86">
        <f>IF(J1327="EI",IF(OR(Y1327="估算法",Y1327="算法类"),"中",IF(Y1327="无法识别","低",IF(M1327&lt;2,IF(O1327&lt;16,"低","中"),IF(M1327&lt;3,IF(O1327&lt;5,"低",IF(O1327&lt;16,"中","高")),IF(O1327&lt;5,"中","高"))))),IF(OR(J1327="EO",J1327="EQ"),IF(OR(Y1327="估算法",Y1327="算法类"),"中",IF(Y1327="无法识别","低",IF(M1327&lt;2,IF(O1327&lt;20,"低","中"),IF(M1327&lt;4,IF(O1327&lt;6,"低",IF(O1327&lt;20,"中","高")),IF(O1327&lt;6,"中","高"))))),IF(OR(J1327="ILF",J1327="EIF"),IF(OR(Y1327="估算法",Y1327="算法类",Y1327="无法识别"),"低",IF(N1327&lt;2,IF(O1327&lt;51,"低","中"),IF(N1327&lt;6,IF(O1327&lt;20,"低",IF(O1327&lt;51,"中","高")),IF(O1327&lt;20,"中","高")))),"不计算")))</f>
        <v/>
      </c>
      <c r="Q1327" s="172">
        <f>IFERROR(IF(J1327="EI",IF(P1327="低",3,IF(P1327="中",4,6)),IF(J1327="EO",IF(P1327="低",4,IF(P1327="中",5,7)),IF(J1327="EQ",IF(P1327="低",3,IF(P1327="中",4,6)),IF(J1327="ILF",IF(P1327="低",7,IF(P1327="中",10,15)),IF(J1327="EIF",IF(P1327="低",5,IF(P1327="中",7,10)),"不计算")))))*R1327,"不计算")</f>
        <v/>
      </c>
      <c r="R1327" s="172" t="n">
        <v>1</v>
      </c>
      <c r="S1327" s="173">
        <f>调整因子!$F$13</f>
        <v/>
      </c>
      <c r="T1327" s="93" t="n">
        <v>1</v>
      </c>
      <c r="U1327" s="174">
        <f>IFERROR(Q1327*S1327,0)</f>
        <v/>
      </c>
      <c r="V1327" s="178">
        <f>U1327*T1327</f>
        <v/>
      </c>
      <c r="W1327" s="103" t="inlineStr">
        <is>
          <t>资产同步任务表</t>
        </is>
      </c>
      <c r="X1327" s="103" t="inlineStr"/>
      <c r="Y1327" s="97" t="inlineStr">
        <is>
          <t>资产同步任务表{资产ID、资产名称、IP地址、资产类型、资产状态、创建时间、更新时间|资产ID、资产名称、IP地址}</t>
        </is>
      </c>
      <c r="Z1327" s="90" t="n"/>
      <c r="AA1327" s="90" t="n"/>
    </row>
    <row r="1328" s="112">
      <c r="A1328" s="72">
        <f>ROW()-1</f>
        <v/>
      </c>
      <c r="B1328" s="175" t="n"/>
      <c r="C1328" s="124" t="n">
        <v>2026</v>
      </c>
      <c r="E1328" s="103" t="n"/>
      <c r="F1328" s="175" t="n"/>
      <c r="G1328" s="175" t="n"/>
      <c r="H1328" s="175" t="n"/>
      <c r="I1328" s="103" t="inlineStr">
        <is>
          <t>导出处置单</t>
        </is>
      </c>
      <c r="J1328" s="93" t="inlineStr">
        <is>
          <t>EO</t>
        </is>
      </c>
      <c r="K1328" s="102" t="n"/>
      <c r="L1328" s="102" t="n"/>
      <c r="M1328" s="85">
        <f>IF(OR(Y1328="估算法",Y1328="算法类",Y1328="无法识别"),"",IF(W1328="",IF(OR(J1328="EI",J1328="EO",J1328="EQ"),0,""),LEN(W1328)-LEN(SUBSTITUTE(W1328,"、",""))+1))</f>
        <v/>
      </c>
      <c r="N1328" s="85">
        <f>IF(OR(Y1328="估算法",Y1328="算法类",Y1328="无法识别"),"",IF(X1328="",IF(OR(J1328="ILF",J1328="EIF"),0,""),LEN(X1328)-LEN(SUBSTITUTE(X1328,"、",""))+1))</f>
        <v/>
      </c>
      <c r="O1328" s="85">
        <f>IF(OR(Y1328="估算法",Y1328="算法类",Y1328="无法识别"),"",IF(Y1328="",IF(OR(J1328="ILF",J1328="EIF",J1328="EI",J1328="EO",J1328="EQ"),0,""),LEN(Y1328)-LEN(SUBSTITUTE(SUBSTITUTE(SUBSTITUTE(SUBSTITUTE(SUBSTITUTE(Y1328,"|}","--"),"{|","--"),CHAR(10),""),"、",""),"|",""))+IF(AND(OR(J1328="EI",J1328="EO",J1328="EQ"),$AE$1="NESMA"),2,1)))</f>
        <v/>
      </c>
      <c r="P1328" s="86">
        <f>IF(J1328="EI",IF(OR(Y1328="估算法",Y1328="算法类"),"中",IF(Y1328="无法识别","低",IF(M1328&lt;2,IF(O1328&lt;16,"低","中"),IF(M1328&lt;3,IF(O1328&lt;5,"低",IF(O1328&lt;16,"中","高")),IF(O1328&lt;5,"中","高"))))),IF(OR(J1328="EO",J1328="EQ"),IF(OR(Y1328="估算法",Y1328="算法类"),"中",IF(Y1328="无法识别","低",IF(M1328&lt;2,IF(O1328&lt;20,"低","中"),IF(M1328&lt;4,IF(O1328&lt;6,"低",IF(O1328&lt;20,"中","高")),IF(O1328&lt;6,"中","高"))))),IF(OR(J1328="ILF",J1328="EIF"),IF(OR(Y1328="估算法",Y1328="算法类",Y1328="无法识别"),"低",IF(N1328&lt;2,IF(O1328&lt;51,"低","中"),IF(N1328&lt;6,IF(O1328&lt;20,"低",IF(O1328&lt;51,"中","高")),IF(O1328&lt;20,"中","高")))),"不计算")))</f>
        <v/>
      </c>
      <c r="Q1328" s="172">
        <f>IFERROR(IF(J1328="EI",IF(P1328="低",3,IF(P1328="中",4,6)),IF(J1328="EO",IF(P1328="低",4,IF(P1328="中",5,7)),IF(J1328="EQ",IF(P1328="低",3,IF(P1328="中",4,6)),IF(J1328="ILF",IF(P1328="低",7,IF(P1328="中",10,15)),IF(J1328="EIF",IF(P1328="低",5,IF(P1328="中",7,10)),"不计算")))))*R1328,"不计算")</f>
        <v/>
      </c>
      <c r="R1328" s="172" t="n">
        <v>1</v>
      </c>
      <c r="S1328" s="173">
        <f>调整因子!$F$13</f>
        <v/>
      </c>
      <c r="T1328" s="93" t="n">
        <v>1</v>
      </c>
      <c r="U1328" s="174">
        <f>IFERROR(Q1328*S1328,0)</f>
        <v/>
      </c>
      <c r="V1328" s="178">
        <f>U1328*T1328</f>
        <v/>
      </c>
      <c r="W1328" s="103" t="inlineStr">
        <is>
          <t>日志加密配置表</t>
        </is>
      </c>
      <c r="X1328" s="103" t="inlineStr"/>
      <c r="Y1328" s="97" t="inlineStr">
        <is>
          <t>日志加密配置表{配置ID、配置名称|配置ID、配置名称、配置类型、配置值、创建时间}</t>
        </is>
      </c>
      <c r="Z1328" s="90" t="n"/>
      <c r="AA1328" s="90" t="n"/>
    </row>
    <row r="1329" s="112">
      <c r="A1329" s="72">
        <f>ROW()-1</f>
        <v/>
      </c>
      <c r="B1329" s="175" t="n"/>
      <c r="C1329" s="124" t="n">
        <v>2026</v>
      </c>
      <c r="E1329" s="103" t="n"/>
      <c r="F1329" s="175" t="n"/>
      <c r="G1329" s="175" t="n"/>
      <c r="H1329" s="175" t="n"/>
      <c r="I1329" s="103" t="inlineStr">
        <is>
          <t>查询处置单列表</t>
        </is>
      </c>
      <c r="J1329" s="93" t="inlineStr">
        <is>
          <t>EO</t>
        </is>
      </c>
      <c r="K1329" s="102" t="n"/>
      <c r="L1329" s="102" t="n"/>
      <c r="M1329" s="85">
        <f>IF(OR(Y1329="估算法",Y1329="算法类",Y1329="无法识别"),"",IF(W1329="",IF(OR(J1329="EI",J1329="EO",J1329="EQ"),0,""),LEN(W1329)-LEN(SUBSTITUTE(W1329,"、",""))+1))</f>
        <v/>
      </c>
      <c r="N1329" s="85">
        <f>IF(OR(Y1329="估算法",Y1329="算法类",Y1329="无法识别"),"",IF(X1329="",IF(OR(J1329="ILF",J1329="EIF"),0,""),LEN(X1329)-LEN(SUBSTITUTE(X1329,"、",""))+1))</f>
        <v/>
      </c>
      <c r="O1329" s="85">
        <f>IF(OR(Y1329="估算法",Y1329="算法类",Y1329="无法识别"),"",IF(Y1329="",IF(OR(J1329="ILF",J1329="EIF",J1329="EI",J1329="EO",J1329="EQ"),0,""),LEN(Y1329)-LEN(SUBSTITUTE(SUBSTITUTE(SUBSTITUTE(SUBSTITUTE(SUBSTITUTE(Y1329,"|}","--"),"{|","--"),CHAR(10),""),"、",""),"|",""))+IF(AND(OR(J1329="EI",J1329="EO",J1329="EQ"),$AE$1="NESMA"),2,1)))</f>
        <v/>
      </c>
      <c r="P1329" s="86">
        <f>IF(J1329="EI",IF(OR(Y1329="估算法",Y1329="算法类"),"中",IF(Y1329="无法识别","低",IF(M1329&lt;2,IF(O1329&lt;16,"低","中"),IF(M1329&lt;3,IF(O1329&lt;5,"低",IF(O1329&lt;16,"中","高")),IF(O1329&lt;5,"中","高"))))),IF(OR(J1329="EO",J1329="EQ"),IF(OR(Y1329="估算法",Y1329="算法类"),"中",IF(Y1329="无法识别","低",IF(M1329&lt;2,IF(O1329&lt;20,"低","中"),IF(M1329&lt;4,IF(O1329&lt;6,"低",IF(O1329&lt;20,"中","高")),IF(O1329&lt;6,"中","高"))))),IF(OR(J1329="ILF",J1329="EIF"),IF(OR(Y1329="估算法",Y1329="算法类",Y1329="无法识别"),"低",IF(N1329&lt;2,IF(O1329&lt;51,"低","中"),IF(N1329&lt;6,IF(O1329&lt;20,"低",IF(O1329&lt;51,"中","高")),IF(O1329&lt;20,"中","高")))),"不计算")))</f>
        <v/>
      </c>
      <c r="Q1329" s="172">
        <f>IFERROR(IF(J1329="EI",IF(P1329="低",3,IF(P1329="中",4,6)),IF(J1329="EO",IF(P1329="低",4,IF(P1329="中",5,7)),IF(J1329="EQ",IF(P1329="低",3,IF(P1329="中",4,6)),IF(J1329="ILF",IF(P1329="低",7,IF(P1329="中",10,15)),IF(J1329="EIF",IF(P1329="低",5,IF(P1329="中",7,10)),"不计算")))))*R1329,"不计算")</f>
        <v/>
      </c>
      <c r="R1329" s="172" t="n">
        <v>1</v>
      </c>
      <c r="S1329" s="173">
        <f>调整因子!$F$13</f>
        <v/>
      </c>
      <c r="T1329" s="92" t="n">
        <v>1</v>
      </c>
      <c r="U1329" s="174">
        <f>IFERROR(Q1329*S1329,0)</f>
        <v/>
      </c>
      <c r="V1329" s="178">
        <f>U1329*T1329</f>
        <v/>
      </c>
      <c r="W1329" s="103" t="inlineStr">
        <is>
          <t>任务日志表、态势数据采集表</t>
        </is>
      </c>
      <c r="X1329" s="103" t="inlineStr"/>
      <c r="Y1329" s="97" t="inlineStr">
        <is>
          <t>任务日志表{任务ID、任务名称|任务ID、任务名称、任务类型、任务状态、创建时间、执行时间}
态势数据采集表{ID、名称|ID、名称、类型、状态、创建时间、更新时间}</t>
        </is>
      </c>
      <c r="Z1329" s="90" t="n"/>
      <c r="AA1329" s="90" t="n"/>
    </row>
    <row r="1330" s="112">
      <c r="A1330" s="72">
        <f>ROW()-1</f>
        <v/>
      </c>
      <c r="B1330" s="175" t="n"/>
      <c r="C1330" s="124" t="n">
        <v>2026</v>
      </c>
      <c r="E1330" s="103" t="n"/>
      <c r="F1330" s="175" t="n"/>
      <c r="G1330" s="175" t="n"/>
      <c r="H1330" s="176" t="n"/>
      <c r="I1330" s="103" t="inlineStr">
        <is>
          <t>查看处置单详情</t>
        </is>
      </c>
      <c r="J1330" s="93" t="inlineStr">
        <is>
          <t>EQ</t>
        </is>
      </c>
      <c r="K1330" s="102" t="n"/>
      <c r="L1330" s="102" t="n"/>
      <c r="M1330" s="85">
        <f>IF(OR(Y1330="估算法",Y1330="算法类",Y1330="无法识别"),"",IF(W1330="",IF(OR(J1330="EI",J1330="EO",J1330="EQ"),0,""),LEN(W1330)-LEN(SUBSTITUTE(W1330,"、",""))+1))</f>
        <v/>
      </c>
      <c r="N1330" s="85">
        <f>IF(OR(Y1330="估算法",Y1330="算法类",Y1330="无法识别"),"",IF(X1330="",IF(OR(J1330="ILF",J1330="EIF"),0,""),LEN(X1330)-LEN(SUBSTITUTE(X1330,"、",""))+1))</f>
        <v/>
      </c>
      <c r="O1330" s="85">
        <f>IF(OR(Y1330="估算法",Y1330="算法类",Y1330="无法识别"),"",IF(Y1330="",IF(OR(J1330="ILF",J1330="EIF",J1330="EI",J1330="EO",J1330="EQ"),0,""),LEN(Y1330)-LEN(SUBSTITUTE(SUBSTITUTE(SUBSTITUTE(SUBSTITUTE(SUBSTITUTE(Y1330,"|}","--"),"{|","--"),CHAR(10),""),"、",""),"|",""))+IF(AND(OR(J1330="EI",J1330="EO",J1330="EQ"),$AE$1="NESMA"),2,1)))</f>
        <v/>
      </c>
      <c r="P1330" s="86">
        <f>IF(J1330="EI",IF(OR(Y1330="估算法",Y1330="算法类"),"中",IF(Y1330="无法识别","低",IF(M1330&lt;2,IF(O1330&lt;16,"低","中"),IF(M1330&lt;3,IF(O1330&lt;5,"低",IF(O1330&lt;16,"中","高")),IF(O1330&lt;5,"中","高"))))),IF(OR(J1330="EO",J1330="EQ"),IF(OR(Y1330="估算法",Y1330="算法类"),"中",IF(Y1330="无法识别","低",IF(M1330&lt;2,IF(O1330&lt;20,"低","中"),IF(M1330&lt;4,IF(O1330&lt;6,"低",IF(O1330&lt;20,"中","高")),IF(O1330&lt;6,"中","高"))))),IF(OR(J1330="ILF",J1330="EIF"),IF(OR(Y1330="估算法",Y1330="算法类",Y1330="无法识别"),"低",IF(N1330&lt;2,IF(O1330&lt;51,"低","中"),IF(N1330&lt;6,IF(O1330&lt;20,"低",IF(O1330&lt;51,"中","高")),IF(O1330&lt;20,"中","高")))),"不计算")))</f>
        <v/>
      </c>
      <c r="Q1330" s="172">
        <f>IFERROR(IF(J1330="EI",IF(P1330="低",3,IF(P1330="中",4,6)),IF(J1330="EO",IF(P1330="低",4,IF(P1330="中",5,7)),IF(J1330="EQ",IF(P1330="低",3,IF(P1330="中",4,6)),IF(J1330="ILF",IF(P1330="低",7,IF(P1330="中",10,15)),IF(J1330="EIF",IF(P1330="低",5,IF(P1330="中",7,10)),"不计算")))))*R1330,"不计算")</f>
        <v/>
      </c>
      <c r="R1330" s="172" t="n">
        <v>1</v>
      </c>
      <c r="S1330" s="173">
        <f>调整因子!$F$13</f>
        <v/>
      </c>
      <c r="T1330" s="92" t="n">
        <v>1</v>
      </c>
      <c r="U1330" s="174">
        <f>IFERROR(Q1330*S1330,0)</f>
        <v/>
      </c>
      <c r="V1330" s="178">
        <f>U1330*T1330</f>
        <v/>
      </c>
      <c r="W1330" s="103" t="inlineStr">
        <is>
          <t>指标权重表</t>
        </is>
      </c>
      <c r="X1330" s="103" t="inlineStr"/>
      <c r="Y1330" s="97" t="inlineStr">
        <is>
          <t>指标权重表{ID、名称|ID、名称、类型、状态、创建时间、更新时间}</t>
        </is>
      </c>
      <c r="Z1330" s="90" t="n"/>
      <c r="AA1330" s="90" t="n"/>
    </row>
    <row r="1331" s="112">
      <c r="A1331" s="72">
        <f>ROW()-1</f>
        <v/>
      </c>
      <c r="B1331" s="175" t="n"/>
      <c r="C1331" s="124" t="n">
        <v>2026</v>
      </c>
      <c r="E1331" s="103" t="n"/>
      <c r="F1331" s="175" t="n"/>
      <c r="G1331" s="175" t="n"/>
      <c r="H1331" s="97" t="inlineStr">
        <is>
          <t>处置单分配管理</t>
        </is>
      </c>
      <c r="I1331" s="103" t="inlineStr">
        <is>
          <t>导出分配记录</t>
        </is>
      </c>
      <c r="J1331" s="93" t="inlineStr">
        <is>
          <t>EO</t>
        </is>
      </c>
      <c r="K1331" s="102" t="n"/>
      <c r="L1331" s="102" t="n"/>
      <c r="M1331" s="85">
        <f>IF(OR(Y1331="估算法",Y1331="算法类",Y1331="无法识别"),"",IF(W1331="",IF(OR(J1331="EI",J1331="EO",J1331="EQ"),0,""),LEN(W1331)-LEN(SUBSTITUTE(W1331,"、",""))+1))</f>
        <v/>
      </c>
      <c r="N1331" s="85">
        <f>IF(OR(Y1331="估算法",Y1331="算法类",Y1331="无法识别"),"",IF(X1331="",IF(OR(J1331="ILF",J1331="EIF"),0,""),LEN(X1331)-LEN(SUBSTITUTE(X1331,"、",""))+1))</f>
        <v/>
      </c>
      <c r="O1331" s="85">
        <f>IF(OR(Y1331="估算法",Y1331="算法类",Y1331="无法识别"),"",IF(Y1331="",IF(OR(J1331="ILF",J1331="EIF",J1331="EI",J1331="EO",J1331="EQ"),0,""),LEN(Y1331)-LEN(SUBSTITUTE(SUBSTITUTE(SUBSTITUTE(SUBSTITUTE(SUBSTITUTE(Y1331,"|}","--"),"{|","--"),CHAR(10),""),"、",""),"|",""))+IF(AND(OR(J1331="EI",J1331="EO",J1331="EQ"),$AE$1="NESMA"),2,1)))</f>
        <v/>
      </c>
      <c r="P1331" s="86">
        <f>IF(J1331="EI",IF(OR(Y1331="估算法",Y1331="算法类"),"中",IF(Y1331="无法识别","低",IF(M1331&lt;2,IF(O1331&lt;16,"低","中"),IF(M1331&lt;3,IF(O1331&lt;5,"低",IF(O1331&lt;16,"中","高")),IF(O1331&lt;5,"中","高"))))),IF(OR(J1331="EO",J1331="EQ"),IF(OR(Y1331="估算法",Y1331="算法类"),"中",IF(Y1331="无法识别","低",IF(M1331&lt;2,IF(O1331&lt;20,"低","中"),IF(M1331&lt;4,IF(O1331&lt;6,"低",IF(O1331&lt;20,"中","高")),IF(O1331&lt;6,"中","高"))))),IF(OR(J1331="ILF",J1331="EIF"),IF(OR(Y1331="估算法",Y1331="算法类",Y1331="无法识别"),"低",IF(N1331&lt;2,IF(O1331&lt;51,"低","中"),IF(N1331&lt;6,IF(O1331&lt;20,"低",IF(O1331&lt;51,"中","高")),IF(O1331&lt;20,"中","高")))),"不计算")))</f>
        <v/>
      </c>
      <c r="Q1331" s="172">
        <f>IFERROR(IF(J1331="EI",IF(P1331="低",3,IF(P1331="中",4,6)),IF(J1331="EO",IF(P1331="低",4,IF(P1331="中",5,7)),IF(J1331="EQ",IF(P1331="低",3,IF(P1331="中",4,6)),IF(J1331="ILF",IF(P1331="低",7,IF(P1331="中",10,15)),IF(J1331="EIF",IF(P1331="低",5,IF(P1331="中",7,10)),"不计算")))))*R1331,"不计算")</f>
        <v/>
      </c>
      <c r="R1331" s="172" t="n">
        <v>1</v>
      </c>
      <c r="S1331" s="173">
        <f>调整因子!$F$13</f>
        <v/>
      </c>
      <c r="T1331" s="93" t="n">
        <v>1</v>
      </c>
      <c r="U1331" s="174">
        <f>IFERROR(Q1331*S1331,0)</f>
        <v/>
      </c>
      <c r="V1331" s="178">
        <f>U1331*T1331</f>
        <v/>
      </c>
      <c r="W1331" s="103" t="inlineStr">
        <is>
          <t>分类层级关系表</t>
        </is>
      </c>
      <c r="X1331" s="103" t="inlineStr"/>
      <c r="Y1331" s="97" t="inlineStr">
        <is>
          <t>分类层级关系表{ID、名称|ID、名称、类型、状态、创建时间、更新时间}</t>
        </is>
      </c>
      <c r="Z1331" s="90" t="n"/>
      <c r="AA1331" s="90" t="n"/>
    </row>
    <row r="1332" s="112">
      <c r="A1332" s="72">
        <f>ROW()-1</f>
        <v/>
      </c>
      <c r="B1332" s="175" t="n"/>
      <c r="C1332" s="124" t="n">
        <v>2026</v>
      </c>
      <c r="E1332" s="103" t="n"/>
      <c r="F1332" s="175" t="n"/>
      <c r="G1332" s="175" t="n"/>
      <c r="H1332" s="175" t="n"/>
      <c r="I1332" s="103" t="inlineStr">
        <is>
          <t>查询分配列表</t>
        </is>
      </c>
      <c r="J1332" s="93" t="inlineStr">
        <is>
          <t>EO</t>
        </is>
      </c>
      <c r="K1332" s="102" t="n"/>
      <c r="L1332" s="102" t="n"/>
      <c r="M1332" s="85">
        <f>IF(OR(Y1332="估算法",Y1332="算法类",Y1332="无法识别"),"",IF(W1332="",IF(OR(J1332="EI",J1332="EO",J1332="EQ"),0,""),LEN(W1332)-LEN(SUBSTITUTE(W1332,"、",""))+1))</f>
        <v/>
      </c>
      <c r="N1332" s="85">
        <f>IF(OR(Y1332="估算法",Y1332="算法类",Y1332="无法识别"),"",IF(X1332="",IF(OR(J1332="ILF",J1332="EIF"),0,""),LEN(X1332)-LEN(SUBSTITUTE(X1332,"、",""))+1))</f>
        <v/>
      </c>
      <c r="O1332" s="85">
        <f>IF(OR(Y1332="估算法",Y1332="算法类",Y1332="无法识别"),"",IF(Y1332="",IF(OR(J1332="ILF",J1332="EIF",J1332="EI",J1332="EO",J1332="EQ"),0,""),LEN(Y1332)-LEN(SUBSTITUTE(SUBSTITUTE(SUBSTITUTE(SUBSTITUTE(SUBSTITUTE(Y1332,"|}","--"),"{|","--"),CHAR(10),""),"、",""),"|",""))+IF(AND(OR(J1332="EI",J1332="EO",J1332="EQ"),$AE$1="NESMA"),2,1)))</f>
        <v/>
      </c>
      <c r="P1332" s="86">
        <f>IF(J1332="EI",IF(OR(Y1332="估算法",Y1332="算法类"),"中",IF(Y1332="无法识别","低",IF(M1332&lt;2,IF(O1332&lt;16,"低","中"),IF(M1332&lt;3,IF(O1332&lt;5,"低",IF(O1332&lt;16,"中","高")),IF(O1332&lt;5,"中","高"))))),IF(OR(J1332="EO",J1332="EQ"),IF(OR(Y1332="估算法",Y1332="算法类"),"中",IF(Y1332="无法识别","低",IF(M1332&lt;2,IF(O1332&lt;20,"低","中"),IF(M1332&lt;4,IF(O1332&lt;6,"低",IF(O1332&lt;20,"中","高")),IF(O1332&lt;6,"中","高"))))),IF(OR(J1332="ILF",J1332="EIF"),IF(OR(Y1332="估算法",Y1332="算法类",Y1332="无法识别"),"低",IF(N1332&lt;2,IF(O1332&lt;51,"低","中"),IF(N1332&lt;6,IF(O1332&lt;20,"低",IF(O1332&lt;51,"中","高")),IF(O1332&lt;20,"中","高")))),"不计算")))</f>
        <v/>
      </c>
      <c r="Q1332" s="172">
        <f>IFERROR(IF(J1332="EI",IF(P1332="低",3,IF(P1332="中",4,6)),IF(J1332="EO",IF(P1332="低",4,IF(P1332="中",5,7)),IF(J1332="EQ",IF(P1332="低",3,IF(P1332="中",4,6)),IF(J1332="ILF",IF(P1332="低",7,IF(P1332="中",10,15)),IF(J1332="EIF",IF(P1332="低",5,IF(P1332="中",7,10)),"不计算")))))*R1332,"不计算")</f>
        <v/>
      </c>
      <c r="R1332" s="172" t="n">
        <v>1</v>
      </c>
      <c r="S1332" s="173">
        <f>调整因子!$F$13</f>
        <v/>
      </c>
      <c r="T1332" s="92" t="n">
        <v>1</v>
      </c>
      <c r="U1332" s="174">
        <f>IFERROR(Q1332*S1332,0)</f>
        <v/>
      </c>
      <c r="V1332" s="178">
        <f>U1332*T1332</f>
        <v/>
      </c>
      <c r="W1332" s="103" t="inlineStr">
        <is>
          <t>指标阈值表、脱敏规则表</t>
        </is>
      </c>
      <c r="X1332" s="103" t="inlineStr"/>
      <c r="Y1332" s="97" t="inlineStr">
        <is>
          <t>指标阈值表{ID、名称|ID、名称、类型、状态、创建时间、更新时间}
脱敏规则表{规则ID、规则名称|规则ID、规则名称、规则类型、规则条件、创建时间}</t>
        </is>
      </c>
      <c r="Z1332" s="90" t="n"/>
      <c r="AA1332" s="90" t="n"/>
    </row>
    <row r="1333" s="112">
      <c r="A1333" s="72">
        <f>ROW()-1</f>
        <v/>
      </c>
      <c r="B1333" s="175" t="n"/>
      <c r="C1333" s="124" t="n">
        <v>2026</v>
      </c>
      <c r="E1333" s="103" t="n"/>
      <c r="F1333" s="175" t="n"/>
      <c r="G1333" s="175" t="n"/>
      <c r="H1333" s="176" t="n"/>
      <c r="I1333" s="103" t="inlineStr">
        <is>
          <t>查看分配详情</t>
        </is>
      </c>
      <c r="J1333" s="93" t="inlineStr">
        <is>
          <t>EQ</t>
        </is>
      </c>
      <c r="K1333" s="102" t="n"/>
      <c r="L1333" s="102" t="n"/>
      <c r="M1333" s="85">
        <f>IF(OR(Y1333="估算法",Y1333="算法类",Y1333="无法识别"),"",IF(W1333="",IF(OR(J1333="EI",J1333="EO",J1333="EQ"),0,""),LEN(W1333)-LEN(SUBSTITUTE(W1333,"、",""))+1))</f>
        <v/>
      </c>
      <c r="N1333" s="85">
        <f>IF(OR(Y1333="估算法",Y1333="算法类",Y1333="无法识别"),"",IF(X1333="",IF(OR(J1333="ILF",J1333="EIF"),0,""),LEN(X1333)-LEN(SUBSTITUTE(X1333,"、",""))+1))</f>
        <v/>
      </c>
      <c r="O1333" s="85">
        <f>IF(OR(Y1333="估算法",Y1333="算法类",Y1333="无法识别"),"",IF(Y1333="",IF(OR(J1333="ILF",J1333="EIF",J1333="EI",J1333="EO",J1333="EQ"),0,""),LEN(Y1333)-LEN(SUBSTITUTE(SUBSTITUTE(SUBSTITUTE(SUBSTITUTE(SUBSTITUTE(Y1333,"|}","--"),"{|","--"),CHAR(10),""),"、",""),"|",""))+IF(AND(OR(J1333="EI",J1333="EO",J1333="EQ"),$AE$1="NESMA"),2,1)))</f>
        <v/>
      </c>
      <c r="P1333" s="86">
        <f>IF(J1333="EI",IF(OR(Y1333="估算法",Y1333="算法类"),"中",IF(Y1333="无法识别","低",IF(M1333&lt;2,IF(O1333&lt;16,"低","中"),IF(M1333&lt;3,IF(O1333&lt;5,"低",IF(O1333&lt;16,"中","高")),IF(O1333&lt;5,"中","高"))))),IF(OR(J1333="EO",J1333="EQ"),IF(OR(Y1333="估算法",Y1333="算法类"),"中",IF(Y1333="无法识别","低",IF(M1333&lt;2,IF(O1333&lt;20,"低","中"),IF(M1333&lt;4,IF(O1333&lt;6,"低",IF(O1333&lt;20,"中","高")),IF(O1333&lt;6,"中","高"))))),IF(OR(J1333="ILF",J1333="EIF"),IF(OR(Y1333="估算法",Y1333="算法类",Y1333="无法识别"),"低",IF(N1333&lt;2,IF(O1333&lt;51,"低","中"),IF(N1333&lt;6,IF(O1333&lt;20,"低",IF(O1333&lt;51,"中","高")),IF(O1333&lt;20,"中","高")))),"不计算")))</f>
        <v/>
      </c>
      <c r="Q1333" s="172">
        <f>IFERROR(IF(J1333="EI",IF(P1333="低",3,IF(P1333="中",4,6)),IF(J1333="EO",IF(P1333="低",4,IF(P1333="中",5,7)),IF(J1333="EQ",IF(P1333="低",3,IF(P1333="中",4,6)),IF(J1333="ILF",IF(P1333="低",7,IF(P1333="中",10,15)),IF(J1333="EIF",IF(P1333="低",5,IF(P1333="中",7,10)),"不计算")))))*R1333,"不计算")</f>
        <v/>
      </c>
      <c r="R1333" s="172" t="n">
        <v>1</v>
      </c>
      <c r="S1333" s="173">
        <f>调整因子!$F$13</f>
        <v/>
      </c>
      <c r="T1333" s="92" t="n">
        <v>1</v>
      </c>
      <c r="U1333" s="174">
        <f>IFERROR(Q1333*S1333,0)</f>
        <v/>
      </c>
      <c r="V1333" s="178">
        <f>U1333*T1333</f>
        <v/>
      </c>
      <c r="W1333" s="103" t="inlineStr">
        <is>
          <t>扫描盲区记录表</t>
        </is>
      </c>
      <c r="X1333" s="103" t="inlineStr"/>
      <c r="Y1333" s="97" t="inlineStr">
        <is>
          <t>扫描盲区记录表{任务ID、任务名称|任务ID、任务名称、任务状态、扫描器类型、开始时间、结束时间、扫描结果}</t>
        </is>
      </c>
      <c r="Z1333" s="90" t="n"/>
      <c r="AA1333" s="90" t="n"/>
    </row>
    <row r="1334" s="112">
      <c r="A1334" s="72">
        <f>ROW()-1</f>
        <v/>
      </c>
      <c r="B1334" s="175" t="n"/>
      <c r="C1334" s="124" t="n">
        <v>2026</v>
      </c>
      <c r="E1334" s="103" t="n"/>
      <c r="F1334" s="175" t="n"/>
      <c r="G1334" s="175" t="n"/>
      <c r="H1334" s="97" t="inlineStr">
        <is>
          <t>处置单状态管理</t>
        </is>
      </c>
      <c r="I1334" s="103" t="inlineStr">
        <is>
          <t>导出状态记录</t>
        </is>
      </c>
      <c r="J1334" s="93" t="inlineStr">
        <is>
          <t>EO</t>
        </is>
      </c>
      <c r="K1334" s="102" t="n"/>
      <c r="L1334" s="102" t="n"/>
      <c r="M1334" s="85">
        <f>IF(OR(Y1334="估算法",Y1334="算法类",Y1334="无法识别"),"",IF(W1334="",IF(OR(J1334="EI",J1334="EO",J1334="EQ"),0,""),LEN(W1334)-LEN(SUBSTITUTE(W1334,"、",""))+1))</f>
        <v/>
      </c>
      <c r="N1334" s="85">
        <f>IF(OR(Y1334="估算法",Y1334="算法类",Y1334="无法识别"),"",IF(X1334="",IF(OR(J1334="ILF",J1334="EIF"),0,""),LEN(X1334)-LEN(SUBSTITUTE(X1334,"、",""))+1))</f>
        <v/>
      </c>
      <c r="O1334" s="85">
        <f>IF(OR(Y1334="估算法",Y1334="算法类",Y1334="无法识别"),"",IF(Y1334="",IF(OR(J1334="ILF",J1334="EIF",J1334="EI",J1334="EO",J1334="EQ"),0,""),LEN(Y1334)-LEN(SUBSTITUTE(SUBSTITUTE(SUBSTITUTE(SUBSTITUTE(SUBSTITUTE(Y1334,"|}","--"),"{|","--"),CHAR(10),""),"、",""),"|",""))+IF(AND(OR(J1334="EI",J1334="EO",J1334="EQ"),$AE$1="NESMA"),2,1)))</f>
        <v/>
      </c>
      <c r="P1334" s="86">
        <f>IF(J1334="EI",IF(OR(Y1334="估算法",Y1334="算法类"),"中",IF(Y1334="无法识别","低",IF(M1334&lt;2,IF(O1334&lt;16,"低","中"),IF(M1334&lt;3,IF(O1334&lt;5,"低",IF(O1334&lt;16,"中","高")),IF(O1334&lt;5,"中","高"))))),IF(OR(J1334="EO",J1334="EQ"),IF(OR(Y1334="估算法",Y1334="算法类"),"中",IF(Y1334="无法识别","低",IF(M1334&lt;2,IF(O1334&lt;20,"低","中"),IF(M1334&lt;4,IF(O1334&lt;6,"低",IF(O1334&lt;20,"中","高")),IF(O1334&lt;6,"中","高"))))),IF(OR(J1334="ILF",J1334="EIF"),IF(OR(Y1334="估算法",Y1334="算法类",Y1334="无法识别"),"低",IF(N1334&lt;2,IF(O1334&lt;51,"低","中"),IF(N1334&lt;6,IF(O1334&lt;20,"低",IF(O1334&lt;51,"中","高")),IF(O1334&lt;20,"中","高")))),"不计算")))</f>
        <v/>
      </c>
      <c r="Q1334" s="172">
        <f>IFERROR(IF(J1334="EI",IF(P1334="低",3,IF(P1334="中",4,6)),IF(J1334="EO",IF(P1334="低",4,IF(P1334="中",5,7)),IF(J1334="EQ",IF(P1334="低",3,IF(P1334="中",4,6)),IF(J1334="ILF",IF(P1334="低",7,IF(P1334="中",10,15)),IF(J1334="EIF",IF(P1334="低",5,IF(P1334="中",7,10)),"不计算")))))*R1334,"不计算")</f>
        <v/>
      </c>
      <c r="R1334" s="172" t="n">
        <v>1</v>
      </c>
      <c r="S1334" s="173">
        <f>调整因子!$F$13</f>
        <v/>
      </c>
      <c r="T1334" s="93" t="n">
        <v>1</v>
      </c>
      <c r="U1334" s="174">
        <f>IFERROR(Q1334*S1334,0)</f>
        <v/>
      </c>
      <c r="V1334" s="178">
        <f>U1334*T1334</f>
        <v/>
      </c>
      <c r="W1334" s="103" t="inlineStr">
        <is>
          <t>通报配置表</t>
        </is>
      </c>
      <c r="X1334" s="103" t="inlineStr"/>
      <c r="Y1334" s="97" t="inlineStr">
        <is>
          <t>通报配置表{配置ID、配置名称|配置ID、配置名称、配置类型、配置值、创建时间}</t>
        </is>
      </c>
      <c r="Z1334" s="90" t="n"/>
      <c r="AA1334" s="90" t="n"/>
    </row>
    <row r="1335" s="112">
      <c r="A1335" s="72">
        <f>ROW()-1</f>
        <v/>
      </c>
      <c r="B1335" s="175" t="n"/>
      <c r="C1335" s="124" t="n">
        <v>2026</v>
      </c>
      <c r="E1335" s="103" t="n"/>
      <c r="F1335" s="175" t="n"/>
      <c r="G1335" s="175" t="n"/>
      <c r="H1335" s="175" t="n"/>
      <c r="I1335" s="103" t="inlineStr">
        <is>
          <t>查询状态历史</t>
        </is>
      </c>
      <c r="J1335" s="93" t="inlineStr">
        <is>
          <t>EQ</t>
        </is>
      </c>
      <c r="K1335" s="102" t="n"/>
      <c r="L1335" s="102" t="n"/>
      <c r="M1335" s="85">
        <f>IF(OR(Y1335="估算法",Y1335="算法类",Y1335="无法识别"),"",IF(W1335="",IF(OR(J1335="EI",J1335="EO",J1335="EQ"),0,""),LEN(W1335)-LEN(SUBSTITUTE(W1335,"、",""))+1))</f>
        <v/>
      </c>
      <c r="N1335" s="85">
        <f>IF(OR(Y1335="估算法",Y1335="算法类",Y1335="无法识别"),"",IF(X1335="",IF(OR(J1335="ILF",J1335="EIF"),0,""),LEN(X1335)-LEN(SUBSTITUTE(X1335,"、",""))+1))</f>
        <v/>
      </c>
      <c r="O1335" s="85">
        <f>IF(OR(Y1335="估算法",Y1335="算法类",Y1335="无法识别"),"",IF(Y1335="",IF(OR(J1335="ILF",J1335="EIF",J1335="EI",J1335="EO",J1335="EQ"),0,""),LEN(Y1335)-LEN(SUBSTITUTE(SUBSTITUTE(SUBSTITUTE(SUBSTITUTE(SUBSTITUTE(Y1335,"|}","--"),"{|","--"),CHAR(10),""),"、",""),"|",""))+IF(AND(OR(J1335="EI",J1335="EO",J1335="EQ"),$AE$1="NESMA"),2,1)))</f>
        <v/>
      </c>
      <c r="P1335" s="86">
        <f>IF(J1335="EI",IF(OR(Y1335="估算法",Y1335="算法类"),"中",IF(Y1335="无法识别","低",IF(M1335&lt;2,IF(O1335&lt;16,"低","中"),IF(M1335&lt;3,IF(O1335&lt;5,"低",IF(O1335&lt;16,"中","高")),IF(O1335&lt;5,"中","高"))))),IF(OR(J1335="EO",J1335="EQ"),IF(OR(Y1335="估算法",Y1335="算法类"),"中",IF(Y1335="无法识别","低",IF(M1335&lt;2,IF(O1335&lt;20,"低","中"),IF(M1335&lt;4,IF(O1335&lt;6,"低",IF(O1335&lt;20,"中","高")),IF(O1335&lt;6,"中","高"))))),IF(OR(J1335="ILF",J1335="EIF"),IF(OR(Y1335="估算法",Y1335="算法类",Y1335="无法识别"),"低",IF(N1335&lt;2,IF(O1335&lt;51,"低","中"),IF(N1335&lt;6,IF(O1335&lt;20,"低",IF(O1335&lt;51,"中","高")),IF(O1335&lt;20,"中","高")))),"不计算")))</f>
        <v/>
      </c>
      <c r="Q1335" s="172">
        <f>IFERROR(IF(J1335="EI",IF(P1335="低",3,IF(P1335="中",4,6)),IF(J1335="EO",IF(P1335="低",4,IF(P1335="中",5,7)),IF(J1335="EQ",IF(P1335="低",3,IF(P1335="中",4,6)),IF(J1335="ILF",IF(P1335="低",7,IF(P1335="中",10,15)),IF(J1335="EIF",IF(P1335="低",5,IF(P1335="中",7,10)),"不计算")))))*R1335,"不计算")</f>
        <v/>
      </c>
      <c r="R1335" s="172" t="n">
        <v>1</v>
      </c>
      <c r="S1335" s="173">
        <f>调整因子!$F$13</f>
        <v/>
      </c>
      <c r="T1335" s="93" t="n">
        <v>1</v>
      </c>
      <c r="U1335" s="174">
        <f>IFERROR(Q1335*S1335,0)</f>
        <v/>
      </c>
      <c r="V1335" s="178">
        <f>U1335*T1335</f>
        <v/>
      </c>
      <c r="W1335" s="103" t="inlineStr">
        <is>
          <t>修复方案表、漏洞统计数据表</t>
        </is>
      </c>
      <c r="X1335" s="103" t="n"/>
      <c r="Y1335" s="97" t="inlineStr">
        <is>
          <t>修复方案表{ID、名称|ID、名称、类型、状态、创建时间、更新时间}
漏洞统计数据表{漏洞ID、漏洞名称|漏洞ID、漏洞名称、漏洞等级、漏洞类型、CVE编号、发现时间、修复状态}</t>
        </is>
      </c>
      <c r="Z1335" s="90" t="n"/>
      <c r="AA1335" s="90" t="n"/>
    </row>
    <row r="1336" s="112">
      <c r="A1336" s="72">
        <f>ROW()-1</f>
        <v/>
      </c>
      <c r="B1336" s="175" t="n"/>
      <c r="C1336" s="124" t="n">
        <v>2026</v>
      </c>
      <c r="E1336" s="103" t="n"/>
      <c r="F1336" s="175" t="n"/>
      <c r="G1336" s="176" t="n"/>
      <c r="H1336" s="176" t="n"/>
      <c r="I1336" s="103" t="inlineStr">
        <is>
          <t>查看状态详情</t>
        </is>
      </c>
      <c r="J1336" s="93" t="inlineStr">
        <is>
          <t>EQ</t>
        </is>
      </c>
      <c r="K1336" s="102" t="n"/>
      <c r="L1336" s="102" t="n"/>
      <c r="M1336" s="85">
        <f>IF(OR(Y1336="估算法",Y1336="算法类",Y1336="无法识别"),"",IF(W1336="",IF(OR(J1336="EI",J1336="EO",J1336="EQ"),0,""),LEN(W1336)-LEN(SUBSTITUTE(W1336,"、",""))+1))</f>
        <v/>
      </c>
      <c r="N1336" s="85">
        <f>IF(OR(Y1336="估算法",Y1336="算法类",Y1336="无法识别"),"",IF(X1336="",IF(OR(J1336="ILF",J1336="EIF"),0,""),LEN(X1336)-LEN(SUBSTITUTE(X1336,"、",""))+1))</f>
        <v/>
      </c>
      <c r="O1336" s="85">
        <f>IF(OR(Y1336="估算法",Y1336="算法类",Y1336="无法识别"),"",IF(Y1336="",IF(OR(J1336="ILF",J1336="EIF",J1336="EI",J1336="EO",J1336="EQ"),0,""),LEN(Y1336)-LEN(SUBSTITUTE(SUBSTITUTE(SUBSTITUTE(SUBSTITUTE(SUBSTITUTE(Y1336,"|}","--"),"{|","--"),CHAR(10),""),"、",""),"|",""))+IF(AND(OR(J1336="EI",J1336="EO",J1336="EQ"),$AE$1="NESMA"),2,1)))</f>
        <v/>
      </c>
      <c r="P1336" s="86">
        <f>IF(J1336="EI",IF(OR(Y1336="估算法",Y1336="算法类"),"中",IF(Y1336="无法识别","低",IF(M1336&lt;2,IF(O1336&lt;16,"低","中"),IF(M1336&lt;3,IF(O1336&lt;5,"低",IF(O1336&lt;16,"中","高")),IF(O1336&lt;5,"中","高"))))),IF(OR(J1336="EO",J1336="EQ"),IF(OR(Y1336="估算法",Y1336="算法类"),"中",IF(Y1336="无法识别","低",IF(M1336&lt;2,IF(O1336&lt;20,"低","中"),IF(M1336&lt;4,IF(O1336&lt;6,"低",IF(O1336&lt;20,"中","高")),IF(O1336&lt;6,"中","高"))))),IF(OR(J1336="ILF",J1336="EIF"),IF(OR(Y1336="估算法",Y1336="算法类",Y1336="无法识别"),"低",IF(N1336&lt;2,IF(O1336&lt;51,"低","中"),IF(N1336&lt;6,IF(O1336&lt;20,"低",IF(O1336&lt;51,"中","高")),IF(O1336&lt;20,"中","高")))),"不计算")))</f>
        <v/>
      </c>
      <c r="Q1336" s="172">
        <f>IFERROR(IF(J1336="EI",IF(P1336="低",3,IF(P1336="中",4,6)),IF(J1336="EO",IF(P1336="低",4,IF(P1336="中",5,7)),IF(J1336="EQ",IF(P1336="低",3,IF(P1336="中",4,6)),IF(J1336="ILF",IF(P1336="低",7,IF(P1336="中",10,15)),IF(J1336="EIF",IF(P1336="低",5,IF(P1336="中",7,10)),"不计算")))))*R1336,"不计算")</f>
        <v/>
      </c>
      <c r="R1336" s="172" t="n">
        <v>1</v>
      </c>
      <c r="S1336" s="173">
        <f>调整因子!$F$13</f>
        <v/>
      </c>
      <c r="T1336" s="92" t="n">
        <v>1</v>
      </c>
      <c r="U1336" s="174">
        <f>IFERROR(Q1336*S1336,0)</f>
        <v/>
      </c>
      <c r="V1336" s="178">
        <f>U1336*T1336</f>
        <v/>
      </c>
      <c r="W1336" s="103" t="inlineStr">
        <is>
          <t>数据清洗任务表</t>
        </is>
      </c>
      <c r="X1336" s="103" t="n"/>
      <c r="Y1336" s="97" t="inlineStr">
        <is>
          <t>数据清洗任务表{任务ID、任务名称|任务ID、任务名称、任务类型、任务状态、创建时间、执行时间}</t>
        </is>
      </c>
      <c r="Z1336" s="90" t="n"/>
      <c r="AA1336" s="90" t="n"/>
    </row>
    <row r="1337" s="112">
      <c r="A1337" s="72">
        <f>ROW()-1</f>
        <v/>
      </c>
      <c r="B1337" s="175" t="n"/>
      <c r="C1337" s="124" t="n">
        <v>2026</v>
      </c>
      <c r="E1337" s="103" t="n"/>
      <c r="F1337" s="175" t="n"/>
      <c r="G1337" s="97" t="inlineStr">
        <is>
          <t>漏洞降噪与误报处理</t>
        </is>
      </c>
      <c r="H1337" s="97" t="inlineStr">
        <is>
          <t>验证任务管理</t>
        </is>
      </c>
      <c r="I1337" s="103" t="inlineStr">
        <is>
          <t>验证任务表</t>
        </is>
      </c>
      <c r="J1337" s="93" t="inlineStr">
        <is>
          <t>ILF</t>
        </is>
      </c>
      <c r="K1337" s="102" t="n"/>
      <c r="L1337" s="102" t="n"/>
      <c r="M1337" s="85">
        <f>IF(OR(Y1337="估算法",Y1337="算法类",Y1337="无法识别"),"",IF(W1337="",IF(OR(J1337="EI",J1337="EO",J1337="EQ"),0,""),LEN(W1337)-LEN(SUBSTITUTE(W1337,"、",""))+1))</f>
        <v/>
      </c>
      <c r="N1337" s="85">
        <f>IF(OR(Y1337="估算法",Y1337="算法类",Y1337="无法识别"),"",IF(X1337="",IF(OR(J1337="ILF",J1337="EIF"),0,""),LEN(X1337)-LEN(SUBSTITUTE(X1337,"、",""))+1))</f>
        <v/>
      </c>
      <c r="O1337" s="85">
        <f>IF(OR(Y1337="估算法",Y1337="算法类",Y1337="无法识别"),"",IF(Y1337="",IF(OR(J1337="ILF",J1337="EIF",J1337="EI",J1337="EO",J1337="EQ"),0,""),LEN(Y1337)-LEN(SUBSTITUTE(SUBSTITUTE(SUBSTITUTE(SUBSTITUTE(SUBSTITUTE(Y1337,"|}","--"),"{|","--"),CHAR(10),""),"、",""),"|",""))+IF(AND(OR(J1337="EI",J1337="EO",J1337="EQ"),$AE$1="NESMA"),2,1)))</f>
        <v/>
      </c>
      <c r="P1337" s="86">
        <f>IF(J1337="EI",IF(OR(Y1337="估算法",Y1337="算法类"),"中",IF(Y1337="无法识别","低",IF(M1337&lt;2,IF(O1337&lt;16,"低","中"),IF(M1337&lt;3,IF(O1337&lt;5,"低",IF(O1337&lt;16,"中","高")),IF(O1337&lt;5,"中","高"))))),IF(OR(J1337="EO",J1337="EQ"),IF(OR(Y1337="估算法",Y1337="算法类"),"中",IF(Y1337="无法识别","低",IF(M1337&lt;2,IF(O1337&lt;20,"低","中"),IF(M1337&lt;4,IF(O1337&lt;6,"低",IF(O1337&lt;20,"中","高")),IF(O1337&lt;6,"中","高"))))),IF(OR(J1337="ILF",J1337="EIF"),IF(OR(Y1337="估算法",Y1337="算法类",Y1337="无法识别"),"低",IF(N1337&lt;2,IF(O1337&lt;51,"低","中"),IF(N1337&lt;6,IF(O1337&lt;20,"低",IF(O1337&lt;51,"中","高")),IF(O1337&lt;20,"中","高")))),"不计算")))</f>
        <v/>
      </c>
      <c r="Q1337" s="172">
        <f>IFERROR(IF(J1337="EI",IF(P1337="低",3,IF(P1337="中",4,6)),IF(J1337="EO",IF(P1337="低",4,IF(P1337="中",5,7)),IF(J1337="EQ",IF(P1337="低",3,IF(P1337="中",4,6)),IF(J1337="ILF",IF(P1337="低",7,IF(P1337="中",10,15)),IF(J1337="EIF",IF(P1337="低",5,IF(P1337="中",7,10)),"不计算")))))*R1337,"不计算")</f>
        <v/>
      </c>
      <c r="R1337" s="172" t="n">
        <v>1</v>
      </c>
      <c r="S1337" s="173">
        <f>调整因子!$F$13</f>
        <v/>
      </c>
      <c r="T1337" s="92" t="n">
        <v>1</v>
      </c>
      <c r="U1337" s="174">
        <f>IFERROR(Q1337*S1337,0)</f>
        <v/>
      </c>
      <c r="V1337" s="178">
        <f>U1337*T1337</f>
        <v/>
      </c>
      <c r="W1337" s="103" t="inlineStr"/>
      <c r="X1337" s="103" t="inlineStr">
        <is>
          <t>扫描任务、发现任务、口令猜测任务</t>
        </is>
      </c>
      <c r="Y1337" s="97" t="inlineStr">
        <is>
          <t>验证任务表{任务ID、任务名称、任务类型|任务ID、任务名称、任务类型、任务状态、创建时间、执行时间}</t>
        </is>
      </c>
      <c r="Z1337" s="90">
        <f>IF(COUNTIFS(W:W,"*"&amp;I1337&amp;"*")&gt;0,"存在","不存在")</f>
        <v/>
      </c>
      <c r="AA1337" s="90">
        <f>IF(COUNTIFS(AB:AB,"*"&amp;I1337&amp;"*")&gt;0,"存在","不存在")</f>
        <v/>
      </c>
    </row>
    <row r="1338" s="112">
      <c r="A1338" s="72">
        <f>ROW()-1</f>
        <v/>
      </c>
      <c r="B1338" s="175" t="n"/>
      <c r="C1338" s="124" t="n">
        <v>2026</v>
      </c>
      <c r="E1338" s="103" t="n"/>
      <c r="F1338" s="175" t="n"/>
      <c r="G1338" s="175" t="n"/>
      <c r="H1338" s="175" t="n"/>
      <c r="I1338" s="103" t="inlineStr">
        <is>
          <t>验证配置表</t>
        </is>
      </c>
      <c r="J1338" s="93" t="inlineStr">
        <is>
          <t>ILF</t>
        </is>
      </c>
      <c r="K1338" s="102" t="n"/>
      <c r="L1338" s="102" t="n"/>
      <c r="M1338" s="85">
        <f>IF(OR(Y1338="估算法",Y1338="算法类",Y1338="无法识别"),"",IF(W1338="",IF(OR(J1338="EI",J1338="EO",J1338="EQ"),0,""),LEN(W1338)-LEN(SUBSTITUTE(W1338,"、",""))+1))</f>
        <v/>
      </c>
      <c r="N1338" s="85">
        <f>IF(OR(Y1338="估算法",Y1338="算法类",Y1338="无法识别"),"",IF(X1338="",IF(OR(J1338="ILF",J1338="EIF"),0,""),LEN(X1338)-LEN(SUBSTITUTE(X1338,"、",""))+1))</f>
        <v/>
      </c>
      <c r="O1338" s="85">
        <f>IF(OR(Y1338="估算法",Y1338="算法类",Y1338="无法识别"),"",IF(Y1338="",IF(OR(J1338="ILF",J1338="EIF",J1338="EI",J1338="EO",J1338="EQ"),0,""),LEN(Y1338)-LEN(SUBSTITUTE(SUBSTITUTE(SUBSTITUTE(SUBSTITUTE(SUBSTITUTE(Y1338,"|}","--"),"{|","--"),CHAR(10),""),"、",""),"|",""))+IF(AND(OR(J1338="EI",J1338="EO",J1338="EQ"),$AE$1="NESMA"),2,1)))</f>
        <v/>
      </c>
      <c r="P1338" s="86">
        <f>IF(J1338="EI",IF(OR(Y1338="估算法",Y1338="算法类"),"中",IF(Y1338="无法识别","低",IF(M1338&lt;2,IF(O1338&lt;16,"低","中"),IF(M1338&lt;3,IF(O1338&lt;5,"低",IF(O1338&lt;16,"中","高")),IF(O1338&lt;5,"中","高"))))),IF(OR(J1338="EO",J1338="EQ"),IF(OR(Y1338="估算法",Y1338="算法类"),"中",IF(Y1338="无法识别","低",IF(M1338&lt;2,IF(O1338&lt;20,"低","中"),IF(M1338&lt;4,IF(O1338&lt;6,"低",IF(O1338&lt;20,"中","高")),IF(O1338&lt;6,"中","高"))))),IF(OR(J1338="ILF",J1338="EIF"),IF(OR(Y1338="估算法",Y1338="算法类",Y1338="无法识别"),"低",IF(N1338&lt;2,IF(O1338&lt;51,"低","中"),IF(N1338&lt;6,IF(O1338&lt;20,"低",IF(O1338&lt;51,"中","高")),IF(O1338&lt;20,"中","高")))),"不计算")))</f>
        <v/>
      </c>
      <c r="Q1338" s="172">
        <f>IFERROR(IF(J1338="EI",IF(P1338="低",3,IF(P1338="中",4,6)),IF(J1338="EO",IF(P1338="低",4,IF(P1338="中",5,7)),IF(J1338="EQ",IF(P1338="低",3,IF(P1338="中",4,6)),IF(J1338="ILF",IF(P1338="低",7,IF(P1338="中",10,15)),IF(J1338="EIF",IF(P1338="低",5,IF(P1338="中",7,10)),"不计算")))))*R1338,"不计算")</f>
        <v/>
      </c>
      <c r="R1338" s="172" t="n">
        <v>1</v>
      </c>
      <c r="S1338" s="173">
        <f>调整因子!$F$13</f>
        <v/>
      </c>
      <c r="T1338" s="93" t="n">
        <v>1</v>
      </c>
      <c r="U1338" s="174">
        <f>IFERROR(Q1338*S1338,0)</f>
        <v/>
      </c>
      <c r="V1338" s="178">
        <f>U1338*T1338</f>
        <v/>
      </c>
      <c r="W1338" s="103" t="inlineStr"/>
      <c r="X1338" s="103" t="inlineStr">
        <is>
          <t>配置项</t>
        </is>
      </c>
      <c r="Y1338" s="97" t="inlineStr">
        <is>
          <t>验证配置表{配置ID、配置名称、配置类型|配置ID、配置名称、配置类型、配置值、创建时间}</t>
        </is>
      </c>
      <c r="Z1338" s="90">
        <f>IF(COUNTIFS(W:W,"*"&amp;I1338&amp;"*")&gt;0,"存在","不存在")</f>
        <v/>
      </c>
      <c r="AA1338" s="90">
        <f>IF(COUNTIFS(AB:AB,"*"&amp;I1338&amp;"*")&gt;0,"存在","不存在")</f>
        <v/>
      </c>
    </row>
    <row r="1339" s="112">
      <c r="A1339" s="72">
        <f>ROW()-1</f>
        <v/>
      </c>
      <c r="B1339" s="175" t="n"/>
      <c r="C1339" s="124" t="n">
        <v>2026</v>
      </c>
      <c r="E1339" s="103" t="n"/>
      <c r="F1339" s="175" t="n"/>
      <c r="G1339" s="175" t="n"/>
      <c r="H1339" s="175" t="n"/>
      <c r="I1339" s="103" t="inlineStr">
        <is>
          <t>验证记录表</t>
        </is>
      </c>
      <c r="J1339" s="93" t="inlineStr">
        <is>
          <t>ILF</t>
        </is>
      </c>
      <c r="K1339" s="102" t="n"/>
      <c r="L1339" s="102" t="n"/>
      <c r="M1339" s="85">
        <f>IF(OR(Y1339="估算法",Y1339="算法类",Y1339="无法识别"),"",IF(W1339="",IF(OR(J1339="EI",J1339="EO",J1339="EQ"),0,""),LEN(W1339)-LEN(SUBSTITUTE(W1339,"、",""))+1))</f>
        <v/>
      </c>
      <c r="N1339" s="85">
        <f>IF(OR(Y1339="估算法",Y1339="算法类",Y1339="无法识别"),"",IF(X1339="",IF(OR(J1339="ILF",J1339="EIF"),0,""),LEN(X1339)-LEN(SUBSTITUTE(X1339,"、",""))+1))</f>
        <v/>
      </c>
      <c r="O1339" s="85">
        <f>IF(OR(Y1339="估算法",Y1339="算法类",Y1339="无法识别"),"",IF(Y1339="",IF(OR(J1339="ILF",J1339="EIF",J1339="EI",J1339="EO",J1339="EQ"),0,""),LEN(Y1339)-LEN(SUBSTITUTE(SUBSTITUTE(SUBSTITUTE(SUBSTITUTE(SUBSTITUTE(Y1339,"|}","--"),"{|","--"),CHAR(10),""),"、",""),"|",""))+IF(AND(OR(J1339="EI",J1339="EO",J1339="EQ"),$AE$1="NESMA"),2,1)))</f>
        <v/>
      </c>
      <c r="P1339" s="86">
        <f>IF(J1339="EI",IF(OR(Y1339="估算法",Y1339="算法类"),"中",IF(Y1339="无法识别","低",IF(M1339&lt;2,IF(O1339&lt;16,"低","中"),IF(M1339&lt;3,IF(O1339&lt;5,"低",IF(O1339&lt;16,"中","高")),IF(O1339&lt;5,"中","高"))))),IF(OR(J1339="EO",J1339="EQ"),IF(OR(Y1339="估算法",Y1339="算法类"),"中",IF(Y1339="无法识别","低",IF(M1339&lt;2,IF(O1339&lt;20,"低","中"),IF(M1339&lt;4,IF(O1339&lt;6,"低",IF(O1339&lt;20,"中","高")),IF(O1339&lt;6,"中","高"))))),IF(OR(J1339="ILF",J1339="EIF"),IF(OR(Y1339="估算法",Y1339="算法类",Y1339="无法识别"),"低",IF(N1339&lt;2,IF(O1339&lt;51,"低","中"),IF(N1339&lt;6,IF(O1339&lt;20,"低",IF(O1339&lt;51,"中","高")),IF(O1339&lt;20,"中","高")))),"不计算")))</f>
        <v/>
      </c>
      <c r="Q1339" s="172">
        <f>IFERROR(IF(J1339="EI",IF(P1339="低",3,IF(P1339="中",4,6)),IF(J1339="EO",IF(P1339="低",4,IF(P1339="中",5,7)),IF(J1339="EQ",IF(P1339="低",3,IF(P1339="中",4,6)),IF(J1339="ILF",IF(P1339="低",7,IF(P1339="中",10,15)),IF(J1339="EIF",IF(P1339="低",5,IF(P1339="中",7,10)),"不计算")))))*R1339,"不计算")</f>
        <v/>
      </c>
      <c r="R1339" s="172" t="n">
        <v>1</v>
      </c>
      <c r="S1339" s="173">
        <f>调整因子!$F$13</f>
        <v/>
      </c>
      <c r="T1339" s="92" t="n">
        <v>1</v>
      </c>
      <c r="U1339" s="174">
        <f>IFERROR(Q1339*S1339,0)</f>
        <v/>
      </c>
      <c r="V1339" s="178">
        <f>U1339*T1339</f>
        <v/>
      </c>
      <c r="W1339" s="103" t="inlineStr"/>
      <c r="X1339" s="103" t="inlineStr">
        <is>
          <t>数据记录</t>
        </is>
      </c>
      <c r="Y1339" s="97" t="inlineStr">
        <is>
          <t>验证记录表{ID、名称、类型|ID、名称、类型、状态、创建时间、更新时间}</t>
        </is>
      </c>
      <c r="Z1339" s="90">
        <f>IF(COUNTIFS(W:W,"*"&amp;I1339&amp;"*")&gt;0,"存在","不存在")</f>
        <v/>
      </c>
      <c r="AA1339" s="90">
        <f>IF(COUNTIFS(AB:AB,"*"&amp;I1339&amp;"*")&gt;0,"存在","不存在")</f>
        <v/>
      </c>
    </row>
    <row r="1340" s="112">
      <c r="A1340" s="72">
        <f>ROW()-1</f>
        <v/>
      </c>
      <c r="B1340" s="175" t="n"/>
      <c r="C1340" s="124" t="n">
        <v>2026</v>
      </c>
      <c r="E1340" s="103" t="n"/>
      <c r="F1340" s="175" t="n"/>
      <c r="G1340" s="175" t="n"/>
      <c r="H1340" s="175" t="n"/>
      <c r="I1340" s="103" t="inlineStr">
        <is>
          <t>创建验证任务</t>
        </is>
      </c>
      <c r="J1340" s="93" t="inlineStr">
        <is>
          <t>EI</t>
        </is>
      </c>
      <c r="K1340" s="102" t="n"/>
      <c r="L1340" s="102" t="n"/>
      <c r="M1340" s="85">
        <f>IF(OR(Y1340="估算法",Y1340="算法类",Y1340="无法识别"),"",IF(W1340="",IF(OR(J1340="EI",J1340="EO",J1340="EQ"),0,""),LEN(W1340)-LEN(SUBSTITUTE(W1340,"、",""))+1))</f>
        <v/>
      </c>
      <c r="N1340" s="85">
        <f>IF(OR(Y1340="估算法",Y1340="算法类",Y1340="无法识别"),"",IF(X1340="",IF(OR(J1340="ILF",J1340="EIF"),0,""),LEN(X1340)-LEN(SUBSTITUTE(X1340,"、",""))+1))</f>
        <v/>
      </c>
      <c r="O1340" s="85">
        <f>IF(OR(Y1340="估算法",Y1340="算法类",Y1340="无法识别"),"",IF(Y1340="",IF(OR(J1340="ILF",J1340="EIF",J1340="EI",J1340="EO",J1340="EQ"),0,""),LEN(Y1340)-LEN(SUBSTITUTE(SUBSTITUTE(SUBSTITUTE(SUBSTITUTE(SUBSTITUTE(Y1340,"|}","--"),"{|","--"),CHAR(10),""),"、",""),"|",""))+IF(AND(OR(J1340="EI",J1340="EO",J1340="EQ"),$AE$1="NESMA"),2,1)))</f>
        <v/>
      </c>
      <c r="P1340" s="86">
        <f>IF(J1340="EI",IF(OR(Y1340="估算法",Y1340="算法类"),"中",IF(Y1340="无法识别","低",IF(M1340&lt;2,IF(O1340&lt;16,"低","中"),IF(M1340&lt;3,IF(O1340&lt;5,"低",IF(O1340&lt;16,"中","高")),IF(O1340&lt;5,"中","高"))))),IF(OR(J1340="EO",J1340="EQ"),IF(OR(Y1340="估算法",Y1340="算法类"),"中",IF(Y1340="无法识别","低",IF(M1340&lt;2,IF(O1340&lt;20,"低","中"),IF(M1340&lt;4,IF(O1340&lt;6,"低",IF(O1340&lt;20,"中","高")),IF(O1340&lt;6,"中","高"))))),IF(OR(J1340="ILF",J1340="EIF"),IF(OR(Y1340="估算法",Y1340="算法类",Y1340="无法识别"),"低",IF(N1340&lt;2,IF(O1340&lt;51,"低","中"),IF(N1340&lt;6,IF(O1340&lt;20,"低",IF(O1340&lt;51,"中","高")),IF(O1340&lt;20,"中","高")))),"不计算")))</f>
        <v/>
      </c>
      <c r="Q1340" s="172">
        <f>IFERROR(IF(J1340="EI",IF(P1340="低",3,IF(P1340="中",4,6)),IF(J1340="EO",IF(P1340="低",4,IF(P1340="中",5,7)),IF(J1340="EQ",IF(P1340="低",3,IF(P1340="中",4,6)),IF(J1340="ILF",IF(P1340="低",7,IF(P1340="中",10,15)),IF(J1340="EIF",IF(P1340="低",5,IF(P1340="中",7,10)),"不计算")))))*R1340,"不计算")</f>
        <v/>
      </c>
      <c r="R1340" s="172" t="n">
        <v>1</v>
      </c>
      <c r="S1340" s="173">
        <f>调整因子!$F$13</f>
        <v/>
      </c>
      <c r="T1340" s="92" t="n">
        <v>1</v>
      </c>
      <c r="U1340" s="174">
        <f>IFERROR(Q1340*S1340,0)</f>
        <v/>
      </c>
      <c r="V1340" s="178">
        <f>U1340*T1340</f>
        <v/>
      </c>
      <c r="W1340" s="103" t="inlineStr">
        <is>
          <t>数据清洗任务表</t>
        </is>
      </c>
      <c r="X1340" s="103" t="n"/>
      <c r="Y1340" s="97" t="inlineStr">
        <is>
          <t>数据清洗任务表{任务ID、任务名称、任务类型、任务状态、创建时间、执行时间|任务ID、任务名称}</t>
        </is>
      </c>
      <c r="Z1340" s="90" t="n"/>
      <c r="AA1340" s="90" t="n"/>
    </row>
    <row r="1341" s="112">
      <c r="A1341" s="72">
        <f>ROW()-1</f>
        <v/>
      </c>
      <c r="B1341" s="175" t="n"/>
      <c r="C1341" s="124" t="n">
        <v>2026</v>
      </c>
      <c r="E1341" s="103" t="n"/>
      <c r="F1341" s="175" t="n"/>
      <c r="G1341" s="175" t="n"/>
      <c r="H1341" s="175" t="n"/>
      <c r="I1341" s="103" t="inlineStr">
        <is>
          <t>编辑验证任务</t>
        </is>
      </c>
      <c r="J1341" s="93" t="inlineStr">
        <is>
          <t>EI</t>
        </is>
      </c>
      <c r="K1341" s="102" t="n"/>
      <c r="L1341" s="102" t="n"/>
      <c r="M1341" s="85">
        <f>IF(OR(Y1341="估算法",Y1341="算法类",Y1341="无法识别"),"",IF(W1341="",IF(OR(J1341="EI",J1341="EO",J1341="EQ"),0,""),LEN(W1341)-LEN(SUBSTITUTE(W1341,"、",""))+1))</f>
        <v/>
      </c>
      <c r="N1341" s="85">
        <f>IF(OR(Y1341="估算法",Y1341="算法类",Y1341="无法识别"),"",IF(X1341="",IF(OR(J1341="ILF",J1341="EIF"),0,""),LEN(X1341)-LEN(SUBSTITUTE(X1341,"、",""))+1))</f>
        <v/>
      </c>
      <c r="O1341" s="85">
        <f>IF(OR(Y1341="估算法",Y1341="算法类",Y1341="无法识别"),"",IF(Y1341="",IF(OR(J1341="ILF",J1341="EIF",J1341="EI",J1341="EO",J1341="EQ"),0,""),LEN(Y1341)-LEN(SUBSTITUTE(SUBSTITUTE(SUBSTITUTE(SUBSTITUTE(SUBSTITUTE(Y1341,"|}","--"),"{|","--"),CHAR(10),""),"、",""),"|",""))+IF(AND(OR(J1341="EI",J1341="EO",J1341="EQ"),$AE$1="NESMA"),2,1)))</f>
        <v/>
      </c>
      <c r="P1341" s="86">
        <f>IF(J1341="EI",IF(OR(Y1341="估算法",Y1341="算法类"),"中",IF(Y1341="无法识别","低",IF(M1341&lt;2,IF(O1341&lt;16,"低","中"),IF(M1341&lt;3,IF(O1341&lt;5,"低",IF(O1341&lt;16,"中","高")),IF(O1341&lt;5,"中","高"))))),IF(OR(J1341="EO",J1341="EQ"),IF(OR(Y1341="估算法",Y1341="算法类"),"中",IF(Y1341="无法识别","低",IF(M1341&lt;2,IF(O1341&lt;20,"低","中"),IF(M1341&lt;4,IF(O1341&lt;6,"低",IF(O1341&lt;20,"中","高")),IF(O1341&lt;6,"中","高"))))),IF(OR(J1341="ILF",J1341="EIF"),IF(OR(Y1341="估算法",Y1341="算法类",Y1341="无法识别"),"低",IF(N1341&lt;2,IF(O1341&lt;51,"低","中"),IF(N1341&lt;6,IF(O1341&lt;20,"低",IF(O1341&lt;51,"中","高")),IF(O1341&lt;20,"中","高")))),"不计算")))</f>
        <v/>
      </c>
      <c r="Q1341" s="172">
        <f>IFERROR(IF(J1341="EI",IF(P1341="低",3,IF(P1341="中",4,6)),IF(J1341="EO",IF(P1341="低",4,IF(P1341="中",5,7)),IF(J1341="EQ",IF(P1341="低",3,IF(P1341="中",4,6)),IF(J1341="ILF",IF(P1341="低",7,IF(P1341="中",10,15)),IF(J1341="EIF",IF(P1341="低",5,IF(P1341="中",7,10)),"不计算")))))*R1341,"不计算")</f>
        <v/>
      </c>
      <c r="R1341" s="172" t="n">
        <v>1</v>
      </c>
      <c r="S1341" s="173">
        <f>调整因子!$F$13</f>
        <v/>
      </c>
      <c r="T1341" s="93" t="n">
        <v>1</v>
      </c>
      <c r="U1341" s="174">
        <f>IFERROR(Q1341*S1341,0)</f>
        <v/>
      </c>
      <c r="V1341" s="178">
        <f>U1341*T1341</f>
        <v/>
      </c>
      <c r="W1341" s="103" t="inlineStr">
        <is>
          <t>数据清洗任务表</t>
        </is>
      </c>
      <c r="X1341" s="103" t="n"/>
      <c r="Y1341" s="97" t="inlineStr">
        <is>
          <t>数据清洗任务表{任务ID、任务名称、任务类型、任务状态、创建时间、执行时间|任务ID、任务名称、任务类型}</t>
        </is>
      </c>
      <c r="Z1341" s="90" t="n"/>
      <c r="AA1341" s="90" t="n"/>
    </row>
    <row r="1342" s="112">
      <c r="A1342" s="72">
        <f>ROW()-1</f>
        <v/>
      </c>
      <c r="B1342" s="175" t="n"/>
      <c r="C1342" s="124" t="n">
        <v>2026</v>
      </c>
      <c r="E1342" s="103" t="n"/>
      <c r="F1342" s="175" t="n"/>
      <c r="G1342" s="175" t="n"/>
      <c r="H1342" s="175" t="n"/>
      <c r="I1342" s="103" t="inlineStr">
        <is>
          <t>删除验证任务</t>
        </is>
      </c>
      <c r="J1342" s="93" t="inlineStr">
        <is>
          <t>EI</t>
        </is>
      </c>
      <c r="K1342" s="102" t="n"/>
      <c r="L1342" s="102" t="n"/>
      <c r="M1342" s="85">
        <f>IF(OR(Y1342="估算法",Y1342="算法类",Y1342="无法识别"),"",IF(W1342="",IF(OR(J1342="EI",J1342="EO",J1342="EQ"),0,""),LEN(W1342)-LEN(SUBSTITUTE(W1342,"、",""))+1))</f>
        <v/>
      </c>
      <c r="N1342" s="85">
        <f>IF(OR(Y1342="估算法",Y1342="算法类",Y1342="无法识别"),"",IF(X1342="",IF(OR(J1342="ILF",J1342="EIF"),0,""),LEN(X1342)-LEN(SUBSTITUTE(X1342,"、",""))+1))</f>
        <v/>
      </c>
      <c r="O1342" s="85">
        <f>IF(OR(Y1342="估算法",Y1342="算法类",Y1342="无法识别"),"",IF(Y1342="",IF(OR(J1342="ILF",J1342="EIF",J1342="EI",J1342="EO",J1342="EQ"),0,""),LEN(Y1342)-LEN(SUBSTITUTE(SUBSTITUTE(SUBSTITUTE(SUBSTITUTE(SUBSTITUTE(Y1342,"|}","--"),"{|","--"),CHAR(10),""),"、",""),"|",""))+IF(AND(OR(J1342="EI",J1342="EO",J1342="EQ"),$AE$1="NESMA"),2,1)))</f>
        <v/>
      </c>
      <c r="P1342" s="86">
        <f>IF(J1342="EI",IF(OR(Y1342="估算法",Y1342="算法类"),"中",IF(Y1342="无法识别","低",IF(M1342&lt;2,IF(O1342&lt;16,"低","中"),IF(M1342&lt;3,IF(O1342&lt;5,"低",IF(O1342&lt;16,"中","高")),IF(O1342&lt;5,"中","高"))))),IF(OR(J1342="EO",J1342="EQ"),IF(OR(Y1342="估算法",Y1342="算法类"),"中",IF(Y1342="无法识别","低",IF(M1342&lt;2,IF(O1342&lt;20,"低","中"),IF(M1342&lt;4,IF(O1342&lt;6,"低",IF(O1342&lt;20,"中","高")),IF(O1342&lt;6,"中","高"))))),IF(OR(J1342="ILF",J1342="EIF"),IF(OR(Y1342="估算法",Y1342="算法类",Y1342="无法识别"),"低",IF(N1342&lt;2,IF(O1342&lt;51,"低","中"),IF(N1342&lt;6,IF(O1342&lt;20,"低",IF(O1342&lt;51,"中","高")),IF(O1342&lt;20,"中","高")))),"不计算")))</f>
        <v/>
      </c>
      <c r="Q1342" s="172">
        <f>IFERROR(IF(J1342="EI",IF(P1342="低",3,IF(P1342="中",4,6)),IF(J1342="EO",IF(P1342="低",4,IF(P1342="中",5,7)),IF(J1342="EQ",IF(P1342="低",3,IF(P1342="中",4,6)),IF(J1342="ILF",IF(P1342="低",7,IF(P1342="中",10,15)),IF(J1342="EIF",IF(P1342="低",5,IF(P1342="中",7,10)),"不计算")))))*R1342,"不计算")</f>
        <v/>
      </c>
      <c r="R1342" s="172" t="n">
        <v>0.333333333333333</v>
      </c>
      <c r="S1342" s="173">
        <f>调整因子!$F$13</f>
        <v/>
      </c>
      <c r="T1342" s="93" t="n">
        <v>1</v>
      </c>
      <c r="U1342" s="174">
        <f>IFERROR(Q1342*S1342,0)</f>
        <v/>
      </c>
      <c r="V1342" s="178">
        <f>U1342*T1342</f>
        <v/>
      </c>
      <c r="W1342" s="103" t="inlineStr">
        <is>
          <t>数据清洗任务表、资产同步任务表</t>
        </is>
      </c>
      <c r="X1342" s="103" t="n"/>
      <c r="Y134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42" s="90" t="n"/>
      <c r="AA1342" s="90" t="n"/>
    </row>
    <row r="1343" s="112">
      <c r="A1343" s="72">
        <f>ROW()-1</f>
        <v/>
      </c>
      <c r="B1343" s="175" t="n"/>
      <c r="C1343" s="124" t="n">
        <v>2026</v>
      </c>
      <c r="E1343" s="103" t="n"/>
      <c r="F1343" s="175" t="n"/>
      <c r="G1343" s="175" t="n"/>
      <c r="H1343" s="175" t="n"/>
      <c r="I1343" s="103" t="inlineStr">
        <is>
          <t>启动验证任务</t>
        </is>
      </c>
      <c r="J1343" s="93" t="inlineStr">
        <is>
          <t>EI</t>
        </is>
      </c>
      <c r="K1343" s="102" t="n"/>
      <c r="L1343" s="102" t="n"/>
      <c r="M1343" s="85">
        <f>IF(OR(Y1343="估算法",Y1343="算法类",Y1343="无法识别"),"",IF(W1343="",IF(OR(J1343="EI",J1343="EO",J1343="EQ"),0,""),LEN(W1343)-LEN(SUBSTITUTE(W1343,"、",""))+1))</f>
        <v/>
      </c>
      <c r="N1343" s="85">
        <f>IF(OR(Y1343="估算法",Y1343="算法类",Y1343="无法识别"),"",IF(X1343="",IF(OR(J1343="ILF",J1343="EIF"),0,""),LEN(X1343)-LEN(SUBSTITUTE(X1343,"、",""))+1))</f>
        <v/>
      </c>
      <c r="O1343" s="85">
        <f>IF(OR(Y1343="估算法",Y1343="算法类",Y1343="无法识别"),"",IF(Y1343="",IF(OR(J1343="ILF",J1343="EIF",J1343="EI",J1343="EO",J1343="EQ"),0,""),LEN(Y1343)-LEN(SUBSTITUTE(SUBSTITUTE(SUBSTITUTE(SUBSTITUTE(SUBSTITUTE(Y1343,"|}","--"),"{|","--"),CHAR(10),""),"、",""),"|",""))+IF(AND(OR(J1343="EI",J1343="EO",J1343="EQ"),$AE$1="NESMA"),2,1)))</f>
        <v/>
      </c>
      <c r="P1343" s="86">
        <f>IF(J1343="EI",IF(OR(Y1343="估算法",Y1343="算法类"),"中",IF(Y1343="无法识别","低",IF(M1343&lt;2,IF(O1343&lt;16,"低","中"),IF(M1343&lt;3,IF(O1343&lt;5,"低",IF(O1343&lt;16,"中","高")),IF(O1343&lt;5,"中","高"))))),IF(OR(J1343="EO",J1343="EQ"),IF(OR(Y1343="估算法",Y1343="算法类"),"中",IF(Y1343="无法识别","低",IF(M1343&lt;2,IF(O1343&lt;20,"低","中"),IF(M1343&lt;4,IF(O1343&lt;6,"低",IF(O1343&lt;20,"中","高")),IF(O1343&lt;6,"中","高"))))),IF(OR(J1343="ILF",J1343="EIF"),IF(OR(Y1343="估算法",Y1343="算法类",Y1343="无法识别"),"低",IF(N1343&lt;2,IF(O1343&lt;51,"低","中"),IF(N1343&lt;6,IF(O1343&lt;20,"低",IF(O1343&lt;51,"中","高")),IF(O1343&lt;20,"中","高")))),"不计算")))</f>
        <v/>
      </c>
      <c r="Q1343" s="172">
        <f>IFERROR(IF(J1343="EI",IF(P1343="低",3,IF(P1343="中",4,6)),IF(J1343="EO",IF(P1343="低",4,IF(P1343="中",5,7)),IF(J1343="EQ",IF(P1343="低",3,IF(P1343="中",4,6)),IF(J1343="ILF",IF(P1343="低",7,IF(P1343="中",10,15)),IF(J1343="EIF",IF(P1343="低",5,IF(P1343="中",7,10)),"不计算")))))*R1343,"不计算")</f>
        <v/>
      </c>
      <c r="R1343" s="172" t="n">
        <v>1</v>
      </c>
      <c r="S1343" s="173">
        <f>调整因子!$F$13</f>
        <v/>
      </c>
      <c r="T1343" s="92" t="n">
        <v>1</v>
      </c>
      <c r="U1343" s="174">
        <f>IFERROR(Q1343*S1343,0)</f>
        <v/>
      </c>
      <c r="V1343" s="178">
        <f>U1343*T1343</f>
        <v/>
      </c>
      <c r="W1343" s="103" t="inlineStr">
        <is>
          <t>数据清洗任务表</t>
        </is>
      </c>
      <c r="X1343" s="103" t="n"/>
      <c r="Y1343" s="97" t="inlineStr">
        <is>
          <t>数据清洗任务表{任务ID、任务名称、任务状态、创建时间、执行时间|任务ID、任务名称、任务类型}</t>
        </is>
      </c>
      <c r="Z1343" s="90" t="n"/>
      <c r="AA1343" s="90" t="n"/>
    </row>
    <row r="1344" s="112">
      <c r="A1344" s="72">
        <f>ROW()-1</f>
        <v/>
      </c>
      <c r="B1344" s="175" t="n"/>
      <c r="C1344" s="124" t="n">
        <v>2026</v>
      </c>
      <c r="E1344" s="103" t="n"/>
      <c r="F1344" s="175" t="n"/>
      <c r="G1344" s="175" t="n"/>
      <c r="H1344" s="175" t="n"/>
      <c r="I1344" s="103" t="inlineStr">
        <is>
          <t>停止验证任务</t>
        </is>
      </c>
      <c r="J1344" s="93" t="n"/>
      <c r="K1344" s="102" t="n"/>
      <c r="L1344" s="102" t="inlineStr">
        <is>
          <t>和上行合并，启停为相同功能</t>
        </is>
      </c>
      <c r="M1344" s="85">
        <f>IF(OR(Y1344="估算法",Y1344="算法类",Y1344="无法识别"),"",IF(W1344="",IF(OR(J1344="EI",J1344="EO",J1344="EQ"),0,""),LEN(W1344)-LEN(SUBSTITUTE(W1344,"、",""))+1))</f>
        <v/>
      </c>
      <c r="N1344" s="85">
        <f>IF(OR(Y1344="估算法",Y1344="算法类",Y1344="无法识别"),"",IF(X1344="",IF(OR(J1344="ILF",J1344="EIF"),0,""),LEN(X1344)-LEN(SUBSTITUTE(X1344,"、",""))+1))</f>
        <v/>
      </c>
      <c r="O1344" s="85">
        <f>IF(OR(Y1344="估算法",Y1344="算法类",Y1344="无法识别"),"",IF(Y1344="",IF(OR(J1344="ILF",J1344="EIF",J1344="EI",J1344="EO",J1344="EQ"),0,""),LEN(Y1344)-LEN(SUBSTITUTE(SUBSTITUTE(SUBSTITUTE(SUBSTITUTE(SUBSTITUTE(Y1344,"|}","--"),"{|","--"),CHAR(10),""),"、",""),"|",""))+IF(AND(OR(J1344="EI",J1344="EO",J1344="EQ"),$AE$1="NESMA"),2,1)))</f>
        <v/>
      </c>
      <c r="P1344" s="86">
        <f>IF(J1344="EI",IF(OR(Y1344="估算法",Y1344="算法类"),"中",IF(Y1344="无法识别","低",IF(M1344&lt;2,IF(O1344&lt;16,"低","中"),IF(M1344&lt;3,IF(O1344&lt;5,"低",IF(O1344&lt;16,"中","高")),IF(O1344&lt;5,"中","高"))))),IF(OR(J1344="EO",J1344="EQ"),IF(OR(Y1344="估算法",Y1344="算法类"),"中",IF(Y1344="无法识别","低",IF(M1344&lt;2,IF(O1344&lt;20,"低","中"),IF(M1344&lt;4,IF(O1344&lt;6,"低",IF(O1344&lt;20,"中","高")),IF(O1344&lt;6,"中","高"))))),IF(OR(J1344="ILF",J1344="EIF"),IF(OR(Y1344="估算法",Y1344="算法类",Y1344="无法识别"),"低",IF(N1344&lt;2,IF(O1344&lt;51,"低","中"),IF(N1344&lt;6,IF(O1344&lt;20,"低",IF(O1344&lt;51,"中","高")),IF(O1344&lt;20,"中","高")))),"不计算")))</f>
        <v/>
      </c>
      <c r="Q1344" s="172">
        <f>IFERROR(IF(J1344="EI",IF(P1344="低",3,IF(P1344="中",4,6)),IF(J1344="EO",IF(P1344="低",4,IF(P1344="中",5,7)),IF(J1344="EQ",IF(P1344="低",3,IF(P1344="中",4,6)),IF(J1344="ILF",IF(P1344="低",7,IF(P1344="中",10,15)),IF(J1344="EIF",IF(P1344="低",5,IF(P1344="中",7,10)),"不计算")))))*R1344,"不计算")</f>
        <v/>
      </c>
      <c r="R1344" s="172" t="n">
        <v>1</v>
      </c>
      <c r="S1344" s="173">
        <f>调整因子!$F$13</f>
        <v/>
      </c>
      <c r="T1344" s="92" t="n">
        <v>1</v>
      </c>
      <c r="U1344" s="174">
        <f>IFERROR(Q1344*S1344,0)</f>
        <v/>
      </c>
      <c r="V1344" s="178">
        <f>U1344*T1344</f>
        <v/>
      </c>
      <c r="W1344" s="103" t="inlineStr">
        <is>
          <t>数据清洗任务表、资产同步任务表</t>
        </is>
      </c>
      <c r="X1344" s="103" t="n"/>
      <c r="Y1344" s="97" t="inlineStr">
        <is>
          <t>数据清洗任务表{任务ID、任务名称、任务类型、任务状态、执行时间|任务ID、任务名称、任务类型}
资产同步任务表{资产ID、资产名称、IP地址、资产类型、资产状态、创建时间、更新时间|资产ID、资产名称、IP地址}</t>
        </is>
      </c>
      <c r="Z1344" s="90" t="n"/>
      <c r="AA1344" s="90" t="n"/>
    </row>
    <row r="1345" s="112">
      <c r="A1345" s="72">
        <f>ROW()-1</f>
        <v/>
      </c>
      <c r="B1345" s="175" t="n"/>
      <c r="C1345" s="124" t="n">
        <v>2026</v>
      </c>
      <c r="E1345" s="103" t="n"/>
      <c r="F1345" s="175" t="n"/>
      <c r="G1345" s="175" t="n"/>
      <c r="H1345" s="175" t="n"/>
      <c r="I1345" s="103" t="inlineStr">
        <is>
          <t>批量创建验证任务</t>
        </is>
      </c>
      <c r="J1345" s="93" t="inlineStr">
        <is>
          <t>EI</t>
        </is>
      </c>
      <c r="K1345" s="84" t="n"/>
      <c r="L1345" s="84" t="inlineStr">
        <is>
          <t>批量操作</t>
        </is>
      </c>
      <c r="M1345" s="85">
        <f>IF(OR(Y1345="估算法",Y1345="算法类",Y1345="无法识别"),"",IF(W1345="",IF(OR(J1345="EI",J1345="EO",J1345="EQ"),0,""),LEN(W1345)-LEN(SUBSTITUTE(W1345,"、",""))+1))</f>
        <v/>
      </c>
      <c r="N1345" s="85">
        <f>IF(OR(Y1345="估算法",Y1345="算法类",Y1345="无法识别"),"",IF(X1345="",IF(OR(J1345="ILF",J1345="EIF"),0,""),LEN(X1345)-LEN(SUBSTITUTE(X1345,"、",""))+1))</f>
        <v/>
      </c>
      <c r="O1345" s="85">
        <f>IF(OR(Y1345="估算法",Y1345="算法类",Y1345="无法识别"),"",IF(Y1345="",IF(OR(J1345="ILF",J1345="EIF",J1345="EI",J1345="EO",J1345="EQ"),0,""),LEN(Y1345)-LEN(SUBSTITUTE(SUBSTITUTE(SUBSTITUTE(SUBSTITUTE(SUBSTITUTE(Y1345,"|}","--"),"{|","--"),CHAR(10),""),"、",""),"|",""))+IF(AND(OR(J1345="EI",J1345="EO",J1345="EQ"),$AE$1="NESMA"),2,1)))</f>
        <v/>
      </c>
      <c r="P1345" s="86">
        <f>IF(J1345="EI",IF(OR(Y1345="估算法",Y1345="算法类"),"中",IF(Y1345="无法识别","低",IF(M1345&lt;2,IF(O1345&lt;16,"低","中"),IF(M1345&lt;3,IF(O1345&lt;5,"低",IF(O1345&lt;16,"中","高")),IF(O1345&lt;5,"中","高"))))),IF(OR(J1345="EO",J1345="EQ"),IF(OR(Y1345="估算法",Y1345="算法类"),"中",IF(Y1345="无法识别","低",IF(M1345&lt;2,IF(O1345&lt;20,"低","中"),IF(M1345&lt;4,IF(O1345&lt;6,"低",IF(O1345&lt;20,"中","高")),IF(O1345&lt;6,"中","高"))))),IF(OR(J1345="ILF",J1345="EIF"),IF(OR(Y1345="估算法",Y1345="算法类",Y1345="无法识别"),"低",IF(N1345&lt;2,IF(O1345&lt;51,"低","中"),IF(N1345&lt;6,IF(O1345&lt;20,"低",IF(O1345&lt;51,"中","高")),IF(O1345&lt;20,"中","高")))),"不计算")))</f>
        <v/>
      </c>
      <c r="Q1345" s="172">
        <f>IFERROR(IF(J1345="EI",IF(P1345="低",3,IF(P1345="中",4,6)),IF(J1345="EO",IF(P1345="低",4,IF(P1345="中",5,7)),IF(J1345="EQ",IF(P1345="低",3,IF(P1345="中",4,6)),IF(J1345="ILF",IF(P1345="低",7,IF(P1345="中",10,15)),IF(J1345="EIF",IF(P1345="低",5,IF(P1345="中",7,10)),"不计算")))))*R1345,"不计算")</f>
        <v/>
      </c>
      <c r="R1345" s="172" t="n">
        <v>0.333333333333333</v>
      </c>
      <c r="S1345" s="173">
        <f>调整因子!$F$13</f>
        <v/>
      </c>
      <c r="T1345" s="93" t="n">
        <v>1</v>
      </c>
      <c r="U1345" s="174">
        <f>IFERROR(Q1345*S1345,0)</f>
        <v/>
      </c>
      <c r="V1345" s="178">
        <f>U1345*T1345</f>
        <v/>
      </c>
      <c r="W1345" s="103" t="inlineStr">
        <is>
          <t>数据清洗任务表、资产同步任务表</t>
        </is>
      </c>
      <c r="X1345" s="103" t="n"/>
      <c r="Y1345" s="97" t="inlineStr">
        <is>
          <t>数据清洗任务表{任务ID、任务名称、任务类型、任务状态、创建时间、|任务ID、任务名称、任务类型}
资产同步任务表{资产ID、资产名称、IP地址、资产类型、资产状态、创建时间、更新时间|资产ID、资产名称、IP地址}</t>
        </is>
      </c>
      <c r="Z1345" s="90" t="n"/>
      <c r="AA1345" s="90" t="n"/>
    </row>
    <row r="1346" s="112">
      <c r="A1346" s="72">
        <f>ROW()-1</f>
        <v/>
      </c>
      <c r="B1346" s="175" t="n"/>
      <c r="C1346" s="124" t="n">
        <v>2026</v>
      </c>
      <c r="E1346" s="103" t="n"/>
      <c r="F1346" s="175" t="n"/>
      <c r="G1346" s="175" t="n"/>
      <c r="H1346" s="175" t="n"/>
      <c r="I1346" s="103" t="inlineStr">
        <is>
          <t>导出验证任务</t>
        </is>
      </c>
      <c r="J1346" s="93" t="inlineStr">
        <is>
          <t>EO</t>
        </is>
      </c>
      <c r="K1346" s="102" t="n"/>
      <c r="L1346" s="102" t="n"/>
      <c r="M1346" s="85">
        <f>IF(OR(Y1346="估算法",Y1346="算法类",Y1346="无法识别"),"",IF(W1346="",IF(OR(J1346="EI",J1346="EO",J1346="EQ"),0,""),LEN(W1346)-LEN(SUBSTITUTE(W1346,"、",""))+1))</f>
        <v/>
      </c>
      <c r="N1346" s="85">
        <f>IF(OR(Y1346="估算法",Y1346="算法类",Y1346="无法识别"),"",IF(X1346="",IF(OR(J1346="ILF",J1346="EIF"),0,""),LEN(X1346)-LEN(SUBSTITUTE(X1346,"、",""))+1))</f>
        <v/>
      </c>
      <c r="O1346" s="85">
        <f>IF(OR(Y1346="估算法",Y1346="算法类",Y1346="无法识别"),"",IF(Y1346="",IF(OR(J1346="ILF",J1346="EIF",J1346="EI",J1346="EO",J1346="EQ"),0,""),LEN(Y1346)-LEN(SUBSTITUTE(SUBSTITUTE(SUBSTITUTE(SUBSTITUTE(SUBSTITUTE(Y1346,"|}","--"),"{|","--"),CHAR(10),""),"、",""),"|",""))+IF(AND(OR(J1346="EI",J1346="EO",J1346="EQ"),$AE$1="NESMA"),2,1)))</f>
        <v/>
      </c>
      <c r="P1346" s="86">
        <f>IF(J1346="EI",IF(OR(Y1346="估算法",Y1346="算法类"),"中",IF(Y1346="无法识别","低",IF(M1346&lt;2,IF(O1346&lt;16,"低","中"),IF(M1346&lt;3,IF(O1346&lt;5,"低",IF(O1346&lt;16,"中","高")),IF(O1346&lt;5,"中","高"))))),IF(OR(J1346="EO",J1346="EQ"),IF(OR(Y1346="估算法",Y1346="算法类"),"中",IF(Y1346="无法识别","低",IF(M1346&lt;2,IF(O1346&lt;20,"低","中"),IF(M1346&lt;4,IF(O1346&lt;6,"低",IF(O1346&lt;20,"中","高")),IF(O1346&lt;6,"中","高"))))),IF(OR(J1346="ILF",J1346="EIF"),IF(OR(Y1346="估算法",Y1346="算法类",Y1346="无法识别"),"低",IF(N1346&lt;2,IF(O1346&lt;51,"低","中"),IF(N1346&lt;6,IF(O1346&lt;20,"低",IF(O1346&lt;51,"中","高")),IF(O1346&lt;20,"中","高")))),"不计算")))</f>
        <v/>
      </c>
      <c r="Q1346" s="172">
        <f>IFERROR(IF(J1346="EI",IF(P1346="低",3,IF(P1346="中",4,6)),IF(J1346="EO",IF(P1346="低",4,IF(P1346="中",5,7)),IF(J1346="EQ",IF(P1346="低",3,IF(P1346="中",4,6)),IF(J1346="ILF",IF(P1346="低",7,IF(P1346="中",10,15)),IF(J1346="EIF",IF(P1346="低",5,IF(P1346="中",7,10)),"不计算")))))*R1346,"不计算")</f>
        <v/>
      </c>
      <c r="R1346" s="172" t="n">
        <v>1</v>
      </c>
      <c r="S1346" s="173">
        <f>调整因子!$F$13</f>
        <v/>
      </c>
      <c r="T1346" s="92" t="n">
        <v>1</v>
      </c>
      <c r="U1346" s="174">
        <f>IFERROR(Q1346*S1346,0)</f>
        <v/>
      </c>
      <c r="V1346" s="178">
        <f>U1346*T1346</f>
        <v/>
      </c>
      <c r="W1346" s="103" t="inlineStr">
        <is>
          <t>数据清洗任务表、资产同步任务表</t>
        </is>
      </c>
      <c r="X1346" s="103" t="inlineStr"/>
      <c r="Y1346" s="97" t="inlineStr">
        <is>
          <t>数据清洗任务表{任务ID、任务名称|任务ID、任务名称、任务类型、任务状态、创建时间、执行时间}
资产同步任务表{资产ID、资产名称|资产ID、资产名称、IP地址、资产类型、资产状态、创建时间、更新时间}</t>
        </is>
      </c>
      <c r="Z1346" s="90" t="n"/>
      <c r="AA1346" s="90" t="n"/>
    </row>
    <row r="1347" s="112">
      <c r="A1347" s="72">
        <f>ROW()-1</f>
        <v/>
      </c>
      <c r="B1347" s="175" t="n"/>
      <c r="C1347" s="124" t="n">
        <v>2026</v>
      </c>
      <c r="E1347" s="103" t="n"/>
      <c r="F1347" s="175" t="n"/>
      <c r="G1347" s="175" t="n"/>
      <c r="H1347" s="175" t="n"/>
      <c r="I1347" s="103" t="inlineStr">
        <is>
          <t>查询验证任务列表</t>
        </is>
      </c>
      <c r="J1347" s="93" t="inlineStr">
        <is>
          <t>EO</t>
        </is>
      </c>
      <c r="K1347" s="102" t="n"/>
      <c r="L1347" s="102" t="n"/>
      <c r="M1347" s="85">
        <f>IF(OR(Y1347="估算法",Y1347="算法类",Y1347="无法识别"),"",IF(W1347="",IF(OR(J1347="EI",J1347="EO",J1347="EQ"),0,""),LEN(W1347)-LEN(SUBSTITUTE(W1347,"、",""))+1))</f>
        <v/>
      </c>
      <c r="N1347" s="85">
        <f>IF(OR(Y1347="估算法",Y1347="算法类",Y1347="无法识别"),"",IF(X1347="",IF(OR(J1347="ILF",J1347="EIF"),0,""),LEN(X1347)-LEN(SUBSTITUTE(X1347,"、",""))+1))</f>
        <v/>
      </c>
      <c r="O1347" s="85">
        <f>IF(OR(Y1347="估算法",Y1347="算法类",Y1347="无法识别"),"",IF(Y1347="",IF(OR(J1347="ILF",J1347="EIF",J1347="EI",J1347="EO",J1347="EQ"),0,""),LEN(Y1347)-LEN(SUBSTITUTE(SUBSTITUTE(SUBSTITUTE(SUBSTITUTE(SUBSTITUTE(Y1347,"|}","--"),"{|","--"),CHAR(10),""),"、",""),"|",""))+IF(AND(OR(J1347="EI",J1347="EO",J1347="EQ"),$AE$1="NESMA"),2,1)))</f>
        <v/>
      </c>
      <c r="P1347" s="86">
        <f>IF(J1347="EI",IF(OR(Y1347="估算法",Y1347="算法类"),"中",IF(Y1347="无法识别","低",IF(M1347&lt;2,IF(O1347&lt;16,"低","中"),IF(M1347&lt;3,IF(O1347&lt;5,"低",IF(O1347&lt;16,"中","高")),IF(O1347&lt;5,"中","高"))))),IF(OR(J1347="EO",J1347="EQ"),IF(OR(Y1347="估算法",Y1347="算法类"),"中",IF(Y1347="无法识别","低",IF(M1347&lt;2,IF(O1347&lt;20,"低","中"),IF(M1347&lt;4,IF(O1347&lt;6,"低",IF(O1347&lt;20,"中","高")),IF(O1347&lt;6,"中","高"))))),IF(OR(J1347="ILF",J1347="EIF"),IF(OR(Y1347="估算法",Y1347="算法类",Y1347="无法识别"),"低",IF(N1347&lt;2,IF(O1347&lt;51,"低","中"),IF(N1347&lt;6,IF(O1347&lt;20,"低",IF(O1347&lt;51,"中","高")),IF(O1347&lt;20,"中","高")))),"不计算")))</f>
        <v/>
      </c>
      <c r="Q1347" s="172">
        <f>IFERROR(IF(J1347="EI",IF(P1347="低",3,IF(P1347="中",4,6)),IF(J1347="EO",IF(P1347="低",4,IF(P1347="中",5,7)),IF(J1347="EQ",IF(P1347="低",3,IF(P1347="中",4,6)),IF(J1347="ILF",IF(P1347="低",7,IF(P1347="中",10,15)),IF(J1347="EIF",IF(P1347="低",5,IF(P1347="中",7,10)),"不计算")))))*R1347,"不计算")</f>
        <v/>
      </c>
      <c r="R1347" s="172" t="n">
        <v>1</v>
      </c>
      <c r="S1347" s="173">
        <f>调整因子!$F$13</f>
        <v/>
      </c>
      <c r="T1347" s="92" t="n">
        <v>1</v>
      </c>
      <c r="U1347" s="174">
        <f>IFERROR(Q1347*S1347,0)</f>
        <v/>
      </c>
      <c r="V1347" s="178">
        <f>U1347*T1347</f>
        <v/>
      </c>
      <c r="W1347" s="103" t="inlineStr">
        <is>
          <t>数据清洗任务表、资产同步任务表</t>
        </is>
      </c>
      <c r="X1347" s="103" t="inlineStr"/>
      <c r="Y1347" s="97" t="inlineStr">
        <is>
          <t>数据清洗任务表{任务ID、任务名称|任务ID、任务名称、任务类型、任务状态、创建时间、执行时间}
资产同步任务表{资产ID、资产名称|资产ID、资产名称、IP地址、资产类型、资产状态、创建时间、更新时间}</t>
        </is>
      </c>
      <c r="Z1347" s="90" t="n"/>
      <c r="AA1347" s="90" t="n"/>
    </row>
    <row r="1348" s="112">
      <c r="A1348" s="72">
        <f>ROW()-1</f>
        <v/>
      </c>
      <c r="B1348" s="175" t="n"/>
      <c r="C1348" s="124" t="n">
        <v>2026</v>
      </c>
      <c r="E1348" s="103" t="n"/>
      <c r="F1348" s="175" t="n"/>
      <c r="G1348" s="175" t="n"/>
      <c r="H1348" s="176" t="n"/>
      <c r="I1348" s="103" t="inlineStr">
        <is>
          <t>查看验证任务详情</t>
        </is>
      </c>
      <c r="J1348" s="93" t="inlineStr">
        <is>
          <t>EQ</t>
        </is>
      </c>
      <c r="K1348" s="102" t="n"/>
      <c r="L1348" s="102" t="n"/>
      <c r="M1348" s="85">
        <f>IF(OR(Y1348="估算法",Y1348="算法类",Y1348="无法识别"),"",IF(W1348="",IF(OR(J1348="EI",J1348="EO",J1348="EQ"),0,""),LEN(W1348)-LEN(SUBSTITUTE(W1348,"、",""))+1))</f>
        <v/>
      </c>
      <c r="N1348" s="85">
        <f>IF(OR(Y1348="估算法",Y1348="算法类",Y1348="无法识别"),"",IF(X1348="",IF(OR(J1348="ILF",J1348="EIF"),0,""),LEN(X1348)-LEN(SUBSTITUTE(X1348,"、",""))+1))</f>
        <v/>
      </c>
      <c r="O1348" s="85">
        <f>IF(OR(Y1348="估算法",Y1348="算法类",Y1348="无法识别"),"",IF(Y1348="",IF(OR(J1348="ILF",J1348="EIF",J1348="EI",J1348="EO",J1348="EQ"),0,""),LEN(Y1348)-LEN(SUBSTITUTE(SUBSTITUTE(SUBSTITUTE(SUBSTITUTE(SUBSTITUTE(Y1348,"|}","--"),"{|","--"),CHAR(10),""),"、",""),"|",""))+IF(AND(OR(J1348="EI",J1348="EO",J1348="EQ"),$AE$1="NESMA"),2,1)))</f>
        <v/>
      </c>
      <c r="P1348" s="86">
        <f>IF(J1348="EI",IF(OR(Y1348="估算法",Y1348="算法类"),"中",IF(Y1348="无法识别","低",IF(M1348&lt;2,IF(O1348&lt;16,"低","中"),IF(M1348&lt;3,IF(O1348&lt;5,"低",IF(O1348&lt;16,"中","高")),IF(O1348&lt;5,"中","高"))))),IF(OR(J1348="EO",J1348="EQ"),IF(OR(Y1348="估算法",Y1348="算法类"),"中",IF(Y1348="无法识别","低",IF(M1348&lt;2,IF(O1348&lt;20,"低","中"),IF(M1348&lt;4,IF(O1348&lt;6,"低",IF(O1348&lt;20,"中","高")),IF(O1348&lt;6,"中","高"))))),IF(OR(J1348="ILF",J1348="EIF"),IF(OR(Y1348="估算法",Y1348="算法类",Y1348="无法识别"),"低",IF(N1348&lt;2,IF(O1348&lt;51,"低","中"),IF(N1348&lt;6,IF(O1348&lt;20,"低",IF(O1348&lt;51,"中","高")),IF(O1348&lt;20,"中","高")))),"不计算")))</f>
        <v/>
      </c>
      <c r="Q1348" s="172">
        <f>IFERROR(IF(J1348="EI",IF(P1348="低",3,IF(P1348="中",4,6)),IF(J1348="EO",IF(P1348="低",4,IF(P1348="中",5,7)),IF(J1348="EQ",IF(P1348="低",3,IF(P1348="中",4,6)),IF(J1348="ILF",IF(P1348="低",7,IF(P1348="中",10,15)),IF(J1348="EIF",IF(P1348="低",5,IF(P1348="中",7,10)),"不计算")))))*R1348,"不计算")</f>
        <v/>
      </c>
      <c r="R1348" s="172" t="n">
        <v>1</v>
      </c>
      <c r="S1348" s="173">
        <f>调整因子!$F$13</f>
        <v/>
      </c>
      <c r="T1348" s="93" t="n">
        <v>1</v>
      </c>
      <c r="U1348" s="174">
        <f>IFERROR(Q1348*S1348,0)</f>
        <v/>
      </c>
      <c r="V1348" s="178">
        <f>U1348*T1348</f>
        <v/>
      </c>
      <c r="W1348" s="103" t="inlineStr">
        <is>
          <t>数据清洗任务表、资产同步任务表</t>
        </is>
      </c>
      <c r="X1348" s="103" t="n"/>
      <c r="Y1348" s="97" t="inlineStr">
        <is>
          <t>数据清洗任务表{任务ID、任务名称|任务ID、任务名称、任务类型、任务状态、创建时间、执行时间}
资产同步任务表{资产ID、资产名称|资产ID、资产名称、IP地址、资产类型、资产状态、创建时间}</t>
        </is>
      </c>
      <c r="Z1348" s="90" t="n"/>
      <c r="AA1348" s="90" t="n"/>
    </row>
    <row r="1349" s="112">
      <c r="A1349" s="72">
        <f>ROW()-1</f>
        <v/>
      </c>
      <c r="B1349" s="175" t="n"/>
      <c r="C1349" s="124" t="n">
        <v>2026</v>
      </c>
      <c r="E1349" s="103" t="n"/>
      <c r="F1349" s="175" t="n"/>
      <c r="G1349" s="175" t="n"/>
      <c r="H1349" s="97" t="inlineStr">
        <is>
          <t>验证执行管理</t>
        </is>
      </c>
      <c r="I1349" s="103" t="inlineStr">
        <is>
          <t>导出验证结果</t>
        </is>
      </c>
      <c r="J1349" s="93" t="inlineStr">
        <is>
          <t>EO</t>
        </is>
      </c>
      <c r="K1349" s="102" t="n"/>
      <c r="L1349" s="102" t="n"/>
      <c r="M1349" s="85">
        <f>IF(OR(Y1349="估算法",Y1349="算法类",Y1349="无法识别"),"",IF(W1349="",IF(OR(J1349="EI",J1349="EO",J1349="EQ"),0,""),LEN(W1349)-LEN(SUBSTITUTE(W1349,"、",""))+1))</f>
        <v/>
      </c>
      <c r="N1349" s="85">
        <f>IF(OR(Y1349="估算法",Y1349="算法类",Y1349="无法识别"),"",IF(X1349="",IF(OR(J1349="ILF",J1349="EIF"),0,""),LEN(X1349)-LEN(SUBSTITUTE(X1349,"、",""))+1))</f>
        <v/>
      </c>
      <c r="O1349" s="85">
        <f>IF(OR(Y1349="估算法",Y1349="算法类",Y1349="无法识别"),"",IF(Y1349="",IF(OR(J1349="ILF",J1349="EIF",J1349="EI",J1349="EO",J1349="EQ"),0,""),LEN(Y1349)-LEN(SUBSTITUTE(SUBSTITUTE(SUBSTITUTE(SUBSTITUTE(SUBSTITUTE(Y1349,"|}","--"),"{|","--"),CHAR(10),""),"、",""),"|",""))+IF(AND(OR(J1349="EI",J1349="EO",J1349="EQ"),$AE$1="NESMA"),2,1)))</f>
        <v/>
      </c>
      <c r="P1349" s="86">
        <f>IF(J1349="EI",IF(OR(Y1349="估算法",Y1349="算法类"),"中",IF(Y1349="无法识别","低",IF(M1349&lt;2,IF(O1349&lt;16,"低","中"),IF(M1349&lt;3,IF(O1349&lt;5,"低",IF(O1349&lt;16,"中","高")),IF(O1349&lt;5,"中","高"))))),IF(OR(J1349="EO",J1349="EQ"),IF(OR(Y1349="估算法",Y1349="算法类"),"中",IF(Y1349="无法识别","低",IF(M1349&lt;2,IF(O1349&lt;20,"低","中"),IF(M1349&lt;4,IF(O1349&lt;6,"低",IF(O1349&lt;20,"中","高")),IF(O1349&lt;6,"中","高"))))),IF(OR(J1349="ILF",J1349="EIF"),IF(OR(Y1349="估算法",Y1349="算法类",Y1349="无法识别"),"低",IF(N1349&lt;2,IF(O1349&lt;51,"低","中"),IF(N1349&lt;6,IF(O1349&lt;20,"低",IF(O1349&lt;51,"中","高")),IF(O1349&lt;20,"中","高")))),"不计算")))</f>
        <v/>
      </c>
      <c r="Q1349" s="172">
        <f>IFERROR(IF(J1349="EI",IF(P1349="低",3,IF(P1349="中",4,6)),IF(J1349="EO",IF(P1349="低",4,IF(P1349="中",5,7)),IF(J1349="EQ",IF(P1349="低",3,IF(P1349="中",4,6)),IF(J1349="ILF",IF(P1349="低",7,IF(P1349="中",10,15)),IF(J1349="EIF",IF(P1349="低",5,IF(P1349="中",7,10)),"不计算")))))*R1349,"不计算")</f>
        <v/>
      </c>
      <c r="R1349" s="172" t="n">
        <v>1</v>
      </c>
      <c r="S1349" s="173">
        <f>调整因子!$F$13</f>
        <v/>
      </c>
      <c r="T1349" s="93" t="n">
        <v>1</v>
      </c>
      <c r="U1349" s="174">
        <f>IFERROR(Q1349*S1349,0)</f>
        <v/>
      </c>
      <c r="V1349" s="178">
        <f>U1349*T1349</f>
        <v/>
      </c>
      <c r="W1349" s="103" t="inlineStr">
        <is>
          <t>脱敏规则表</t>
        </is>
      </c>
      <c r="X1349" s="103" t="n"/>
      <c r="Y1349" s="97" t="inlineStr">
        <is>
          <t>脱敏规则表{规则ID、规则名称|规则ID、规则名称、规则类型、规则条件、创建时间}</t>
        </is>
      </c>
      <c r="Z1349" s="90" t="n"/>
      <c r="AA1349" s="90" t="n"/>
    </row>
    <row r="1350" s="112">
      <c r="A1350" s="72">
        <f>ROW()-1</f>
        <v/>
      </c>
      <c r="B1350" s="175" t="n"/>
      <c r="C1350" s="124" t="n">
        <v>2026</v>
      </c>
      <c r="E1350" s="103" t="n"/>
      <c r="F1350" s="175" t="n"/>
      <c r="G1350" s="175" t="n"/>
      <c r="H1350" s="175" t="n"/>
      <c r="I1350" s="103" t="inlineStr">
        <is>
          <t>下载验证报告</t>
        </is>
      </c>
      <c r="J1350" s="93" t="inlineStr">
        <is>
          <t>EO</t>
        </is>
      </c>
      <c r="K1350" s="102" t="n"/>
      <c r="L1350" s="102" t="n"/>
      <c r="M1350" s="85">
        <f>IF(OR(Y1350="估算法",Y1350="算法类",Y1350="无法识别"),"",IF(W1350="",IF(OR(J1350="EI",J1350="EO",J1350="EQ"),0,""),LEN(W1350)-LEN(SUBSTITUTE(W1350,"、",""))+1))</f>
        <v/>
      </c>
      <c r="N1350" s="85">
        <f>IF(OR(Y1350="估算法",Y1350="算法类",Y1350="无法识别"),"",IF(X1350="",IF(OR(J1350="ILF",J1350="EIF"),0,""),LEN(X1350)-LEN(SUBSTITUTE(X1350,"、",""))+1))</f>
        <v/>
      </c>
      <c r="O1350" s="85">
        <f>IF(OR(Y1350="估算法",Y1350="算法类",Y1350="无法识别"),"",IF(Y1350="",IF(OR(J1350="ILF",J1350="EIF",J1350="EI",J1350="EO",J1350="EQ"),0,""),LEN(Y1350)-LEN(SUBSTITUTE(SUBSTITUTE(SUBSTITUTE(SUBSTITUTE(SUBSTITUTE(Y1350,"|}","--"),"{|","--"),CHAR(10),""),"、",""),"|",""))+IF(AND(OR(J1350="EI",J1350="EO",J1350="EQ"),$AE$1="NESMA"),2,1)))</f>
        <v/>
      </c>
      <c r="P1350" s="86">
        <f>IF(J1350="EI",IF(OR(Y1350="估算法",Y1350="算法类"),"中",IF(Y1350="无法识别","低",IF(M1350&lt;2,IF(O1350&lt;16,"低","中"),IF(M1350&lt;3,IF(O1350&lt;5,"低",IF(O1350&lt;16,"中","高")),IF(O1350&lt;5,"中","高"))))),IF(OR(J1350="EO",J1350="EQ"),IF(OR(Y1350="估算法",Y1350="算法类"),"中",IF(Y1350="无法识别","低",IF(M1350&lt;2,IF(O1350&lt;20,"低","中"),IF(M1350&lt;4,IF(O1350&lt;6,"低",IF(O1350&lt;20,"中","高")),IF(O1350&lt;6,"中","高"))))),IF(OR(J1350="ILF",J1350="EIF"),IF(OR(Y1350="估算法",Y1350="算法类",Y1350="无法识别"),"低",IF(N1350&lt;2,IF(O1350&lt;51,"低","中"),IF(N1350&lt;6,IF(O1350&lt;20,"低",IF(O1350&lt;51,"中","高")),IF(O1350&lt;20,"中","高")))),"不计算")))</f>
        <v/>
      </c>
      <c r="Q1350" s="172">
        <f>IFERROR(IF(J1350="EI",IF(P1350="低",3,IF(P1350="中",4,6)),IF(J1350="EO",IF(P1350="低",4,IF(P1350="中",5,7)),IF(J1350="EQ",IF(P1350="低",3,IF(P1350="中",4,6)),IF(J1350="ILF",IF(P1350="低",7,IF(P1350="中",10,15)),IF(J1350="EIF",IF(P1350="低",5,IF(P1350="中",7,10)),"不计算")))))*R1350,"不计算")</f>
        <v/>
      </c>
      <c r="R1350" s="172" t="n">
        <v>1</v>
      </c>
      <c r="S1350" s="173">
        <f>调整因子!$F$13</f>
        <v/>
      </c>
      <c r="T1350" s="92" t="n">
        <v>1</v>
      </c>
      <c r="U1350" s="174">
        <f>IFERROR(Q1350*S1350,0)</f>
        <v/>
      </c>
      <c r="V1350" s="178">
        <f>U1350*T1350</f>
        <v/>
      </c>
      <c r="W1350" s="103" t="inlineStr">
        <is>
          <t>加密规则表、标签定义表</t>
        </is>
      </c>
      <c r="X1350" s="103" t="n"/>
      <c r="Y1350" s="97" t="inlineStr">
        <is>
          <t>加密规则表{规则ID、规则名称|规则ID、规则名称、规则类型、规则条件、创建时间}
标签定义表{ID、名称|ID、名称、类型、状态、创建时间、更新时间}</t>
        </is>
      </c>
      <c r="Z1350" s="90" t="n"/>
      <c r="AA1350" s="90" t="n"/>
    </row>
    <row r="1351" s="112">
      <c r="A1351" s="72">
        <f>ROW()-1</f>
        <v/>
      </c>
      <c r="B1351" s="175" t="n"/>
      <c r="C1351" s="124" t="n">
        <v>2026</v>
      </c>
      <c r="E1351" s="103" t="n"/>
      <c r="F1351" s="175" t="n"/>
      <c r="G1351" s="175" t="n"/>
      <c r="H1351" s="175" t="n"/>
      <c r="I1351" s="103" t="inlineStr">
        <is>
          <t>查询验证进度</t>
        </is>
      </c>
      <c r="J1351" s="93" t="inlineStr">
        <is>
          <t>EQ</t>
        </is>
      </c>
      <c r="K1351" s="102" t="n"/>
      <c r="L1351" s="102" t="n"/>
      <c r="M1351" s="85">
        <f>IF(OR(Y1351="估算法",Y1351="算法类",Y1351="无法识别"),"",IF(W1351="",IF(OR(J1351="EI",J1351="EO",J1351="EQ"),0,""),LEN(W1351)-LEN(SUBSTITUTE(W1351,"、",""))+1))</f>
        <v/>
      </c>
      <c r="N1351" s="85">
        <f>IF(OR(Y1351="估算法",Y1351="算法类",Y1351="无法识别"),"",IF(X1351="",IF(OR(J1351="ILF",J1351="EIF"),0,""),LEN(X1351)-LEN(SUBSTITUTE(X1351,"、",""))+1))</f>
        <v/>
      </c>
      <c r="O1351" s="85">
        <f>IF(OR(Y1351="估算法",Y1351="算法类",Y1351="无法识别"),"",IF(Y1351="",IF(OR(J1351="ILF",J1351="EIF",J1351="EI",J1351="EO",J1351="EQ"),0,""),LEN(Y1351)-LEN(SUBSTITUTE(SUBSTITUTE(SUBSTITUTE(SUBSTITUTE(SUBSTITUTE(Y1351,"|}","--"),"{|","--"),CHAR(10),""),"、",""),"|",""))+IF(AND(OR(J1351="EI",J1351="EO",J1351="EQ"),$AE$1="NESMA"),2,1)))</f>
        <v/>
      </c>
      <c r="P1351" s="86">
        <f>IF(J1351="EI",IF(OR(Y1351="估算法",Y1351="算法类"),"中",IF(Y1351="无法识别","低",IF(M1351&lt;2,IF(O1351&lt;16,"低","中"),IF(M1351&lt;3,IF(O1351&lt;5,"低",IF(O1351&lt;16,"中","高")),IF(O1351&lt;5,"中","高"))))),IF(OR(J1351="EO",J1351="EQ"),IF(OR(Y1351="估算法",Y1351="算法类"),"中",IF(Y1351="无法识别","低",IF(M1351&lt;2,IF(O1351&lt;20,"低","中"),IF(M1351&lt;4,IF(O1351&lt;6,"低",IF(O1351&lt;20,"中","高")),IF(O1351&lt;6,"中","高"))))),IF(OR(J1351="ILF",J1351="EIF"),IF(OR(Y1351="估算法",Y1351="算法类",Y1351="无法识别"),"低",IF(N1351&lt;2,IF(O1351&lt;51,"低","中"),IF(N1351&lt;6,IF(O1351&lt;20,"低",IF(O1351&lt;51,"中","高")),IF(O1351&lt;20,"中","高")))),"不计算")))</f>
        <v/>
      </c>
      <c r="Q1351" s="172">
        <f>IFERROR(IF(J1351="EI",IF(P1351="低",3,IF(P1351="中",4,6)),IF(J1351="EO",IF(P1351="低",4,IF(P1351="中",5,7)),IF(J1351="EQ",IF(P1351="低",3,IF(P1351="中",4,6)),IF(J1351="ILF",IF(P1351="低",7,IF(P1351="中",10,15)),IF(J1351="EIF",IF(P1351="低",5,IF(P1351="中",7,10)),"不计算")))))*R1351,"不计算")</f>
        <v/>
      </c>
      <c r="R1351" s="172" t="n">
        <v>1</v>
      </c>
      <c r="S1351" s="173">
        <f>调整因子!$F$13</f>
        <v/>
      </c>
      <c r="T1351" s="92" t="n">
        <v>1</v>
      </c>
      <c r="U1351" s="174">
        <f>IFERROR(Q1351*S1351,0)</f>
        <v/>
      </c>
      <c r="V1351" s="178">
        <f>U1351*T1351</f>
        <v/>
      </c>
      <c r="W1351" s="103" t="inlineStr">
        <is>
          <t>验证记录表</t>
        </is>
      </c>
      <c r="X1351" s="103" t="inlineStr"/>
      <c r="Y1351" s="97" t="inlineStr">
        <is>
          <t>验证记录表{ID、名称|ID、名称、类型、状态、创建时间、更新时间}</t>
        </is>
      </c>
      <c r="Z1351" s="90" t="n"/>
      <c r="AA1351" s="90" t="n"/>
    </row>
    <row r="1352" s="112">
      <c r="A1352" s="72">
        <f>ROW()-1</f>
        <v/>
      </c>
      <c r="B1352" s="175" t="n"/>
      <c r="C1352" s="124" t="n">
        <v>2026</v>
      </c>
      <c r="E1352" s="103" t="n"/>
      <c r="F1352" s="175" t="n"/>
      <c r="G1352" s="176" t="n"/>
      <c r="H1352" s="176" t="n"/>
      <c r="I1352" s="103" t="inlineStr">
        <is>
          <t>查看验证结果</t>
        </is>
      </c>
      <c r="J1352" s="93" t="inlineStr">
        <is>
          <t>EQ</t>
        </is>
      </c>
      <c r="K1352" s="102" t="n"/>
      <c r="L1352" s="102" t="n"/>
      <c r="M1352" s="85">
        <f>IF(OR(Y1352="估算法",Y1352="算法类",Y1352="无法识别"),"",IF(W1352="",IF(OR(J1352="EI",J1352="EO",J1352="EQ"),0,""),LEN(W1352)-LEN(SUBSTITUTE(W1352,"、",""))+1))</f>
        <v/>
      </c>
      <c r="N1352" s="85">
        <f>IF(OR(Y1352="估算法",Y1352="算法类",Y1352="无法识别"),"",IF(X1352="",IF(OR(J1352="ILF",J1352="EIF"),0,""),LEN(X1352)-LEN(SUBSTITUTE(X1352,"、",""))+1))</f>
        <v/>
      </c>
      <c r="O1352" s="85">
        <f>IF(OR(Y1352="估算法",Y1352="算法类",Y1352="无法识别"),"",IF(Y1352="",IF(OR(J1352="ILF",J1352="EIF",J1352="EI",J1352="EO",J1352="EQ"),0,""),LEN(Y1352)-LEN(SUBSTITUTE(SUBSTITUTE(SUBSTITUTE(SUBSTITUTE(SUBSTITUTE(Y1352,"|}","--"),"{|","--"),CHAR(10),""),"、",""),"|",""))+IF(AND(OR(J1352="EI",J1352="EO",J1352="EQ"),$AE$1="NESMA"),2,1)))</f>
        <v/>
      </c>
      <c r="P1352" s="86">
        <f>IF(J1352="EI",IF(OR(Y1352="估算法",Y1352="算法类"),"中",IF(Y1352="无法识别","低",IF(M1352&lt;2,IF(O1352&lt;16,"低","中"),IF(M1352&lt;3,IF(O1352&lt;5,"低",IF(O1352&lt;16,"中","高")),IF(O1352&lt;5,"中","高"))))),IF(OR(J1352="EO",J1352="EQ"),IF(OR(Y1352="估算法",Y1352="算法类"),"中",IF(Y1352="无法识别","低",IF(M1352&lt;2,IF(O1352&lt;20,"低","中"),IF(M1352&lt;4,IF(O1352&lt;6,"低",IF(O1352&lt;20,"中","高")),IF(O1352&lt;6,"中","高"))))),IF(OR(J1352="ILF",J1352="EIF"),IF(OR(Y1352="估算法",Y1352="算法类",Y1352="无法识别"),"低",IF(N1352&lt;2,IF(O1352&lt;51,"低","中"),IF(N1352&lt;6,IF(O1352&lt;20,"低",IF(O1352&lt;51,"中","高")),IF(O1352&lt;20,"中","高")))),"不计算")))</f>
        <v/>
      </c>
      <c r="Q1352" s="172">
        <f>IFERROR(IF(J1352="EI",IF(P1352="低",3,IF(P1352="中",4,6)),IF(J1352="EO",IF(P1352="低",4,IF(P1352="中",5,7)),IF(J1352="EQ",IF(P1352="低",3,IF(P1352="中",4,6)),IF(J1352="ILF",IF(P1352="低",7,IF(P1352="中",10,15)),IF(J1352="EIF",IF(P1352="低",5,IF(P1352="中",7,10)),"不计算")))))*R1352,"不计算")</f>
        <v/>
      </c>
      <c r="R1352" s="172" t="n">
        <v>1</v>
      </c>
      <c r="S1352" s="173">
        <f>调整因子!$F$13</f>
        <v/>
      </c>
      <c r="T1352" s="93" t="n">
        <v>1</v>
      </c>
      <c r="U1352" s="174">
        <f>IFERROR(Q1352*S1352,0)</f>
        <v/>
      </c>
      <c r="V1352" s="178">
        <f>U1352*T1352</f>
        <v/>
      </c>
      <c r="W1352" s="103" t="inlineStr">
        <is>
          <t>修复方案表</t>
        </is>
      </c>
      <c r="X1352" s="103" t="inlineStr"/>
      <c r="Y1352" s="97" t="inlineStr">
        <is>
          <t>修复方案表{ID、名称|ID、名称、类型、状态、创建时间、更新时间}</t>
        </is>
      </c>
      <c r="Z1352" s="90" t="n"/>
      <c r="AA1352" s="90" t="n"/>
    </row>
    <row r="1353" s="112">
      <c r="A1353" s="72">
        <f>ROW()-1</f>
        <v/>
      </c>
      <c r="B1353" s="175" t="n"/>
      <c r="C1353" s="124" t="n">
        <v>2026</v>
      </c>
      <c r="E1353" s="103" t="n"/>
      <c r="F1353" s="175" t="n"/>
      <c r="G1353" s="97" t="inlineStr">
        <is>
          <t>漏洞处置工单管理</t>
        </is>
      </c>
      <c r="H1353" s="97" t="inlineStr">
        <is>
          <t>修复方案制定管理</t>
        </is>
      </c>
      <c r="I1353" s="103" t="inlineStr">
        <is>
          <t>修复方案表</t>
        </is>
      </c>
      <c r="J1353" s="93" t="n"/>
      <c r="K1353" s="102" t="n"/>
      <c r="L1353" s="102" t="inlineStr">
        <is>
          <t>重复数据库表</t>
        </is>
      </c>
      <c r="M1353" s="85">
        <f>IF(OR(Y1353="估算法",Y1353="算法类",Y1353="无法识别"),"",IF(W1353="",IF(OR(J1353="EI",J1353="EO",J1353="EQ"),0,""),LEN(W1353)-LEN(SUBSTITUTE(W1353,"、",""))+1))</f>
        <v/>
      </c>
      <c r="N1353" s="85">
        <f>IF(OR(Y1353="估算法",Y1353="算法类",Y1353="无法识别"),"",IF(X1353="",IF(OR(J1353="ILF",J1353="EIF"),0,""),LEN(X1353)-LEN(SUBSTITUTE(X1353,"、",""))+1))</f>
        <v/>
      </c>
      <c r="O1353" s="85">
        <f>IF(OR(Y1353="估算法",Y1353="算法类",Y1353="无法识别"),"",IF(Y1353="",IF(OR(J1353="ILF",J1353="EIF",J1353="EI",J1353="EO",J1353="EQ"),0,""),LEN(Y1353)-LEN(SUBSTITUTE(SUBSTITUTE(SUBSTITUTE(SUBSTITUTE(SUBSTITUTE(Y1353,"|}","--"),"{|","--"),CHAR(10),""),"、",""),"|",""))+IF(AND(OR(J1353="EI",J1353="EO",J1353="EQ"),$AE$1="NESMA"),2,1)))</f>
        <v/>
      </c>
      <c r="P1353" s="86">
        <f>IF(J1353="EI",IF(OR(Y1353="估算法",Y1353="算法类"),"中",IF(Y1353="无法识别","低",IF(M1353&lt;2,IF(O1353&lt;16,"低","中"),IF(M1353&lt;3,IF(O1353&lt;5,"低",IF(O1353&lt;16,"中","高")),IF(O1353&lt;5,"中","高"))))),IF(OR(J1353="EO",J1353="EQ"),IF(OR(Y1353="估算法",Y1353="算法类"),"中",IF(Y1353="无法识别","低",IF(M1353&lt;2,IF(O1353&lt;20,"低","中"),IF(M1353&lt;4,IF(O1353&lt;6,"低",IF(O1353&lt;20,"中","高")),IF(O1353&lt;6,"中","高"))))),IF(OR(J1353="ILF",J1353="EIF"),IF(OR(Y1353="估算法",Y1353="算法类",Y1353="无法识别"),"低",IF(N1353&lt;2,IF(O1353&lt;51,"低","中"),IF(N1353&lt;6,IF(O1353&lt;20,"低",IF(O1353&lt;51,"中","高")),IF(O1353&lt;20,"中","高")))),"不计算")))</f>
        <v/>
      </c>
      <c r="Q1353" s="172">
        <f>IFERROR(IF(J1353="EI",IF(P1353="低",3,IF(P1353="中",4,6)),IF(J1353="EO",IF(P1353="低",4,IF(P1353="中",5,7)),IF(J1353="EQ",IF(P1353="低",3,IF(P1353="中",4,6)),IF(J1353="ILF",IF(P1353="低",7,IF(P1353="中",10,15)),IF(J1353="EIF",IF(P1353="低",5,IF(P1353="中",7,10)),"不计算")))))*R1353,"不计算")</f>
        <v/>
      </c>
      <c r="R1353" s="172" t="n">
        <v>1</v>
      </c>
      <c r="S1353" s="173">
        <f>调整因子!$F$13</f>
        <v/>
      </c>
      <c r="T1353" s="92" t="n">
        <v>1</v>
      </c>
      <c r="U1353" s="174">
        <f>IFERROR(Q1353*S1353,0)</f>
        <v/>
      </c>
      <c r="V1353" s="178">
        <f>U1353*T1353</f>
        <v/>
      </c>
      <c r="W1353" s="103" t="inlineStr"/>
      <c r="X1353" s="103" t="inlineStr">
        <is>
          <t>数据记录</t>
        </is>
      </c>
      <c r="Y1353" s="97" t="inlineStr">
        <is>
          <t>修复方案表{ID、名称、类型|ID、名称、类型、状态、创建时间、更新时间}</t>
        </is>
      </c>
      <c r="Z1353" s="90">
        <f>IF(COUNTIFS(W:W,"*"&amp;I1353&amp;"*")&gt;0,"存在","不存在")</f>
        <v/>
      </c>
      <c r="AA1353" s="90">
        <f>IF(COUNTIFS(AB:AB,"*"&amp;I1353&amp;"*")&gt;0,"存在","不存在")</f>
        <v/>
      </c>
    </row>
    <row r="1354" s="112">
      <c r="A1354" s="72">
        <f>ROW()-1</f>
        <v/>
      </c>
      <c r="B1354" s="175" t="n"/>
      <c r="C1354" s="124" t="n">
        <v>2026</v>
      </c>
      <c r="E1354" s="103" t="n"/>
      <c r="F1354" s="175" t="n"/>
      <c r="G1354" s="175" t="n"/>
      <c r="H1354" s="175" t="n"/>
      <c r="I1354" s="103" t="inlineStr">
        <is>
          <t>修复步骤表</t>
        </is>
      </c>
      <c r="J1354" s="93" t="n"/>
      <c r="K1354" s="102" t="n"/>
      <c r="L1354" s="102" t="inlineStr">
        <is>
          <t>重复数据库表</t>
        </is>
      </c>
      <c r="M1354" s="85">
        <f>IF(OR(Y1354="估算法",Y1354="算法类",Y1354="无法识别"),"",IF(W1354="",IF(OR(J1354="EI",J1354="EO",J1354="EQ"),0,""),LEN(W1354)-LEN(SUBSTITUTE(W1354,"、",""))+1))</f>
        <v/>
      </c>
      <c r="N1354" s="85">
        <f>IF(OR(Y1354="估算法",Y1354="算法类",Y1354="无法识别"),"",IF(X1354="",IF(OR(J1354="ILF",J1354="EIF"),0,""),LEN(X1354)-LEN(SUBSTITUTE(X1354,"、",""))+1))</f>
        <v/>
      </c>
      <c r="O1354" s="85">
        <f>IF(OR(Y1354="估算法",Y1354="算法类",Y1354="无法识别"),"",IF(Y1354="",IF(OR(J1354="ILF",J1354="EIF",J1354="EI",J1354="EO",J1354="EQ"),0,""),LEN(Y1354)-LEN(SUBSTITUTE(SUBSTITUTE(SUBSTITUTE(SUBSTITUTE(SUBSTITUTE(Y1354,"|}","--"),"{|","--"),CHAR(10),""),"、",""),"|",""))+IF(AND(OR(J1354="EI",J1354="EO",J1354="EQ"),$AE$1="NESMA"),2,1)))</f>
        <v/>
      </c>
      <c r="P1354" s="86">
        <f>IF(J1354="EI",IF(OR(Y1354="估算法",Y1354="算法类"),"中",IF(Y1354="无法识别","低",IF(M1354&lt;2,IF(O1354&lt;16,"低","中"),IF(M1354&lt;3,IF(O1354&lt;5,"低",IF(O1354&lt;16,"中","高")),IF(O1354&lt;5,"中","高"))))),IF(OR(J1354="EO",J1354="EQ"),IF(OR(Y1354="估算法",Y1354="算法类"),"中",IF(Y1354="无法识别","低",IF(M1354&lt;2,IF(O1354&lt;20,"低","中"),IF(M1354&lt;4,IF(O1354&lt;6,"低",IF(O1354&lt;20,"中","高")),IF(O1354&lt;6,"中","高"))))),IF(OR(J1354="ILF",J1354="EIF"),IF(OR(Y1354="估算法",Y1354="算法类",Y1354="无法识别"),"低",IF(N1354&lt;2,IF(O1354&lt;51,"低","中"),IF(N1354&lt;6,IF(O1354&lt;20,"低",IF(O1354&lt;51,"中","高")),IF(O1354&lt;20,"中","高")))),"不计算")))</f>
        <v/>
      </c>
      <c r="Q1354" s="172">
        <f>IFERROR(IF(J1354="EI",IF(P1354="低",3,IF(P1354="中",4,6)),IF(J1354="EO",IF(P1354="低",4,IF(P1354="中",5,7)),IF(J1354="EQ",IF(P1354="低",3,IF(P1354="中",4,6)),IF(J1354="ILF",IF(P1354="低",7,IF(P1354="中",10,15)),IF(J1354="EIF",IF(P1354="低",5,IF(P1354="中",7,10)),"不计算")))))*R1354,"不计算")</f>
        <v/>
      </c>
      <c r="R1354" s="172" t="n">
        <v>1</v>
      </c>
      <c r="S1354" s="173">
        <f>调整因子!$F$13</f>
        <v/>
      </c>
      <c r="T1354" s="92" t="n">
        <v>1</v>
      </c>
      <c r="U1354" s="174">
        <f>IFERROR(Q1354*S1354,0)</f>
        <v/>
      </c>
      <c r="V1354" s="178">
        <f>U1354*T1354</f>
        <v/>
      </c>
      <c r="W1354" s="103" t="inlineStr"/>
      <c r="X1354" s="103" t="inlineStr">
        <is>
          <t>数据记录</t>
        </is>
      </c>
      <c r="Y1354" s="97" t="inlineStr">
        <is>
          <t>修复步骤表{ID、名称、类型|ID、名称、类型、状态、创建时间、更新时间}</t>
        </is>
      </c>
      <c r="Z1354" s="90">
        <f>IF(COUNTIFS(W:W,"*"&amp;I1354&amp;"*")&gt;0,"存在","不存在")</f>
        <v/>
      </c>
      <c r="AA1354" s="90">
        <f>IF(COUNTIFS(AB:AB,"*"&amp;I1354&amp;"*")&gt;0,"存在","不存在")</f>
        <v/>
      </c>
    </row>
    <row r="1355" s="112">
      <c r="A1355" s="72">
        <f>ROW()-1</f>
        <v/>
      </c>
      <c r="B1355" s="175" t="n"/>
      <c r="C1355" s="124" t="n">
        <v>2026</v>
      </c>
      <c r="E1355" s="103" t="n"/>
      <c r="F1355" s="175" t="n"/>
      <c r="G1355" s="175" t="n"/>
      <c r="H1355" s="175" t="n"/>
      <c r="I1355" s="103" t="inlineStr">
        <is>
          <t>方案审批表</t>
        </is>
      </c>
      <c r="J1355" s="93" t="inlineStr">
        <is>
          <t>ILF</t>
        </is>
      </c>
      <c r="K1355" s="102" t="n"/>
      <c r="L1355" s="102" t="n"/>
      <c r="M1355" s="85">
        <f>IF(OR(Y1355="估算法",Y1355="算法类",Y1355="无法识别"),"",IF(W1355="",IF(OR(J1355="EI",J1355="EO",J1355="EQ"),0,""),LEN(W1355)-LEN(SUBSTITUTE(W1355,"、",""))+1))</f>
        <v/>
      </c>
      <c r="N1355" s="85">
        <f>IF(OR(Y1355="估算法",Y1355="算法类",Y1355="无法识别"),"",IF(X1355="",IF(OR(J1355="ILF",J1355="EIF"),0,""),LEN(X1355)-LEN(SUBSTITUTE(X1355,"、",""))+1))</f>
        <v/>
      </c>
      <c r="O1355" s="85">
        <f>IF(OR(Y1355="估算法",Y1355="算法类",Y1355="无法识别"),"",IF(Y1355="",IF(OR(J1355="ILF",J1355="EIF",J1355="EI",J1355="EO",J1355="EQ"),0,""),LEN(Y1355)-LEN(SUBSTITUTE(SUBSTITUTE(SUBSTITUTE(SUBSTITUTE(SUBSTITUTE(Y1355,"|}","--"),"{|","--"),CHAR(10),""),"、",""),"|",""))+IF(AND(OR(J1355="EI",J1355="EO",J1355="EQ"),$AE$1="NESMA"),2,1)))</f>
        <v/>
      </c>
      <c r="P1355" s="86">
        <f>IF(J1355="EI",IF(OR(Y1355="估算法",Y1355="算法类"),"中",IF(Y1355="无法识别","低",IF(M1355&lt;2,IF(O1355&lt;16,"低","中"),IF(M1355&lt;3,IF(O1355&lt;5,"低",IF(O1355&lt;16,"中","高")),IF(O1355&lt;5,"中","高"))))),IF(OR(J1355="EO",J1355="EQ"),IF(OR(Y1355="估算法",Y1355="算法类"),"中",IF(Y1355="无法识别","低",IF(M1355&lt;2,IF(O1355&lt;20,"低","中"),IF(M1355&lt;4,IF(O1355&lt;6,"低",IF(O1355&lt;20,"中","高")),IF(O1355&lt;6,"中","高"))))),IF(OR(J1355="ILF",J1355="EIF"),IF(OR(Y1355="估算法",Y1355="算法类",Y1355="无法识别"),"低",IF(N1355&lt;2,IF(O1355&lt;51,"低","中"),IF(N1355&lt;6,IF(O1355&lt;20,"低",IF(O1355&lt;51,"中","高")),IF(O1355&lt;20,"中","高")))),"不计算")))</f>
        <v/>
      </c>
      <c r="Q1355" s="172">
        <f>IFERROR(IF(J1355="EI",IF(P1355="低",3,IF(P1355="中",4,6)),IF(J1355="EO",IF(P1355="低",4,IF(P1355="中",5,7)),IF(J1355="EQ",IF(P1355="低",3,IF(P1355="中",4,6)),IF(J1355="ILF",IF(P1355="低",7,IF(P1355="中",10,15)),IF(J1355="EIF",IF(P1355="低",5,IF(P1355="中",7,10)),"不计算")))))*R1355,"不计算")</f>
        <v/>
      </c>
      <c r="R1355" s="172" t="n">
        <v>1</v>
      </c>
      <c r="S1355" s="173">
        <f>调整因子!$F$13</f>
        <v/>
      </c>
      <c r="T1355" s="93" t="n">
        <v>1</v>
      </c>
      <c r="U1355" s="174">
        <f>IFERROR(Q1355*S1355,0)</f>
        <v/>
      </c>
      <c r="V1355" s="178">
        <f>U1355*T1355</f>
        <v/>
      </c>
      <c r="W1355" s="103" t="inlineStr"/>
      <c r="X1355" s="103" t="inlineStr">
        <is>
          <t>数据记录</t>
        </is>
      </c>
      <c r="Y1355" s="97" t="inlineStr">
        <is>
          <t>方案审批表{ID、名称、类型|ID、名称、类型、状态、创建时间、更新时间}</t>
        </is>
      </c>
      <c r="Z1355" s="90">
        <f>IF(COUNTIFS(W:W,"*"&amp;I1355&amp;"*")&gt;0,"存在","不存在")</f>
        <v/>
      </c>
      <c r="AA1355" s="90">
        <f>IF(COUNTIFS(AB:AB,"*"&amp;I1355&amp;"*")&gt;0,"存在","不存在")</f>
        <v/>
      </c>
    </row>
    <row r="1356" s="112">
      <c r="A1356" s="72">
        <f>ROW()-1</f>
        <v/>
      </c>
      <c r="B1356" s="175" t="n"/>
      <c r="C1356" s="124" t="n">
        <v>2026</v>
      </c>
      <c r="E1356" s="103" t="n"/>
      <c r="F1356" s="175" t="n"/>
      <c r="G1356" s="175" t="n"/>
      <c r="H1356" s="175" t="n"/>
      <c r="I1356" s="103" t="inlineStr">
        <is>
          <t>制定修复方案</t>
        </is>
      </c>
      <c r="J1356" s="93" t="inlineStr">
        <is>
          <t>EI</t>
        </is>
      </c>
      <c r="K1356" s="102" t="n"/>
      <c r="L1356" s="102" t="n"/>
      <c r="M1356" s="85">
        <f>IF(OR(Y1356="估算法",Y1356="算法类",Y1356="无法识别"),"",IF(W1356="",IF(OR(J1356="EI",J1356="EO",J1356="EQ"),0,""),LEN(W1356)-LEN(SUBSTITUTE(W1356,"、",""))+1))</f>
        <v/>
      </c>
      <c r="N1356" s="85">
        <f>IF(OR(Y1356="估算法",Y1356="算法类",Y1356="无法识别"),"",IF(X1356="",IF(OR(J1356="ILF",J1356="EIF"),0,""),LEN(X1356)-LEN(SUBSTITUTE(X1356,"、",""))+1))</f>
        <v/>
      </c>
      <c r="O1356" s="85">
        <f>IF(OR(Y1356="估算法",Y1356="算法类",Y1356="无法识别"),"",IF(Y1356="",IF(OR(J1356="ILF",J1356="EIF",J1356="EI",J1356="EO",J1356="EQ"),0,""),LEN(Y1356)-LEN(SUBSTITUTE(SUBSTITUTE(SUBSTITUTE(SUBSTITUTE(SUBSTITUTE(Y1356,"|}","--"),"{|","--"),CHAR(10),""),"、",""),"|",""))+IF(AND(OR(J1356="EI",J1356="EO",J1356="EQ"),$AE$1="NESMA"),2,1)))</f>
        <v/>
      </c>
      <c r="P1356" s="86">
        <f>IF(J1356="EI",IF(OR(Y1356="估算法",Y1356="算法类"),"中",IF(Y1356="无法识别","低",IF(M1356&lt;2,IF(O1356&lt;16,"低","中"),IF(M1356&lt;3,IF(O1356&lt;5,"低",IF(O1356&lt;16,"中","高")),IF(O1356&lt;5,"中","高"))))),IF(OR(J1356="EO",J1356="EQ"),IF(OR(Y1356="估算法",Y1356="算法类"),"中",IF(Y1356="无法识别","低",IF(M1356&lt;2,IF(O1356&lt;20,"低","中"),IF(M1356&lt;4,IF(O1356&lt;6,"低",IF(O1356&lt;20,"中","高")),IF(O1356&lt;6,"中","高"))))),IF(OR(J1356="ILF",J1356="EIF"),IF(OR(Y1356="估算法",Y1356="算法类",Y1356="无法识别"),"低",IF(N1356&lt;2,IF(O1356&lt;51,"低","中"),IF(N1356&lt;6,IF(O1356&lt;20,"低",IF(O1356&lt;51,"中","高")),IF(O1356&lt;20,"中","高")))),"不计算")))</f>
        <v/>
      </c>
      <c r="Q1356" s="172">
        <f>IFERROR(IF(J1356="EI",IF(P1356="低",3,IF(P1356="中",4,6)),IF(J1356="EO",IF(P1356="低",4,IF(P1356="中",5,7)),IF(J1356="EQ",IF(P1356="低",3,IF(P1356="中",4,6)),IF(J1356="ILF",IF(P1356="低",7,IF(P1356="中",10,15)),IF(J1356="EIF",IF(P1356="低",5,IF(P1356="中",7,10)),"不计算")))))*R1356,"不计算")</f>
        <v/>
      </c>
      <c r="R1356" s="172" t="n">
        <v>1</v>
      </c>
      <c r="S1356" s="173">
        <f>调整因子!$F$13</f>
        <v/>
      </c>
      <c r="T1356" s="93" t="n">
        <v>1</v>
      </c>
      <c r="U1356" s="174">
        <f>IFERROR(Q1356*S1356,0)</f>
        <v/>
      </c>
      <c r="V1356" s="178">
        <f>U1356*T1356</f>
        <v/>
      </c>
      <c r="W1356" s="103" t="inlineStr">
        <is>
          <t>同步失败重试记录表</t>
        </is>
      </c>
      <c r="X1356" s="103" t="inlineStr"/>
      <c r="Y1356" s="97" t="inlineStr">
        <is>
          <t>同步失败重试记录表{ID、名称、类型、状态、创建时间、更新时间|ID、名称、类型}</t>
        </is>
      </c>
      <c r="Z1356" s="90" t="n"/>
      <c r="AA1356" s="90" t="n"/>
    </row>
    <row r="1357" s="112">
      <c r="A1357" s="72">
        <f>ROW()-1</f>
        <v/>
      </c>
      <c r="B1357" s="175" t="n"/>
      <c r="C1357" s="124" t="n">
        <v>2026</v>
      </c>
      <c r="E1357" s="103" t="n"/>
      <c r="F1357" s="175" t="n"/>
      <c r="G1357" s="175" t="n"/>
      <c r="H1357" s="175" t="n"/>
      <c r="I1357" s="103" t="inlineStr">
        <is>
          <t>编辑修复方案</t>
        </is>
      </c>
      <c r="J1357" s="93" t="inlineStr">
        <is>
          <t>EI</t>
        </is>
      </c>
      <c r="K1357" s="102" t="n"/>
      <c r="L1357" s="102" t="n"/>
      <c r="M1357" s="85">
        <f>IF(OR(Y1357="估算法",Y1357="算法类",Y1357="无法识别"),"",IF(W1357="",IF(OR(J1357="EI",J1357="EO",J1357="EQ"),0,""),LEN(W1357)-LEN(SUBSTITUTE(W1357,"、",""))+1))</f>
        <v/>
      </c>
      <c r="N1357" s="85">
        <f>IF(OR(Y1357="估算法",Y1357="算法类",Y1357="无法识别"),"",IF(X1357="",IF(OR(J1357="ILF",J1357="EIF"),0,""),LEN(X1357)-LEN(SUBSTITUTE(X1357,"、",""))+1))</f>
        <v/>
      </c>
      <c r="O1357" s="85">
        <f>IF(OR(Y1357="估算法",Y1357="算法类",Y1357="无法识别"),"",IF(Y1357="",IF(OR(J1357="ILF",J1357="EIF",J1357="EI",J1357="EO",J1357="EQ"),0,""),LEN(Y1357)-LEN(SUBSTITUTE(SUBSTITUTE(SUBSTITUTE(SUBSTITUTE(SUBSTITUTE(Y1357,"|}","--"),"{|","--"),CHAR(10),""),"、",""),"|",""))+IF(AND(OR(J1357="EI",J1357="EO",J1357="EQ"),$AE$1="NESMA"),2,1)))</f>
        <v/>
      </c>
      <c r="P1357" s="86">
        <f>IF(J1357="EI",IF(OR(Y1357="估算法",Y1357="算法类"),"中",IF(Y1357="无法识别","低",IF(M1357&lt;2,IF(O1357&lt;16,"低","中"),IF(M1357&lt;3,IF(O1357&lt;5,"低",IF(O1357&lt;16,"中","高")),IF(O1357&lt;5,"中","高"))))),IF(OR(J1357="EO",J1357="EQ"),IF(OR(Y1357="估算法",Y1357="算法类"),"中",IF(Y1357="无法识别","低",IF(M1357&lt;2,IF(O1357&lt;20,"低","中"),IF(M1357&lt;4,IF(O1357&lt;6,"低",IF(O1357&lt;20,"中","高")),IF(O1357&lt;6,"中","高"))))),IF(OR(J1357="ILF",J1357="EIF"),IF(OR(Y1357="估算法",Y1357="算法类",Y1357="无法识别"),"低",IF(N1357&lt;2,IF(O1357&lt;51,"低","中"),IF(N1357&lt;6,IF(O1357&lt;20,"低",IF(O1357&lt;51,"中","高")),IF(O1357&lt;20,"中","高")))),"不计算")))</f>
        <v/>
      </c>
      <c r="Q1357" s="172">
        <f>IFERROR(IF(J1357="EI",IF(P1357="低",3,IF(P1357="中",4,6)),IF(J1357="EO",IF(P1357="低",4,IF(P1357="中",5,7)),IF(J1357="EQ",IF(P1357="低",3,IF(P1357="中",4,6)),IF(J1357="ILF",IF(P1357="低",7,IF(P1357="中",10,15)),IF(J1357="EIF",IF(P1357="低",5,IF(P1357="中",7,10)),"不计算")))))*R1357,"不计算")</f>
        <v/>
      </c>
      <c r="R1357" s="172" t="n">
        <v>1</v>
      </c>
      <c r="S1357" s="173">
        <f>调整因子!$F$13</f>
        <v/>
      </c>
      <c r="T1357" s="92" t="n">
        <v>1</v>
      </c>
      <c r="U1357" s="174">
        <f>IFERROR(Q1357*S1357,0)</f>
        <v/>
      </c>
      <c r="V1357" s="178">
        <f>U1357*T1357</f>
        <v/>
      </c>
      <c r="W1357" s="103" t="inlineStr">
        <is>
          <t>资产扫描覆盖表</t>
        </is>
      </c>
      <c r="X1357" s="103" t="inlineStr"/>
      <c r="Y1357" s="97" t="inlineStr">
        <is>
          <t>资产扫描覆盖表{资产ID、资产名称、IP地址、资产类型、资产状态、创建时间、更新时间|资产ID、资产名称、IP地址}</t>
        </is>
      </c>
      <c r="Z1357" s="90" t="n"/>
      <c r="AA1357" s="90" t="n"/>
    </row>
    <row r="1358" s="112">
      <c r="A1358" s="72">
        <f>ROW()-1</f>
        <v/>
      </c>
      <c r="B1358" s="175" t="n"/>
      <c r="C1358" s="124" t="n">
        <v>2026</v>
      </c>
      <c r="E1358" s="103" t="n"/>
      <c r="F1358" s="175" t="n"/>
      <c r="G1358" s="175" t="n"/>
      <c r="H1358" s="175" t="n"/>
      <c r="I1358" s="103" t="inlineStr">
        <is>
          <t>删除修复方案</t>
        </is>
      </c>
      <c r="J1358" s="93" t="inlineStr">
        <is>
          <t>EI</t>
        </is>
      </c>
      <c r="K1358" s="102" t="n"/>
      <c r="L1358" s="102" t="n"/>
      <c r="M1358" s="85">
        <f>IF(OR(Y1358="估算法",Y1358="算法类",Y1358="无法识别"),"",IF(W1358="",IF(OR(J1358="EI",J1358="EO",J1358="EQ"),0,""),LEN(W1358)-LEN(SUBSTITUTE(W1358,"、",""))+1))</f>
        <v/>
      </c>
      <c r="N1358" s="85">
        <f>IF(OR(Y1358="估算法",Y1358="算法类",Y1358="无法识别"),"",IF(X1358="",IF(OR(J1358="ILF",J1358="EIF"),0,""),LEN(X1358)-LEN(SUBSTITUTE(X1358,"、",""))+1))</f>
        <v/>
      </c>
      <c r="O1358" s="85">
        <f>IF(OR(Y1358="估算法",Y1358="算法类",Y1358="无法识别"),"",IF(Y1358="",IF(OR(J1358="ILF",J1358="EIF",J1358="EI",J1358="EO",J1358="EQ"),0,""),LEN(Y1358)-LEN(SUBSTITUTE(SUBSTITUTE(SUBSTITUTE(SUBSTITUTE(SUBSTITUTE(Y1358,"|}","--"),"{|","--"),CHAR(10),""),"、",""),"|",""))+IF(AND(OR(J1358="EI",J1358="EO",J1358="EQ"),$AE$1="NESMA"),2,1)))</f>
        <v/>
      </c>
      <c r="P1358" s="86">
        <f>IF(J1358="EI",IF(OR(Y1358="估算法",Y1358="算法类"),"中",IF(Y1358="无法识别","低",IF(M1358&lt;2,IF(O1358&lt;16,"低","中"),IF(M1358&lt;3,IF(O1358&lt;5,"低",IF(O1358&lt;16,"中","高")),IF(O1358&lt;5,"中","高"))))),IF(OR(J1358="EO",J1358="EQ"),IF(OR(Y1358="估算法",Y1358="算法类"),"中",IF(Y1358="无法识别","低",IF(M1358&lt;2,IF(O1358&lt;20,"低","中"),IF(M1358&lt;4,IF(O1358&lt;6,"低",IF(O1358&lt;20,"中","高")),IF(O1358&lt;6,"中","高"))))),IF(OR(J1358="ILF",J1358="EIF"),IF(OR(Y1358="估算法",Y1358="算法类",Y1358="无法识别"),"低",IF(N1358&lt;2,IF(O1358&lt;51,"低","中"),IF(N1358&lt;6,IF(O1358&lt;20,"低",IF(O1358&lt;51,"中","高")),IF(O1358&lt;20,"中","高")))),"不计算")))</f>
        <v/>
      </c>
      <c r="Q1358" s="172">
        <f>IFERROR(IF(J1358="EI",IF(P1358="低",3,IF(P1358="中",4,6)),IF(J1358="EO",IF(P1358="低",4,IF(P1358="中",5,7)),IF(J1358="EQ",IF(P1358="低",3,IF(P1358="中",4,6)),IF(J1358="ILF",IF(P1358="低",7,IF(P1358="中",10,15)),IF(J1358="EIF",IF(P1358="低",5,IF(P1358="中",7,10)),"不计算")))))*R1358,"不计算")</f>
        <v/>
      </c>
      <c r="R1358" s="172" t="n">
        <v>0.333333333333333</v>
      </c>
      <c r="S1358" s="173">
        <f>调整因子!$F$13</f>
        <v/>
      </c>
      <c r="T1358" s="92" t="n">
        <v>1</v>
      </c>
      <c r="U1358" s="174">
        <f>IFERROR(Q1358*S1358,0)</f>
        <v/>
      </c>
      <c r="V1358" s="178">
        <f>U1358*T1358</f>
        <v/>
      </c>
      <c r="W1358" s="103" t="inlineStr">
        <is>
          <t>复测配置表、漏洞处置单表</t>
        </is>
      </c>
      <c r="X1358" s="103" t="inlineStr"/>
      <c r="Y1358" s="97" t="inlineStr">
        <is>
          <t>复测配置表{配置ID、配置名称、配置类型、配置值、创建时间|配置ID、配置名称、配置类型}
漏洞处置单表{漏洞ID、漏洞名称、漏洞等级、漏洞类型、CVE编号、发现时间、修复状态|漏洞ID、漏洞名称、漏洞等级}</t>
        </is>
      </c>
      <c r="Z1358" s="90" t="n"/>
      <c r="AA1358" s="90" t="n"/>
    </row>
    <row r="1359" s="112">
      <c r="A1359" s="72">
        <f>ROW()-1</f>
        <v/>
      </c>
      <c r="B1359" s="175" t="n"/>
      <c r="C1359" s="124" t="n">
        <v>2026</v>
      </c>
      <c r="E1359" s="103" t="n"/>
      <c r="F1359" s="175" t="n"/>
      <c r="G1359" s="175" t="n"/>
      <c r="H1359" s="175" t="n"/>
      <c r="I1359" s="103" t="inlineStr">
        <is>
          <t>提交方案审批</t>
        </is>
      </c>
      <c r="J1359" s="93" t="inlineStr">
        <is>
          <t>EI</t>
        </is>
      </c>
      <c r="K1359" s="102" t="n"/>
      <c r="L1359" s="102" t="n"/>
      <c r="M1359" s="85">
        <f>IF(OR(Y1359="估算法",Y1359="算法类",Y1359="无法识别"),"",IF(W1359="",IF(OR(J1359="EI",J1359="EO",J1359="EQ"),0,""),LEN(W1359)-LEN(SUBSTITUTE(W1359,"、",""))+1))</f>
        <v/>
      </c>
      <c r="N1359" s="85">
        <f>IF(OR(Y1359="估算法",Y1359="算法类",Y1359="无法识别"),"",IF(X1359="",IF(OR(J1359="ILF",J1359="EIF"),0,""),LEN(X1359)-LEN(SUBSTITUTE(X1359,"、",""))+1))</f>
        <v/>
      </c>
      <c r="O1359" s="85">
        <f>IF(OR(Y1359="估算法",Y1359="算法类",Y1359="无法识别"),"",IF(Y1359="",IF(OR(J1359="ILF",J1359="EIF",J1359="EI",J1359="EO",J1359="EQ"),0,""),LEN(Y1359)-LEN(SUBSTITUTE(SUBSTITUTE(SUBSTITUTE(SUBSTITUTE(SUBSTITUTE(Y1359,"|}","--"),"{|","--"),CHAR(10),""),"、",""),"|",""))+IF(AND(OR(J1359="EI",J1359="EO",J1359="EQ"),$AE$1="NESMA"),2,1)))</f>
        <v/>
      </c>
      <c r="P1359" s="86">
        <f>IF(J1359="EI",IF(OR(Y1359="估算法",Y1359="算法类"),"中",IF(Y1359="无法识别","低",IF(M1359&lt;2,IF(O1359&lt;16,"低","中"),IF(M1359&lt;3,IF(O1359&lt;5,"低",IF(O1359&lt;16,"中","高")),IF(O1359&lt;5,"中","高"))))),IF(OR(J1359="EO",J1359="EQ"),IF(OR(Y1359="估算法",Y1359="算法类"),"中",IF(Y1359="无法识别","低",IF(M1359&lt;2,IF(O1359&lt;20,"低","中"),IF(M1359&lt;4,IF(O1359&lt;6,"低",IF(O1359&lt;20,"中","高")),IF(O1359&lt;6,"中","高"))))),IF(OR(J1359="ILF",J1359="EIF"),IF(OR(Y1359="估算法",Y1359="算法类",Y1359="无法识别"),"低",IF(N1359&lt;2,IF(O1359&lt;51,"低","中"),IF(N1359&lt;6,IF(O1359&lt;20,"低",IF(O1359&lt;51,"中","高")),IF(O1359&lt;20,"中","高")))),"不计算")))</f>
        <v/>
      </c>
      <c r="Q1359" s="172">
        <f>IFERROR(IF(J1359="EI",IF(P1359="低",3,IF(P1359="中",4,6)),IF(J1359="EO",IF(P1359="低",4,IF(P1359="中",5,7)),IF(J1359="EQ",IF(P1359="低",3,IF(P1359="中",4,6)),IF(J1359="ILF",IF(P1359="低",7,IF(P1359="中",10,15)),IF(J1359="EIF",IF(P1359="低",5,IF(P1359="中",7,10)),"不计算")))))*R1359,"不计算")</f>
        <v/>
      </c>
      <c r="R1359" s="172" t="n">
        <v>1</v>
      </c>
      <c r="S1359" s="173">
        <f>调整因子!$F$13</f>
        <v/>
      </c>
      <c r="T1359" s="93" t="n">
        <v>1</v>
      </c>
      <c r="U1359" s="174">
        <f>IFERROR(Q1359*S1359,0)</f>
        <v/>
      </c>
      <c r="V1359" s="178">
        <f>U1359*T1359</f>
        <v/>
      </c>
      <c r="W1359" s="103" t="inlineStr">
        <is>
          <t>报告解析结果表、离线扫描报告表</t>
        </is>
      </c>
      <c r="X1359" s="103" t="inlineStr"/>
      <c r="Y1359" s="97" t="inlineStr">
        <is>
          <t>报告解析结果表{ID、名称、类型、状态、创建时间、更新时间|ID、名称、类型}
离线扫描报告表{任务ID、任务名称、任务状态、扫描器类型、开始时间、结束时间、扫描结果|任务ID、任务名称、任务状态}</t>
        </is>
      </c>
      <c r="Z1359" s="90" t="n"/>
      <c r="AA1359" s="90" t="n"/>
    </row>
    <row r="1360" s="112">
      <c r="A1360" s="72">
        <f>ROW()-1</f>
        <v/>
      </c>
      <c r="B1360" s="175" t="n"/>
      <c r="C1360" s="124" t="n">
        <v>2026</v>
      </c>
      <c r="E1360" s="103" t="n"/>
      <c r="F1360" s="175" t="n"/>
      <c r="G1360" s="175" t="n"/>
      <c r="H1360" s="175" t="n"/>
      <c r="I1360" s="103" t="inlineStr">
        <is>
          <t>导出修复方案</t>
        </is>
      </c>
      <c r="J1360" s="93" t="inlineStr">
        <is>
          <t>EO</t>
        </is>
      </c>
      <c r="K1360" s="102" t="n"/>
      <c r="L1360" s="102" t="n"/>
      <c r="M1360" s="85">
        <f>IF(OR(Y1360="估算法",Y1360="算法类",Y1360="无法识别"),"",IF(W1360="",IF(OR(J1360="EI",J1360="EO",J1360="EQ"),0,""),LEN(W1360)-LEN(SUBSTITUTE(W1360,"、",""))+1))</f>
        <v/>
      </c>
      <c r="N1360" s="85">
        <f>IF(OR(Y1360="估算法",Y1360="算法类",Y1360="无法识别"),"",IF(X1360="",IF(OR(J1360="ILF",J1360="EIF"),0,""),LEN(X1360)-LEN(SUBSTITUTE(X1360,"、",""))+1))</f>
        <v/>
      </c>
      <c r="O1360" s="85">
        <f>IF(OR(Y1360="估算法",Y1360="算法类",Y1360="无法识别"),"",IF(Y1360="",IF(OR(J1360="ILF",J1360="EIF",J1360="EI",J1360="EO",J1360="EQ"),0,""),LEN(Y1360)-LEN(SUBSTITUTE(SUBSTITUTE(SUBSTITUTE(SUBSTITUTE(SUBSTITUTE(Y1360,"|}","--"),"{|","--"),CHAR(10),""),"、",""),"|",""))+IF(AND(OR(J1360="EI",J1360="EO",J1360="EQ"),$AE$1="NESMA"),2,1)))</f>
        <v/>
      </c>
      <c r="P1360" s="86">
        <f>IF(J1360="EI",IF(OR(Y1360="估算法",Y1360="算法类"),"中",IF(Y1360="无法识别","低",IF(M1360&lt;2,IF(O1360&lt;16,"低","中"),IF(M1360&lt;3,IF(O1360&lt;5,"低",IF(O1360&lt;16,"中","高")),IF(O1360&lt;5,"中","高"))))),IF(OR(J1360="EO",J1360="EQ"),IF(OR(Y1360="估算法",Y1360="算法类"),"中",IF(Y1360="无法识别","低",IF(M1360&lt;2,IF(O1360&lt;20,"低","中"),IF(M1360&lt;4,IF(O1360&lt;6,"低",IF(O1360&lt;20,"中","高")),IF(O1360&lt;6,"中","高"))))),IF(OR(J1360="ILF",J1360="EIF"),IF(OR(Y1360="估算法",Y1360="算法类",Y1360="无法识别"),"低",IF(N1360&lt;2,IF(O1360&lt;51,"低","中"),IF(N1360&lt;6,IF(O1360&lt;20,"低",IF(O1360&lt;51,"中","高")),IF(O1360&lt;20,"中","高")))),"不计算")))</f>
        <v/>
      </c>
      <c r="Q1360" s="172">
        <f>IFERROR(IF(J1360="EI",IF(P1360="低",3,IF(P1360="中",4,6)),IF(J1360="EO",IF(P1360="低",4,IF(P1360="中",5,7)),IF(J1360="EQ",IF(P1360="低",3,IF(P1360="中",4,6)),IF(J1360="ILF",IF(P1360="低",7,IF(P1360="中",10,15)),IF(J1360="EIF",IF(P1360="低",5,IF(P1360="中",7,10)),"不计算")))))*R1360,"不计算")</f>
        <v/>
      </c>
      <c r="R1360" s="172" t="n">
        <v>1</v>
      </c>
      <c r="S1360" s="173">
        <f>调整因子!$F$13</f>
        <v/>
      </c>
      <c r="T1360" s="92" t="n">
        <v>1</v>
      </c>
      <c r="U1360" s="174">
        <f>IFERROR(Q1360*S1360,0)</f>
        <v/>
      </c>
      <c r="V1360" s="178">
        <f>U1360*T1360</f>
        <v/>
      </c>
      <c r="W1360" s="103" t="inlineStr">
        <is>
          <t>推送日志表、推送规则表</t>
        </is>
      </c>
      <c r="X1360" s="103" t="inlineStr"/>
      <c r="Y1360" s="97" t="inlineStr">
        <is>
          <t>推送日志表{日志ID、操作人|日志ID、操作人、操作类型、操作时间、操作内容}
推送规则表{规则ID、规则名称|规则ID、规则名称、规则类型、规则条件、创建时间}</t>
        </is>
      </c>
      <c r="Z1360" s="90" t="n"/>
      <c r="AA1360" s="90" t="n"/>
    </row>
    <row r="1361" s="112">
      <c r="A1361" s="72">
        <f>ROW()-1</f>
        <v/>
      </c>
      <c r="B1361" s="175" t="n"/>
      <c r="C1361" s="124" t="n">
        <v>2026</v>
      </c>
      <c r="E1361" s="103" t="n"/>
      <c r="F1361" s="175" t="n"/>
      <c r="G1361" s="175" t="n"/>
      <c r="H1361" s="175" t="n"/>
      <c r="I1361" s="103" t="inlineStr">
        <is>
          <t>查询方案列表</t>
        </is>
      </c>
      <c r="J1361" s="93" t="inlineStr">
        <is>
          <t>EO</t>
        </is>
      </c>
      <c r="K1361" s="102" t="n"/>
      <c r="L1361" s="102" t="n"/>
      <c r="M1361" s="85">
        <f>IF(OR(Y1361="估算法",Y1361="算法类",Y1361="无法识别"),"",IF(W1361="",IF(OR(J1361="EI",J1361="EO",J1361="EQ"),0,""),LEN(W1361)-LEN(SUBSTITUTE(W1361,"、",""))+1))</f>
        <v/>
      </c>
      <c r="N1361" s="85">
        <f>IF(OR(Y1361="估算法",Y1361="算法类",Y1361="无法识别"),"",IF(X1361="",IF(OR(J1361="ILF",J1361="EIF"),0,""),LEN(X1361)-LEN(SUBSTITUTE(X1361,"、",""))+1))</f>
        <v/>
      </c>
      <c r="O1361" s="85">
        <f>IF(OR(Y1361="估算法",Y1361="算法类",Y1361="无法识别"),"",IF(Y1361="",IF(OR(J1361="ILF",J1361="EIF",J1361="EI",J1361="EO",J1361="EQ"),0,""),LEN(Y1361)-LEN(SUBSTITUTE(SUBSTITUTE(SUBSTITUTE(SUBSTITUTE(SUBSTITUTE(Y1361,"|}","--"),"{|","--"),CHAR(10),""),"、",""),"|",""))+IF(AND(OR(J1361="EI",J1361="EO",J1361="EQ"),$AE$1="NESMA"),2,1)))</f>
        <v/>
      </c>
      <c r="P1361" s="86">
        <f>IF(J1361="EI",IF(OR(Y1361="估算法",Y1361="算法类"),"中",IF(Y1361="无法识别","低",IF(M1361&lt;2,IF(O1361&lt;16,"低","中"),IF(M1361&lt;3,IF(O1361&lt;5,"低",IF(O1361&lt;16,"中","高")),IF(O1361&lt;5,"中","高"))))),IF(OR(J1361="EO",J1361="EQ"),IF(OR(Y1361="估算法",Y1361="算法类"),"中",IF(Y1361="无法识别","低",IF(M1361&lt;2,IF(O1361&lt;20,"低","中"),IF(M1361&lt;4,IF(O1361&lt;6,"低",IF(O1361&lt;20,"中","高")),IF(O1361&lt;6,"中","高"))))),IF(OR(J1361="ILF",J1361="EIF"),IF(OR(Y1361="估算法",Y1361="算法类",Y1361="无法识别"),"低",IF(N1361&lt;2,IF(O1361&lt;51,"低","中"),IF(N1361&lt;6,IF(O1361&lt;20,"低",IF(O1361&lt;51,"中","高")),IF(O1361&lt;20,"中","高")))),"不计算")))</f>
        <v/>
      </c>
      <c r="Q1361" s="172">
        <f>IFERROR(IF(J1361="EI",IF(P1361="低",3,IF(P1361="中",4,6)),IF(J1361="EO",IF(P1361="低",4,IF(P1361="中",5,7)),IF(J1361="EQ",IF(P1361="低",3,IF(P1361="中",4,6)),IF(J1361="ILF",IF(P1361="低",7,IF(P1361="中",10,15)),IF(J1361="EIF",IF(P1361="低",5,IF(P1361="中",7,10)),"不计算")))))*R1361,"不计算")</f>
        <v/>
      </c>
      <c r="R1361" s="172" t="n">
        <v>1</v>
      </c>
      <c r="S1361" s="173">
        <f>调整因子!$F$13</f>
        <v/>
      </c>
      <c r="T1361" s="92" t="n">
        <v>1</v>
      </c>
      <c r="U1361" s="174">
        <f>IFERROR(Q1361*S1361,0)</f>
        <v/>
      </c>
      <c r="V1361" s="178">
        <f>U1361*T1361</f>
        <v/>
      </c>
      <c r="W1361" s="103" t="inlineStr">
        <is>
          <t>接口参数表、复测任务表</t>
        </is>
      </c>
      <c r="X1361" s="103" t="inlineStr"/>
      <c r="Y1361" s="97" t="inlineStr">
        <is>
          <t>接口参数表{接口ID、接口名称|接口ID、接口名称、接口类型、接口地址、调用时间}
复测任务表{任务ID、任务名称|任务ID、任务名称、任务类型、任务状态、创建时间、执行时间}</t>
        </is>
      </c>
      <c r="Z1361" s="90" t="n"/>
      <c r="AA1361" s="90" t="n"/>
    </row>
    <row r="1362" s="112">
      <c r="A1362" s="72">
        <f>ROW()-1</f>
        <v/>
      </c>
      <c r="B1362" s="175" t="n"/>
      <c r="C1362" s="124" t="n">
        <v>2026</v>
      </c>
      <c r="E1362" s="103" t="n"/>
      <c r="F1362" s="175" t="n"/>
      <c r="G1362" s="175" t="n"/>
      <c r="H1362" s="176" t="n"/>
      <c r="I1362" s="103" t="inlineStr">
        <is>
          <t>查看方案详情</t>
        </is>
      </c>
      <c r="J1362" s="93" t="inlineStr">
        <is>
          <t>EQ</t>
        </is>
      </c>
      <c r="K1362" s="102" t="n"/>
      <c r="L1362" s="102" t="n"/>
      <c r="M1362" s="85">
        <f>IF(OR(Y1362="估算法",Y1362="算法类",Y1362="无法识别"),"",IF(W1362="",IF(OR(J1362="EI",J1362="EO",J1362="EQ"),0,""),LEN(W1362)-LEN(SUBSTITUTE(W1362,"、",""))+1))</f>
        <v/>
      </c>
      <c r="N1362" s="85">
        <f>IF(OR(Y1362="估算法",Y1362="算法类",Y1362="无法识别"),"",IF(X1362="",IF(OR(J1362="ILF",J1362="EIF"),0,""),LEN(X1362)-LEN(SUBSTITUTE(X1362,"、",""))+1))</f>
        <v/>
      </c>
      <c r="O1362" s="85">
        <f>IF(OR(Y1362="估算法",Y1362="算法类",Y1362="无法识别"),"",IF(Y1362="",IF(OR(J1362="ILF",J1362="EIF",J1362="EI",J1362="EO",J1362="EQ"),0,""),LEN(Y1362)-LEN(SUBSTITUTE(SUBSTITUTE(SUBSTITUTE(SUBSTITUTE(SUBSTITUTE(Y1362,"|}","--"),"{|","--"),CHAR(10),""),"、",""),"|",""))+IF(AND(OR(J1362="EI",J1362="EO",J1362="EQ"),$AE$1="NESMA"),2,1)))</f>
        <v/>
      </c>
      <c r="P1362" s="86">
        <f>IF(J1362="EI",IF(OR(Y1362="估算法",Y1362="算法类"),"中",IF(Y1362="无法识别","低",IF(M1362&lt;2,IF(O1362&lt;16,"低","中"),IF(M1362&lt;3,IF(O1362&lt;5,"低",IF(O1362&lt;16,"中","高")),IF(O1362&lt;5,"中","高"))))),IF(OR(J1362="EO",J1362="EQ"),IF(OR(Y1362="估算法",Y1362="算法类"),"中",IF(Y1362="无法识别","低",IF(M1362&lt;2,IF(O1362&lt;20,"低","中"),IF(M1362&lt;4,IF(O1362&lt;6,"低",IF(O1362&lt;20,"中","高")),IF(O1362&lt;6,"中","高"))))),IF(OR(J1362="ILF",J1362="EIF"),IF(OR(Y1362="估算法",Y1362="算法类",Y1362="无法识别"),"低",IF(N1362&lt;2,IF(O1362&lt;51,"低","中"),IF(N1362&lt;6,IF(O1362&lt;20,"低",IF(O1362&lt;51,"中","高")),IF(O1362&lt;20,"中","高")))),"不计算")))</f>
        <v/>
      </c>
      <c r="Q1362" s="172">
        <f>IFERROR(IF(J1362="EI",IF(P1362="低",3,IF(P1362="中",4,6)),IF(J1362="EO",IF(P1362="低",4,IF(P1362="中",5,7)),IF(J1362="EQ",IF(P1362="低",3,IF(P1362="中",4,6)),IF(J1362="ILF",IF(P1362="低",7,IF(P1362="中",10,15)),IF(J1362="EIF",IF(P1362="低",5,IF(P1362="中",7,10)),"不计算")))))*R1362,"不计算")</f>
        <v/>
      </c>
      <c r="R1362" s="172" t="n">
        <v>1</v>
      </c>
      <c r="S1362" s="173">
        <f>调整因子!$F$13</f>
        <v/>
      </c>
      <c r="T1362" s="93" t="n">
        <v>1</v>
      </c>
      <c r="U1362" s="174">
        <f>IFERROR(Q1362*S1362,0)</f>
        <v/>
      </c>
      <c r="V1362" s="178">
        <f>U1362*T1362</f>
        <v/>
      </c>
      <c r="W1362" s="103" t="inlineStr">
        <is>
          <t>性能数据表、任务优先级配置表</t>
        </is>
      </c>
      <c r="X1362" s="103" t="inlineStr"/>
      <c r="Y1362" s="97" t="inlineStr">
        <is>
          <t>性能数据表{ID、名称|ID、名称、类型、状态、创建时间、更新时间}
任务优先级配置表{任务ID、任务名称|任务ID、任务名称、任务类型、任务状态、创建时间、执行时间}</t>
        </is>
      </c>
      <c r="Z1362" s="90" t="n"/>
      <c r="AA1362" s="90" t="n"/>
    </row>
    <row r="1363" s="112">
      <c r="A1363" s="72">
        <f>ROW()-1</f>
        <v/>
      </c>
      <c r="B1363" s="175" t="n"/>
      <c r="C1363" s="124" t="n">
        <v>2026</v>
      </c>
      <c r="E1363" s="103" t="n"/>
      <c r="F1363" s="175" t="n"/>
      <c r="G1363" s="175" t="n"/>
      <c r="H1363" s="97" t="inlineStr">
        <is>
          <t>修复执行跟踪管理</t>
        </is>
      </c>
      <c r="I1363" s="103" t="inlineStr">
        <is>
          <t>导出执行记录</t>
        </is>
      </c>
      <c r="J1363" s="93" t="inlineStr">
        <is>
          <t>EO</t>
        </is>
      </c>
      <c r="K1363" s="102" t="n"/>
      <c r="L1363" s="102" t="n"/>
      <c r="M1363" s="85">
        <f>IF(OR(Y1363="估算法",Y1363="算法类",Y1363="无法识别"),"",IF(W1363="",IF(OR(J1363="EI",J1363="EO",J1363="EQ"),0,""),LEN(W1363)-LEN(SUBSTITUTE(W1363,"、",""))+1))</f>
        <v/>
      </c>
      <c r="N1363" s="85">
        <f>IF(OR(Y1363="估算法",Y1363="算法类",Y1363="无法识别"),"",IF(X1363="",IF(OR(J1363="ILF",J1363="EIF"),0,""),LEN(X1363)-LEN(SUBSTITUTE(X1363,"、",""))+1))</f>
        <v/>
      </c>
      <c r="O1363" s="85">
        <f>IF(OR(Y1363="估算法",Y1363="算法类",Y1363="无法识别"),"",IF(Y1363="",IF(OR(J1363="ILF",J1363="EIF",J1363="EI",J1363="EO",J1363="EQ"),0,""),LEN(Y1363)-LEN(SUBSTITUTE(SUBSTITUTE(SUBSTITUTE(SUBSTITUTE(SUBSTITUTE(Y1363,"|}","--"),"{|","--"),CHAR(10),""),"、",""),"|",""))+IF(AND(OR(J1363="EI",J1363="EO",J1363="EQ"),$AE$1="NESMA"),2,1)))</f>
        <v/>
      </c>
      <c r="P1363" s="86">
        <f>IF(J1363="EI",IF(OR(Y1363="估算法",Y1363="算法类"),"中",IF(Y1363="无法识别","低",IF(M1363&lt;2,IF(O1363&lt;16,"低","中"),IF(M1363&lt;3,IF(O1363&lt;5,"低",IF(O1363&lt;16,"中","高")),IF(O1363&lt;5,"中","高"))))),IF(OR(J1363="EO",J1363="EQ"),IF(OR(Y1363="估算法",Y1363="算法类"),"中",IF(Y1363="无法识别","低",IF(M1363&lt;2,IF(O1363&lt;20,"低","中"),IF(M1363&lt;4,IF(O1363&lt;6,"低",IF(O1363&lt;20,"中","高")),IF(O1363&lt;6,"中","高"))))),IF(OR(J1363="ILF",J1363="EIF"),IF(OR(Y1363="估算法",Y1363="算法类",Y1363="无法识别"),"低",IF(N1363&lt;2,IF(O1363&lt;51,"低","中"),IF(N1363&lt;6,IF(O1363&lt;20,"低",IF(O1363&lt;51,"中","高")),IF(O1363&lt;20,"中","高")))),"不计算")))</f>
        <v/>
      </c>
      <c r="Q1363" s="172">
        <f>IFERROR(IF(J1363="EI",IF(P1363="低",3,IF(P1363="中",4,6)),IF(J1363="EO",IF(P1363="低",4,IF(P1363="中",5,7)),IF(J1363="EQ",IF(P1363="低",3,IF(P1363="中",4,6)),IF(J1363="ILF",IF(P1363="低",7,IF(P1363="中",10,15)),IF(J1363="EIF",IF(P1363="低",5,IF(P1363="中",7,10)),"不计算")))))*R1363,"不计算")</f>
        <v/>
      </c>
      <c r="R1363" s="172" t="n">
        <v>1</v>
      </c>
      <c r="S1363" s="173">
        <f>调整因子!$F$13</f>
        <v/>
      </c>
      <c r="T1363" s="93" t="n">
        <v>1</v>
      </c>
      <c r="U1363" s="174">
        <f>IFERROR(Q1363*S1363,0)</f>
        <v/>
      </c>
      <c r="V1363" s="178">
        <f>U1363*T1363</f>
        <v/>
      </c>
      <c r="W1363" s="103" t="inlineStr">
        <is>
          <t>任务日志表、漏洞趋势数据表</t>
        </is>
      </c>
      <c r="X1363" s="103" t="inlineStr"/>
      <c r="Y1363" s="97" t="inlineStr">
        <is>
          <t>任务日志表{任务ID、任务名称|任务ID、任务名称、任务类型、任务状态、创建时间、执行时间}
漏洞趋势数据表{漏洞ID、漏洞名称|漏洞ID、漏洞名称、漏洞等级、漏洞类型、CVE编号、发现时间、修复状态}</t>
        </is>
      </c>
      <c r="Z1363" s="90" t="n"/>
      <c r="AA1363" s="90" t="n"/>
    </row>
    <row r="1364" s="112">
      <c r="A1364" s="72">
        <f>ROW()-1</f>
        <v/>
      </c>
      <c r="B1364" s="175" t="n"/>
      <c r="C1364" s="124" t="n">
        <v>2026</v>
      </c>
      <c r="E1364" s="103" t="n"/>
      <c r="F1364" s="175" t="n"/>
      <c r="G1364" s="175" t="n"/>
      <c r="H1364" s="175" t="n"/>
      <c r="I1364" s="103" t="inlineStr">
        <is>
          <t>查询修复进度</t>
        </is>
      </c>
      <c r="J1364" s="93" t="inlineStr">
        <is>
          <t>EQ</t>
        </is>
      </c>
      <c r="K1364" s="102" t="n"/>
      <c r="L1364" s="102" t="n"/>
      <c r="M1364" s="85">
        <f>IF(OR(Y1364="估算法",Y1364="算法类",Y1364="无法识别"),"",IF(W1364="",IF(OR(J1364="EI",J1364="EO",J1364="EQ"),0,""),LEN(W1364)-LEN(SUBSTITUTE(W1364,"、",""))+1))</f>
        <v/>
      </c>
      <c r="N1364" s="85">
        <f>IF(OR(Y1364="估算法",Y1364="算法类",Y1364="无法识别"),"",IF(X1364="",IF(OR(J1364="ILF",J1364="EIF"),0,""),LEN(X1364)-LEN(SUBSTITUTE(X1364,"、",""))+1))</f>
        <v/>
      </c>
      <c r="O1364" s="85">
        <f>IF(OR(Y1364="估算法",Y1364="算法类",Y1364="无法识别"),"",IF(Y1364="",IF(OR(J1364="ILF",J1364="EIF",J1364="EI",J1364="EO",J1364="EQ"),0,""),LEN(Y1364)-LEN(SUBSTITUTE(SUBSTITUTE(SUBSTITUTE(SUBSTITUTE(SUBSTITUTE(Y1364,"|}","--"),"{|","--"),CHAR(10),""),"、",""),"|",""))+IF(AND(OR(J1364="EI",J1364="EO",J1364="EQ"),$AE$1="NESMA"),2,1)))</f>
        <v/>
      </c>
      <c r="P1364" s="86">
        <f>IF(J1364="EI",IF(OR(Y1364="估算法",Y1364="算法类"),"中",IF(Y1364="无法识别","低",IF(M1364&lt;2,IF(O1364&lt;16,"低","中"),IF(M1364&lt;3,IF(O1364&lt;5,"低",IF(O1364&lt;16,"中","高")),IF(O1364&lt;5,"中","高"))))),IF(OR(J1364="EO",J1364="EQ"),IF(OR(Y1364="估算法",Y1364="算法类"),"中",IF(Y1364="无法识别","低",IF(M1364&lt;2,IF(O1364&lt;20,"低","中"),IF(M1364&lt;4,IF(O1364&lt;6,"低",IF(O1364&lt;20,"中","高")),IF(O1364&lt;6,"中","高"))))),IF(OR(J1364="ILF",J1364="EIF"),IF(OR(Y1364="估算法",Y1364="算法类",Y1364="无法识别"),"低",IF(N1364&lt;2,IF(O1364&lt;51,"低","中"),IF(N1364&lt;6,IF(O1364&lt;20,"低",IF(O1364&lt;51,"中","高")),IF(O1364&lt;20,"中","高")))),"不计算")))</f>
        <v/>
      </c>
      <c r="Q1364" s="172">
        <f>IFERROR(IF(J1364="EI",IF(P1364="低",3,IF(P1364="中",4,6)),IF(J1364="EO",IF(P1364="低",4,IF(P1364="中",5,7)),IF(J1364="EQ",IF(P1364="低",3,IF(P1364="中",4,6)),IF(J1364="ILF",IF(P1364="低",7,IF(P1364="中",10,15)),IF(J1364="EIF",IF(P1364="低",5,IF(P1364="中",7,10)),"不计算")))))*R1364,"不计算")</f>
        <v/>
      </c>
      <c r="R1364" s="172" t="n">
        <v>1</v>
      </c>
      <c r="S1364" s="173">
        <f>调整因子!$F$13</f>
        <v/>
      </c>
      <c r="T1364" s="92" t="n">
        <v>1</v>
      </c>
      <c r="U1364" s="174">
        <f>IFERROR(Q1364*S1364,0)</f>
        <v/>
      </c>
      <c r="V1364" s="178">
        <f>U1364*T1364</f>
        <v/>
      </c>
      <c r="W1364" s="103" t="inlineStr">
        <is>
          <t>推送日志表、离线扫描报告表</t>
        </is>
      </c>
      <c r="X1364" s="103" t="inlineStr"/>
      <c r="Y1364" s="97" t="inlineStr">
        <is>
          <t>推送日志表{日志ID、操作人|日志ID、操作人、操作类型、操作时间、操作内容}
离线扫描报告表{任务ID、任务名称|任务ID、任务名称、任务状态、扫描器类型、开始时间、结束时间、扫描结果}</t>
        </is>
      </c>
      <c r="Z1364" s="90" t="n"/>
      <c r="AA1364" s="90" t="n"/>
    </row>
    <row r="1365" s="112">
      <c r="A1365" s="72">
        <f>ROW()-1</f>
        <v/>
      </c>
      <c r="B1365" s="175" t="n"/>
      <c r="C1365" s="124" t="n">
        <v>2026</v>
      </c>
      <c r="E1365" s="103" t="n"/>
      <c r="F1365" s="175" t="n"/>
      <c r="G1365" s="175" t="n"/>
      <c r="H1365" s="176" t="n"/>
      <c r="I1365" s="103" t="inlineStr">
        <is>
          <t>查看执行详情</t>
        </is>
      </c>
      <c r="J1365" s="93" t="inlineStr">
        <is>
          <t>EQ</t>
        </is>
      </c>
      <c r="K1365" s="102" t="n"/>
      <c r="L1365" s="102" t="n"/>
      <c r="M1365" s="85">
        <f>IF(OR(Y1365="估算法",Y1365="算法类",Y1365="无法识别"),"",IF(W1365="",IF(OR(J1365="EI",J1365="EO",J1365="EQ"),0,""),LEN(W1365)-LEN(SUBSTITUTE(W1365,"、",""))+1))</f>
        <v/>
      </c>
      <c r="N1365" s="85">
        <f>IF(OR(Y1365="估算法",Y1365="算法类",Y1365="无法识别"),"",IF(X1365="",IF(OR(J1365="ILF",J1365="EIF"),0,""),LEN(X1365)-LEN(SUBSTITUTE(X1365,"、",""))+1))</f>
        <v/>
      </c>
      <c r="O1365" s="85">
        <f>IF(OR(Y1365="估算法",Y1365="算法类",Y1365="无法识别"),"",IF(Y1365="",IF(OR(J1365="ILF",J1365="EIF",J1365="EI",J1365="EO",J1365="EQ"),0,""),LEN(Y1365)-LEN(SUBSTITUTE(SUBSTITUTE(SUBSTITUTE(SUBSTITUTE(SUBSTITUTE(Y1365,"|}","--"),"{|","--"),CHAR(10),""),"、",""),"|",""))+IF(AND(OR(J1365="EI",J1365="EO",J1365="EQ"),$AE$1="NESMA"),2,1)))</f>
        <v/>
      </c>
      <c r="P1365" s="86">
        <f>IF(J1365="EI",IF(OR(Y1365="估算法",Y1365="算法类"),"中",IF(Y1365="无法识别","低",IF(M1365&lt;2,IF(O1365&lt;16,"低","中"),IF(M1365&lt;3,IF(O1365&lt;5,"低",IF(O1365&lt;16,"中","高")),IF(O1365&lt;5,"中","高"))))),IF(OR(J1365="EO",J1365="EQ"),IF(OR(Y1365="估算法",Y1365="算法类"),"中",IF(Y1365="无法识别","低",IF(M1365&lt;2,IF(O1365&lt;20,"低","中"),IF(M1365&lt;4,IF(O1365&lt;6,"低",IF(O1365&lt;20,"中","高")),IF(O1365&lt;6,"中","高"))))),IF(OR(J1365="ILF",J1365="EIF"),IF(OR(Y1365="估算法",Y1365="算法类",Y1365="无法识别"),"低",IF(N1365&lt;2,IF(O1365&lt;51,"低","中"),IF(N1365&lt;6,IF(O1365&lt;20,"低",IF(O1365&lt;51,"中","高")),IF(O1365&lt;20,"中","高")))),"不计算")))</f>
        <v/>
      </c>
      <c r="Q1365" s="172">
        <f>IFERROR(IF(J1365="EI",IF(P1365="低",3,IF(P1365="中",4,6)),IF(J1365="EO",IF(P1365="低",4,IF(P1365="中",5,7)),IF(J1365="EQ",IF(P1365="低",3,IF(P1365="中",4,6)),IF(J1365="ILF",IF(P1365="低",7,IF(P1365="中",10,15)),IF(J1365="EIF",IF(P1365="低",5,IF(P1365="中",7,10)),"不计算")))))*R1365,"不计算")</f>
        <v/>
      </c>
      <c r="R1365" s="172" t="n">
        <v>1</v>
      </c>
      <c r="S1365" s="173">
        <f>调整因子!$F$13</f>
        <v/>
      </c>
      <c r="T1365" s="92" t="n">
        <v>1</v>
      </c>
      <c r="U1365" s="174">
        <f>IFERROR(Q1365*S1365,0)</f>
        <v/>
      </c>
      <c r="V1365" s="178">
        <f>U1365*T1365</f>
        <v/>
      </c>
      <c r="W1365" s="103" t="inlineStr">
        <is>
          <t>资产同步任务表、模板配置表</t>
        </is>
      </c>
      <c r="X1365" s="103" t="inlineStr"/>
      <c r="Y1365" s="97" t="inlineStr">
        <is>
          <t>资产同步任务表{资产ID、资产名称|资产ID、资产名称、IP地址、资产类型、资产状态、创建时间、更新时间}
模板配置表{配置ID、配置名称|配置ID、配置名称、配置类型、配置值、创建时间}</t>
        </is>
      </c>
      <c r="Z1365" s="90" t="n"/>
      <c r="AA1365" s="90" t="n"/>
    </row>
    <row r="1366" s="112">
      <c r="A1366" s="72">
        <f>ROW()-1</f>
        <v/>
      </c>
      <c r="B1366" s="175" t="n"/>
      <c r="C1366" s="124" t="n">
        <v>2026</v>
      </c>
      <c r="E1366" s="103" t="n"/>
      <c r="F1366" s="175" t="n"/>
      <c r="G1366" s="175" t="n"/>
      <c r="H1366" s="97" t="inlineStr">
        <is>
          <t>修复结果确认管理</t>
        </is>
      </c>
      <c r="I1366" s="103" t="inlineStr">
        <is>
          <t>导出确认记录</t>
        </is>
      </c>
      <c r="J1366" s="93" t="inlineStr">
        <is>
          <t>EO</t>
        </is>
      </c>
      <c r="K1366" s="102" t="n"/>
      <c r="L1366" s="102" t="n"/>
      <c r="M1366" s="85">
        <f>IF(OR(Y1366="估算法",Y1366="算法类",Y1366="无法识别"),"",IF(W1366="",IF(OR(J1366="EI",J1366="EO",J1366="EQ"),0,""),LEN(W1366)-LEN(SUBSTITUTE(W1366,"、",""))+1))</f>
        <v/>
      </c>
      <c r="N1366" s="85">
        <f>IF(OR(Y1366="估算法",Y1366="算法类",Y1366="无法识别"),"",IF(X1366="",IF(OR(J1366="ILF",J1366="EIF"),0,""),LEN(X1366)-LEN(SUBSTITUTE(X1366,"、",""))+1))</f>
        <v/>
      </c>
      <c r="O1366" s="85">
        <f>IF(OR(Y1366="估算法",Y1366="算法类",Y1366="无法识别"),"",IF(Y1366="",IF(OR(J1366="ILF",J1366="EIF",J1366="EI",J1366="EO",J1366="EQ"),0,""),LEN(Y1366)-LEN(SUBSTITUTE(SUBSTITUTE(SUBSTITUTE(SUBSTITUTE(SUBSTITUTE(Y1366,"|}","--"),"{|","--"),CHAR(10),""),"、",""),"|",""))+IF(AND(OR(J1366="EI",J1366="EO",J1366="EQ"),$AE$1="NESMA"),2,1)))</f>
        <v/>
      </c>
      <c r="P1366" s="86">
        <f>IF(J1366="EI",IF(OR(Y1366="估算法",Y1366="算法类"),"中",IF(Y1366="无法识别","低",IF(M1366&lt;2,IF(O1366&lt;16,"低","中"),IF(M1366&lt;3,IF(O1366&lt;5,"低",IF(O1366&lt;16,"中","高")),IF(O1366&lt;5,"中","高"))))),IF(OR(J1366="EO",J1366="EQ"),IF(OR(Y1366="估算法",Y1366="算法类"),"中",IF(Y1366="无法识别","低",IF(M1366&lt;2,IF(O1366&lt;20,"低","中"),IF(M1366&lt;4,IF(O1366&lt;6,"低",IF(O1366&lt;20,"中","高")),IF(O1366&lt;6,"中","高"))))),IF(OR(J1366="ILF",J1366="EIF"),IF(OR(Y1366="估算法",Y1366="算法类",Y1366="无法识别"),"低",IF(N1366&lt;2,IF(O1366&lt;51,"低","中"),IF(N1366&lt;6,IF(O1366&lt;20,"低",IF(O1366&lt;51,"中","高")),IF(O1366&lt;20,"中","高")))),"不计算")))</f>
        <v/>
      </c>
      <c r="Q1366" s="172">
        <f>IFERROR(IF(J1366="EI",IF(P1366="低",3,IF(P1366="中",4,6)),IF(J1366="EO",IF(P1366="低",4,IF(P1366="中",5,7)),IF(J1366="EQ",IF(P1366="低",3,IF(P1366="中",4,6)),IF(J1366="ILF",IF(P1366="低",7,IF(P1366="中",10,15)),IF(J1366="EIF",IF(P1366="低",5,IF(P1366="中",7,10)),"不计算")))))*R1366,"不计算")</f>
        <v/>
      </c>
      <c r="R1366" s="172" t="n">
        <v>1</v>
      </c>
      <c r="S1366" s="173">
        <f>调整因子!$F$13</f>
        <v/>
      </c>
      <c r="T1366" s="93" t="n">
        <v>1</v>
      </c>
      <c r="U1366" s="174">
        <f>IFERROR(Q1366*S1366,0)</f>
        <v/>
      </c>
      <c r="V1366" s="178">
        <f>U1366*T1366</f>
        <v/>
      </c>
      <c r="W1366" s="103" t="inlineStr">
        <is>
          <t>资产同步任务表</t>
        </is>
      </c>
      <c r="X1366" s="103" t="inlineStr"/>
      <c r="Y1366" s="97" t="inlineStr">
        <is>
          <t>资产同步任务表{资产ID、资产名称|资产ID、资产名称、IP地址、资产类型、资产状态、创建时间、更新时间}</t>
        </is>
      </c>
      <c r="Z1366" s="90" t="n"/>
      <c r="AA1366" s="90" t="n"/>
    </row>
    <row r="1367" s="112">
      <c r="A1367" s="72">
        <f>ROW()-1</f>
        <v/>
      </c>
      <c r="B1367" s="175" t="n"/>
      <c r="C1367" s="124" t="n">
        <v>2026</v>
      </c>
      <c r="E1367" s="103" t="n"/>
      <c r="F1367" s="175" t="n"/>
      <c r="G1367" s="175" t="n"/>
      <c r="H1367" s="175" t="n"/>
      <c r="I1367" s="103" t="inlineStr">
        <is>
          <t>查询确认列表</t>
        </is>
      </c>
      <c r="J1367" s="93" t="inlineStr">
        <is>
          <t>EQ</t>
        </is>
      </c>
      <c r="K1367" s="102" t="n"/>
      <c r="L1367" s="102" t="n"/>
      <c r="M1367" s="85">
        <f>IF(OR(Y1367="估算法",Y1367="算法类",Y1367="无法识别"),"",IF(W1367="",IF(OR(J1367="EI",J1367="EO",J1367="EQ"),0,""),LEN(W1367)-LEN(SUBSTITUTE(W1367,"、",""))+1))</f>
        <v/>
      </c>
      <c r="N1367" s="85">
        <f>IF(OR(Y1367="估算法",Y1367="算法类",Y1367="无法识别"),"",IF(X1367="",IF(OR(J1367="ILF",J1367="EIF"),0,""),LEN(X1367)-LEN(SUBSTITUTE(X1367,"、",""))+1))</f>
        <v/>
      </c>
      <c r="O1367" s="85">
        <f>IF(OR(Y1367="估算法",Y1367="算法类",Y1367="无法识别"),"",IF(Y1367="",IF(OR(J1367="ILF",J1367="EIF",J1367="EI",J1367="EO",J1367="EQ"),0,""),LEN(Y1367)-LEN(SUBSTITUTE(SUBSTITUTE(SUBSTITUTE(SUBSTITUTE(SUBSTITUTE(Y1367,"|}","--"),"{|","--"),CHAR(10),""),"、",""),"|",""))+IF(AND(OR(J1367="EI",J1367="EO",J1367="EQ"),$AE$1="NESMA"),2,1)))</f>
        <v/>
      </c>
      <c r="P1367" s="86">
        <f>IF(J1367="EI",IF(OR(Y1367="估算法",Y1367="算法类"),"中",IF(Y1367="无法识别","低",IF(M1367&lt;2,IF(O1367&lt;16,"低","中"),IF(M1367&lt;3,IF(O1367&lt;5,"低",IF(O1367&lt;16,"中","高")),IF(O1367&lt;5,"中","高"))))),IF(OR(J1367="EO",J1367="EQ"),IF(OR(Y1367="估算法",Y1367="算法类"),"中",IF(Y1367="无法识别","低",IF(M1367&lt;2,IF(O1367&lt;20,"低","中"),IF(M1367&lt;4,IF(O1367&lt;6,"低",IF(O1367&lt;20,"中","高")),IF(O1367&lt;6,"中","高"))))),IF(OR(J1367="ILF",J1367="EIF"),IF(OR(Y1367="估算法",Y1367="算法类",Y1367="无法识别"),"低",IF(N1367&lt;2,IF(O1367&lt;51,"低","中"),IF(N1367&lt;6,IF(O1367&lt;20,"低",IF(O1367&lt;51,"中","高")),IF(O1367&lt;20,"中","高")))),"不计算")))</f>
        <v/>
      </c>
      <c r="Q1367" s="172">
        <f>IFERROR(IF(J1367="EI",IF(P1367="低",3,IF(P1367="中",4,6)),IF(J1367="EO",IF(P1367="低",4,IF(P1367="中",5,7)),IF(J1367="EQ",IF(P1367="低",3,IF(P1367="中",4,6)),IF(J1367="ILF",IF(P1367="低",7,IF(P1367="中",10,15)),IF(J1367="EIF",IF(P1367="低",5,IF(P1367="中",7,10)),"不计算")))))*R1367,"不计算")</f>
        <v/>
      </c>
      <c r="R1367" s="172" t="n">
        <v>1</v>
      </c>
      <c r="S1367" s="173">
        <f>调整因子!$F$13</f>
        <v/>
      </c>
      <c r="T1367" s="92" t="n">
        <v>1</v>
      </c>
      <c r="U1367" s="174">
        <f>IFERROR(Q1367*S1367,0)</f>
        <v/>
      </c>
      <c r="V1367" s="178">
        <f>U1367*T1367</f>
        <v/>
      </c>
      <c r="W1367" s="103" t="inlineStr">
        <is>
          <t>修复方案表、验证任务表</t>
        </is>
      </c>
      <c r="X1367" s="103" t="inlineStr"/>
      <c r="Y1367" s="97" t="inlineStr">
        <is>
          <t>修复方案表{ID、名称|ID、名称、类型、状态、创建时间、更新时间}
验证任务表{任务ID、任务名称|任务ID、任务名称、任务类型、任务状态、创建时间、执行时间}</t>
        </is>
      </c>
      <c r="Z1367" s="90" t="n"/>
      <c r="AA1367" s="90" t="n"/>
    </row>
    <row r="1368" s="112">
      <c r="A1368" s="72">
        <f>ROW()-1</f>
        <v/>
      </c>
      <c r="B1368" s="175" t="n"/>
      <c r="C1368" s="124" t="n">
        <v>2026</v>
      </c>
      <c r="E1368" s="103" t="n"/>
      <c r="F1368" s="175" t="n"/>
      <c r="G1368" s="176" t="n"/>
      <c r="H1368" s="176" t="n"/>
      <c r="I1368" s="103" t="inlineStr">
        <is>
          <t>查看确认详情</t>
        </is>
      </c>
      <c r="J1368" s="93" t="inlineStr">
        <is>
          <t>EQ</t>
        </is>
      </c>
      <c r="K1368" s="102" t="n"/>
      <c r="L1368" s="102" t="n"/>
      <c r="M1368" s="85">
        <f>IF(OR(Y1368="估算法",Y1368="算法类",Y1368="无法识别"),"",IF(W1368="",IF(OR(J1368="EI",J1368="EO",J1368="EQ"),0,""),LEN(W1368)-LEN(SUBSTITUTE(W1368,"、",""))+1))</f>
        <v/>
      </c>
      <c r="N1368" s="85">
        <f>IF(OR(Y1368="估算法",Y1368="算法类",Y1368="无法识别"),"",IF(X1368="",IF(OR(J1368="ILF",J1368="EIF"),0,""),LEN(X1368)-LEN(SUBSTITUTE(X1368,"、",""))+1))</f>
        <v/>
      </c>
      <c r="O1368" s="85">
        <f>IF(OR(Y1368="估算法",Y1368="算法类",Y1368="无法识别"),"",IF(Y1368="",IF(OR(J1368="ILF",J1368="EIF",J1368="EI",J1368="EO",J1368="EQ"),0,""),LEN(Y1368)-LEN(SUBSTITUTE(SUBSTITUTE(SUBSTITUTE(SUBSTITUTE(SUBSTITUTE(Y1368,"|}","--"),"{|","--"),CHAR(10),""),"、",""),"|",""))+IF(AND(OR(J1368="EI",J1368="EO",J1368="EQ"),$AE$1="NESMA"),2,1)))</f>
        <v/>
      </c>
      <c r="P1368" s="86">
        <f>IF(J1368="EI",IF(OR(Y1368="估算法",Y1368="算法类"),"中",IF(Y1368="无法识别","低",IF(M1368&lt;2,IF(O1368&lt;16,"低","中"),IF(M1368&lt;3,IF(O1368&lt;5,"低",IF(O1368&lt;16,"中","高")),IF(O1368&lt;5,"中","高"))))),IF(OR(J1368="EO",J1368="EQ"),IF(OR(Y1368="估算法",Y1368="算法类"),"中",IF(Y1368="无法识别","低",IF(M1368&lt;2,IF(O1368&lt;20,"低","中"),IF(M1368&lt;4,IF(O1368&lt;6,"低",IF(O1368&lt;20,"中","高")),IF(O1368&lt;6,"中","高"))))),IF(OR(J1368="ILF",J1368="EIF"),IF(OR(Y1368="估算法",Y1368="算法类",Y1368="无法识别"),"低",IF(N1368&lt;2,IF(O1368&lt;51,"低","中"),IF(N1368&lt;6,IF(O1368&lt;20,"低",IF(O1368&lt;51,"中","高")),IF(O1368&lt;20,"中","高")))),"不计算")))</f>
        <v/>
      </c>
      <c r="Q1368" s="172">
        <f>IFERROR(IF(J1368="EI",IF(P1368="低",3,IF(P1368="中",4,6)),IF(J1368="EO",IF(P1368="低",4,IF(P1368="中",5,7)),IF(J1368="EQ",IF(P1368="低",3,IF(P1368="中",4,6)),IF(J1368="ILF",IF(P1368="低",7,IF(P1368="中",10,15)),IF(J1368="EIF",IF(P1368="低",5,IF(P1368="中",7,10)),"不计算")))))*R1368,"不计算")</f>
        <v/>
      </c>
      <c r="R1368" s="172" t="n">
        <v>1</v>
      </c>
      <c r="S1368" s="173">
        <f>调整因子!$F$13</f>
        <v/>
      </c>
      <c r="T1368" s="92" t="n">
        <v>1</v>
      </c>
      <c r="U1368" s="174">
        <f>IFERROR(Q1368*S1368,0)</f>
        <v/>
      </c>
      <c r="V1368" s="178">
        <f>U1368*T1368</f>
        <v/>
      </c>
      <c r="W1368" s="103" t="inlineStr">
        <is>
          <t>修复步骤表、任务优先级配置表</t>
        </is>
      </c>
      <c r="X1368" s="103" t="inlineStr"/>
      <c r="Y1368" s="97" t="inlineStr">
        <is>
          <t>修复步骤表{ID、名称|ID、名称、类型、状态、创建时间}
任务优先级配置表{任务ID、任务名称|任务ID、任务名称、任务类型、任务状态、创建时间}</t>
        </is>
      </c>
      <c r="Z1368" s="90" t="n"/>
      <c r="AA1368" s="90" t="n"/>
    </row>
    <row r="1369" s="112">
      <c r="A1369" s="72">
        <f>ROW()-1</f>
        <v/>
      </c>
      <c r="B1369" s="175" t="n"/>
      <c r="C1369" s="124" t="n">
        <v>2026</v>
      </c>
      <c r="E1369" s="103" t="n"/>
      <c r="F1369" s="175" t="n"/>
      <c r="G1369" s="97" t="inlineStr">
        <is>
          <t>智能任务编排引擎</t>
        </is>
      </c>
      <c r="H1369" s="97" t="inlineStr">
        <is>
          <t>复测任务管理</t>
        </is>
      </c>
      <c r="I1369" s="103" t="inlineStr">
        <is>
          <t>复测任务表</t>
        </is>
      </c>
      <c r="J1369" s="93" t="inlineStr">
        <is>
          <t>ILF</t>
        </is>
      </c>
      <c r="K1369" s="102" t="n"/>
      <c r="L1369" s="102" t="n"/>
      <c r="M1369" s="85">
        <f>IF(OR(Y1369="估算法",Y1369="算法类",Y1369="无法识别"),"",IF(W1369="",IF(OR(J1369="EI",J1369="EO",J1369="EQ"),0,""),LEN(W1369)-LEN(SUBSTITUTE(W1369,"、",""))+1))</f>
        <v/>
      </c>
      <c r="N1369" s="85">
        <f>IF(OR(Y1369="估算法",Y1369="算法类",Y1369="无法识别"),"",IF(X1369="",IF(OR(J1369="ILF",J1369="EIF"),0,""),LEN(X1369)-LEN(SUBSTITUTE(X1369,"、",""))+1))</f>
        <v/>
      </c>
      <c r="O1369" s="85">
        <f>IF(OR(Y1369="估算法",Y1369="算法类",Y1369="无法识别"),"",IF(Y1369="",IF(OR(J1369="ILF",J1369="EIF",J1369="EI",J1369="EO",J1369="EQ"),0,""),LEN(Y1369)-LEN(SUBSTITUTE(SUBSTITUTE(SUBSTITUTE(SUBSTITUTE(SUBSTITUTE(Y1369,"|}","--"),"{|","--"),CHAR(10),""),"、",""),"|",""))+IF(AND(OR(J1369="EI",J1369="EO",J1369="EQ"),$AE$1="NESMA"),2,1)))</f>
        <v/>
      </c>
      <c r="P1369" s="86">
        <f>IF(J1369="EI",IF(OR(Y1369="估算法",Y1369="算法类"),"中",IF(Y1369="无法识别","低",IF(M1369&lt;2,IF(O1369&lt;16,"低","中"),IF(M1369&lt;3,IF(O1369&lt;5,"低",IF(O1369&lt;16,"中","高")),IF(O1369&lt;5,"中","高"))))),IF(OR(J1369="EO",J1369="EQ"),IF(OR(Y1369="估算法",Y1369="算法类"),"中",IF(Y1369="无法识别","低",IF(M1369&lt;2,IF(O1369&lt;20,"低","中"),IF(M1369&lt;4,IF(O1369&lt;6,"低",IF(O1369&lt;20,"中","高")),IF(O1369&lt;6,"中","高"))))),IF(OR(J1369="ILF",J1369="EIF"),IF(OR(Y1369="估算法",Y1369="算法类",Y1369="无法识别"),"低",IF(N1369&lt;2,IF(O1369&lt;51,"低","中"),IF(N1369&lt;6,IF(O1369&lt;20,"低",IF(O1369&lt;51,"中","高")),IF(O1369&lt;20,"中","高")))),"不计算")))</f>
        <v/>
      </c>
      <c r="Q1369" s="172">
        <f>IFERROR(IF(J1369="EI",IF(P1369="低",3,IF(P1369="中",4,6)),IF(J1369="EO",IF(P1369="低",4,IF(P1369="中",5,7)),IF(J1369="EQ",IF(P1369="低",3,IF(P1369="中",4,6)),IF(J1369="ILF",IF(P1369="低",7,IF(P1369="中",10,15)),IF(J1369="EIF",IF(P1369="低",5,IF(P1369="中",7,10)),"不计算")))))*R1369,"不计算")</f>
        <v/>
      </c>
      <c r="R1369" s="172" t="n">
        <v>1</v>
      </c>
      <c r="S1369" s="173">
        <f>调整因子!$F$13</f>
        <v/>
      </c>
      <c r="T1369" s="93" t="n">
        <v>1</v>
      </c>
      <c r="U1369" s="174">
        <f>IFERROR(Q1369*S1369,0)</f>
        <v/>
      </c>
      <c r="V1369" s="178">
        <f>U1369*T1369</f>
        <v/>
      </c>
      <c r="W1369" s="103" t="inlineStr"/>
      <c r="X1369" s="103" t="inlineStr">
        <is>
          <t>扫描任务</t>
        </is>
      </c>
      <c r="Y1369" s="97" t="inlineStr">
        <is>
          <t>复测任务表{任务ID、任务名称、任务类型|任务ID、任务名称、任务类型、任务状态、创建时间、执行时间}</t>
        </is>
      </c>
      <c r="Z1369" s="90">
        <f>IF(COUNTIFS(W:W,"*"&amp;I1369&amp;"*")&gt;0,"存在","不存在")</f>
        <v/>
      </c>
      <c r="AA1369" s="90">
        <f>IF(COUNTIFS(AB:AB,"*"&amp;I1369&amp;"*")&gt;0,"存在","不存在")</f>
        <v/>
      </c>
    </row>
    <row r="1370" s="112">
      <c r="A1370" s="72">
        <f>ROW()-1</f>
        <v/>
      </c>
      <c r="B1370" s="175" t="n"/>
      <c r="C1370" s="124" t="n">
        <v>2026</v>
      </c>
      <c r="E1370" s="103" t="n"/>
      <c r="F1370" s="175" t="n"/>
      <c r="G1370" s="175" t="n"/>
      <c r="H1370" s="175" t="n"/>
      <c r="I1370" s="103" t="inlineStr">
        <is>
          <t>复测配置表</t>
        </is>
      </c>
      <c r="J1370" s="93" t="inlineStr">
        <is>
          <t>ILF</t>
        </is>
      </c>
      <c r="K1370" s="102" t="n"/>
      <c r="L1370" s="102" t="n"/>
      <c r="M1370" s="85">
        <f>IF(OR(Y1370="估算法",Y1370="算法类",Y1370="无法识别"),"",IF(W1370="",IF(OR(J1370="EI",J1370="EO",J1370="EQ"),0,""),LEN(W1370)-LEN(SUBSTITUTE(W1370,"、",""))+1))</f>
        <v/>
      </c>
      <c r="N1370" s="85">
        <f>IF(OR(Y1370="估算法",Y1370="算法类",Y1370="无法识别"),"",IF(X1370="",IF(OR(J1370="ILF",J1370="EIF"),0,""),LEN(X1370)-LEN(SUBSTITUTE(X1370,"、",""))+1))</f>
        <v/>
      </c>
      <c r="O1370" s="85">
        <f>IF(OR(Y1370="估算法",Y1370="算法类",Y1370="无法识别"),"",IF(Y1370="",IF(OR(J1370="ILF",J1370="EIF",J1370="EI",J1370="EO",J1370="EQ"),0,""),LEN(Y1370)-LEN(SUBSTITUTE(SUBSTITUTE(SUBSTITUTE(SUBSTITUTE(SUBSTITUTE(Y1370,"|}","--"),"{|","--"),CHAR(10),""),"、",""),"|",""))+IF(AND(OR(J1370="EI",J1370="EO",J1370="EQ"),$AE$1="NESMA"),2,1)))</f>
        <v/>
      </c>
      <c r="P1370" s="86">
        <f>IF(J1370="EI",IF(OR(Y1370="估算法",Y1370="算法类"),"中",IF(Y1370="无法识别","低",IF(M1370&lt;2,IF(O1370&lt;16,"低","中"),IF(M1370&lt;3,IF(O1370&lt;5,"低",IF(O1370&lt;16,"中","高")),IF(O1370&lt;5,"中","高"))))),IF(OR(J1370="EO",J1370="EQ"),IF(OR(Y1370="估算法",Y1370="算法类"),"中",IF(Y1370="无法识别","低",IF(M1370&lt;2,IF(O1370&lt;20,"低","中"),IF(M1370&lt;4,IF(O1370&lt;6,"低",IF(O1370&lt;20,"中","高")),IF(O1370&lt;6,"中","高"))))),IF(OR(J1370="ILF",J1370="EIF"),IF(OR(Y1370="估算法",Y1370="算法类",Y1370="无法识别"),"低",IF(N1370&lt;2,IF(O1370&lt;51,"低","中"),IF(N1370&lt;6,IF(O1370&lt;20,"低",IF(O1370&lt;51,"中","高")),IF(O1370&lt;20,"中","高")))),"不计算")))</f>
        <v/>
      </c>
      <c r="Q1370" s="172">
        <f>IFERROR(IF(J1370="EI",IF(P1370="低",3,IF(P1370="中",4,6)),IF(J1370="EO",IF(P1370="低",4,IF(P1370="中",5,7)),IF(J1370="EQ",IF(P1370="低",3,IF(P1370="中",4,6)),IF(J1370="ILF",IF(P1370="低",7,IF(P1370="中",10,15)),IF(J1370="EIF",IF(P1370="低",5,IF(P1370="中",7,10)),"不计算")))))*R1370,"不计算")</f>
        <v/>
      </c>
      <c r="R1370" s="172" t="n">
        <v>1</v>
      </c>
      <c r="S1370" s="173">
        <f>调整因子!$F$13</f>
        <v/>
      </c>
      <c r="T1370" s="93" t="n">
        <v>1</v>
      </c>
      <c r="U1370" s="174">
        <f>IFERROR(Q1370*S1370,0)</f>
        <v/>
      </c>
      <c r="V1370" s="178">
        <f>U1370*T1370</f>
        <v/>
      </c>
      <c r="W1370" s="103" t="inlineStr"/>
      <c r="X1370" s="103" t="inlineStr">
        <is>
          <t>配置项</t>
        </is>
      </c>
      <c r="Y1370" s="97" t="inlineStr">
        <is>
          <t>复测配置表{配置ID、配置名称、配置类型|配置ID、配置名称、配置类型、配置值、创建时间}</t>
        </is>
      </c>
      <c r="Z1370" s="90">
        <f>IF(COUNTIFS(W:W,"*"&amp;I1370&amp;"*")&gt;0,"存在","不存在")</f>
        <v/>
      </c>
      <c r="AA1370" s="90">
        <f>IF(COUNTIFS(AB:AB,"*"&amp;I1370&amp;"*")&gt;0,"存在","不存在")</f>
        <v/>
      </c>
    </row>
    <row r="1371" s="112">
      <c r="A1371" s="72">
        <f>ROW()-1</f>
        <v/>
      </c>
      <c r="B1371" s="175" t="n"/>
      <c r="C1371" s="124" t="n">
        <v>2026</v>
      </c>
      <c r="E1371" s="103" t="n"/>
      <c r="F1371" s="175" t="n"/>
      <c r="G1371" s="175" t="n"/>
      <c r="H1371" s="175" t="n"/>
      <c r="I1371" s="103" t="inlineStr">
        <is>
          <t>创建复测任务</t>
        </is>
      </c>
      <c r="J1371" s="93" t="inlineStr">
        <is>
          <t>EI</t>
        </is>
      </c>
      <c r="K1371" s="102" t="n"/>
      <c r="L1371" s="102" t="n"/>
      <c r="M1371" s="85">
        <f>IF(OR(Y1371="估算法",Y1371="算法类",Y1371="无法识别"),"",IF(W1371="",IF(OR(J1371="EI",J1371="EO",J1371="EQ"),0,""),LEN(W1371)-LEN(SUBSTITUTE(W1371,"、",""))+1))</f>
        <v/>
      </c>
      <c r="N1371" s="85">
        <f>IF(OR(Y1371="估算法",Y1371="算法类",Y1371="无法识别"),"",IF(X1371="",IF(OR(J1371="ILF",J1371="EIF"),0,""),LEN(X1371)-LEN(SUBSTITUTE(X1371,"、",""))+1))</f>
        <v/>
      </c>
      <c r="O1371" s="85">
        <f>IF(OR(Y1371="估算法",Y1371="算法类",Y1371="无法识别"),"",IF(Y1371="",IF(OR(J1371="ILF",J1371="EIF",J1371="EI",J1371="EO",J1371="EQ"),0,""),LEN(Y1371)-LEN(SUBSTITUTE(SUBSTITUTE(SUBSTITUTE(SUBSTITUTE(SUBSTITUTE(Y1371,"|}","--"),"{|","--"),CHAR(10),""),"、",""),"|",""))+IF(AND(OR(J1371="EI",J1371="EO",J1371="EQ"),$AE$1="NESMA"),2,1)))</f>
        <v/>
      </c>
      <c r="P1371" s="86">
        <f>IF(J1371="EI",IF(OR(Y1371="估算法",Y1371="算法类"),"中",IF(Y1371="无法识别","低",IF(M1371&lt;2,IF(O1371&lt;16,"低","中"),IF(M1371&lt;3,IF(O1371&lt;5,"低",IF(O1371&lt;16,"中","高")),IF(O1371&lt;5,"中","高"))))),IF(OR(J1371="EO",J1371="EQ"),IF(OR(Y1371="估算法",Y1371="算法类"),"中",IF(Y1371="无法识别","低",IF(M1371&lt;2,IF(O1371&lt;20,"低","中"),IF(M1371&lt;4,IF(O1371&lt;6,"低",IF(O1371&lt;20,"中","高")),IF(O1371&lt;6,"中","高"))))),IF(OR(J1371="ILF",J1371="EIF"),IF(OR(Y1371="估算法",Y1371="算法类",Y1371="无法识别"),"低",IF(N1371&lt;2,IF(O1371&lt;51,"低","中"),IF(N1371&lt;6,IF(O1371&lt;20,"低",IF(O1371&lt;51,"中","高")),IF(O1371&lt;20,"中","高")))),"不计算")))</f>
        <v/>
      </c>
      <c r="Q1371" s="172">
        <f>IFERROR(IF(J1371="EI",IF(P1371="低",3,IF(P1371="中",4,6)),IF(J1371="EO",IF(P1371="低",4,IF(P1371="中",5,7)),IF(J1371="EQ",IF(P1371="低",3,IF(P1371="中",4,6)),IF(J1371="ILF",IF(P1371="低",7,IF(P1371="中",10,15)),IF(J1371="EIF",IF(P1371="低",5,IF(P1371="中",7,10)),"不计算")))))*R1371,"不计算")</f>
        <v/>
      </c>
      <c r="R1371" s="172" t="n">
        <v>1</v>
      </c>
      <c r="S1371" s="173">
        <f>调整因子!$F$13</f>
        <v/>
      </c>
      <c r="T1371" s="92" t="n">
        <v>1</v>
      </c>
      <c r="U1371" s="174">
        <f>IFERROR(Q1371*S1371,0)</f>
        <v/>
      </c>
      <c r="V1371" s="178">
        <f>U1371*T1371</f>
        <v/>
      </c>
      <c r="W1371" s="103" t="inlineStr">
        <is>
          <t>数据清洗任务表</t>
        </is>
      </c>
      <c r="X1371" s="103" t="inlineStr"/>
      <c r="Y1371" s="97" t="inlineStr">
        <is>
          <t>数据清洗任务表{任务ID、任务名称、任务类型、任务状态、创建时间、执行时间|任务ID、任务名称、任务类型}</t>
        </is>
      </c>
      <c r="Z1371" s="90" t="n"/>
      <c r="AA1371" s="90" t="n"/>
    </row>
    <row r="1372" s="112">
      <c r="A1372" s="72">
        <f>ROW()-1</f>
        <v/>
      </c>
      <c r="B1372" s="175" t="n"/>
      <c r="C1372" s="124" t="n">
        <v>2026</v>
      </c>
      <c r="E1372" s="103" t="n"/>
      <c r="F1372" s="175" t="n"/>
      <c r="G1372" s="175" t="n"/>
      <c r="H1372" s="175" t="n"/>
      <c r="I1372" s="103" t="inlineStr">
        <is>
          <t>编辑复测任务</t>
        </is>
      </c>
      <c r="J1372" s="93" t="inlineStr">
        <is>
          <t>EI</t>
        </is>
      </c>
      <c r="K1372" s="102" t="n"/>
      <c r="L1372" s="102" t="n"/>
      <c r="M1372" s="85">
        <f>IF(OR(Y1372="估算法",Y1372="算法类",Y1372="无法识别"),"",IF(W1372="",IF(OR(J1372="EI",J1372="EO",J1372="EQ"),0,""),LEN(W1372)-LEN(SUBSTITUTE(W1372,"、",""))+1))</f>
        <v/>
      </c>
      <c r="N1372" s="85">
        <f>IF(OR(Y1372="估算法",Y1372="算法类",Y1372="无法识别"),"",IF(X1372="",IF(OR(J1372="ILF",J1372="EIF"),0,""),LEN(X1372)-LEN(SUBSTITUTE(X1372,"、",""))+1))</f>
        <v/>
      </c>
      <c r="O1372" s="85">
        <f>IF(OR(Y1372="估算法",Y1372="算法类",Y1372="无法识别"),"",IF(Y1372="",IF(OR(J1372="ILF",J1372="EIF",J1372="EI",J1372="EO",J1372="EQ"),0,""),LEN(Y1372)-LEN(SUBSTITUTE(SUBSTITUTE(SUBSTITUTE(SUBSTITUTE(SUBSTITUTE(Y1372,"|}","--"),"{|","--"),CHAR(10),""),"、",""),"|",""))+IF(AND(OR(J1372="EI",J1372="EO",J1372="EQ"),$AE$1="NESMA"),2,1)))</f>
        <v/>
      </c>
      <c r="P1372" s="86">
        <f>IF(J1372="EI",IF(OR(Y1372="估算法",Y1372="算法类"),"中",IF(Y1372="无法识别","低",IF(M1372&lt;2,IF(O1372&lt;16,"低","中"),IF(M1372&lt;3,IF(O1372&lt;5,"低",IF(O1372&lt;16,"中","高")),IF(O1372&lt;5,"中","高"))))),IF(OR(J1372="EO",J1372="EQ"),IF(OR(Y1372="估算法",Y1372="算法类"),"中",IF(Y1372="无法识别","低",IF(M1372&lt;2,IF(O1372&lt;20,"低","中"),IF(M1372&lt;4,IF(O1372&lt;6,"低",IF(O1372&lt;20,"中","高")),IF(O1372&lt;6,"中","高"))))),IF(OR(J1372="ILF",J1372="EIF"),IF(OR(Y1372="估算法",Y1372="算法类",Y1372="无法识别"),"低",IF(N1372&lt;2,IF(O1372&lt;51,"低","中"),IF(N1372&lt;6,IF(O1372&lt;20,"低",IF(O1372&lt;51,"中","高")),IF(O1372&lt;20,"中","高")))),"不计算")))</f>
        <v/>
      </c>
      <c r="Q1372" s="172">
        <f>IFERROR(IF(J1372="EI",IF(P1372="低",3,IF(P1372="中",4,6)),IF(J1372="EO",IF(P1372="低",4,IF(P1372="中",5,7)),IF(J1372="EQ",IF(P1372="低",3,IF(P1372="中",4,6)),IF(J1372="ILF",IF(P1372="低",7,IF(P1372="中",10,15)),IF(J1372="EIF",IF(P1372="低",5,IF(P1372="中",7,10)),"不计算")))))*R1372,"不计算")</f>
        <v/>
      </c>
      <c r="R1372" s="172" t="n">
        <v>1</v>
      </c>
      <c r="S1372" s="173">
        <f>调整因子!$F$13</f>
        <v/>
      </c>
      <c r="T1372" s="92" t="n">
        <v>1</v>
      </c>
      <c r="U1372" s="174">
        <f>IFERROR(Q1372*S1372,0)</f>
        <v/>
      </c>
      <c r="V1372" s="178">
        <f>U1372*T1372</f>
        <v/>
      </c>
      <c r="W1372" s="103" t="inlineStr">
        <is>
          <t>数据清洗任务表、资产同步任务表</t>
        </is>
      </c>
      <c r="X1372" s="103" t="inlineStr"/>
      <c r="Y137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2" s="90" t="n"/>
      <c r="AA1372" s="90" t="n"/>
    </row>
    <row r="1373" s="112">
      <c r="A1373" s="72">
        <f>ROW()-1</f>
        <v/>
      </c>
      <c r="B1373" s="175" t="n"/>
      <c r="C1373" s="124" t="n">
        <v>2026</v>
      </c>
      <c r="E1373" s="103" t="n"/>
      <c r="F1373" s="175" t="n"/>
      <c r="G1373" s="175" t="n"/>
      <c r="H1373" s="175" t="n"/>
      <c r="I1373" s="103" t="inlineStr">
        <is>
          <t>删除复测任务</t>
        </is>
      </c>
      <c r="J1373" s="93" t="inlineStr">
        <is>
          <t>EI</t>
        </is>
      </c>
      <c r="K1373" s="102" t="n"/>
      <c r="L1373" s="102" t="n"/>
      <c r="M1373" s="85">
        <f>IF(OR(Y1373="估算法",Y1373="算法类",Y1373="无法识别"),"",IF(W1373="",IF(OR(J1373="EI",J1373="EO",J1373="EQ"),0,""),LEN(W1373)-LEN(SUBSTITUTE(W1373,"、",""))+1))</f>
        <v/>
      </c>
      <c r="N1373" s="85">
        <f>IF(OR(Y1373="估算法",Y1373="算法类",Y1373="无法识别"),"",IF(X1373="",IF(OR(J1373="ILF",J1373="EIF"),0,""),LEN(X1373)-LEN(SUBSTITUTE(X1373,"、",""))+1))</f>
        <v/>
      </c>
      <c r="O1373" s="85">
        <f>IF(OR(Y1373="估算法",Y1373="算法类",Y1373="无法识别"),"",IF(Y1373="",IF(OR(J1373="ILF",J1373="EIF",J1373="EI",J1373="EO",J1373="EQ"),0,""),LEN(Y1373)-LEN(SUBSTITUTE(SUBSTITUTE(SUBSTITUTE(SUBSTITUTE(SUBSTITUTE(Y1373,"|}","--"),"{|","--"),CHAR(10),""),"、",""),"|",""))+IF(AND(OR(J1373="EI",J1373="EO",J1373="EQ"),$AE$1="NESMA"),2,1)))</f>
        <v/>
      </c>
      <c r="P1373" s="86">
        <f>IF(J1373="EI",IF(OR(Y1373="估算法",Y1373="算法类"),"中",IF(Y1373="无法识别","低",IF(M1373&lt;2,IF(O1373&lt;16,"低","中"),IF(M1373&lt;3,IF(O1373&lt;5,"低",IF(O1373&lt;16,"中","高")),IF(O1373&lt;5,"中","高"))))),IF(OR(J1373="EO",J1373="EQ"),IF(OR(Y1373="估算法",Y1373="算法类"),"中",IF(Y1373="无法识别","低",IF(M1373&lt;2,IF(O1373&lt;20,"低","中"),IF(M1373&lt;4,IF(O1373&lt;6,"低",IF(O1373&lt;20,"中","高")),IF(O1373&lt;6,"中","高"))))),IF(OR(J1373="ILF",J1373="EIF"),IF(OR(Y1373="估算法",Y1373="算法类",Y1373="无法识别"),"低",IF(N1373&lt;2,IF(O1373&lt;51,"低","中"),IF(N1373&lt;6,IF(O1373&lt;20,"低",IF(O1373&lt;51,"中","高")),IF(O1373&lt;20,"中","高")))),"不计算")))</f>
        <v/>
      </c>
      <c r="Q1373" s="172">
        <f>IFERROR(IF(J1373="EI",IF(P1373="低",3,IF(P1373="中",4,6)),IF(J1373="EO",IF(P1373="低",4,IF(P1373="中",5,7)),IF(J1373="EQ",IF(P1373="低",3,IF(P1373="中",4,6)),IF(J1373="ILF",IF(P1373="低",7,IF(P1373="中",10,15)),IF(J1373="EIF",IF(P1373="低",5,IF(P1373="中",7,10)),"不计算")))))*R1373,"不计算")</f>
        <v/>
      </c>
      <c r="R1373" s="172" t="n">
        <v>0.333333333333333</v>
      </c>
      <c r="S1373" s="173">
        <f>调整因子!$F$13</f>
        <v/>
      </c>
      <c r="T1373" s="93" t="n">
        <v>1</v>
      </c>
      <c r="U1373" s="174">
        <f>IFERROR(Q1373*S1373,0)</f>
        <v/>
      </c>
      <c r="V1373" s="178">
        <f>U1373*T1373</f>
        <v/>
      </c>
      <c r="W1373" s="103" t="inlineStr">
        <is>
          <t>数据清洗任务表、资产同步任务表</t>
        </is>
      </c>
      <c r="X1373" s="103" t="inlineStr"/>
      <c r="Y1373"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3" s="90" t="n"/>
      <c r="AA1373" s="90" t="n"/>
    </row>
    <row r="1374" s="112">
      <c r="A1374" s="72">
        <f>ROW()-1</f>
        <v/>
      </c>
      <c r="B1374" s="175" t="n"/>
      <c r="C1374" s="124" t="n">
        <v>2026</v>
      </c>
      <c r="E1374" s="103" t="n"/>
      <c r="F1374" s="175" t="n"/>
      <c r="G1374" s="175" t="n"/>
      <c r="H1374" s="175" t="n"/>
      <c r="I1374" s="103" t="inlineStr">
        <is>
          <t>启动复测任务</t>
        </is>
      </c>
      <c r="J1374" s="93" t="inlineStr">
        <is>
          <t>EI</t>
        </is>
      </c>
      <c r="K1374" s="102" t="n"/>
      <c r="L1374" s="102" t="n"/>
      <c r="M1374" s="85">
        <f>IF(OR(Y1374="估算法",Y1374="算法类",Y1374="无法识别"),"",IF(W1374="",IF(OR(J1374="EI",J1374="EO",J1374="EQ"),0,""),LEN(W1374)-LEN(SUBSTITUTE(W1374,"、",""))+1))</f>
        <v/>
      </c>
      <c r="N1374" s="85">
        <f>IF(OR(Y1374="估算法",Y1374="算法类",Y1374="无法识别"),"",IF(X1374="",IF(OR(J1374="ILF",J1374="EIF"),0,""),LEN(X1374)-LEN(SUBSTITUTE(X1374,"、",""))+1))</f>
        <v/>
      </c>
      <c r="O1374" s="85">
        <f>IF(OR(Y1374="估算法",Y1374="算法类",Y1374="无法识别"),"",IF(Y1374="",IF(OR(J1374="ILF",J1374="EIF",J1374="EI",J1374="EO",J1374="EQ"),0,""),LEN(Y1374)-LEN(SUBSTITUTE(SUBSTITUTE(SUBSTITUTE(SUBSTITUTE(SUBSTITUTE(Y1374,"|}","--"),"{|","--"),CHAR(10),""),"、",""),"|",""))+IF(AND(OR(J1374="EI",J1374="EO",J1374="EQ"),$AE$1="NESMA"),2,1)))</f>
        <v/>
      </c>
      <c r="P1374" s="86">
        <f>IF(J1374="EI",IF(OR(Y1374="估算法",Y1374="算法类"),"中",IF(Y1374="无法识别","低",IF(M1374&lt;2,IF(O1374&lt;16,"低","中"),IF(M1374&lt;3,IF(O1374&lt;5,"低",IF(O1374&lt;16,"中","高")),IF(O1374&lt;5,"中","高"))))),IF(OR(J1374="EO",J1374="EQ"),IF(OR(Y1374="估算法",Y1374="算法类"),"中",IF(Y1374="无法识别","低",IF(M1374&lt;2,IF(O1374&lt;20,"低","中"),IF(M1374&lt;4,IF(O1374&lt;6,"低",IF(O1374&lt;20,"中","高")),IF(O1374&lt;6,"中","高"))))),IF(OR(J1374="ILF",J1374="EIF"),IF(OR(Y1374="估算法",Y1374="算法类",Y1374="无法识别"),"低",IF(N1374&lt;2,IF(O1374&lt;51,"低","中"),IF(N1374&lt;6,IF(O1374&lt;20,"低",IF(O1374&lt;51,"中","高")),IF(O1374&lt;20,"中","高")))),"不计算")))</f>
        <v/>
      </c>
      <c r="Q1374" s="172">
        <f>IFERROR(IF(J1374="EI",IF(P1374="低",3,IF(P1374="中",4,6)),IF(J1374="EO",IF(P1374="低",4,IF(P1374="中",5,7)),IF(J1374="EQ",IF(P1374="低",3,IF(P1374="中",4,6)),IF(J1374="ILF",IF(P1374="低",7,IF(P1374="中",10,15)),IF(J1374="EIF",IF(P1374="低",5,IF(P1374="中",7,10)),"不计算")))))*R1374,"不计算")</f>
        <v/>
      </c>
      <c r="R1374" s="172" t="n">
        <v>1</v>
      </c>
      <c r="S1374" s="173">
        <f>调整因子!$F$13</f>
        <v/>
      </c>
      <c r="T1374" s="92" t="n">
        <v>1</v>
      </c>
      <c r="U1374" s="174">
        <f>IFERROR(Q1374*S1374,0)</f>
        <v/>
      </c>
      <c r="V1374" s="178">
        <f>U1374*T1374</f>
        <v/>
      </c>
      <c r="W1374" s="103" t="inlineStr">
        <is>
          <t>数据清洗任务表、资产同步任务表</t>
        </is>
      </c>
      <c r="X1374" s="103" t="inlineStr"/>
      <c r="Y1374"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4" s="90" t="n"/>
      <c r="AA1374" s="90" t="n"/>
    </row>
    <row r="1375" s="112">
      <c r="A1375" s="72">
        <f>ROW()-1</f>
        <v/>
      </c>
      <c r="B1375" s="175" t="n"/>
      <c r="C1375" s="124" t="n">
        <v>2026</v>
      </c>
      <c r="E1375" s="103" t="n"/>
      <c r="F1375" s="175" t="n"/>
      <c r="G1375" s="175" t="n"/>
      <c r="H1375" s="175" t="n"/>
      <c r="I1375" s="103" t="inlineStr">
        <is>
          <t>停止复测任务</t>
        </is>
      </c>
      <c r="J1375" s="93" t="n"/>
      <c r="K1375" s="102" t="n"/>
      <c r="L1375" s="102" t="inlineStr">
        <is>
          <t>和上行合并，启停为相同功能</t>
        </is>
      </c>
      <c r="M1375" s="85">
        <f>IF(OR(Y1375="估算法",Y1375="算法类",Y1375="无法识别"),"",IF(W1375="",IF(OR(J1375="EI",J1375="EO",J1375="EQ"),0,""),LEN(W1375)-LEN(SUBSTITUTE(W1375,"、",""))+1))</f>
        <v/>
      </c>
      <c r="N1375" s="85">
        <f>IF(OR(Y1375="估算法",Y1375="算法类",Y1375="无法识别"),"",IF(X1375="",IF(OR(J1375="ILF",J1375="EIF"),0,""),LEN(X1375)-LEN(SUBSTITUTE(X1375,"、",""))+1))</f>
        <v/>
      </c>
      <c r="O1375" s="85">
        <f>IF(OR(Y1375="估算法",Y1375="算法类",Y1375="无法识别"),"",IF(Y1375="",IF(OR(J1375="ILF",J1375="EIF",J1375="EI",J1375="EO",J1375="EQ"),0,""),LEN(Y1375)-LEN(SUBSTITUTE(SUBSTITUTE(SUBSTITUTE(SUBSTITUTE(SUBSTITUTE(Y1375,"|}","--"),"{|","--"),CHAR(10),""),"、",""),"|",""))+IF(AND(OR(J1375="EI",J1375="EO",J1375="EQ"),$AE$1="NESMA"),2,1)))</f>
        <v/>
      </c>
      <c r="P1375" s="86">
        <f>IF(J1375="EI",IF(OR(Y1375="估算法",Y1375="算法类"),"中",IF(Y1375="无法识别","低",IF(M1375&lt;2,IF(O1375&lt;16,"低","中"),IF(M1375&lt;3,IF(O1375&lt;5,"低",IF(O1375&lt;16,"中","高")),IF(O1375&lt;5,"中","高"))))),IF(OR(J1375="EO",J1375="EQ"),IF(OR(Y1375="估算法",Y1375="算法类"),"中",IF(Y1375="无法识别","低",IF(M1375&lt;2,IF(O1375&lt;20,"低","中"),IF(M1375&lt;4,IF(O1375&lt;6,"低",IF(O1375&lt;20,"中","高")),IF(O1375&lt;6,"中","高"))))),IF(OR(J1375="ILF",J1375="EIF"),IF(OR(Y1375="估算法",Y1375="算法类",Y1375="无法识别"),"低",IF(N1375&lt;2,IF(O1375&lt;51,"低","中"),IF(N1375&lt;6,IF(O1375&lt;20,"低",IF(O1375&lt;51,"中","高")),IF(O1375&lt;20,"中","高")))),"不计算")))</f>
        <v/>
      </c>
      <c r="Q1375" s="172">
        <f>IFERROR(IF(J1375="EI",IF(P1375="低",3,IF(P1375="中",4,6)),IF(J1375="EO",IF(P1375="低",4,IF(P1375="中",5,7)),IF(J1375="EQ",IF(P1375="低",3,IF(P1375="中",4,6)),IF(J1375="ILF",IF(P1375="低",7,IF(P1375="中",10,15)),IF(J1375="EIF",IF(P1375="低",5,IF(P1375="中",7,10)),"不计算")))))*R1375,"不计算")</f>
        <v/>
      </c>
      <c r="R1375" s="172" t="n">
        <v>1</v>
      </c>
      <c r="S1375" s="173">
        <f>调整因子!$F$13</f>
        <v/>
      </c>
      <c r="T1375" s="92" t="n">
        <v>1</v>
      </c>
      <c r="U1375" s="174">
        <f>IFERROR(Q1375*S1375,0)</f>
        <v/>
      </c>
      <c r="V1375" s="178">
        <f>U1375*T1375</f>
        <v/>
      </c>
      <c r="W1375" s="103" t="inlineStr">
        <is>
          <t>数据清洗任务表、资产同步任务表</t>
        </is>
      </c>
      <c r="X1375" s="103" t="inlineStr"/>
      <c r="Y1375"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5" s="90" t="n"/>
      <c r="AA1375" s="90" t="n"/>
    </row>
    <row r="1376" s="112">
      <c r="A1376" s="72">
        <f>ROW()-1</f>
        <v/>
      </c>
      <c r="B1376" s="175" t="n"/>
      <c r="C1376" s="124" t="n">
        <v>2026</v>
      </c>
      <c r="E1376" s="103" t="n"/>
      <c r="F1376" s="175" t="n"/>
      <c r="G1376" s="175" t="n"/>
      <c r="H1376" s="175" t="n"/>
      <c r="I1376" s="103" t="inlineStr">
        <is>
          <t>批量创建复测任务</t>
        </is>
      </c>
      <c r="J1376" s="93" t="inlineStr">
        <is>
          <t>EI</t>
        </is>
      </c>
      <c r="K1376" s="84" t="n"/>
      <c r="L1376" s="84" t="inlineStr">
        <is>
          <t>批量操作</t>
        </is>
      </c>
      <c r="M1376" s="85">
        <f>IF(OR(Y1376="估算法",Y1376="算法类",Y1376="无法识别"),"",IF(W1376="",IF(OR(J1376="EI",J1376="EO",J1376="EQ"),0,""),LEN(W1376)-LEN(SUBSTITUTE(W1376,"、",""))+1))</f>
        <v/>
      </c>
      <c r="N1376" s="85">
        <f>IF(OR(Y1376="估算法",Y1376="算法类",Y1376="无法识别"),"",IF(X1376="",IF(OR(J1376="ILF",J1376="EIF"),0,""),LEN(X1376)-LEN(SUBSTITUTE(X1376,"、",""))+1))</f>
        <v/>
      </c>
      <c r="O1376" s="85">
        <f>IF(OR(Y1376="估算法",Y1376="算法类",Y1376="无法识别"),"",IF(Y1376="",IF(OR(J1376="ILF",J1376="EIF",J1376="EI",J1376="EO",J1376="EQ"),0,""),LEN(Y1376)-LEN(SUBSTITUTE(SUBSTITUTE(SUBSTITUTE(SUBSTITUTE(SUBSTITUTE(Y1376,"|}","--"),"{|","--"),CHAR(10),""),"、",""),"|",""))+IF(AND(OR(J1376="EI",J1376="EO",J1376="EQ"),$AE$1="NESMA"),2,1)))</f>
        <v/>
      </c>
      <c r="P1376" s="86">
        <f>IF(J1376="EI",IF(OR(Y1376="估算法",Y1376="算法类"),"中",IF(Y1376="无法识别","低",IF(M1376&lt;2,IF(O1376&lt;16,"低","中"),IF(M1376&lt;3,IF(O1376&lt;5,"低",IF(O1376&lt;16,"中","高")),IF(O1376&lt;5,"中","高"))))),IF(OR(J1376="EO",J1376="EQ"),IF(OR(Y1376="估算法",Y1376="算法类"),"中",IF(Y1376="无法识别","低",IF(M1376&lt;2,IF(O1376&lt;20,"低","中"),IF(M1376&lt;4,IF(O1376&lt;6,"低",IF(O1376&lt;20,"中","高")),IF(O1376&lt;6,"中","高"))))),IF(OR(J1376="ILF",J1376="EIF"),IF(OR(Y1376="估算法",Y1376="算法类",Y1376="无法识别"),"低",IF(N1376&lt;2,IF(O1376&lt;51,"低","中"),IF(N1376&lt;6,IF(O1376&lt;20,"低",IF(O1376&lt;51,"中","高")),IF(O1376&lt;20,"中","高")))),"不计算")))</f>
        <v/>
      </c>
      <c r="Q1376" s="172">
        <f>IFERROR(IF(J1376="EI",IF(P1376="低",3,IF(P1376="中",4,6)),IF(J1376="EO",IF(P1376="低",4,IF(P1376="中",5,7)),IF(J1376="EQ",IF(P1376="低",3,IF(P1376="中",4,6)),IF(J1376="ILF",IF(P1376="低",7,IF(P1376="中",10,15)),IF(J1376="EIF",IF(P1376="低",5,IF(P1376="中",7,10)),"不计算")))))*R1376,"不计算")</f>
        <v/>
      </c>
      <c r="R1376" s="172" t="n">
        <v>0.333333333333333</v>
      </c>
      <c r="S1376" s="173">
        <f>调整因子!$F$13</f>
        <v/>
      </c>
      <c r="T1376" s="93" t="n">
        <v>1</v>
      </c>
      <c r="U1376" s="174">
        <f>IFERROR(Q1376*S1376,0)</f>
        <v/>
      </c>
      <c r="V1376" s="178">
        <f>U1376*T1376</f>
        <v/>
      </c>
      <c r="W1376" s="103" t="inlineStr">
        <is>
          <t>数据清洗任务表、资产同步任务表</t>
        </is>
      </c>
      <c r="X1376" s="103" t="inlineStr"/>
      <c r="Y1376" s="97" t="inlineStr">
        <is>
          <t>数据清洗任务表{任务ID、任务名称、任务类型、任务状态、创建时间、执行时间|任务ID、任务名称、任务类型}
资产同步任务表{资产ID、资产名称、IP地址、资产类型、资产状态、创建时间、更新时间|资产ID、资产名称、IP地址}</t>
        </is>
      </c>
      <c r="Z1376" s="90" t="n"/>
      <c r="AA1376" s="90" t="n"/>
    </row>
    <row r="1377" s="112">
      <c r="A1377" s="72">
        <f>ROW()-1</f>
        <v/>
      </c>
      <c r="B1377" s="175" t="n"/>
      <c r="C1377" s="124" t="n">
        <v>2026</v>
      </c>
      <c r="E1377" s="103" t="n"/>
      <c r="F1377" s="175" t="n"/>
      <c r="G1377" s="175" t="n"/>
      <c r="H1377" s="175" t="n"/>
      <c r="I1377" s="103" t="inlineStr">
        <is>
          <t>配置复测策略</t>
        </is>
      </c>
      <c r="J1377" s="93" t="inlineStr">
        <is>
          <t>EI</t>
        </is>
      </c>
      <c r="K1377" s="102" t="n"/>
      <c r="L1377" s="102" t="n"/>
      <c r="M1377" s="85">
        <f>IF(OR(Y1377="估算法",Y1377="算法类",Y1377="无法识别"),"",IF(W1377="",IF(OR(J1377="EI",J1377="EO",J1377="EQ"),0,""),LEN(W1377)-LEN(SUBSTITUTE(W1377,"、",""))+1))</f>
        <v/>
      </c>
      <c r="N1377" s="85">
        <f>IF(OR(Y1377="估算法",Y1377="算法类",Y1377="无法识别"),"",IF(X1377="",IF(OR(J1377="ILF",J1377="EIF"),0,""),LEN(X1377)-LEN(SUBSTITUTE(X1377,"、",""))+1))</f>
        <v/>
      </c>
      <c r="O1377" s="85">
        <f>IF(OR(Y1377="估算法",Y1377="算法类",Y1377="无法识别"),"",IF(Y1377="",IF(OR(J1377="ILF",J1377="EIF",J1377="EI",J1377="EO",J1377="EQ"),0,""),LEN(Y1377)-LEN(SUBSTITUTE(SUBSTITUTE(SUBSTITUTE(SUBSTITUTE(SUBSTITUTE(Y1377,"|}","--"),"{|","--"),CHAR(10),""),"、",""),"|",""))+IF(AND(OR(J1377="EI",J1377="EO",J1377="EQ"),$AE$1="NESMA"),2,1)))</f>
        <v/>
      </c>
      <c r="P1377" s="86">
        <f>IF(J1377="EI",IF(OR(Y1377="估算法",Y1377="算法类"),"中",IF(Y1377="无法识别","低",IF(M1377&lt;2,IF(O1377&lt;16,"低","中"),IF(M1377&lt;3,IF(O1377&lt;5,"低",IF(O1377&lt;16,"中","高")),IF(O1377&lt;5,"中","高"))))),IF(OR(J1377="EO",J1377="EQ"),IF(OR(Y1377="估算法",Y1377="算法类"),"中",IF(Y1377="无法识别","低",IF(M1377&lt;2,IF(O1377&lt;20,"低","中"),IF(M1377&lt;4,IF(O1377&lt;6,"低",IF(O1377&lt;20,"中","高")),IF(O1377&lt;6,"中","高"))))),IF(OR(J1377="ILF",J1377="EIF"),IF(OR(Y1377="估算法",Y1377="算法类",Y1377="无法识别"),"低",IF(N1377&lt;2,IF(O1377&lt;51,"低","中"),IF(N1377&lt;6,IF(O1377&lt;20,"低",IF(O1377&lt;51,"中","高")),IF(O1377&lt;20,"中","高")))),"不计算")))</f>
        <v/>
      </c>
      <c r="Q1377" s="172">
        <f>IFERROR(IF(J1377="EI",IF(P1377="低",3,IF(P1377="中",4,6)),IF(J1377="EO",IF(P1377="低",4,IF(P1377="中",5,7)),IF(J1377="EQ",IF(P1377="低",3,IF(P1377="中",4,6)),IF(J1377="ILF",IF(P1377="低",7,IF(P1377="中",10,15)),IF(J1377="EIF",IF(P1377="低",5,IF(P1377="中",7,10)),"不计算")))))*R1377,"不计算")</f>
        <v/>
      </c>
      <c r="R1377" s="172" t="n">
        <v>1</v>
      </c>
      <c r="S1377" s="173">
        <f>调整因子!$F$13</f>
        <v/>
      </c>
      <c r="T1377" s="93" t="n">
        <v>1</v>
      </c>
      <c r="U1377" s="174">
        <f>IFERROR(Q1377*S1377,0)</f>
        <v/>
      </c>
      <c r="V1377" s="178">
        <f>U1377*T1377</f>
        <v/>
      </c>
      <c r="W1377" s="103" t="inlineStr">
        <is>
          <t>任务优先级配置表</t>
        </is>
      </c>
      <c r="X1377" s="103" t="inlineStr"/>
      <c r="Y1377" s="97" t="inlineStr">
        <is>
          <t>任务优先级配置表{任务ID、任务名称、任务类型、任务状态、创建时间、执行时间|任务ID、任务名称、任务类型}</t>
        </is>
      </c>
      <c r="Z1377" s="90" t="n"/>
      <c r="AA1377" s="90" t="n"/>
    </row>
    <row r="1378" s="112">
      <c r="A1378" s="72">
        <f>ROW()-1</f>
        <v/>
      </c>
      <c r="B1378" s="175" t="n"/>
      <c r="C1378" s="124" t="n">
        <v>2026</v>
      </c>
      <c r="E1378" s="103" t="n"/>
      <c r="F1378" s="175" t="n"/>
      <c r="G1378" s="175" t="n"/>
      <c r="H1378" s="175" t="n"/>
      <c r="I1378" s="103" t="inlineStr">
        <is>
          <t>导出复测任务</t>
        </is>
      </c>
      <c r="J1378" s="93" t="inlineStr">
        <is>
          <t>EO</t>
        </is>
      </c>
      <c r="K1378" s="102" t="n"/>
      <c r="L1378" s="102" t="n"/>
      <c r="M1378" s="85">
        <f>IF(OR(Y1378="估算法",Y1378="算法类",Y1378="无法识别"),"",IF(W1378="",IF(OR(J1378="EI",J1378="EO",J1378="EQ"),0,""),LEN(W1378)-LEN(SUBSTITUTE(W1378,"、",""))+1))</f>
        <v/>
      </c>
      <c r="N1378" s="85">
        <f>IF(OR(Y1378="估算法",Y1378="算法类",Y1378="无法识别"),"",IF(X1378="",IF(OR(J1378="ILF",J1378="EIF"),0,""),LEN(X1378)-LEN(SUBSTITUTE(X1378,"、",""))+1))</f>
        <v/>
      </c>
      <c r="O1378" s="85">
        <f>IF(OR(Y1378="估算法",Y1378="算法类",Y1378="无法识别"),"",IF(Y1378="",IF(OR(J1378="ILF",J1378="EIF",J1378="EI",J1378="EO",J1378="EQ"),0,""),LEN(Y1378)-LEN(SUBSTITUTE(SUBSTITUTE(SUBSTITUTE(SUBSTITUTE(SUBSTITUTE(Y1378,"|}","--"),"{|","--"),CHAR(10),""),"、",""),"|",""))+IF(AND(OR(J1378="EI",J1378="EO",J1378="EQ"),$AE$1="NESMA"),2,1)))</f>
        <v/>
      </c>
      <c r="P1378" s="86">
        <f>IF(J1378="EI",IF(OR(Y1378="估算法",Y1378="算法类"),"中",IF(Y1378="无法识别","低",IF(M1378&lt;2,IF(O1378&lt;16,"低","中"),IF(M1378&lt;3,IF(O1378&lt;5,"低",IF(O1378&lt;16,"中","高")),IF(O1378&lt;5,"中","高"))))),IF(OR(J1378="EO",J1378="EQ"),IF(OR(Y1378="估算法",Y1378="算法类"),"中",IF(Y1378="无法识别","低",IF(M1378&lt;2,IF(O1378&lt;20,"低","中"),IF(M1378&lt;4,IF(O1378&lt;6,"低",IF(O1378&lt;20,"中","高")),IF(O1378&lt;6,"中","高"))))),IF(OR(J1378="ILF",J1378="EIF"),IF(OR(Y1378="估算法",Y1378="算法类",Y1378="无法识别"),"低",IF(N1378&lt;2,IF(O1378&lt;51,"低","中"),IF(N1378&lt;6,IF(O1378&lt;20,"低",IF(O1378&lt;51,"中","高")),IF(O1378&lt;20,"中","高")))),"不计算")))</f>
        <v/>
      </c>
      <c r="Q1378" s="172">
        <f>IFERROR(IF(J1378="EI",IF(P1378="低",3,IF(P1378="中",4,6)),IF(J1378="EO",IF(P1378="低",4,IF(P1378="中",5,7)),IF(J1378="EQ",IF(P1378="低",3,IF(P1378="中",4,6)),IF(J1378="ILF",IF(P1378="低",7,IF(P1378="中",10,15)),IF(J1378="EIF",IF(P1378="低",5,IF(P1378="中",7,10)),"不计算")))))*R1378,"不计算")</f>
        <v/>
      </c>
      <c r="R1378" s="172" t="n">
        <v>1</v>
      </c>
      <c r="S1378" s="173">
        <f>调整因子!$F$13</f>
        <v/>
      </c>
      <c r="T1378" s="92" t="n">
        <v>1</v>
      </c>
      <c r="U1378" s="174">
        <f>IFERROR(Q1378*S1378,0)</f>
        <v/>
      </c>
      <c r="V1378" s="178">
        <f>U1378*T1378</f>
        <v/>
      </c>
      <c r="W1378" s="103" t="inlineStr">
        <is>
          <t>数据清洗任务表</t>
        </is>
      </c>
      <c r="X1378" s="103" t="inlineStr"/>
      <c r="Y1378" s="97" t="inlineStr">
        <is>
          <t>数据清洗任务表{任务ID、任务名称|任务ID、任务名称、任务类型、任务状态、创建时间、执行时间}</t>
        </is>
      </c>
      <c r="Z1378" s="90" t="n"/>
      <c r="AA1378" s="90" t="n"/>
    </row>
    <row r="1379" s="112">
      <c r="A1379" s="72">
        <f>ROW()-1</f>
        <v/>
      </c>
      <c r="B1379" s="175" t="n"/>
      <c r="C1379" s="124" t="n">
        <v>2026</v>
      </c>
      <c r="E1379" s="103" t="n"/>
      <c r="F1379" s="175" t="n"/>
      <c r="G1379" s="175" t="n"/>
      <c r="H1379" s="175" t="n"/>
      <c r="I1379" s="103" t="inlineStr">
        <is>
          <t>查询复测任务列表</t>
        </is>
      </c>
      <c r="J1379" s="93" t="inlineStr">
        <is>
          <t>EO</t>
        </is>
      </c>
      <c r="K1379" s="102" t="n"/>
      <c r="L1379" s="102" t="n"/>
      <c r="M1379" s="85">
        <f>IF(OR(Y1379="估算法",Y1379="算法类",Y1379="无法识别"),"",IF(W1379="",IF(OR(J1379="EI",J1379="EO",J1379="EQ"),0,""),LEN(W1379)-LEN(SUBSTITUTE(W1379,"、",""))+1))</f>
        <v/>
      </c>
      <c r="N1379" s="85">
        <f>IF(OR(Y1379="估算法",Y1379="算法类",Y1379="无法识别"),"",IF(X1379="",IF(OR(J1379="ILF",J1379="EIF"),0,""),LEN(X1379)-LEN(SUBSTITUTE(X1379,"、",""))+1))</f>
        <v/>
      </c>
      <c r="O1379" s="85">
        <f>IF(OR(Y1379="估算法",Y1379="算法类",Y1379="无法识别"),"",IF(Y1379="",IF(OR(J1379="ILF",J1379="EIF",J1379="EI",J1379="EO",J1379="EQ"),0,""),LEN(Y1379)-LEN(SUBSTITUTE(SUBSTITUTE(SUBSTITUTE(SUBSTITUTE(SUBSTITUTE(Y1379,"|}","--"),"{|","--"),CHAR(10),""),"、",""),"|",""))+IF(AND(OR(J1379="EI",J1379="EO",J1379="EQ"),$AE$1="NESMA"),2,1)))</f>
        <v/>
      </c>
      <c r="P1379" s="86">
        <f>IF(J1379="EI",IF(OR(Y1379="估算法",Y1379="算法类"),"中",IF(Y1379="无法识别","低",IF(M1379&lt;2,IF(O1379&lt;16,"低","中"),IF(M1379&lt;3,IF(O1379&lt;5,"低",IF(O1379&lt;16,"中","高")),IF(O1379&lt;5,"中","高"))))),IF(OR(J1379="EO",J1379="EQ"),IF(OR(Y1379="估算法",Y1379="算法类"),"中",IF(Y1379="无法识别","低",IF(M1379&lt;2,IF(O1379&lt;20,"低","中"),IF(M1379&lt;4,IF(O1379&lt;6,"低",IF(O1379&lt;20,"中","高")),IF(O1379&lt;6,"中","高"))))),IF(OR(J1379="ILF",J1379="EIF"),IF(OR(Y1379="估算法",Y1379="算法类",Y1379="无法识别"),"低",IF(N1379&lt;2,IF(O1379&lt;51,"低","中"),IF(N1379&lt;6,IF(O1379&lt;20,"低",IF(O1379&lt;51,"中","高")),IF(O1379&lt;20,"中","高")))),"不计算")))</f>
        <v/>
      </c>
      <c r="Q1379" s="172">
        <f>IFERROR(IF(J1379="EI",IF(P1379="低",3,IF(P1379="中",4,6)),IF(J1379="EO",IF(P1379="低",4,IF(P1379="中",5,7)),IF(J1379="EQ",IF(P1379="低",3,IF(P1379="中",4,6)),IF(J1379="ILF",IF(P1379="低",7,IF(P1379="中",10,15)),IF(J1379="EIF",IF(P1379="低",5,IF(P1379="中",7,10)),"不计算")))))*R1379,"不计算")</f>
        <v/>
      </c>
      <c r="R1379" s="172" t="n">
        <v>1</v>
      </c>
      <c r="S1379" s="173">
        <f>调整因子!$F$13</f>
        <v/>
      </c>
      <c r="T1379" s="92" t="n">
        <v>1</v>
      </c>
      <c r="U1379" s="174">
        <f>IFERROR(Q1379*S1379,0)</f>
        <v/>
      </c>
      <c r="V1379" s="178">
        <f>U1379*T1379</f>
        <v/>
      </c>
      <c r="W1379" s="103" t="inlineStr">
        <is>
          <t>数据清洗任务表</t>
        </is>
      </c>
      <c r="X1379" s="103" t="inlineStr"/>
      <c r="Y1379" s="97" t="inlineStr">
        <is>
          <t>数据清洗任务表{任务ID、任务名称|任务ID、任务名称、任务类型、任务状态、创建时间、执行时间}</t>
        </is>
      </c>
      <c r="Z1379" s="90" t="n"/>
      <c r="AA1379" s="90" t="n"/>
    </row>
    <row r="1380" s="112">
      <c r="A1380" s="72">
        <f>ROW()-1</f>
        <v/>
      </c>
      <c r="B1380" s="175" t="n"/>
      <c r="C1380" s="124" t="n">
        <v>2026</v>
      </c>
      <c r="E1380" s="103" t="n"/>
      <c r="F1380" s="175" t="n"/>
      <c r="G1380" s="175" t="n"/>
      <c r="H1380" s="176" t="n"/>
      <c r="I1380" s="103" t="inlineStr">
        <is>
          <t>查看复测任务详情</t>
        </is>
      </c>
      <c r="J1380" s="93" t="inlineStr">
        <is>
          <t>EQ</t>
        </is>
      </c>
      <c r="K1380" s="102" t="n"/>
      <c r="L1380" s="102" t="n"/>
      <c r="M1380" s="85">
        <f>IF(OR(Y1380="估算法",Y1380="算法类",Y1380="无法识别"),"",IF(W1380="",IF(OR(J1380="EI",J1380="EO",J1380="EQ"),0,""),LEN(W1380)-LEN(SUBSTITUTE(W1380,"、",""))+1))</f>
        <v/>
      </c>
      <c r="N1380" s="85">
        <f>IF(OR(Y1380="估算法",Y1380="算法类",Y1380="无法识别"),"",IF(X1380="",IF(OR(J1380="ILF",J1380="EIF"),0,""),LEN(X1380)-LEN(SUBSTITUTE(X1380,"、",""))+1))</f>
        <v/>
      </c>
      <c r="O1380" s="85">
        <f>IF(OR(Y1380="估算法",Y1380="算法类",Y1380="无法识别"),"",IF(Y1380="",IF(OR(J1380="ILF",J1380="EIF",J1380="EI",J1380="EO",J1380="EQ"),0,""),LEN(Y1380)-LEN(SUBSTITUTE(SUBSTITUTE(SUBSTITUTE(SUBSTITUTE(SUBSTITUTE(Y1380,"|}","--"),"{|","--"),CHAR(10),""),"、",""),"|",""))+IF(AND(OR(J1380="EI",J1380="EO",J1380="EQ"),$AE$1="NESMA"),2,1)))</f>
        <v/>
      </c>
      <c r="P1380" s="86">
        <f>IF(J1380="EI",IF(OR(Y1380="估算法",Y1380="算法类"),"中",IF(Y1380="无法识别","低",IF(M1380&lt;2,IF(O1380&lt;16,"低","中"),IF(M1380&lt;3,IF(O1380&lt;5,"低",IF(O1380&lt;16,"中","高")),IF(O1380&lt;5,"中","高"))))),IF(OR(J1380="EO",J1380="EQ"),IF(OR(Y1380="估算法",Y1380="算法类"),"中",IF(Y1380="无法识别","低",IF(M1380&lt;2,IF(O1380&lt;20,"低","中"),IF(M1380&lt;4,IF(O1380&lt;6,"低",IF(O1380&lt;20,"中","高")),IF(O1380&lt;6,"中","高"))))),IF(OR(J1380="ILF",J1380="EIF"),IF(OR(Y1380="估算法",Y1380="算法类",Y1380="无法识别"),"低",IF(N1380&lt;2,IF(O1380&lt;51,"低","中"),IF(N1380&lt;6,IF(O1380&lt;20,"低",IF(O1380&lt;51,"中","高")),IF(O1380&lt;20,"中","高")))),"不计算")))</f>
        <v/>
      </c>
      <c r="Q1380" s="172">
        <f>IFERROR(IF(J1380="EI",IF(P1380="低",3,IF(P1380="中",4,6)),IF(J1380="EO",IF(P1380="低",4,IF(P1380="中",5,7)),IF(J1380="EQ",IF(P1380="低",3,IF(P1380="中",4,6)),IF(J1380="ILF",IF(P1380="低",7,IF(P1380="中",10,15)),IF(J1380="EIF",IF(P1380="低",5,IF(P1380="中",7,10)),"不计算")))))*R1380,"不计算")</f>
        <v/>
      </c>
      <c r="R1380" s="172" t="n">
        <v>1</v>
      </c>
      <c r="S1380" s="173">
        <f>调整因子!$F$13</f>
        <v/>
      </c>
      <c r="T1380" s="93" t="n">
        <v>1</v>
      </c>
      <c r="U1380" s="174">
        <f>IFERROR(Q1380*S1380,0)</f>
        <v/>
      </c>
      <c r="V1380" s="178">
        <f>U1380*T1380</f>
        <v/>
      </c>
      <c r="W1380" s="103" t="inlineStr">
        <is>
          <t>数据清洗任务表、资产同步任务表</t>
        </is>
      </c>
      <c r="X1380" s="103" t="inlineStr"/>
      <c r="Y1380" s="97" t="inlineStr">
        <is>
          <t>数据清洗任务表{任务ID、任务名称|任务ID、任务名称、任务类型、任务状态、创建时间、执行时间}
资产同步任务表{资产ID、资产名称|资产ID、资产名称、IP地址、资产类型、资产状态、创建时间、更新时间}</t>
        </is>
      </c>
      <c r="Z1380" s="90" t="n"/>
      <c r="AA1380" s="90" t="n"/>
    </row>
    <row r="1381" s="112">
      <c r="A1381" s="72">
        <f>ROW()-1</f>
        <v/>
      </c>
      <c r="B1381" s="175" t="n"/>
      <c r="C1381" s="124" t="n">
        <v>2026</v>
      </c>
      <c r="E1381" s="103" t="n"/>
      <c r="F1381" s="175" t="n"/>
      <c r="G1381" s="175" t="n"/>
      <c r="H1381" s="97" t="inlineStr">
        <is>
          <t>复测结果管理</t>
        </is>
      </c>
      <c r="I1381" s="103" t="inlineStr">
        <is>
          <t>导出复测结果</t>
        </is>
      </c>
      <c r="J1381" s="93" t="inlineStr">
        <is>
          <t>EO</t>
        </is>
      </c>
      <c r="K1381" s="102" t="n"/>
      <c r="L1381" s="102" t="n"/>
      <c r="M1381" s="85">
        <f>IF(OR(Y1381="估算法",Y1381="算法类",Y1381="无法识别"),"",IF(W1381="",IF(OR(J1381="EI",J1381="EO",J1381="EQ"),0,""),LEN(W1381)-LEN(SUBSTITUTE(W1381,"、",""))+1))</f>
        <v/>
      </c>
      <c r="N1381" s="85">
        <f>IF(OR(Y1381="估算法",Y1381="算法类",Y1381="无法识别"),"",IF(X1381="",IF(OR(J1381="ILF",J1381="EIF"),0,""),LEN(X1381)-LEN(SUBSTITUTE(X1381,"、",""))+1))</f>
        <v/>
      </c>
      <c r="O1381" s="85">
        <f>IF(OR(Y1381="估算法",Y1381="算法类",Y1381="无法识别"),"",IF(Y1381="",IF(OR(J1381="ILF",J1381="EIF",J1381="EI",J1381="EO",J1381="EQ"),0,""),LEN(Y1381)-LEN(SUBSTITUTE(SUBSTITUTE(SUBSTITUTE(SUBSTITUTE(SUBSTITUTE(Y1381,"|}","--"),"{|","--"),CHAR(10),""),"、",""),"|",""))+IF(AND(OR(J1381="EI",J1381="EO",J1381="EQ"),$AE$1="NESMA"),2,1)))</f>
        <v/>
      </c>
      <c r="P1381" s="86">
        <f>IF(J1381="EI",IF(OR(Y1381="估算法",Y1381="算法类"),"中",IF(Y1381="无法识别","低",IF(M1381&lt;2,IF(O1381&lt;16,"低","中"),IF(M1381&lt;3,IF(O1381&lt;5,"低",IF(O1381&lt;16,"中","高")),IF(O1381&lt;5,"中","高"))))),IF(OR(J1381="EO",J1381="EQ"),IF(OR(Y1381="估算法",Y1381="算法类"),"中",IF(Y1381="无法识别","低",IF(M1381&lt;2,IF(O1381&lt;20,"低","中"),IF(M1381&lt;4,IF(O1381&lt;6,"低",IF(O1381&lt;20,"中","高")),IF(O1381&lt;6,"中","高"))))),IF(OR(J1381="ILF",J1381="EIF"),IF(OR(Y1381="估算法",Y1381="算法类",Y1381="无法识别"),"低",IF(N1381&lt;2,IF(O1381&lt;51,"低","中"),IF(N1381&lt;6,IF(O1381&lt;20,"低",IF(O1381&lt;51,"中","高")),IF(O1381&lt;20,"中","高")))),"不计算")))</f>
        <v/>
      </c>
      <c r="Q1381" s="172">
        <f>IFERROR(IF(J1381="EI",IF(P1381="低",3,IF(P1381="中",4,6)),IF(J1381="EO",IF(P1381="低",4,IF(P1381="中",5,7)),IF(J1381="EQ",IF(P1381="低",3,IF(P1381="中",4,6)),IF(J1381="ILF",IF(P1381="低",7,IF(P1381="中",10,15)),IF(J1381="EIF",IF(P1381="低",5,IF(P1381="中",7,10)),"不计算")))))*R1381,"不计算")</f>
        <v/>
      </c>
      <c r="R1381" s="172" t="n">
        <v>1</v>
      </c>
      <c r="S1381" s="173">
        <f>调整因子!$F$13</f>
        <v/>
      </c>
      <c r="T1381" s="92" t="n">
        <v>1</v>
      </c>
      <c r="U1381" s="174">
        <f>IFERROR(Q1381*S1381,0)</f>
        <v/>
      </c>
      <c r="V1381" s="178">
        <f>U1381*T1381</f>
        <v/>
      </c>
      <c r="W1381" s="103" t="inlineStr">
        <is>
          <t>修复步骤表</t>
        </is>
      </c>
      <c r="X1381" s="103" t="inlineStr"/>
      <c r="Y1381" s="97" t="inlineStr">
        <is>
          <t>修复步骤表{ID、名称|ID、名称、类型、状态、创建时间、更新时间}</t>
        </is>
      </c>
      <c r="Z1381" s="90" t="n"/>
      <c r="AA1381" s="90" t="n"/>
    </row>
    <row r="1382" s="112">
      <c r="A1382" s="72">
        <f>ROW()-1</f>
        <v/>
      </c>
      <c r="B1382" s="175" t="n"/>
      <c r="C1382" s="124" t="n">
        <v>2026</v>
      </c>
      <c r="E1382" s="103" t="n"/>
      <c r="F1382" s="175" t="n"/>
      <c r="G1382" s="175" t="n"/>
      <c r="H1382" s="175" t="n"/>
      <c r="I1382" s="103" t="inlineStr">
        <is>
          <t>下载复测报告</t>
        </is>
      </c>
      <c r="J1382" s="93" t="inlineStr">
        <is>
          <t>EO</t>
        </is>
      </c>
      <c r="K1382" s="102" t="n"/>
      <c r="L1382" s="102" t="n"/>
      <c r="M1382" s="85">
        <f>IF(OR(Y1382="估算法",Y1382="算法类",Y1382="无法识别"),"",IF(W1382="",IF(OR(J1382="EI",J1382="EO",J1382="EQ"),0,""),LEN(W1382)-LEN(SUBSTITUTE(W1382,"、",""))+1))</f>
        <v/>
      </c>
      <c r="N1382" s="85">
        <f>IF(OR(Y1382="估算法",Y1382="算法类",Y1382="无法识别"),"",IF(X1382="",IF(OR(J1382="ILF",J1382="EIF"),0,""),LEN(X1382)-LEN(SUBSTITUTE(X1382,"、",""))+1))</f>
        <v/>
      </c>
      <c r="O1382" s="85">
        <f>IF(OR(Y1382="估算法",Y1382="算法类",Y1382="无法识别"),"",IF(Y1382="",IF(OR(J1382="ILF",J1382="EIF",J1382="EI",J1382="EO",J1382="EQ"),0,""),LEN(Y1382)-LEN(SUBSTITUTE(SUBSTITUTE(SUBSTITUTE(SUBSTITUTE(SUBSTITUTE(Y1382,"|}","--"),"{|","--"),CHAR(10),""),"、",""),"|",""))+IF(AND(OR(J1382="EI",J1382="EO",J1382="EQ"),$AE$1="NESMA"),2,1)))</f>
        <v/>
      </c>
      <c r="P1382" s="86">
        <f>IF(J1382="EI",IF(OR(Y1382="估算法",Y1382="算法类"),"中",IF(Y1382="无法识别","低",IF(M1382&lt;2,IF(O1382&lt;16,"低","中"),IF(M1382&lt;3,IF(O1382&lt;5,"低",IF(O1382&lt;16,"中","高")),IF(O1382&lt;5,"中","高"))))),IF(OR(J1382="EO",J1382="EQ"),IF(OR(Y1382="估算法",Y1382="算法类"),"中",IF(Y1382="无法识别","低",IF(M1382&lt;2,IF(O1382&lt;20,"低","中"),IF(M1382&lt;4,IF(O1382&lt;6,"低",IF(O1382&lt;20,"中","高")),IF(O1382&lt;6,"中","高"))))),IF(OR(J1382="ILF",J1382="EIF"),IF(OR(Y1382="估算法",Y1382="算法类",Y1382="无法识别"),"低",IF(N1382&lt;2,IF(O1382&lt;51,"低","中"),IF(N1382&lt;6,IF(O1382&lt;20,"低",IF(O1382&lt;51,"中","高")),IF(O1382&lt;20,"中","高")))),"不计算")))</f>
        <v/>
      </c>
      <c r="Q1382" s="172">
        <f>IFERROR(IF(J1382="EI",IF(P1382="低",3,IF(P1382="中",4,6)),IF(J1382="EO",IF(P1382="低",4,IF(P1382="中",5,7)),IF(J1382="EQ",IF(P1382="低",3,IF(P1382="中",4,6)),IF(J1382="ILF",IF(P1382="低",7,IF(P1382="中",10,15)),IF(J1382="EIF",IF(P1382="低",5,IF(P1382="中",7,10)),"不计算")))))*R1382,"不计算")</f>
        <v/>
      </c>
      <c r="R1382" s="172" t="n">
        <v>1</v>
      </c>
      <c r="S1382" s="173">
        <f>调整因子!$F$13</f>
        <v/>
      </c>
      <c r="T1382" s="92" t="n">
        <v>1</v>
      </c>
      <c r="U1382" s="174">
        <f>IFERROR(Q1382*S1382,0)</f>
        <v/>
      </c>
      <c r="V1382" s="178">
        <f>U1382*T1382</f>
        <v/>
      </c>
      <c r="W1382" s="103" t="inlineStr">
        <is>
          <t>资产查询接口配置表</t>
        </is>
      </c>
      <c r="X1382" s="103" t="inlineStr"/>
      <c r="Y1382" s="97" t="inlineStr">
        <is>
          <t>资产查询接口配置表{资产ID、资产名称|资产ID、资产名称、IP地址、资产类型、资产状态、创建时间、更新时间}</t>
        </is>
      </c>
      <c r="Z1382" s="90" t="n"/>
      <c r="AA1382" s="90" t="n"/>
    </row>
    <row r="1383" s="112">
      <c r="A1383" s="72">
        <f>ROW()-1</f>
        <v/>
      </c>
      <c r="B1383" s="175" t="n"/>
      <c r="C1383" s="124" t="n">
        <v>2026</v>
      </c>
      <c r="E1383" s="103" t="n"/>
      <c r="F1383" s="175" t="n"/>
      <c r="G1383" s="175" t="n"/>
      <c r="H1383" s="175" t="n"/>
      <c r="I1383" s="103" t="inlineStr">
        <is>
          <t>查询复测结果</t>
        </is>
      </c>
      <c r="J1383" s="93" t="inlineStr">
        <is>
          <t>EQ</t>
        </is>
      </c>
      <c r="K1383" s="102" t="n"/>
      <c r="L1383" s="102" t="n"/>
      <c r="M1383" s="85">
        <f>IF(OR(Y1383="估算法",Y1383="算法类",Y1383="无法识别"),"",IF(W1383="",IF(OR(J1383="EI",J1383="EO",J1383="EQ"),0,""),LEN(W1383)-LEN(SUBSTITUTE(W1383,"、",""))+1))</f>
        <v/>
      </c>
      <c r="N1383" s="85">
        <f>IF(OR(Y1383="估算法",Y1383="算法类",Y1383="无法识别"),"",IF(X1383="",IF(OR(J1383="ILF",J1383="EIF"),0,""),LEN(X1383)-LEN(SUBSTITUTE(X1383,"、",""))+1))</f>
        <v/>
      </c>
      <c r="O1383" s="85">
        <f>IF(OR(Y1383="估算法",Y1383="算法类",Y1383="无法识别"),"",IF(Y1383="",IF(OR(J1383="ILF",J1383="EIF",J1383="EI",J1383="EO",J1383="EQ"),0,""),LEN(Y1383)-LEN(SUBSTITUTE(SUBSTITUTE(SUBSTITUTE(SUBSTITUTE(SUBSTITUTE(Y1383,"|}","--"),"{|","--"),CHAR(10),""),"、",""),"|",""))+IF(AND(OR(J1383="EI",J1383="EO",J1383="EQ"),$AE$1="NESMA"),2,1)))</f>
        <v/>
      </c>
      <c r="P1383" s="86">
        <f>IF(J1383="EI",IF(OR(Y1383="估算法",Y1383="算法类"),"中",IF(Y1383="无法识别","低",IF(M1383&lt;2,IF(O1383&lt;16,"低","中"),IF(M1383&lt;3,IF(O1383&lt;5,"低",IF(O1383&lt;16,"中","高")),IF(O1383&lt;5,"中","高"))))),IF(OR(J1383="EO",J1383="EQ"),IF(OR(Y1383="估算法",Y1383="算法类"),"中",IF(Y1383="无法识别","低",IF(M1383&lt;2,IF(O1383&lt;20,"低","中"),IF(M1383&lt;4,IF(O1383&lt;6,"低",IF(O1383&lt;20,"中","高")),IF(O1383&lt;6,"中","高"))))),IF(OR(J1383="ILF",J1383="EIF"),IF(OR(Y1383="估算法",Y1383="算法类",Y1383="无法识别"),"低",IF(N1383&lt;2,IF(O1383&lt;51,"低","中"),IF(N1383&lt;6,IF(O1383&lt;20,"低",IF(O1383&lt;51,"中","高")),IF(O1383&lt;20,"中","高")))),"不计算")))</f>
        <v/>
      </c>
      <c r="Q1383" s="172">
        <f>IFERROR(IF(J1383="EI",IF(P1383="低",3,IF(P1383="中",4,6)),IF(J1383="EO",IF(P1383="低",4,IF(P1383="中",5,7)),IF(J1383="EQ",IF(P1383="低",3,IF(P1383="中",4,6)),IF(J1383="ILF",IF(P1383="低",7,IF(P1383="中",10,15)),IF(J1383="EIF",IF(P1383="低",5,IF(P1383="中",7,10)),"不计算")))))*R1383,"不计算")</f>
        <v/>
      </c>
      <c r="R1383" s="172" t="n">
        <v>1</v>
      </c>
      <c r="S1383" s="173">
        <f>调整因子!$F$13</f>
        <v/>
      </c>
      <c r="T1383" s="93" t="n">
        <v>1</v>
      </c>
      <c r="U1383" s="174">
        <f>IFERROR(Q1383*S1383,0)</f>
        <v/>
      </c>
      <c r="V1383" s="178">
        <f>U1383*T1383</f>
        <v/>
      </c>
      <c r="W1383" s="103" t="inlineStr">
        <is>
          <t>扫描任务接口配置表、处置流程定义表</t>
        </is>
      </c>
      <c r="X1383" s="103" t="inlineStr"/>
      <c r="Y1383" s="97" t="inlineStr">
        <is>
          <t>扫描任务接口配置表{任务ID、任务名称|任务ID、任务名称、任务状态、扫描器类型、开始时间、结束时间、扫描结果}
处置流程定义表{ID、名称|ID、名称、类型、状态、创建时间、更新时间}</t>
        </is>
      </c>
      <c r="Z1383" s="90" t="n"/>
      <c r="AA1383" s="90" t="n"/>
    </row>
    <row r="1384" s="112">
      <c r="A1384" s="72">
        <f>ROW()-1</f>
        <v/>
      </c>
      <c r="B1384" s="175" t="n"/>
      <c r="C1384" s="124" t="n">
        <v>2026</v>
      </c>
      <c r="E1384" s="103" t="n"/>
      <c r="F1384" s="175" t="n"/>
      <c r="G1384" s="176" t="n"/>
      <c r="H1384" s="176" t="n"/>
      <c r="I1384" s="103" t="inlineStr">
        <is>
          <t>查看复测详情</t>
        </is>
      </c>
      <c r="J1384" s="93" t="inlineStr">
        <is>
          <t>EQ</t>
        </is>
      </c>
      <c r="K1384" s="102" t="n"/>
      <c r="L1384" s="102" t="n"/>
      <c r="M1384" s="85">
        <f>IF(OR(Y1384="估算法",Y1384="算法类",Y1384="无法识别"),"",IF(W1384="",IF(OR(J1384="EI",J1384="EO",J1384="EQ"),0,""),LEN(W1384)-LEN(SUBSTITUTE(W1384,"、",""))+1))</f>
        <v/>
      </c>
      <c r="N1384" s="85">
        <f>IF(OR(Y1384="估算法",Y1384="算法类",Y1384="无法识别"),"",IF(X1384="",IF(OR(J1384="ILF",J1384="EIF"),0,""),LEN(X1384)-LEN(SUBSTITUTE(X1384,"、",""))+1))</f>
        <v/>
      </c>
      <c r="O1384" s="85">
        <f>IF(OR(Y1384="估算法",Y1384="算法类",Y1384="无法识别"),"",IF(Y1384="",IF(OR(J1384="ILF",J1384="EIF",J1384="EI",J1384="EO",J1384="EQ"),0,""),LEN(Y1384)-LEN(SUBSTITUTE(SUBSTITUTE(SUBSTITUTE(SUBSTITUTE(SUBSTITUTE(Y1384,"|}","--"),"{|","--"),CHAR(10),""),"、",""),"|",""))+IF(AND(OR(J1384="EI",J1384="EO",J1384="EQ"),$AE$1="NESMA"),2,1)))</f>
        <v/>
      </c>
      <c r="P1384" s="86">
        <f>IF(J1384="EI",IF(OR(Y1384="估算法",Y1384="算法类"),"中",IF(Y1384="无法识别","低",IF(M1384&lt;2,IF(O1384&lt;16,"低","中"),IF(M1384&lt;3,IF(O1384&lt;5,"低",IF(O1384&lt;16,"中","高")),IF(O1384&lt;5,"中","高"))))),IF(OR(J1384="EO",J1384="EQ"),IF(OR(Y1384="估算法",Y1384="算法类"),"中",IF(Y1384="无法识别","低",IF(M1384&lt;2,IF(O1384&lt;20,"低","中"),IF(M1384&lt;4,IF(O1384&lt;6,"低",IF(O1384&lt;20,"中","高")),IF(O1384&lt;6,"中","高"))))),IF(OR(J1384="ILF",J1384="EIF"),IF(OR(Y1384="估算法",Y1384="算法类",Y1384="无法识别"),"低",IF(N1384&lt;2,IF(O1384&lt;51,"低","中"),IF(N1384&lt;6,IF(O1384&lt;20,"低",IF(O1384&lt;51,"中","高")),IF(O1384&lt;20,"中","高")))),"不计算")))</f>
        <v/>
      </c>
      <c r="Q1384" s="172">
        <f>IFERROR(IF(J1384="EI",IF(P1384="低",3,IF(P1384="中",4,6)),IF(J1384="EO",IF(P1384="低",4,IF(P1384="中",5,7)),IF(J1384="EQ",IF(P1384="低",3,IF(P1384="中",4,6)),IF(J1384="ILF",IF(P1384="低",7,IF(P1384="中",10,15)),IF(J1384="EIF",IF(P1384="低",5,IF(P1384="中",7,10)),"不计算")))))*R1384,"不计算")</f>
        <v/>
      </c>
      <c r="R1384" s="172" t="n">
        <v>1</v>
      </c>
      <c r="S1384" s="173">
        <f>调整因子!$F$13</f>
        <v/>
      </c>
      <c r="T1384" s="93" t="n">
        <v>1</v>
      </c>
      <c r="U1384" s="174">
        <f>IFERROR(Q1384*S1384,0)</f>
        <v/>
      </c>
      <c r="V1384" s="178">
        <f>U1384*T1384</f>
        <v/>
      </c>
      <c r="W1384" s="103" t="inlineStr">
        <is>
          <t>推送失败重试表、考核指标配置表</t>
        </is>
      </c>
      <c r="X1384" s="103" t="inlineStr"/>
      <c r="Y1384" s="97" t="inlineStr">
        <is>
          <t>推送失败重试表{ID、名称|ID、名称、类型、状态、创建时间、更新时间}
考核指标配置表{配置ID、配置名称|配置ID、配置名称、配置类型、配置值、创建时间}</t>
        </is>
      </c>
      <c r="Z1384" s="90" t="n"/>
      <c r="AA1384" s="90" t="n"/>
    </row>
    <row r="1385" s="112">
      <c r="A1385" s="72">
        <f>ROW()-1</f>
        <v/>
      </c>
      <c r="B1385" s="175" t="n"/>
      <c r="C1385" s="124" t="n">
        <v>2026</v>
      </c>
      <c r="E1385" s="103" t="n"/>
      <c r="F1385" s="175" t="n"/>
      <c r="G1385" s="97" t="inlineStr">
        <is>
          <t>编排模板与策略管理</t>
        </is>
      </c>
      <c r="H1385" s="97" t="inlineStr">
        <is>
          <t>处置流程定义管理</t>
        </is>
      </c>
      <c r="I1385" s="103" t="inlineStr">
        <is>
          <t>处置流程定义表</t>
        </is>
      </c>
      <c r="J1385" s="93" t="inlineStr">
        <is>
          <t>ILF</t>
        </is>
      </c>
      <c r="K1385" s="102" t="n"/>
      <c r="L1385" s="102" t="n"/>
      <c r="M1385" s="85">
        <f>IF(OR(Y1385="估算法",Y1385="算法类",Y1385="无法识别"),"",IF(W1385="",IF(OR(J1385="EI",J1385="EO",J1385="EQ"),0,""),LEN(W1385)-LEN(SUBSTITUTE(W1385,"、",""))+1))</f>
        <v/>
      </c>
      <c r="N1385" s="85">
        <f>IF(OR(Y1385="估算法",Y1385="算法类",Y1385="无法识别"),"",IF(X1385="",IF(OR(J1385="ILF",J1385="EIF"),0,""),LEN(X1385)-LEN(SUBSTITUTE(X1385,"、",""))+1))</f>
        <v/>
      </c>
      <c r="O1385" s="85">
        <f>IF(OR(Y1385="估算法",Y1385="算法类",Y1385="无法识别"),"",IF(Y1385="",IF(OR(J1385="ILF",J1385="EIF",J1385="EI",J1385="EO",J1385="EQ"),0,""),LEN(Y1385)-LEN(SUBSTITUTE(SUBSTITUTE(SUBSTITUTE(SUBSTITUTE(SUBSTITUTE(Y1385,"|}","--"),"{|","--"),CHAR(10),""),"、",""),"|",""))+IF(AND(OR(J1385="EI",J1385="EO",J1385="EQ"),$AE$1="NESMA"),2,1)))</f>
        <v/>
      </c>
      <c r="P1385" s="86">
        <f>IF(J1385="EI",IF(OR(Y1385="估算法",Y1385="算法类"),"中",IF(Y1385="无法识别","低",IF(M1385&lt;2,IF(O1385&lt;16,"低","中"),IF(M1385&lt;3,IF(O1385&lt;5,"低",IF(O1385&lt;16,"中","高")),IF(O1385&lt;5,"中","高"))))),IF(OR(J1385="EO",J1385="EQ"),IF(OR(Y1385="估算法",Y1385="算法类"),"中",IF(Y1385="无法识别","低",IF(M1385&lt;2,IF(O1385&lt;20,"低","中"),IF(M1385&lt;4,IF(O1385&lt;6,"低",IF(O1385&lt;20,"中","高")),IF(O1385&lt;6,"中","高"))))),IF(OR(J1385="ILF",J1385="EIF"),IF(OR(Y1385="估算法",Y1385="算法类",Y1385="无法识别"),"低",IF(N1385&lt;2,IF(O1385&lt;51,"低","中"),IF(N1385&lt;6,IF(O1385&lt;20,"低",IF(O1385&lt;51,"中","高")),IF(O1385&lt;20,"中","高")))),"不计算")))</f>
        <v/>
      </c>
      <c r="Q1385" s="172">
        <f>IFERROR(IF(J1385="EI",IF(P1385="低",3,IF(P1385="中",4,6)),IF(J1385="EO",IF(P1385="低",4,IF(P1385="中",5,7)),IF(J1385="EQ",IF(P1385="低",3,IF(P1385="中",4,6)),IF(J1385="ILF",IF(P1385="低",7,IF(P1385="中",10,15)),IF(J1385="EIF",IF(P1385="低",5,IF(P1385="中",7,10)),"不计算")))))*R1385,"不计算")</f>
        <v/>
      </c>
      <c r="R1385" s="172" t="n">
        <v>1</v>
      </c>
      <c r="S1385" s="173">
        <f>调整因子!$F$13</f>
        <v/>
      </c>
      <c r="T1385" s="92" t="n">
        <v>1</v>
      </c>
      <c r="U1385" s="174">
        <f>IFERROR(Q1385*S1385,0)</f>
        <v/>
      </c>
      <c r="V1385" s="178">
        <f>U1385*T1385</f>
        <v/>
      </c>
      <c r="W1385" s="103" t="inlineStr"/>
      <c r="X1385" s="103" t="inlineStr">
        <is>
          <t>数据记录</t>
        </is>
      </c>
      <c r="Y1385" s="97" t="inlineStr">
        <is>
          <t>处置流程定义表{ID、名称、类型|ID、名称、类型、状态、创建时间、更新时间}</t>
        </is>
      </c>
      <c r="Z1385" s="90">
        <f>IF(COUNTIFS(W:W,"*"&amp;I1385&amp;"*")&gt;0,"存在","不存在")</f>
        <v/>
      </c>
      <c r="AA1385" s="90">
        <f>IF(COUNTIFS(AB:AB,"*"&amp;I1385&amp;"*")&gt;0,"存在","不存在")</f>
        <v/>
      </c>
    </row>
    <row r="1386" s="112">
      <c r="A1386" s="72">
        <f>ROW()-1</f>
        <v/>
      </c>
      <c r="B1386" s="175" t="n"/>
      <c r="C1386" s="124" t="n">
        <v>2026</v>
      </c>
      <c r="E1386" s="103" t="n"/>
      <c r="F1386" s="175" t="n"/>
      <c r="G1386" s="175" t="n"/>
      <c r="H1386" s="175" t="n"/>
      <c r="I1386" s="103" t="inlineStr">
        <is>
          <t>编辑处置流程</t>
        </is>
      </c>
      <c r="J1386" s="93" t="inlineStr">
        <is>
          <t>EI</t>
        </is>
      </c>
      <c r="K1386" s="102" t="n"/>
      <c r="L1386" s="102" t="n"/>
      <c r="M1386" s="85">
        <f>IF(OR(Y1386="估算法",Y1386="算法类",Y1386="无法识别"),"",IF(W1386="",IF(OR(J1386="EI",J1386="EO",J1386="EQ"),0,""),LEN(W1386)-LEN(SUBSTITUTE(W1386,"、",""))+1))</f>
        <v/>
      </c>
      <c r="N1386" s="85">
        <f>IF(OR(Y1386="估算法",Y1386="算法类",Y1386="无法识别"),"",IF(X1386="",IF(OR(J1386="ILF",J1386="EIF"),0,""),LEN(X1386)-LEN(SUBSTITUTE(X1386,"、",""))+1))</f>
        <v/>
      </c>
      <c r="O1386" s="85">
        <f>IF(OR(Y1386="估算法",Y1386="算法类",Y1386="无法识别"),"",IF(Y1386="",IF(OR(J1386="ILF",J1386="EIF",J1386="EI",J1386="EO",J1386="EQ"),0,""),LEN(Y1386)-LEN(SUBSTITUTE(SUBSTITUTE(SUBSTITUTE(SUBSTITUTE(SUBSTITUTE(Y1386,"|}","--"),"{|","--"),CHAR(10),""),"、",""),"|",""))+IF(AND(OR(J1386="EI",J1386="EO",J1386="EQ"),$AE$1="NESMA"),2,1)))</f>
        <v/>
      </c>
      <c r="P1386" s="86">
        <f>IF(J1386="EI",IF(OR(Y1386="估算法",Y1386="算法类"),"中",IF(Y1386="无法识别","低",IF(M1386&lt;2,IF(O1386&lt;16,"低","中"),IF(M1386&lt;3,IF(O1386&lt;5,"低",IF(O1386&lt;16,"中","高")),IF(O1386&lt;5,"中","高"))))),IF(OR(J1386="EO",J1386="EQ"),IF(OR(Y1386="估算法",Y1386="算法类"),"中",IF(Y1386="无法识别","低",IF(M1386&lt;2,IF(O1386&lt;20,"低","中"),IF(M1386&lt;4,IF(O1386&lt;6,"低",IF(O1386&lt;20,"中","高")),IF(O1386&lt;6,"中","高"))))),IF(OR(J1386="ILF",J1386="EIF"),IF(OR(Y1386="估算法",Y1386="算法类",Y1386="无法识别"),"低",IF(N1386&lt;2,IF(O1386&lt;51,"低","中"),IF(N1386&lt;6,IF(O1386&lt;20,"低",IF(O1386&lt;51,"中","高")),IF(O1386&lt;20,"中","高")))),"不计算")))</f>
        <v/>
      </c>
      <c r="Q1386" s="172">
        <f>IFERROR(IF(J1386="EI",IF(P1386="低",3,IF(P1386="中",4,6)),IF(J1386="EO",IF(P1386="低",4,IF(P1386="中",5,7)),IF(J1386="EQ",IF(P1386="低",3,IF(P1386="中",4,6)),IF(J1386="ILF",IF(P1386="低",7,IF(P1386="中",10,15)),IF(J1386="EIF",IF(P1386="低",5,IF(P1386="中",7,10)),"不计算")))))*R1386,"不计算")</f>
        <v/>
      </c>
      <c r="R1386" s="172" t="n">
        <v>1</v>
      </c>
      <c r="S1386" s="173">
        <f>调整因子!$F$13</f>
        <v/>
      </c>
      <c r="T1386" s="92" t="n">
        <v>1</v>
      </c>
      <c r="U1386" s="174">
        <f>IFERROR(Q1386*S1386,0)</f>
        <v/>
      </c>
      <c r="V1386" s="178">
        <f>U1386*T1386</f>
        <v/>
      </c>
      <c r="W1386" s="103" t="inlineStr">
        <is>
          <t>模板配置表、推送配置表</t>
        </is>
      </c>
      <c r="X1386" s="103" t="inlineStr"/>
      <c r="Y1386" s="97" t="inlineStr">
        <is>
          <t>模板配置表{配置ID、配置名称、配置类型、配置值、创建时间|配置ID、配置名称、配置类型}
推送配置表{配置ID、配置名称、配置类型、配置值、创建时间|配置ID、配置名称、配置类型}</t>
        </is>
      </c>
      <c r="Z1386" s="90" t="n"/>
      <c r="AA1386" s="90" t="n"/>
    </row>
    <row r="1387" s="112">
      <c r="A1387" s="72">
        <f>ROW()-1</f>
        <v/>
      </c>
      <c r="B1387" s="175" t="n"/>
      <c r="C1387" s="124" t="n">
        <v>2026</v>
      </c>
      <c r="E1387" s="103" t="n"/>
      <c r="F1387" s="175" t="n"/>
      <c r="G1387" s="175" t="n"/>
      <c r="H1387" s="175" t="n"/>
      <c r="I1387" s="103" t="inlineStr">
        <is>
          <t>删除处置流程</t>
        </is>
      </c>
      <c r="J1387" s="93" t="inlineStr">
        <is>
          <t>EI</t>
        </is>
      </c>
      <c r="K1387" s="102" t="n"/>
      <c r="L1387" s="102" t="n"/>
      <c r="M1387" s="85">
        <f>IF(OR(Y1387="估算法",Y1387="算法类",Y1387="无法识别"),"",IF(W1387="",IF(OR(J1387="EI",J1387="EO",J1387="EQ"),0,""),LEN(W1387)-LEN(SUBSTITUTE(W1387,"、",""))+1))</f>
        <v/>
      </c>
      <c r="N1387" s="85">
        <f>IF(OR(Y1387="估算法",Y1387="算法类",Y1387="无法识别"),"",IF(X1387="",IF(OR(J1387="ILF",J1387="EIF"),0,""),LEN(X1387)-LEN(SUBSTITUTE(X1387,"、",""))+1))</f>
        <v/>
      </c>
      <c r="O1387" s="85">
        <f>IF(OR(Y1387="估算法",Y1387="算法类",Y1387="无法识别"),"",IF(Y1387="",IF(OR(J1387="ILF",J1387="EIF",J1387="EI",J1387="EO",J1387="EQ"),0,""),LEN(Y1387)-LEN(SUBSTITUTE(SUBSTITUTE(SUBSTITUTE(SUBSTITUTE(SUBSTITUTE(Y1387,"|}","--"),"{|","--"),CHAR(10),""),"、",""),"|",""))+IF(AND(OR(J1387="EI",J1387="EO",J1387="EQ"),$AE$1="NESMA"),2,1)))</f>
        <v/>
      </c>
      <c r="P1387" s="86">
        <f>IF(J1387="EI",IF(OR(Y1387="估算法",Y1387="算法类"),"中",IF(Y1387="无法识别","低",IF(M1387&lt;2,IF(O1387&lt;16,"低","中"),IF(M1387&lt;3,IF(O1387&lt;5,"低",IF(O1387&lt;16,"中","高")),IF(O1387&lt;5,"中","高"))))),IF(OR(J1387="EO",J1387="EQ"),IF(OR(Y1387="估算法",Y1387="算法类"),"中",IF(Y1387="无法识别","低",IF(M1387&lt;2,IF(O1387&lt;20,"低","中"),IF(M1387&lt;4,IF(O1387&lt;6,"低",IF(O1387&lt;20,"中","高")),IF(O1387&lt;6,"中","高"))))),IF(OR(J1387="ILF",J1387="EIF"),IF(OR(Y1387="估算法",Y1387="算法类",Y1387="无法识别"),"低",IF(N1387&lt;2,IF(O1387&lt;51,"低","中"),IF(N1387&lt;6,IF(O1387&lt;20,"低",IF(O1387&lt;51,"中","高")),IF(O1387&lt;20,"中","高")))),"不计算")))</f>
        <v/>
      </c>
      <c r="Q1387" s="172">
        <f>IFERROR(IF(J1387="EI",IF(P1387="低",3,IF(P1387="中",4,6)),IF(J1387="EO",IF(P1387="低",4,IF(P1387="中",5,7)),IF(J1387="EQ",IF(P1387="低",3,IF(P1387="中",4,6)),IF(J1387="ILF",IF(P1387="低",7,IF(P1387="中",10,15)),IF(J1387="EIF",IF(P1387="低",5,IF(P1387="中",7,10)),"不计算")))))*R1387,"不计算")</f>
        <v/>
      </c>
      <c r="R1387" s="172" t="n">
        <v>0.333333333333333</v>
      </c>
      <c r="S1387" s="173">
        <f>调整因子!$F$13</f>
        <v/>
      </c>
      <c r="T1387" s="93" t="n">
        <v>1</v>
      </c>
      <c r="U1387" s="174">
        <f>IFERROR(Q1387*S1387,0)</f>
        <v/>
      </c>
      <c r="V1387" s="178">
        <f>U1387*T1387</f>
        <v/>
      </c>
      <c r="W1387" s="103" t="inlineStr">
        <is>
          <t>同步失败重试记录表</t>
        </is>
      </c>
      <c r="X1387" s="103" t="inlineStr"/>
      <c r="Y1387" s="97" t="inlineStr">
        <is>
          <t>同步失败重试记录表{ID、名称、类型、状态、创建时间、更新时间|ID、名称、类型}</t>
        </is>
      </c>
      <c r="Z1387" s="90" t="n"/>
      <c r="AA1387" s="90" t="n"/>
    </row>
    <row r="1388" s="112">
      <c r="A1388" s="72">
        <f>ROW()-1</f>
        <v/>
      </c>
      <c r="B1388" s="175" t="n"/>
      <c r="C1388" s="124" t="n">
        <v>2026</v>
      </c>
      <c r="E1388" s="103" t="n"/>
      <c r="F1388" s="175" t="n"/>
      <c r="G1388" s="175" t="n"/>
      <c r="H1388" s="175" t="n"/>
      <c r="I1388" s="103" t="inlineStr">
        <is>
          <t>启用处置流程</t>
        </is>
      </c>
      <c r="J1388" s="93" t="inlineStr">
        <is>
          <t>EI</t>
        </is>
      </c>
      <c r="K1388" s="102" t="n"/>
      <c r="L1388" s="102" t="n"/>
      <c r="M1388" s="85">
        <f>IF(OR(Y1388="估算法",Y1388="算法类",Y1388="无法识别"),"",IF(W1388="",IF(OR(J1388="EI",J1388="EO",J1388="EQ"),0,""),LEN(W1388)-LEN(SUBSTITUTE(W1388,"、",""))+1))</f>
        <v/>
      </c>
      <c r="N1388" s="85">
        <f>IF(OR(Y1388="估算法",Y1388="算法类",Y1388="无法识别"),"",IF(X1388="",IF(OR(J1388="ILF",J1388="EIF"),0,""),LEN(X1388)-LEN(SUBSTITUTE(X1388,"、",""))+1))</f>
        <v/>
      </c>
      <c r="O1388" s="85">
        <f>IF(OR(Y1388="估算法",Y1388="算法类",Y1388="无法识别"),"",IF(Y1388="",IF(OR(J1388="ILF",J1388="EIF",J1388="EI",J1388="EO",J1388="EQ"),0,""),LEN(Y1388)-LEN(SUBSTITUTE(SUBSTITUTE(SUBSTITUTE(SUBSTITUTE(SUBSTITUTE(Y1388,"|}","--"),"{|","--"),CHAR(10),""),"、",""),"|",""))+IF(AND(OR(J1388="EI",J1388="EO",J1388="EQ"),$AE$1="NESMA"),2,1)))</f>
        <v/>
      </c>
      <c r="P1388" s="86">
        <f>IF(J1388="EI",IF(OR(Y1388="估算法",Y1388="算法类"),"中",IF(Y1388="无法识别","低",IF(M1388&lt;2,IF(O1388&lt;16,"低","中"),IF(M1388&lt;3,IF(O1388&lt;5,"低",IF(O1388&lt;16,"中","高")),IF(O1388&lt;5,"中","高"))))),IF(OR(J1388="EO",J1388="EQ"),IF(OR(Y1388="估算法",Y1388="算法类"),"中",IF(Y1388="无法识别","低",IF(M1388&lt;2,IF(O1388&lt;20,"低","中"),IF(M1388&lt;4,IF(O1388&lt;6,"低",IF(O1388&lt;20,"中","高")),IF(O1388&lt;6,"中","高"))))),IF(OR(J1388="ILF",J1388="EIF"),IF(OR(Y1388="估算法",Y1388="算法类",Y1388="无法识别"),"低",IF(N1388&lt;2,IF(O1388&lt;51,"低","中"),IF(N1388&lt;6,IF(O1388&lt;20,"低",IF(O1388&lt;51,"中","高")),IF(O1388&lt;20,"中","高")))),"不计算")))</f>
        <v/>
      </c>
      <c r="Q1388" s="172">
        <f>IFERROR(IF(J1388="EI",IF(P1388="低",3,IF(P1388="中",4,6)),IF(J1388="EO",IF(P1388="低",4,IF(P1388="中",5,7)),IF(J1388="EQ",IF(P1388="低",3,IF(P1388="中",4,6)),IF(J1388="ILF",IF(P1388="低",7,IF(P1388="中",10,15)),IF(J1388="EIF",IF(P1388="低",5,IF(P1388="中",7,10)),"不计算")))))*R1388,"不计算")</f>
        <v/>
      </c>
      <c r="R1388" s="172" t="n">
        <v>1</v>
      </c>
      <c r="S1388" s="173">
        <f>调整因子!$F$13</f>
        <v/>
      </c>
      <c r="T1388" s="92" t="n">
        <v>1</v>
      </c>
      <c r="U1388" s="174">
        <f>IFERROR(Q1388*S1388,0)</f>
        <v/>
      </c>
      <c r="V1388" s="178">
        <f>U1388*T1388</f>
        <v/>
      </c>
      <c r="W1388" s="103" t="inlineStr">
        <is>
          <t>模板配置表</t>
        </is>
      </c>
      <c r="X1388" s="103" t="inlineStr"/>
      <c r="Y1388" s="97" t="inlineStr">
        <is>
          <t>模板配置表{配置ID、配置名称、配置类型、配置值、创建时间|配置ID、配置名称、配置类型}</t>
        </is>
      </c>
      <c r="Z1388" s="90" t="n"/>
      <c r="AA1388" s="90" t="n"/>
    </row>
    <row r="1389" s="112">
      <c r="A1389" s="72">
        <f>ROW()-1</f>
        <v/>
      </c>
      <c r="B1389" s="175" t="n"/>
      <c r="C1389" s="124" t="n">
        <v>2026</v>
      </c>
      <c r="E1389" s="103" t="n"/>
      <c r="F1389" s="175" t="n"/>
      <c r="G1389" s="175" t="n"/>
      <c r="H1389" s="175" t="n"/>
      <c r="I1389" s="103" t="inlineStr">
        <is>
          <t>停用处置流程</t>
        </is>
      </c>
      <c r="J1389" s="93" t="n"/>
      <c r="K1389" s="102" t="n"/>
      <c r="L1389" s="102" t="inlineStr">
        <is>
          <t>和上行合并，启停为相同功能</t>
        </is>
      </c>
      <c r="M1389" s="85">
        <f>IF(OR(Y1389="估算法",Y1389="算法类",Y1389="无法识别"),"",IF(W1389="",IF(OR(J1389="EI",J1389="EO",J1389="EQ"),0,""),LEN(W1389)-LEN(SUBSTITUTE(W1389,"、",""))+1))</f>
        <v/>
      </c>
      <c r="N1389" s="85">
        <f>IF(OR(Y1389="估算法",Y1389="算法类",Y1389="无法识别"),"",IF(X1389="",IF(OR(J1389="ILF",J1389="EIF"),0,""),LEN(X1389)-LEN(SUBSTITUTE(X1389,"、",""))+1))</f>
        <v/>
      </c>
      <c r="O1389" s="85">
        <f>IF(OR(Y1389="估算法",Y1389="算法类",Y1389="无法识别"),"",IF(Y1389="",IF(OR(J1389="ILF",J1389="EIF",J1389="EI",J1389="EO",J1389="EQ"),0,""),LEN(Y1389)-LEN(SUBSTITUTE(SUBSTITUTE(SUBSTITUTE(SUBSTITUTE(SUBSTITUTE(Y1389,"|}","--"),"{|","--"),CHAR(10),""),"、",""),"|",""))+IF(AND(OR(J1389="EI",J1389="EO",J1389="EQ"),$AE$1="NESMA"),2,1)))</f>
        <v/>
      </c>
      <c r="P1389" s="86">
        <f>IF(J1389="EI",IF(OR(Y1389="估算法",Y1389="算法类"),"中",IF(Y1389="无法识别","低",IF(M1389&lt;2,IF(O1389&lt;16,"低","中"),IF(M1389&lt;3,IF(O1389&lt;5,"低",IF(O1389&lt;16,"中","高")),IF(O1389&lt;5,"中","高"))))),IF(OR(J1389="EO",J1389="EQ"),IF(OR(Y1389="估算法",Y1389="算法类"),"中",IF(Y1389="无法识别","低",IF(M1389&lt;2,IF(O1389&lt;20,"低","中"),IF(M1389&lt;4,IF(O1389&lt;6,"低",IF(O1389&lt;20,"中","高")),IF(O1389&lt;6,"中","高"))))),IF(OR(J1389="ILF",J1389="EIF"),IF(OR(Y1389="估算法",Y1389="算法类",Y1389="无法识别"),"低",IF(N1389&lt;2,IF(O1389&lt;51,"低","中"),IF(N1389&lt;6,IF(O1389&lt;20,"低",IF(O1389&lt;51,"中","高")),IF(O1389&lt;20,"中","高")))),"不计算")))</f>
        <v/>
      </c>
      <c r="Q1389" s="172">
        <f>IFERROR(IF(J1389="EI",IF(P1389="低",3,IF(P1389="中",4,6)),IF(J1389="EO",IF(P1389="低",4,IF(P1389="中",5,7)),IF(J1389="EQ",IF(P1389="低",3,IF(P1389="中",4,6)),IF(J1389="ILF",IF(P1389="低",7,IF(P1389="中",10,15)),IF(J1389="EIF",IF(P1389="低",5,IF(P1389="中",7,10)),"不计算")))))*R1389,"不计算")</f>
        <v/>
      </c>
      <c r="R1389" s="172" t="n">
        <v>1</v>
      </c>
      <c r="S1389" s="173">
        <f>调整因子!$F$13</f>
        <v/>
      </c>
      <c r="T1389" s="92" t="n">
        <v>1</v>
      </c>
      <c r="U1389" s="174">
        <f>IFERROR(Q1389*S1389,0)</f>
        <v/>
      </c>
      <c r="V1389" s="178">
        <f>U1389*T1389</f>
        <v/>
      </c>
      <c r="W1389" s="103" t="inlineStr">
        <is>
          <t>报告模板表、推送失败重试表</t>
        </is>
      </c>
      <c r="X1389" s="103" t="inlineStr"/>
      <c r="Y1389" s="97" t="inlineStr">
        <is>
          <t>报告模板表{ID、名称、类型、状态、创建时间、更新时间|ID、名称、类型}
推送失败重试表{ID、名称、类型、状态、创建时间、更新时间|ID、名称、类型}</t>
        </is>
      </c>
      <c r="Z1389" s="90" t="n"/>
      <c r="AA1389" s="90" t="n"/>
    </row>
    <row r="1390" s="112">
      <c r="A1390" s="72">
        <f>ROW()-1</f>
        <v/>
      </c>
      <c r="B1390" s="175" t="n"/>
      <c r="C1390" s="124" t="n">
        <v>2026</v>
      </c>
      <c r="E1390" s="103" t="n"/>
      <c r="F1390" s="175" t="n"/>
      <c r="G1390" s="175" t="n"/>
      <c r="H1390" s="175" t="n"/>
      <c r="I1390" s="103" t="inlineStr">
        <is>
          <t>导出流程配置</t>
        </is>
      </c>
      <c r="J1390" s="93" t="inlineStr">
        <is>
          <t>EO</t>
        </is>
      </c>
      <c r="K1390" s="102" t="n"/>
      <c r="L1390" s="102" t="n"/>
      <c r="M1390" s="85">
        <f>IF(OR(Y1390="估算法",Y1390="算法类",Y1390="无法识别"),"",IF(W1390="",IF(OR(J1390="EI",J1390="EO",J1390="EQ"),0,""),LEN(W1390)-LEN(SUBSTITUTE(W1390,"、",""))+1))</f>
        <v/>
      </c>
      <c r="N1390" s="85">
        <f>IF(OR(Y1390="估算法",Y1390="算法类",Y1390="无法识别"),"",IF(X1390="",IF(OR(J1390="ILF",J1390="EIF"),0,""),LEN(X1390)-LEN(SUBSTITUTE(X1390,"、",""))+1))</f>
        <v/>
      </c>
      <c r="O1390" s="85">
        <f>IF(OR(Y1390="估算法",Y1390="算法类",Y1390="无法识别"),"",IF(Y1390="",IF(OR(J1390="ILF",J1390="EIF",J1390="EI",J1390="EO",J1390="EQ"),0,""),LEN(Y1390)-LEN(SUBSTITUTE(SUBSTITUTE(SUBSTITUTE(SUBSTITUTE(SUBSTITUTE(Y1390,"|}","--"),"{|","--"),CHAR(10),""),"、",""),"|",""))+IF(AND(OR(J1390="EI",J1390="EO",J1390="EQ"),$AE$1="NESMA"),2,1)))</f>
        <v/>
      </c>
      <c r="P1390" s="86">
        <f>IF(J1390="EI",IF(OR(Y1390="估算法",Y1390="算法类"),"中",IF(Y1390="无法识别","低",IF(M1390&lt;2,IF(O1390&lt;16,"低","中"),IF(M1390&lt;3,IF(O1390&lt;5,"低",IF(O1390&lt;16,"中","高")),IF(O1390&lt;5,"中","高"))))),IF(OR(J1390="EO",J1390="EQ"),IF(OR(Y1390="估算法",Y1390="算法类"),"中",IF(Y1390="无法识别","低",IF(M1390&lt;2,IF(O1390&lt;20,"低","中"),IF(M1390&lt;4,IF(O1390&lt;6,"低",IF(O1390&lt;20,"中","高")),IF(O1390&lt;6,"中","高"))))),IF(OR(J1390="ILF",J1390="EIF"),IF(OR(Y1390="估算法",Y1390="算法类",Y1390="无法识别"),"低",IF(N1390&lt;2,IF(O1390&lt;51,"低","中"),IF(N1390&lt;6,IF(O1390&lt;20,"低",IF(O1390&lt;51,"中","高")),IF(O1390&lt;20,"中","高")))),"不计算")))</f>
        <v/>
      </c>
      <c r="Q1390" s="172">
        <f>IFERROR(IF(J1390="EI",IF(P1390="低",3,IF(P1390="中",4,6)),IF(J1390="EO",IF(P1390="低",4,IF(P1390="中",5,7)),IF(J1390="EQ",IF(P1390="低",3,IF(P1390="中",4,6)),IF(J1390="ILF",IF(P1390="低",7,IF(P1390="中",10,15)),IF(J1390="EIF",IF(P1390="低",5,IF(P1390="中",7,10)),"不计算")))))*R1390,"不计算")</f>
        <v/>
      </c>
      <c r="R1390" s="172" t="n">
        <v>1</v>
      </c>
      <c r="S1390" s="173">
        <f>调整因子!$F$13</f>
        <v/>
      </c>
      <c r="T1390" s="93" t="n">
        <v>1</v>
      </c>
      <c r="U1390" s="174">
        <f>IFERROR(Q1390*S1390,0)</f>
        <v/>
      </c>
      <c r="V1390" s="178">
        <f>U1390*T1390</f>
        <v/>
      </c>
      <c r="W1390" s="103" t="inlineStr">
        <is>
          <t>任务优先级配置表、模板参数配置表</t>
        </is>
      </c>
      <c r="X1390" s="103" t="inlineStr"/>
      <c r="Y1390" s="97" t="inlineStr">
        <is>
          <t>任务优先级配置表{任务ID、任务名称|任务ID、任务名称、任务类型、任务状态、创建时间、执行时间}
模板参数配置表{配置ID、配置名称|配置ID、配置名称、配置类型、配置值、创建时间}</t>
        </is>
      </c>
      <c r="Z1390" s="90" t="n"/>
      <c r="AA1390" s="90" t="n"/>
    </row>
    <row r="1391" s="112">
      <c r="A1391" s="72">
        <f>ROW()-1</f>
        <v/>
      </c>
      <c r="B1391" s="175" t="n"/>
      <c r="C1391" s="124" t="n">
        <v>2026</v>
      </c>
      <c r="E1391" s="103" t="n"/>
      <c r="F1391" s="175" t="n"/>
      <c r="G1391" s="175" t="n"/>
      <c r="H1391" s="175" t="n"/>
      <c r="I1391" s="103" t="inlineStr">
        <is>
          <t>查询流程列表</t>
        </is>
      </c>
      <c r="J1391" s="93" t="inlineStr">
        <is>
          <t>EO</t>
        </is>
      </c>
      <c r="K1391" s="102" t="n"/>
      <c r="L1391" s="102" t="n"/>
      <c r="M1391" s="85">
        <f>IF(OR(Y1391="估算法",Y1391="算法类",Y1391="无法识别"),"",IF(W1391="",IF(OR(J1391="EI",J1391="EO",J1391="EQ"),0,""),LEN(W1391)-LEN(SUBSTITUTE(W1391,"、",""))+1))</f>
        <v/>
      </c>
      <c r="N1391" s="85">
        <f>IF(OR(Y1391="估算法",Y1391="算法类",Y1391="无法识别"),"",IF(X1391="",IF(OR(J1391="ILF",J1391="EIF"),0,""),LEN(X1391)-LEN(SUBSTITUTE(X1391,"、",""))+1))</f>
        <v/>
      </c>
      <c r="O1391" s="85">
        <f>IF(OR(Y1391="估算法",Y1391="算法类",Y1391="无法识别"),"",IF(Y1391="",IF(OR(J1391="ILF",J1391="EIF",J1391="EI",J1391="EO",J1391="EQ"),0,""),LEN(Y1391)-LEN(SUBSTITUTE(SUBSTITUTE(SUBSTITUTE(SUBSTITUTE(SUBSTITUTE(Y1391,"|}","--"),"{|","--"),CHAR(10),""),"、",""),"|",""))+IF(AND(OR(J1391="EI",J1391="EO",J1391="EQ"),$AE$1="NESMA"),2,1)))</f>
        <v/>
      </c>
      <c r="P1391" s="86">
        <f>IF(J1391="EI",IF(OR(Y1391="估算法",Y1391="算法类"),"中",IF(Y1391="无法识别","低",IF(M1391&lt;2,IF(O1391&lt;16,"低","中"),IF(M1391&lt;3,IF(O1391&lt;5,"低",IF(O1391&lt;16,"中","高")),IF(O1391&lt;5,"中","高"))))),IF(OR(J1391="EO",J1391="EQ"),IF(OR(Y1391="估算法",Y1391="算法类"),"中",IF(Y1391="无法识别","低",IF(M1391&lt;2,IF(O1391&lt;20,"低","中"),IF(M1391&lt;4,IF(O1391&lt;6,"低",IF(O1391&lt;20,"中","高")),IF(O1391&lt;6,"中","高"))))),IF(OR(J1391="ILF",J1391="EIF"),IF(OR(Y1391="估算法",Y1391="算法类",Y1391="无法识别"),"低",IF(N1391&lt;2,IF(O1391&lt;51,"低","中"),IF(N1391&lt;6,IF(O1391&lt;20,"低",IF(O1391&lt;51,"中","高")),IF(O1391&lt;20,"中","高")))),"不计算")))</f>
        <v/>
      </c>
      <c r="Q1391" s="172">
        <f>IFERROR(IF(J1391="EI",IF(P1391="低",3,IF(P1391="中",4,6)),IF(J1391="EO",IF(P1391="低",4,IF(P1391="中",5,7)),IF(J1391="EQ",IF(P1391="低",3,IF(P1391="中",4,6)),IF(J1391="ILF",IF(P1391="低",7,IF(P1391="中",10,15)),IF(J1391="EIF",IF(P1391="低",5,IF(P1391="中",7,10)),"不计算")))))*R1391,"不计算")</f>
        <v/>
      </c>
      <c r="R1391" s="172" t="n">
        <v>1</v>
      </c>
      <c r="S1391" s="173">
        <f>调整因子!$F$13</f>
        <v/>
      </c>
      <c r="T1391" s="93" t="n">
        <v>1</v>
      </c>
      <c r="U1391" s="174">
        <f>IFERROR(Q1391*S1391,0)</f>
        <v/>
      </c>
      <c r="V1391" s="178">
        <f>U1391*T1391</f>
        <v/>
      </c>
      <c r="W1391" s="103" t="inlineStr">
        <is>
          <t>提醒规则表</t>
        </is>
      </c>
      <c r="X1391" s="103" t="inlineStr"/>
      <c r="Y1391" s="97" t="inlineStr">
        <is>
          <t>提醒规则表{规则ID、规则名称|规则ID、规则名称、规则类型、规则条件、创建时间}</t>
        </is>
      </c>
      <c r="Z1391" s="90" t="n"/>
      <c r="AA1391" s="90" t="n"/>
    </row>
    <row r="1392" s="112">
      <c r="A1392" s="72">
        <f>ROW()-1</f>
        <v/>
      </c>
      <c r="B1392" s="175" t="n"/>
      <c r="C1392" s="124" t="n">
        <v>2026</v>
      </c>
      <c r="E1392" s="103" t="n"/>
      <c r="F1392" s="175" t="n"/>
      <c r="G1392" s="175" t="n"/>
      <c r="H1392" s="176" t="n"/>
      <c r="I1392" s="103" t="inlineStr">
        <is>
          <t>查看流程详情</t>
        </is>
      </c>
      <c r="J1392" s="93" t="inlineStr">
        <is>
          <t>EQ</t>
        </is>
      </c>
      <c r="K1392" s="102" t="n"/>
      <c r="L1392" s="102" t="n"/>
      <c r="M1392" s="85">
        <f>IF(OR(Y1392="估算法",Y1392="算法类",Y1392="无法识别"),"",IF(W1392="",IF(OR(J1392="EI",J1392="EO",J1392="EQ"),0,""),LEN(W1392)-LEN(SUBSTITUTE(W1392,"、",""))+1))</f>
        <v/>
      </c>
      <c r="N1392" s="85">
        <f>IF(OR(Y1392="估算法",Y1392="算法类",Y1392="无法识别"),"",IF(X1392="",IF(OR(J1392="ILF",J1392="EIF"),0,""),LEN(X1392)-LEN(SUBSTITUTE(X1392,"、",""))+1))</f>
        <v/>
      </c>
      <c r="O1392" s="85">
        <f>IF(OR(Y1392="估算法",Y1392="算法类",Y1392="无法识别"),"",IF(Y1392="",IF(OR(J1392="ILF",J1392="EIF",J1392="EI",J1392="EO",J1392="EQ"),0,""),LEN(Y1392)-LEN(SUBSTITUTE(SUBSTITUTE(SUBSTITUTE(SUBSTITUTE(SUBSTITUTE(Y1392,"|}","--"),"{|","--"),CHAR(10),""),"、",""),"|",""))+IF(AND(OR(J1392="EI",J1392="EO",J1392="EQ"),$AE$1="NESMA"),2,1)))</f>
        <v/>
      </c>
      <c r="P1392" s="86">
        <f>IF(J1392="EI",IF(OR(Y1392="估算法",Y1392="算法类"),"中",IF(Y1392="无法识别","低",IF(M1392&lt;2,IF(O1392&lt;16,"低","中"),IF(M1392&lt;3,IF(O1392&lt;5,"低",IF(O1392&lt;16,"中","高")),IF(O1392&lt;5,"中","高"))))),IF(OR(J1392="EO",J1392="EQ"),IF(OR(Y1392="估算法",Y1392="算法类"),"中",IF(Y1392="无法识别","低",IF(M1392&lt;2,IF(O1392&lt;20,"低","中"),IF(M1392&lt;4,IF(O1392&lt;6,"低",IF(O1392&lt;20,"中","高")),IF(O1392&lt;6,"中","高"))))),IF(OR(J1392="ILF",J1392="EIF"),IF(OR(Y1392="估算法",Y1392="算法类",Y1392="无法识别"),"低",IF(N1392&lt;2,IF(O1392&lt;51,"低","中"),IF(N1392&lt;6,IF(O1392&lt;20,"低",IF(O1392&lt;51,"中","高")),IF(O1392&lt;20,"中","高")))),"不计算")))</f>
        <v/>
      </c>
      <c r="Q1392" s="172">
        <f>IFERROR(IF(J1392="EI",IF(P1392="低",3,IF(P1392="中",4,6)),IF(J1392="EO",IF(P1392="低",4,IF(P1392="中",5,7)),IF(J1392="EQ",IF(P1392="低",3,IF(P1392="中",4,6)),IF(J1392="ILF",IF(P1392="低",7,IF(P1392="中",10,15)),IF(J1392="EIF",IF(P1392="低",5,IF(P1392="中",7,10)),"不计算")))))*R1392,"不计算")</f>
        <v/>
      </c>
      <c r="R1392" s="172" t="n">
        <v>1</v>
      </c>
      <c r="S1392" s="173">
        <f>调整因子!$F$13</f>
        <v/>
      </c>
      <c r="T1392" s="92" t="n">
        <v>1</v>
      </c>
      <c r="U1392" s="174">
        <f>IFERROR(Q1392*S1392,0)</f>
        <v/>
      </c>
      <c r="V1392" s="178">
        <f>U1392*T1392</f>
        <v/>
      </c>
      <c r="W1392" s="103" t="inlineStr">
        <is>
          <t>验证配置表</t>
        </is>
      </c>
      <c r="X1392" s="103" t="inlineStr"/>
      <c r="Y1392" s="97" t="inlineStr">
        <is>
          <t>验证配置表{配置ID、配置名称|配置ID、配置名称、配置类型、配置值、创建时间}</t>
        </is>
      </c>
      <c r="Z1392" s="90" t="n"/>
      <c r="AA1392" s="90" t="n"/>
    </row>
    <row r="1393" s="112">
      <c r="A1393" s="72">
        <f>ROW()-1</f>
        <v/>
      </c>
      <c r="B1393" s="175" t="n"/>
      <c r="C1393" s="124" t="n">
        <v>2026</v>
      </c>
      <c r="E1393" s="103" t="n"/>
      <c r="F1393" s="175" t="n"/>
      <c r="G1393" s="175" t="n"/>
      <c r="H1393" s="97" t="inlineStr">
        <is>
          <t>处置流程监控管理</t>
        </is>
      </c>
      <c r="I1393" s="103" t="inlineStr">
        <is>
          <t>推送流程告警</t>
        </is>
      </c>
      <c r="J1393" s="93" t="inlineStr">
        <is>
          <t>EO</t>
        </is>
      </c>
      <c r="K1393" s="102" t="n"/>
      <c r="L1393" s="102" t="n"/>
      <c r="M1393" s="85">
        <f>IF(OR(Y1393="估算法",Y1393="算法类",Y1393="无法识别"),"",IF(W1393="",IF(OR(J1393="EI",J1393="EO",J1393="EQ"),0,""),LEN(W1393)-LEN(SUBSTITUTE(W1393,"、",""))+1))</f>
        <v/>
      </c>
      <c r="N1393" s="85">
        <f>IF(OR(Y1393="估算法",Y1393="算法类",Y1393="无法识别"),"",IF(X1393="",IF(OR(J1393="ILF",J1393="EIF"),0,""),LEN(X1393)-LEN(SUBSTITUTE(X1393,"、",""))+1))</f>
        <v/>
      </c>
      <c r="O1393" s="85">
        <f>IF(OR(Y1393="估算法",Y1393="算法类",Y1393="无法识别"),"",IF(Y1393="",IF(OR(J1393="ILF",J1393="EIF",J1393="EI",J1393="EO",J1393="EQ"),0,""),LEN(Y1393)-LEN(SUBSTITUTE(SUBSTITUTE(SUBSTITUTE(SUBSTITUTE(SUBSTITUTE(Y1393,"|}","--"),"{|","--"),CHAR(10),""),"、",""),"|",""))+IF(AND(OR(J1393="EI",J1393="EO",J1393="EQ"),$AE$1="NESMA"),2,1)))</f>
        <v/>
      </c>
      <c r="P1393" s="86">
        <f>IF(J1393="EI",IF(OR(Y1393="估算法",Y1393="算法类"),"中",IF(Y1393="无法识别","低",IF(M1393&lt;2,IF(O1393&lt;16,"低","中"),IF(M1393&lt;3,IF(O1393&lt;5,"低",IF(O1393&lt;16,"中","高")),IF(O1393&lt;5,"中","高"))))),IF(OR(J1393="EO",J1393="EQ"),IF(OR(Y1393="估算法",Y1393="算法类"),"中",IF(Y1393="无法识别","低",IF(M1393&lt;2,IF(O1393&lt;20,"低","中"),IF(M1393&lt;4,IF(O1393&lt;6,"低",IF(O1393&lt;20,"中","高")),IF(O1393&lt;6,"中","高"))))),IF(OR(J1393="ILF",J1393="EIF"),IF(OR(Y1393="估算法",Y1393="算法类",Y1393="无法识别"),"低",IF(N1393&lt;2,IF(O1393&lt;51,"低","中"),IF(N1393&lt;6,IF(O1393&lt;20,"低",IF(O1393&lt;51,"中","高")),IF(O1393&lt;20,"中","高")))),"不计算")))</f>
        <v/>
      </c>
      <c r="Q1393" s="172">
        <f>IFERROR(IF(J1393="EI",IF(P1393="低",3,IF(P1393="中",4,6)),IF(J1393="EO",IF(P1393="低",4,IF(P1393="中",5,7)),IF(J1393="EQ",IF(P1393="低",3,IF(P1393="中",4,6)),IF(J1393="ILF",IF(P1393="低",7,IF(P1393="中",10,15)),IF(J1393="EIF",IF(P1393="低",5,IF(P1393="中",7,10)),"不计算")))))*R1393,"不计算")</f>
        <v/>
      </c>
      <c r="R1393" s="172" t="n">
        <v>1</v>
      </c>
      <c r="S1393" s="173">
        <f>调整因子!$F$13</f>
        <v/>
      </c>
      <c r="T1393" s="92" t="n">
        <v>1</v>
      </c>
      <c r="U1393" s="174">
        <f>IFERROR(Q1393*S1393,0)</f>
        <v/>
      </c>
      <c r="V1393" s="178">
        <f>U1393*T1393</f>
        <v/>
      </c>
      <c r="W1393" s="103" t="inlineStr">
        <is>
          <t>加密策略表</t>
        </is>
      </c>
      <c r="X1393" s="103" t="inlineStr"/>
      <c r="Y1393" s="97" t="inlineStr">
        <is>
          <t>加密策略表{策略ID、策略名称|策略ID、策略名称、策略类型、策略内容、生效时间}</t>
        </is>
      </c>
      <c r="Z1393" s="90" t="n"/>
      <c r="AA1393" s="90" t="n"/>
    </row>
    <row r="1394" s="112">
      <c r="A1394" s="72">
        <f>ROW()-1</f>
        <v/>
      </c>
      <c r="B1394" s="175" t="n"/>
      <c r="C1394" s="124" t="n">
        <v>2026</v>
      </c>
      <c r="E1394" s="103" t="n"/>
      <c r="F1394" s="175" t="n"/>
      <c r="G1394" s="175" t="n"/>
      <c r="H1394" s="175" t="n"/>
      <c r="I1394" s="103" t="inlineStr">
        <is>
          <t>导出监控记录</t>
        </is>
      </c>
      <c r="J1394" s="93" t="inlineStr">
        <is>
          <t>EO</t>
        </is>
      </c>
      <c r="K1394" s="102" t="n"/>
      <c r="L1394" s="102" t="n"/>
      <c r="M1394" s="85">
        <f>IF(OR(Y1394="估算法",Y1394="算法类",Y1394="无法识别"),"",IF(W1394="",IF(OR(J1394="EI",J1394="EO",J1394="EQ"),0,""),LEN(W1394)-LEN(SUBSTITUTE(W1394,"、",""))+1))</f>
        <v/>
      </c>
      <c r="N1394" s="85">
        <f>IF(OR(Y1394="估算法",Y1394="算法类",Y1394="无法识别"),"",IF(X1394="",IF(OR(J1394="ILF",J1394="EIF"),0,""),LEN(X1394)-LEN(SUBSTITUTE(X1394,"、",""))+1))</f>
        <v/>
      </c>
      <c r="O1394" s="85">
        <f>IF(OR(Y1394="估算法",Y1394="算法类",Y1394="无法识别"),"",IF(Y1394="",IF(OR(J1394="ILF",J1394="EIF",J1394="EI",J1394="EO",J1394="EQ"),0,""),LEN(Y1394)-LEN(SUBSTITUTE(SUBSTITUTE(SUBSTITUTE(SUBSTITUTE(SUBSTITUTE(Y1394,"|}","--"),"{|","--"),CHAR(10),""),"、",""),"|",""))+IF(AND(OR(J1394="EI",J1394="EO",J1394="EQ"),$AE$1="NESMA"),2,1)))</f>
        <v/>
      </c>
      <c r="P1394" s="86">
        <f>IF(J1394="EI",IF(OR(Y1394="估算法",Y1394="算法类"),"中",IF(Y1394="无法识别","低",IF(M1394&lt;2,IF(O1394&lt;16,"低","中"),IF(M1394&lt;3,IF(O1394&lt;5,"低",IF(O1394&lt;16,"中","高")),IF(O1394&lt;5,"中","高"))))),IF(OR(J1394="EO",J1394="EQ"),IF(OR(Y1394="估算法",Y1394="算法类"),"中",IF(Y1394="无法识别","低",IF(M1394&lt;2,IF(O1394&lt;20,"低","中"),IF(M1394&lt;4,IF(O1394&lt;6,"低",IF(O1394&lt;20,"中","高")),IF(O1394&lt;6,"中","高"))))),IF(OR(J1394="ILF",J1394="EIF"),IF(OR(Y1394="估算法",Y1394="算法类",Y1394="无法识别"),"低",IF(N1394&lt;2,IF(O1394&lt;51,"低","中"),IF(N1394&lt;6,IF(O1394&lt;20,"低",IF(O1394&lt;51,"中","高")),IF(O1394&lt;20,"中","高")))),"不计算")))</f>
        <v/>
      </c>
      <c r="Q1394" s="172">
        <f>IFERROR(IF(J1394="EI",IF(P1394="低",3,IF(P1394="中",4,6)),IF(J1394="EO",IF(P1394="低",4,IF(P1394="中",5,7)),IF(J1394="EQ",IF(P1394="低",3,IF(P1394="中",4,6)),IF(J1394="ILF",IF(P1394="低",7,IF(P1394="中",10,15)),IF(J1394="EIF",IF(P1394="低",5,IF(P1394="中",7,10)),"不计算")))))*R1394,"不计算")</f>
        <v/>
      </c>
      <c r="R1394" s="172" t="n">
        <v>1</v>
      </c>
      <c r="S1394" s="173">
        <f>调整因子!$F$13</f>
        <v/>
      </c>
      <c r="T1394" s="93" t="n">
        <v>1</v>
      </c>
      <c r="U1394" s="174">
        <f>IFERROR(Q1394*S1394,0)</f>
        <v/>
      </c>
      <c r="V1394" s="178">
        <f>U1394*T1394</f>
        <v/>
      </c>
      <c r="W1394" s="103" t="inlineStr">
        <is>
          <t>采集任务配置表、修复步骤表</t>
        </is>
      </c>
      <c r="X1394" s="103" t="inlineStr"/>
      <c r="Y1394" s="97" t="inlineStr">
        <is>
          <t>采集任务配置表{任务ID、任务名称|任务ID、任务名称、任务类型、任务状态、创建时间、执行时间}
修复步骤表{ID、名称|ID、名称、类型、状态、创建时间、更新时间}</t>
        </is>
      </c>
      <c r="Z1394" s="90" t="n"/>
      <c r="AA1394" s="90" t="n"/>
    </row>
    <row r="1395" s="112">
      <c r="A1395" s="72">
        <f>ROW()-1</f>
        <v/>
      </c>
      <c r="B1395" s="175" t="n"/>
      <c r="C1395" s="124" t="n">
        <v>2026</v>
      </c>
      <c r="E1395" s="103" t="n"/>
      <c r="F1395" s="175" t="n"/>
      <c r="G1395" s="175" t="n"/>
      <c r="H1395" s="175" t="n"/>
      <c r="I1395" s="103" t="inlineStr">
        <is>
          <t>查询流程状态</t>
        </is>
      </c>
      <c r="J1395" s="93" t="inlineStr">
        <is>
          <t>EQ</t>
        </is>
      </c>
      <c r="K1395" s="102" t="n"/>
      <c r="L1395" s="102" t="n"/>
      <c r="M1395" s="85">
        <f>IF(OR(Y1395="估算法",Y1395="算法类",Y1395="无法识别"),"",IF(W1395="",IF(OR(J1395="EI",J1395="EO",J1395="EQ"),0,""),LEN(W1395)-LEN(SUBSTITUTE(W1395,"、",""))+1))</f>
        <v/>
      </c>
      <c r="N1395" s="85">
        <f>IF(OR(Y1395="估算法",Y1395="算法类",Y1395="无法识别"),"",IF(X1395="",IF(OR(J1395="ILF",J1395="EIF"),0,""),LEN(X1395)-LEN(SUBSTITUTE(X1395,"、",""))+1))</f>
        <v/>
      </c>
      <c r="O1395" s="85">
        <f>IF(OR(Y1395="估算法",Y1395="算法类",Y1395="无法识别"),"",IF(Y1395="",IF(OR(J1395="ILF",J1395="EIF",J1395="EI",J1395="EO",J1395="EQ"),0,""),LEN(Y1395)-LEN(SUBSTITUTE(SUBSTITUTE(SUBSTITUTE(SUBSTITUTE(SUBSTITUTE(Y1395,"|}","--"),"{|","--"),CHAR(10),""),"、",""),"|",""))+IF(AND(OR(J1395="EI",J1395="EO",J1395="EQ"),$AE$1="NESMA"),2,1)))</f>
        <v/>
      </c>
      <c r="P1395" s="86">
        <f>IF(J1395="EI",IF(OR(Y1395="估算法",Y1395="算法类"),"中",IF(Y1395="无法识别","低",IF(M1395&lt;2,IF(O1395&lt;16,"低","中"),IF(M1395&lt;3,IF(O1395&lt;5,"低",IF(O1395&lt;16,"中","高")),IF(O1395&lt;5,"中","高"))))),IF(OR(J1395="EO",J1395="EQ"),IF(OR(Y1395="估算法",Y1395="算法类"),"中",IF(Y1395="无法识别","低",IF(M1395&lt;2,IF(O1395&lt;20,"低","中"),IF(M1395&lt;4,IF(O1395&lt;6,"低",IF(O1395&lt;20,"中","高")),IF(O1395&lt;6,"中","高"))))),IF(OR(J1395="ILF",J1395="EIF"),IF(OR(Y1395="估算法",Y1395="算法类",Y1395="无法识别"),"低",IF(N1395&lt;2,IF(O1395&lt;51,"低","中"),IF(N1395&lt;6,IF(O1395&lt;20,"低",IF(O1395&lt;51,"中","高")),IF(O1395&lt;20,"中","高")))),"不计算")))</f>
        <v/>
      </c>
      <c r="Q1395" s="172">
        <f>IFERROR(IF(J1395="EI",IF(P1395="低",3,IF(P1395="中",4,6)),IF(J1395="EO",IF(P1395="低",4,IF(P1395="中",5,7)),IF(J1395="EQ",IF(P1395="低",3,IF(P1395="中",4,6)),IF(J1395="ILF",IF(P1395="低",7,IF(P1395="中",10,15)),IF(J1395="EIF",IF(P1395="低",5,IF(P1395="中",7,10)),"不计算")))))*R1395,"不计算")</f>
        <v/>
      </c>
      <c r="R1395" s="172" t="n">
        <v>1</v>
      </c>
      <c r="S1395" s="173">
        <f>调整因子!$F$13</f>
        <v/>
      </c>
      <c r="T1395" s="92" t="n">
        <v>1</v>
      </c>
      <c r="U1395" s="174">
        <f>IFERROR(Q1395*S1395,0)</f>
        <v/>
      </c>
      <c r="V1395" s="178">
        <f>U1395*T1395</f>
        <v/>
      </c>
      <c r="W1395" s="103" t="inlineStr">
        <is>
          <t>报表模板表</t>
        </is>
      </c>
      <c r="X1395" s="103" t="inlineStr"/>
      <c r="Y1395" s="97" t="inlineStr">
        <is>
          <t>报表模板表{报表ID、报表名称|报表ID、报表名称、报表类型、生成时间、报表内容}</t>
        </is>
      </c>
      <c r="Z1395" s="90" t="n"/>
      <c r="AA1395" s="90" t="n"/>
    </row>
    <row r="1396" s="112">
      <c r="A1396" s="72">
        <f>ROW()-1</f>
        <v/>
      </c>
      <c r="B1396" s="175" t="n"/>
      <c r="C1396" s="124" t="n">
        <v>2026</v>
      </c>
      <c r="E1396" s="103" t="n"/>
      <c r="F1396" s="175" t="n"/>
      <c r="G1396" s="175" t="n"/>
      <c r="H1396" s="176" t="n"/>
      <c r="I1396" s="103" t="inlineStr">
        <is>
          <t>查看执行记录</t>
        </is>
      </c>
      <c r="J1396" s="93" t="inlineStr">
        <is>
          <t>EQ</t>
        </is>
      </c>
      <c r="K1396" s="102" t="n"/>
      <c r="L1396" s="102" t="n"/>
      <c r="M1396" s="85">
        <f>IF(OR(Y1396="估算法",Y1396="算法类",Y1396="无法识别"),"",IF(W1396="",IF(OR(J1396="EI",J1396="EO",J1396="EQ"),0,""),LEN(W1396)-LEN(SUBSTITUTE(W1396,"、",""))+1))</f>
        <v/>
      </c>
      <c r="N1396" s="85">
        <f>IF(OR(Y1396="估算法",Y1396="算法类",Y1396="无法识别"),"",IF(X1396="",IF(OR(J1396="ILF",J1396="EIF"),0,""),LEN(X1396)-LEN(SUBSTITUTE(X1396,"、",""))+1))</f>
        <v/>
      </c>
      <c r="O1396" s="85">
        <f>IF(OR(Y1396="估算法",Y1396="算法类",Y1396="无法识别"),"",IF(Y1396="",IF(OR(J1396="ILF",J1396="EIF",J1396="EI",J1396="EO",J1396="EQ"),0,""),LEN(Y1396)-LEN(SUBSTITUTE(SUBSTITUTE(SUBSTITUTE(SUBSTITUTE(SUBSTITUTE(Y1396,"|}","--"),"{|","--"),CHAR(10),""),"、",""),"|",""))+IF(AND(OR(J1396="EI",J1396="EO",J1396="EQ"),$AE$1="NESMA"),2,1)))</f>
        <v/>
      </c>
      <c r="P1396" s="86">
        <f>IF(J1396="EI",IF(OR(Y1396="估算法",Y1396="算法类"),"中",IF(Y1396="无法识别","低",IF(M1396&lt;2,IF(O1396&lt;16,"低","中"),IF(M1396&lt;3,IF(O1396&lt;5,"低",IF(O1396&lt;16,"中","高")),IF(O1396&lt;5,"中","高"))))),IF(OR(J1396="EO",J1396="EQ"),IF(OR(Y1396="估算法",Y1396="算法类"),"中",IF(Y1396="无法识别","低",IF(M1396&lt;2,IF(O1396&lt;20,"低","中"),IF(M1396&lt;4,IF(O1396&lt;6,"低",IF(O1396&lt;20,"中","高")),IF(O1396&lt;6,"中","高"))))),IF(OR(J1396="ILF",J1396="EIF"),IF(OR(Y1396="估算法",Y1396="算法类",Y1396="无法识别"),"低",IF(N1396&lt;2,IF(O1396&lt;51,"低","中"),IF(N1396&lt;6,IF(O1396&lt;20,"低",IF(O1396&lt;51,"中","高")),IF(O1396&lt;20,"中","高")))),"不计算")))</f>
        <v/>
      </c>
      <c r="Q1396" s="172">
        <f>IFERROR(IF(J1396="EI",IF(P1396="低",3,IF(P1396="中",4,6)),IF(J1396="EO",IF(P1396="低",4,IF(P1396="中",5,7)),IF(J1396="EQ",IF(P1396="低",3,IF(P1396="中",4,6)),IF(J1396="ILF",IF(P1396="低",7,IF(P1396="中",10,15)),IF(J1396="EIF",IF(P1396="低",5,IF(P1396="中",7,10)),"不计算")))))*R1396,"不计算")</f>
        <v/>
      </c>
      <c r="R1396" s="172" t="n">
        <v>1</v>
      </c>
      <c r="S1396" s="173">
        <f>调整因子!$F$13</f>
        <v/>
      </c>
      <c r="T1396" s="92" t="n">
        <v>1</v>
      </c>
      <c r="U1396" s="174">
        <f>IFERROR(Q1396*S1396,0)</f>
        <v/>
      </c>
      <c r="V1396" s="178">
        <f>U1396*T1396</f>
        <v/>
      </c>
      <c r="W1396" s="103" t="inlineStr">
        <is>
          <t>扫描任务接口配置表、模板参数配置表</t>
        </is>
      </c>
      <c r="X1396" s="103" t="inlineStr"/>
      <c r="Y1396" s="97" t="inlineStr">
        <is>
          <t>扫描任务接口配置表{任务ID、任务名称|任务ID、任务名称、任务状态、扫描器类型、开始时间、结束时间、扫描结果}
模板参数配置表{配置ID、配置名称|配置ID、配置名称、配置类型、配置值、创建时间}</t>
        </is>
      </c>
      <c r="Z1396" s="90" t="n"/>
      <c r="AA1396" s="90" t="n"/>
    </row>
    <row r="1397" s="112">
      <c r="A1397" s="72">
        <f>ROW()-1</f>
        <v/>
      </c>
      <c r="B1397" s="175" t="n"/>
      <c r="C1397" s="124" t="n">
        <v>2026</v>
      </c>
      <c r="E1397" s="103" t="n"/>
      <c r="F1397" s="175" t="n"/>
      <c r="G1397" s="175" t="n"/>
      <c r="H1397" s="97" t="inlineStr">
        <is>
          <t>处置流程优化管理</t>
        </is>
      </c>
      <c r="I1397" s="103" t="inlineStr">
        <is>
          <t>导出优化报告</t>
        </is>
      </c>
      <c r="J1397" s="93" t="inlineStr">
        <is>
          <t>EO</t>
        </is>
      </c>
      <c r="K1397" s="102" t="n"/>
      <c r="L1397" s="102" t="n"/>
      <c r="M1397" s="85">
        <f>IF(OR(Y1397="估算法",Y1397="算法类",Y1397="无法识别"),"",IF(W1397="",IF(OR(J1397="EI",J1397="EO",J1397="EQ"),0,""),LEN(W1397)-LEN(SUBSTITUTE(W1397,"、",""))+1))</f>
        <v/>
      </c>
      <c r="N1397" s="85">
        <f>IF(OR(Y1397="估算法",Y1397="算法类",Y1397="无法识别"),"",IF(X1397="",IF(OR(J1397="ILF",J1397="EIF"),0,""),LEN(X1397)-LEN(SUBSTITUTE(X1397,"、",""))+1))</f>
        <v/>
      </c>
      <c r="O1397" s="85">
        <f>IF(OR(Y1397="估算法",Y1397="算法类",Y1397="无法识别"),"",IF(Y1397="",IF(OR(J1397="ILF",J1397="EIF",J1397="EI",J1397="EO",J1397="EQ"),0,""),LEN(Y1397)-LEN(SUBSTITUTE(SUBSTITUTE(SUBSTITUTE(SUBSTITUTE(SUBSTITUTE(Y1397,"|}","--"),"{|","--"),CHAR(10),""),"、",""),"|",""))+IF(AND(OR(J1397="EI",J1397="EO",J1397="EQ"),$AE$1="NESMA"),2,1)))</f>
        <v/>
      </c>
      <c r="P1397" s="86">
        <f>IF(J1397="EI",IF(OR(Y1397="估算法",Y1397="算法类"),"中",IF(Y1397="无法识别","低",IF(M1397&lt;2,IF(O1397&lt;16,"低","中"),IF(M1397&lt;3,IF(O1397&lt;5,"低",IF(O1397&lt;16,"中","高")),IF(O1397&lt;5,"中","高"))))),IF(OR(J1397="EO",J1397="EQ"),IF(OR(Y1397="估算法",Y1397="算法类"),"中",IF(Y1397="无法识别","低",IF(M1397&lt;2,IF(O1397&lt;20,"低","中"),IF(M1397&lt;4,IF(O1397&lt;6,"低",IF(O1397&lt;20,"中","高")),IF(O1397&lt;6,"中","高"))))),IF(OR(J1397="ILF",J1397="EIF"),IF(OR(Y1397="估算法",Y1397="算法类",Y1397="无法识别"),"低",IF(N1397&lt;2,IF(O1397&lt;51,"低","中"),IF(N1397&lt;6,IF(O1397&lt;20,"低",IF(O1397&lt;51,"中","高")),IF(O1397&lt;20,"中","高")))),"不计算")))</f>
        <v/>
      </c>
      <c r="Q1397" s="172">
        <f>IFERROR(IF(J1397="EI",IF(P1397="低",3,IF(P1397="中",4,6)),IF(J1397="EO",IF(P1397="低",4,IF(P1397="中",5,7)),IF(J1397="EQ",IF(P1397="低",3,IF(P1397="中",4,6)),IF(J1397="ILF",IF(P1397="低",7,IF(P1397="中",10,15)),IF(J1397="EIF",IF(P1397="低",5,IF(P1397="中",7,10)),"不计算")))))*R1397,"不计算")</f>
        <v/>
      </c>
      <c r="R1397" s="172" t="n">
        <v>1</v>
      </c>
      <c r="S1397" s="173">
        <f>调整因子!$F$13</f>
        <v/>
      </c>
      <c r="T1397" s="93" t="n">
        <v>1</v>
      </c>
      <c r="U1397" s="174">
        <f>IFERROR(Q1397*S1397,0)</f>
        <v/>
      </c>
      <c r="V1397" s="178">
        <f>U1397*T1397</f>
        <v/>
      </c>
      <c r="W1397" s="103" t="inlineStr">
        <is>
          <t>报表模板表、指标阈值表</t>
        </is>
      </c>
      <c r="X1397" s="103" t="inlineStr"/>
      <c r="Y1397" s="97" t="inlineStr">
        <is>
          <t>报表模板表{报表ID、报表名称|报表ID、报表名称、报表类型、生成时间、报表内容}
指标阈值表{ID、名称|ID、名称、类型、状态、创建时间、更新时间}</t>
        </is>
      </c>
      <c r="Z1397" s="90" t="n"/>
      <c r="AA1397" s="90" t="n"/>
    </row>
    <row r="1398" s="112">
      <c r="A1398" s="72">
        <f>ROW()-1</f>
        <v/>
      </c>
      <c r="B1398" s="175" t="n"/>
      <c r="C1398" s="124" t="n">
        <v>2026</v>
      </c>
      <c r="E1398" s="103" t="n"/>
      <c r="F1398" s="175" t="n"/>
      <c r="G1398" s="175" t="n"/>
      <c r="H1398" s="175" t="n"/>
      <c r="I1398" s="103" t="inlineStr">
        <is>
          <t>下载分析报告</t>
        </is>
      </c>
      <c r="J1398" s="93" t="inlineStr">
        <is>
          <t>EO</t>
        </is>
      </c>
      <c r="K1398" s="102" t="n"/>
      <c r="L1398" s="102" t="n"/>
      <c r="M1398" s="85">
        <f>IF(OR(Y1398="估算法",Y1398="算法类",Y1398="无法识别"),"",IF(W1398="",IF(OR(J1398="EI",J1398="EO",J1398="EQ"),0,""),LEN(W1398)-LEN(SUBSTITUTE(W1398,"、",""))+1))</f>
        <v/>
      </c>
      <c r="N1398" s="85">
        <f>IF(OR(Y1398="估算法",Y1398="算法类",Y1398="无法识别"),"",IF(X1398="",IF(OR(J1398="ILF",J1398="EIF"),0,""),LEN(X1398)-LEN(SUBSTITUTE(X1398,"、",""))+1))</f>
        <v/>
      </c>
      <c r="O1398" s="85">
        <f>IF(OR(Y1398="估算法",Y1398="算法类",Y1398="无法识别"),"",IF(Y1398="",IF(OR(J1398="ILF",J1398="EIF",J1398="EI",J1398="EO",J1398="EQ"),0,""),LEN(Y1398)-LEN(SUBSTITUTE(SUBSTITUTE(SUBSTITUTE(SUBSTITUTE(SUBSTITUTE(Y1398,"|}","--"),"{|","--"),CHAR(10),""),"、",""),"|",""))+IF(AND(OR(J1398="EI",J1398="EO",J1398="EQ"),$AE$1="NESMA"),2,1)))</f>
        <v/>
      </c>
      <c r="P1398" s="86">
        <f>IF(J1398="EI",IF(OR(Y1398="估算法",Y1398="算法类"),"中",IF(Y1398="无法识别","低",IF(M1398&lt;2,IF(O1398&lt;16,"低","中"),IF(M1398&lt;3,IF(O1398&lt;5,"低",IF(O1398&lt;16,"中","高")),IF(O1398&lt;5,"中","高"))))),IF(OR(J1398="EO",J1398="EQ"),IF(OR(Y1398="估算法",Y1398="算法类"),"中",IF(Y1398="无法识别","低",IF(M1398&lt;2,IF(O1398&lt;20,"低","中"),IF(M1398&lt;4,IF(O1398&lt;6,"低",IF(O1398&lt;20,"中","高")),IF(O1398&lt;6,"中","高"))))),IF(OR(J1398="ILF",J1398="EIF"),IF(OR(Y1398="估算法",Y1398="算法类",Y1398="无法识别"),"低",IF(N1398&lt;2,IF(O1398&lt;51,"低","中"),IF(N1398&lt;6,IF(O1398&lt;20,"低",IF(O1398&lt;51,"中","高")),IF(O1398&lt;20,"中","高")))),"不计算")))</f>
        <v/>
      </c>
      <c r="Q1398" s="172">
        <f>IFERROR(IF(J1398="EI",IF(P1398="低",3,IF(P1398="中",4,6)),IF(J1398="EO",IF(P1398="低",4,IF(P1398="中",5,7)),IF(J1398="EQ",IF(P1398="低",3,IF(P1398="中",4,6)),IF(J1398="ILF",IF(P1398="低",7,IF(P1398="中",10,15)),IF(J1398="EIF",IF(P1398="低",5,IF(P1398="中",7,10)),"不计算")))))*R1398,"不计算")</f>
        <v/>
      </c>
      <c r="R1398" s="172" t="n">
        <v>1</v>
      </c>
      <c r="S1398" s="173">
        <f>调整因子!$F$13</f>
        <v/>
      </c>
      <c r="T1398" s="93" t="n">
        <v>1</v>
      </c>
      <c r="U1398" s="174">
        <f>IFERROR(Q1398*S1398,0)</f>
        <v/>
      </c>
      <c r="V1398" s="178">
        <f>U1398*T1398</f>
        <v/>
      </c>
      <c r="W1398" s="103" t="inlineStr">
        <is>
          <t>调用统计表、接口参数表</t>
        </is>
      </c>
      <c r="X1398" s="103" t="inlineStr"/>
      <c r="Y1398" s="97" t="inlineStr">
        <is>
          <t>调用统计表{ID、名称|ID、名称、类型、状态、创建时间、更新时间}
接口参数表{接口ID、接口名称|接口ID、接口名称、接口类型、接口地址、调用时间}</t>
        </is>
      </c>
      <c r="Z1398" s="90" t="n"/>
      <c r="AA1398" s="90" t="n"/>
    </row>
    <row r="1399" s="112">
      <c r="A1399" s="72">
        <f>ROW()-1</f>
        <v/>
      </c>
      <c r="B1399" s="175" t="n"/>
      <c r="C1399" s="124" t="n">
        <v>2026</v>
      </c>
      <c r="E1399" s="103" t="n"/>
      <c r="F1399" s="175" t="n"/>
      <c r="G1399" s="175" t="n"/>
      <c r="H1399" s="175" t="n"/>
      <c r="I1399" s="103" t="inlineStr">
        <is>
          <t>查询优化记录</t>
        </is>
      </c>
      <c r="J1399" s="93" t="inlineStr">
        <is>
          <t>EQ</t>
        </is>
      </c>
      <c r="K1399" s="102" t="n"/>
      <c r="L1399" s="102" t="n"/>
      <c r="M1399" s="85">
        <f>IF(OR(Y1399="估算法",Y1399="算法类",Y1399="无法识别"),"",IF(W1399="",IF(OR(J1399="EI",J1399="EO",J1399="EQ"),0,""),LEN(W1399)-LEN(SUBSTITUTE(W1399,"、",""))+1))</f>
        <v/>
      </c>
      <c r="N1399" s="85">
        <f>IF(OR(Y1399="估算法",Y1399="算法类",Y1399="无法识别"),"",IF(X1399="",IF(OR(J1399="ILF",J1399="EIF"),0,""),LEN(X1399)-LEN(SUBSTITUTE(X1399,"、",""))+1))</f>
        <v/>
      </c>
      <c r="O1399" s="85">
        <f>IF(OR(Y1399="估算法",Y1399="算法类",Y1399="无法识别"),"",IF(Y1399="",IF(OR(J1399="ILF",J1399="EIF",J1399="EI",J1399="EO",J1399="EQ"),0,""),LEN(Y1399)-LEN(SUBSTITUTE(SUBSTITUTE(SUBSTITUTE(SUBSTITUTE(SUBSTITUTE(Y1399,"|}","--"),"{|","--"),CHAR(10),""),"、",""),"|",""))+IF(AND(OR(J1399="EI",J1399="EO",J1399="EQ"),$AE$1="NESMA"),2,1)))</f>
        <v/>
      </c>
      <c r="P1399" s="86">
        <f>IF(J1399="EI",IF(OR(Y1399="估算法",Y1399="算法类"),"中",IF(Y1399="无法识别","低",IF(M1399&lt;2,IF(O1399&lt;16,"低","中"),IF(M1399&lt;3,IF(O1399&lt;5,"低",IF(O1399&lt;16,"中","高")),IF(O1399&lt;5,"中","高"))))),IF(OR(J1399="EO",J1399="EQ"),IF(OR(Y1399="估算法",Y1399="算法类"),"中",IF(Y1399="无法识别","低",IF(M1399&lt;2,IF(O1399&lt;20,"低","中"),IF(M1399&lt;4,IF(O1399&lt;6,"低",IF(O1399&lt;20,"中","高")),IF(O1399&lt;6,"中","高"))))),IF(OR(J1399="ILF",J1399="EIF"),IF(OR(Y1399="估算法",Y1399="算法类",Y1399="无法识别"),"低",IF(N1399&lt;2,IF(O1399&lt;51,"低","中"),IF(N1399&lt;6,IF(O1399&lt;20,"低",IF(O1399&lt;51,"中","高")),IF(O1399&lt;20,"中","高")))),"不计算")))</f>
        <v/>
      </c>
      <c r="Q1399" s="172">
        <f>IFERROR(IF(J1399="EI",IF(P1399="低",3,IF(P1399="中",4,6)),IF(J1399="EO",IF(P1399="低",4,IF(P1399="中",5,7)),IF(J1399="EQ",IF(P1399="低",3,IF(P1399="中",4,6)),IF(J1399="ILF",IF(P1399="低",7,IF(P1399="中",10,15)),IF(J1399="EIF",IF(P1399="低",5,IF(P1399="中",7,10)),"不计算")))))*R1399,"不计算")</f>
        <v/>
      </c>
      <c r="R1399" s="172" t="n">
        <v>1</v>
      </c>
      <c r="S1399" s="173">
        <f>调整因子!$F$13</f>
        <v/>
      </c>
      <c r="T1399" s="92" t="n">
        <v>1</v>
      </c>
      <c r="U1399" s="174">
        <f>IFERROR(Q1399*S1399,0)</f>
        <v/>
      </c>
      <c r="V1399" s="178">
        <f>U1399*T1399</f>
        <v/>
      </c>
      <c r="W1399" s="103" t="inlineStr">
        <is>
          <t>日志采集配置表</t>
        </is>
      </c>
      <c r="X1399" s="103" t="inlineStr"/>
      <c r="Y1399" s="97" t="inlineStr">
        <is>
          <t>日志采集配置表{配置ID、配置名称|配置ID、配置名称、配置类型、配置值、创建时间}</t>
        </is>
      </c>
      <c r="Z1399" s="90" t="n"/>
      <c r="AA1399" s="90" t="n"/>
    </row>
    <row r="1400" s="112">
      <c r="A1400" s="72">
        <f>ROW()-1</f>
        <v/>
      </c>
      <c r="B1400" s="175" t="n"/>
      <c r="C1400" s="124" t="n">
        <v>2026</v>
      </c>
      <c r="E1400" s="103" t="n"/>
      <c r="F1400" s="176" t="n"/>
      <c r="G1400" s="176" t="n"/>
      <c r="H1400" s="176" t="n"/>
      <c r="I1400" s="103" t="inlineStr">
        <is>
          <t>查看优化详情</t>
        </is>
      </c>
      <c r="J1400" s="93" t="inlineStr">
        <is>
          <t>EQ</t>
        </is>
      </c>
      <c r="K1400" s="102" t="n"/>
      <c r="L1400" s="102" t="n"/>
      <c r="M1400" s="85">
        <f>IF(OR(Y1400="估算法",Y1400="算法类",Y1400="无法识别"),"",IF(W1400="",IF(OR(J1400="EI",J1400="EO",J1400="EQ"),0,""),LEN(W1400)-LEN(SUBSTITUTE(W1400,"、",""))+1))</f>
        <v/>
      </c>
      <c r="N1400" s="85">
        <f>IF(OR(Y1400="估算法",Y1400="算法类",Y1400="无法识别"),"",IF(X1400="",IF(OR(J1400="ILF",J1400="EIF"),0,""),LEN(X1400)-LEN(SUBSTITUTE(X1400,"、",""))+1))</f>
        <v/>
      </c>
      <c r="O1400" s="85">
        <f>IF(OR(Y1400="估算法",Y1400="算法类",Y1400="无法识别"),"",IF(Y1400="",IF(OR(J1400="ILF",J1400="EIF",J1400="EI",J1400="EO",J1400="EQ"),0,""),LEN(Y1400)-LEN(SUBSTITUTE(SUBSTITUTE(SUBSTITUTE(SUBSTITUTE(SUBSTITUTE(Y1400,"|}","--"),"{|","--"),CHAR(10),""),"、",""),"|",""))+IF(AND(OR(J1400="EI",J1400="EO",J1400="EQ"),$AE$1="NESMA"),2,1)))</f>
        <v/>
      </c>
      <c r="P1400" s="86">
        <f>IF(J1400="EI",IF(OR(Y1400="估算法",Y1400="算法类"),"中",IF(Y1400="无法识别","低",IF(M1400&lt;2,IF(O1400&lt;16,"低","中"),IF(M1400&lt;3,IF(O1400&lt;5,"低",IF(O1400&lt;16,"中","高")),IF(O1400&lt;5,"中","高"))))),IF(OR(J1400="EO",J1400="EQ"),IF(OR(Y1400="估算法",Y1400="算法类"),"中",IF(Y1400="无法识别","低",IF(M1400&lt;2,IF(O1400&lt;20,"低","中"),IF(M1400&lt;4,IF(O1400&lt;6,"低",IF(O1400&lt;20,"中","高")),IF(O1400&lt;6,"中","高"))))),IF(OR(J1400="ILF",J1400="EIF"),IF(OR(Y1400="估算法",Y1400="算法类",Y1400="无法识别"),"低",IF(N1400&lt;2,IF(O1400&lt;51,"低","中"),IF(N1400&lt;6,IF(O1400&lt;20,"低",IF(O1400&lt;51,"中","高")),IF(O1400&lt;20,"中","高")))),"不计算")))</f>
        <v/>
      </c>
      <c r="Q1400" s="172">
        <f>IFERROR(IF(J1400="EI",IF(P1400="低",3,IF(P1400="中",4,6)),IF(J1400="EO",IF(P1400="低",4,IF(P1400="中",5,7)),IF(J1400="EQ",IF(P1400="低",3,IF(P1400="中",4,6)),IF(J1400="ILF",IF(P1400="低",7,IF(P1400="中",10,15)),IF(J1400="EIF",IF(P1400="低",5,IF(P1400="中",7,10)),"不计算")))))*R1400,"不计算")</f>
        <v/>
      </c>
      <c r="R1400" s="172" t="n">
        <v>1</v>
      </c>
      <c r="S1400" s="173">
        <f>调整因子!$F$13</f>
        <v/>
      </c>
      <c r="T1400" s="92" t="n">
        <v>1</v>
      </c>
      <c r="U1400" s="174">
        <f>IFERROR(Q1400*S1400,0)</f>
        <v/>
      </c>
      <c r="V1400" s="178">
        <f>U1400*T1400</f>
        <v/>
      </c>
      <c r="W1400" s="103" t="inlineStr">
        <is>
          <t>修复步骤表</t>
        </is>
      </c>
      <c r="X1400" s="103" t="inlineStr"/>
      <c r="Y1400" s="97" t="inlineStr">
        <is>
          <t>修复步骤表{ID、名称|ID、名称、类型、状态、创建时间、更新时间}</t>
        </is>
      </c>
      <c r="Z1400" s="90" t="n"/>
      <c r="AA1400" s="90" t="n"/>
    </row>
    <row r="1401" s="112">
      <c r="A1401" s="72">
        <f>ROW()-1</f>
        <v/>
      </c>
      <c r="B1401" s="175" t="n"/>
      <c r="C1401" s="124" t="n">
        <v>2026</v>
      </c>
      <c r="E1401" s="103" t="n"/>
      <c r="F1401" s="97" t="inlineStr">
        <is>
          <t>漏洞治理</t>
        </is>
      </c>
      <c r="G1401" s="97" t="inlineStr">
        <is>
          <t>漏洞威胁等级仲裁引擎</t>
        </is>
      </c>
      <c r="H1401" s="97" t="inlineStr">
        <is>
          <t>态势数据采集管理</t>
        </is>
      </c>
      <c r="I1401" s="103" t="inlineStr">
        <is>
          <t>态势数据采集表</t>
        </is>
      </c>
      <c r="J1401" s="93" t="inlineStr">
        <is>
          <t>ILF</t>
        </is>
      </c>
      <c r="K1401" s="102" t="n"/>
      <c r="L1401" s="102" t="n"/>
      <c r="M1401" s="85">
        <f>IF(OR(Y1401="估算法",Y1401="算法类",Y1401="无法识别"),"",IF(W1401="",IF(OR(J1401="EI",J1401="EO",J1401="EQ"),0,""),LEN(W1401)-LEN(SUBSTITUTE(W1401,"、",""))+1))</f>
        <v/>
      </c>
      <c r="N1401" s="85">
        <f>IF(OR(Y1401="估算法",Y1401="算法类",Y1401="无法识别"),"",IF(X1401="",IF(OR(J1401="ILF",J1401="EIF"),0,""),LEN(X1401)-LEN(SUBSTITUTE(X1401,"、",""))+1))</f>
        <v/>
      </c>
      <c r="O1401" s="85">
        <f>IF(OR(Y1401="估算法",Y1401="算法类",Y1401="无法识别"),"",IF(Y1401="",IF(OR(J1401="ILF",J1401="EIF",J1401="EI",J1401="EO",J1401="EQ"),0,""),LEN(Y1401)-LEN(SUBSTITUTE(SUBSTITUTE(SUBSTITUTE(SUBSTITUTE(SUBSTITUTE(Y1401,"|}","--"),"{|","--"),CHAR(10),""),"、",""),"|",""))+IF(AND(OR(J1401="EI",J1401="EO",J1401="EQ"),$AE$1="NESMA"),2,1)))</f>
        <v/>
      </c>
      <c r="P1401" s="86">
        <f>IF(J1401="EI",IF(OR(Y1401="估算法",Y1401="算法类"),"中",IF(Y1401="无法识别","低",IF(M1401&lt;2,IF(O1401&lt;16,"低","中"),IF(M1401&lt;3,IF(O1401&lt;5,"低",IF(O1401&lt;16,"中","高")),IF(O1401&lt;5,"中","高"))))),IF(OR(J1401="EO",J1401="EQ"),IF(OR(Y1401="估算法",Y1401="算法类"),"中",IF(Y1401="无法识别","低",IF(M1401&lt;2,IF(O1401&lt;20,"低","中"),IF(M1401&lt;4,IF(O1401&lt;6,"低",IF(O1401&lt;20,"中","高")),IF(O1401&lt;6,"中","高"))))),IF(OR(J1401="ILF",J1401="EIF"),IF(OR(Y1401="估算法",Y1401="算法类",Y1401="无法识别"),"低",IF(N1401&lt;2,IF(O1401&lt;51,"低","中"),IF(N1401&lt;6,IF(O1401&lt;20,"低",IF(O1401&lt;51,"中","高")),IF(O1401&lt;20,"中","高")))),"不计算")))</f>
        <v/>
      </c>
      <c r="Q1401" s="172">
        <f>IFERROR(IF(J1401="EI",IF(P1401="低",3,IF(P1401="中",4,6)),IF(J1401="EO",IF(P1401="低",4,IF(P1401="中",5,7)),IF(J1401="EQ",IF(P1401="低",3,IF(P1401="中",4,6)),IF(J1401="ILF",IF(P1401="低",7,IF(P1401="中",10,15)),IF(J1401="EIF",IF(P1401="低",5,IF(P1401="中",7,10)),"不计算")))))*R1401,"不计算")</f>
        <v/>
      </c>
      <c r="R1401" s="172" t="n">
        <v>1</v>
      </c>
      <c r="S1401" s="173">
        <f>调整因子!$F$13</f>
        <v/>
      </c>
      <c r="T1401" s="93" t="n">
        <v>1</v>
      </c>
      <c r="U1401" s="174">
        <f>IFERROR(Q1401*S1401,0)</f>
        <v/>
      </c>
      <c r="V1401" s="178">
        <f>U1401*T1401</f>
        <v/>
      </c>
      <c r="W1401" s="103" t="inlineStr"/>
      <c r="X1401" s="103" t="inlineStr">
        <is>
          <t>数据记录</t>
        </is>
      </c>
      <c r="Y1401" s="97" t="inlineStr">
        <is>
          <t>态势数据采集表{ID、名称、类型|ID、名称、类型、状态、创建时间、更新时间}</t>
        </is>
      </c>
      <c r="Z1401" s="90">
        <f>IF(COUNTIFS(W:W,"*"&amp;I1401&amp;"*")&gt;0,"存在","不存在")</f>
        <v/>
      </c>
      <c r="AA1401" s="90">
        <f>IF(COUNTIFS(AB:AB,"*"&amp;I1401&amp;"*")&gt;0,"存在","不存在")</f>
        <v/>
      </c>
    </row>
    <row r="1402" s="112">
      <c r="A1402" s="72">
        <f>ROW()-1</f>
        <v/>
      </c>
      <c r="B1402" s="175" t="n"/>
      <c r="C1402" s="124" t="n">
        <v>2026</v>
      </c>
      <c r="E1402" s="103" t="n"/>
      <c r="F1402" s="175" t="n"/>
      <c r="G1402" s="175" t="n"/>
      <c r="H1402" s="175" t="n"/>
      <c r="I1402" s="103" t="inlineStr">
        <is>
          <t>采集任务配置表</t>
        </is>
      </c>
      <c r="J1402" s="93" t="inlineStr">
        <is>
          <t>ILF</t>
        </is>
      </c>
      <c r="K1402" s="102" t="n"/>
      <c r="L1402" s="102" t="n"/>
      <c r="M1402" s="85">
        <f>IF(OR(Y1402="估算法",Y1402="算法类",Y1402="无法识别"),"",IF(W1402="",IF(OR(J1402="EI",J1402="EO",J1402="EQ"),0,""),LEN(W1402)-LEN(SUBSTITUTE(W1402,"、",""))+1))</f>
        <v/>
      </c>
      <c r="N1402" s="85">
        <f>IF(OR(Y1402="估算法",Y1402="算法类",Y1402="无法识别"),"",IF(X1402="",IF(OR(J1402="ILF",J1402="EIF"),0,""),LEN(X1402)-LEN(SUBSTITUTE(X1402,"、",""))+1))</f>
        <v/>
      </c>
      <c r="O1402" s="85">
        <f>IF(OR(Y1402="估算法",Y1402="算法类",Y1402="无法识别"),"",IF(Y1402="",IF(OR(J1402="ILF",J1402="EIF",J1402="EI",J1402="EO",J1402="EQ"),0,""),LEN(Y1402)-LEN(SUBSTITUTE(SUBSTITUTE(SUBSTITUTE(SUBSTITUTE(SUBSTITUTE(Y1402,"|}","--"),"{|","--"),CHAR(10),""),"、",""),"|",""))+IF(AND(OR(J1402="EI",J1402="EO",J1402="EQ"),$AE$1="NESMA"),2,1)))</f>
        <v/>
      </c>
      <c r="P1402" s="86">
        <f>IF(J1402="EI",IF(OR(Y1402="估算法",Y1402="算法类"),"中",IF(Y1402="无法识别","低",IF(M1402&lt;2,IF(O1402&lt;16,"低","中"),IF(M1402&lt;3,IF(O1402&lt;5,"低",IF(O1402&lt;16,"中","高")),IF(O1402&lt;5,"中","高"))))),IF(OR(J1402="EO",J1402="EQ"),IF(OR(Y1402="估算法",Y1402="算法类"),"中",IF(Y1402="无法识别","低",IF(M1402&lt;2,IF(O1402&lt;20,"低","中"),IF(M1402&lt;4,IF(O1402&lt;6,"低",IF(O1402&lt;20,"中","高")),IF(O1402&lt;6,"中","高"))))),IF(OR(J1402="ILF",J1402="EIF"),IF(OR(Y1402="估算法",Y1402="算法类",Y1402="无法识别"),"低",IF(N1402&lt;2,IF(O1402&lt;51,"低","中"),IF(N1402&lt;6,IF(O1402&lt;20,"低",IF(O1402&lt;51,"中","高")),IF(O1402&lt;20,"中","高")))),"不计算")))</f>
        <v/>
      </c>
      <c r="Q1402" s="172">
        <f>IFERROR(IF(J1402="EI",IF(P1402="低",3,IF(P1402="中",4,6)),IF(J1402="EO",IF(P1402="低",4,IF(P1402="中",5,7)),IF(J1402="EQ",IF(P1402="低",3,IF(P1402="中",4,6)),IF(J1402="ILF",IF(P1402="低",7,IF(P1402="中",10,15)),IF(J1402="EIF",IF(P1402="低",5,IF(P1402="中",7,10)),"不计算")))))*R1402,"不计算")</f>
        <v/>
      </c>
      <c r="R1402" s="172" t="n">
        <v>1</v>
      </c>
      <c r="S1402" s="173">
        <f>调整因子!$F$13</f>
        <v/>
      </c>
      <c r="T1402" s="92" t="n">
        <v>1</v>
      </c>
      <c r="U1402" s="174">
        <f>IFERROR(Q1402*S1402,0)</f>
        <v/>
      </c>
      <c r="V1402" s="178">
        <f>U1402*T1402</f>
        <v/>
      </c>
      <c r="W1402" s="103" t="inlineStr"/>
      <c r="X1402" s="103" t="inlineStr">
        <is>
          <t>扫描任务、发现任务、口令猜测任务</t>
        </is>
      </c>
      <c r="Y1402" s="97" t="inlineStr">
        <is>
          <t>采集任务配置表{任务ID、任务名称、任务类型|任务ID、任务名称、任务类型、任务状态、创建时间、执行时间}</t>
        </is>
      </c>
      <c r="Z1402" s="90">
        <f>IF(COUNTIFS(W:W,"*"&amp;I1402&amp;"*")&gt;0,"存在","不存在")</f>
        <v/>
      </c>
      <c r="AA1402" s="90">
        <f>IF(COUNTIFS(AB:AB,"*"&amp;I1402&amp;"*")&gt;0,"存在","不存在")</f>
        <v/>
      </c>
    </row>
    <row r="1403" s="112">
      <c r="A1403" s="72">
        <f>ROW()-1</f>
        <v/>
      </c>
      <c r="B1403" s="175" t="n"/>
      <c r="C1403" s="124" t="n">
        <v>2026</v>
      </c>
      <c r="E1403" s="103" t="n"/>
      <c r="F1403" s="175" t="n"/>
      <c r="G1403" s="175" t="n"/>
      <c r="H1403" s="175" t="n"/>
      <c r="I1403" s="103" t="inlineStr">
        <is>
          <t>采集记录表</t>
        </is>
      </c>
      <c r="J1403" s="93" t="inlineStr">
        <is>
          <t>ILF</t>
        </is>
      </c>
      <c r="K1403" s="102" t="n"/>
      <c r="L1403" s="102" t="n"/>
      <c r="M1403" s="85">
        <f>IF(OR(Y1403="估算法",Y1403="算法类",Y1403="无法识别"),"",IF(W1403="",IF(OR(J1403="EI",J1403="EO",J1403="EQ"),0,""),LEN(W1403)-LEN(SUBSTITUTE(W1403,"、",""))+1))</f>
        <v/>
      </c>
      <c r="N1403" s="85">
        <f>IF(OR(Y1403="估算法",Y1403="算法类",Y1403="无法识别"),"",IF(X1403="",IF(OR(J1403="ILF",J1403="EIF"),0,""),LEN(X1403)-LEN(SUBSTITUTE(X1403,"、",""))+1))</f>
        <v/>
      </c>
      <c r="O1403" s="85">
        <f>IF(OR(Y1403="估算法",Y1403="算法类",Y1403="无法识别"),"",IF(Y1403="",IF(OR(J1403="ILF",J1403="EIF",J1403="EI",J1403="EO",J1403="EQ"),0,""),LEN(Y1403)-LEN(SUBSTITUTE(SUBSTITUTE(SUBSTITUTE(SUBSTITUTE(SUBSTITUTE(Y1403,"|}","--"),"{|","--"),CHAR(10),""),"、",""),"|",""))+IF(AND(OR(J1403="EI",J1403="EO",J1403="EQ"),$AE$1="NESMA"),2,1)))</f>
        <v/>
      </c>
      <c r="P1403" s="86">
        <f>IF(J1403="EI",IF(OR(Y1403="估算法",Y1403="算法类"),"中",IF(Y1403="无法识别","低",IF(M1403&lt;2,IF(O1403&lt;16,"低","中"),IF(M1403&lt;3,IF(O1403&lt;5,"低",IF(O1403&lt;16,"中","高")),IF(O1403&lt;5,"中","高"))))),IF(OR(J1403="EO",J1403="EQ"),IF(OR(Y1403="估算法",Y1403="算法类"),"中",IF(Y1403="无法识别","低",IF(M1403&lt;2,IF(O1403&lt;20,"低","中"),IF(M1403&lt;4,IF(O1403&lt;6,"低",IF(O1403&lt;20,"中","高")),IF(O1403&lt;6,"中","高"))))),IF(OR(J1403="ILF",J1403="EIF"),IF(OR(Y1403="估算法",Y1403="算法类",Y1403="无法识别"),"低",IF(N1403&lt;2,IF(O1403&lt;51,"低","中"),IF(N1403&lt;6,IF(O1403&lt;20,"低",IF(O1403&lt;51,"中","高")),IF(O1403&lt;20,"中","高")))),"不计算")))</f>
        <v/>
      </c>
      <c r="Q1403" s="172">
        <f>IFERROR(IF(J1403="EI",IF(P1403="低",3,IF(P1403="中",4,6)),IF(J1403="EO",IF(P1403="低",4,IF(P1403="中",5,7)),IF(J1403="EQ",IF(P1403="低",3,IF(P1403="中",4,6)),IF(J1403="ILF",IF(P1403="低",7,IF(P1403="中",10,15)),IF(J1403="EIF",IF(P1403="低",5,IF(P1403="中",7,10)),"不计算")))))*R1403,"不计算")</f>
        <v/>
      </c>
      <c r="R1403" s="172" t="n">
        <v>1</v>
      </c>
      <c r="S1403" s="173">
        <f>调整因子!$F$13</f>
        <v/>
      </c>
      <c r="T1403" s="92" t="n">
        <v>1</v>
      </c>
      <c r="U1403" s="174">
        <f>IFERROR(Q1403*S1403,0)</f>
        <v/>
      </c>
      <c r="V1403" s="178">
        <f>U1403*T1403</f>
        <v/>
      </c>
      <c r="W1403" s="103" t="inlineStr"/>
      <c r="X1403" s="103" t="inlineStr">
        <is>
          <t>数据记录</t>
        </is>
      </c>
      <c r="Y1403" s="97" t="inlineStr">
        <is>
          <t>采集记录表{ID、名称、类型|ID、名称、类型、状态、创建时间、更新时间}</t>
        </is>
      </c>
      <c r="Z1403" s="90">
        <f>IF(COUNTIFS(W:W,"*"&amp;I1403&amp;"*")&gt;0,"存在","不存在")</f>
        <v/>
      </c>
      <c r="AA1403" s="90">
        <f>IF(COUNTIFS(AB:AB,"*"&amp;I1403&amp;"*")&gt;0,"存在","不存在")</f>
        <v/>
      </c>
    </row>
    <row r="1404" s="112">
      <c r="A1404" s="72">
        <f>ROW()-1</f>
        <v/>
      </c>
      <c r="B1404" s="175" t="n"/>
      <c r="C1404" s="124" t="n">
        <v>2026</v>
      </c>
      <c r="E1404" s="103" t="n"/>
      <c r="F1404" s="175" t="n"/>
      <c r="G1404" s="175" t="n"/>
      <c r="H1404" s="175" t="n"/>
      <c r="I1404" s="103" t="inlineStr">
        <is>
          <t>创建采集任务</t>
        </is>
      </c>
      <c r="J1404" s="93" t="inlineStr">
        <is>
          <t>EI</t>
        </is>
      </c>
      <c r="K1404" s="102" t="n"/>
      <c r="L1404" s="102" t="n"/>
      <c r="M1404" s="85">
        <f>IF(OR(Y1404="估算法",Y1404="算法类",Y1404="无法识别"),"",IF(W1404="",IF(OR(J1404="EI",J1404="EO",J1404="EQ"),0,""),LEN(W1404)-LEN(SUBSTITUTE(W1404,"、",""))+1))</f>
        <v/>
      </c>
      <c r="N1404" s="85">
        <f>IF(OR(Y1404="估算法",Y1404="算法类",Y1404="无法识别"),"",IF(X1404="",IF(OR(J1404="ILF",J1404="EIF"),0,""),LEN(X1404)-LEN(SUBSTITUTE(X1404,"、",""))+1))</f>
        <v/>
      </c>
      <c r="O1404" s="85">
        <f>IF(OR(Y1404="估算法",Y1404="算法类",Y1404="无法识别"),"",IF(Y1404="",IF(OR(J1404="ILF",J1404="EIF",J1404="EI",J1404="EO",J1404="EQ"),0,""),LEN(Y1404)-LEN(SUBSTITUTE(SUBSTITUTE(SUBSTITUTE(SUBSTITUTE(SUBSTITUTE(Y1404,"|}","--"),"{|","--"),CHAR(10),""),"、",""),"|",""))+IF(AND(OR(J1404="EI",J1404="EO",J1404="EQ"),$AE$1="NESMA"),2,1)))</f>
        <v/>
      </c>
      <c r="P1404" s="86">
        <f>IF(J1404="EI",IF(OR(Y1404="估算法",Y1404="算法类"),"中",IF(Y1404="无法识别","低",IF(M1404&lt;2,IF(O1404&lt;16,"低","中"),IF(M1404&lt;3,IF(O1404&lt;5,"低",IF(O1404&lt;16,"中","高")),IF(O1404&lt;5,"中","高"))))),IF(OR(J1404="EO",J1404="EQ"),IF(OR(Y1404="估算法",Y1404="算法类"),"中",IF(Y1404="无法识别","低",IF(M1404&lt;2,IF(O1404&lt;20,"低","中"),IF(M1404&lt;4,IF(O1404&lt;6,"低",IF(O1404&lt;20,"中","高")),IF(O1404&lt;6,"中","高"))))),IF(OR(J1404="ILF",J1404="EIF"),IF(OR(Y1404="估算法",Y1404="算法类",Y1404="无法识别"),"低",IF(N1404&lt;2,IF(O1404&lt;51,"低","中"),IF(N1404&lt;6,IF(O1404&lt;20,"低",IF(O1404&lt;51,"中","高")),IF(O1404&lt;20,"中","高")))),"不计算")))</f>
        <v/>
      </c>
      <c r="Q1404" s="172">
        <f>IFERROR(IF(J1404="EI",IF(P1404="低",3,IF(P1404="中",4,6)),IF(J1404="EO",IF(P1404="低",4,IF(P1404="中",5,7)),IF(J1404="EQ",IF(P1404="低",3,IF(P1404="中",4,6)),IF(J1404="ILF",IF(P1404="低",7,IF(P1404="中",10,15)),IF(J1404="EIF",IF(P1404="低",5,IF(P1404="中",7,10)),"不计算")))))*R1404,"不计算")</f>
        <v/>
      </c>
      <c r="R1404" s="172" t="n">
        <v>1</v>
      </c>
      <c r="S1404" s="173">
        <f>调整因子!$F$13</f>
        <v/>
      </c>
      <c r="T1404" s="93" t="n">
        <v>1</v>
      </c>
      <c r="U1404" s="174">
        <f>IFERROR(Q1404*S1404,0)</f>
        <v/>
      </c>
      <c r="V1404" s="178">
        <f>U1404*T1404</f>
        <v/>
      </c>
      <c r="W1404" s="103" t="inlineStr">
        <is>
          <t>数据清洗任务表、资产同步任务表</t>
        </is>
      </c>
      <c r="X1404" s="103" t="inlineStr"/>
      <c r="Y1404" s="97" t="inlineStr">
        <is>
          <t>数据清洗任务表{任务ID、任务名称、任务类型、任务状态、创建时间、执行时间|任务ID、任务名称、任务类型}
资产同步任务表{资产ID、资产名称、IP地址、资产类型、资产状态、创建时间、更新时间|资产ID、资产名称、IP地址}</t>
        </is>
      </c>
      <c r="Z1404" s="90" t="n"/>
      <c r="AA1404" s="90" t="n"/>
    </row>
    <row r="1405" s="112">
      <c r="A1405" s="72">
        <f>ROW()-1</f>
        <v/>
      </c>
      <c r="B1405" s="175" t="n"/>
      <c r="C1405" s="124" t="n">
        <v>2026</v>
      </c>
      <c r="E1405" s="103" t="n"/>
      <c r="F1405" s="175" t="n"/>
      <c r="G1405" s="175" t="n"/>
      <c r="H1405" s="175" t="n"/>
      <c r="I1405" s="103" t="inlineStr">
        <is>
          <t>编辑采集任务</t>
        </is>
      </c>
      <c r="J1405" s="93" t="inlineStr">
        <is>
          <t>EI</t>
        </is>
      </c>
      <c r="K1405" s="102" t="n"/>
      <c r="L1405" s="102" t="n"/>
      <c r="M1405" s="85">
        <f>IF(OR(Y1405="估算法",Y1405="算法类",Y1405="无法识别"),"",IF(W1405="",IF(OR(J1405="EI",J1405="EO",J1405="EQ"),0,""),LEN(W1405)-LEN(SUBSTITUTE(W1405,"、",""))+1))</f>
        <v/>
      </c>
      <c r="N1405" s="85">
        <f>IF(OR(Y1405="估算法",Y1405="算法类",Y1405="无法识别"),"",IF(X1405="",IF(OR(J1405="ILF",J1405="EIF"),0,""),LEN(X1405)-LEN(SUBSTITUTE(X1405,"、",""))+1))</f>
        <v/>
      </c>
      <c r="O1405" s="85">
        <f>IF(OR(Y1405="估算法",Y1405="算法类",Y1405="无法识别"),"",IF(Y1405="",IF(OR(J1405="ILF",J1405="EIF",J1405="EI",J1405="EO",J1405="EQ"),0,""),LEN(Y1405)-LEN(SUBSTITUTE(SUBSTITUTE(SUBSTITUTE(SUBSTITUTE(SUBSTITUTE(Y1405,"|}","--"),"{|","--"),CHAR(10),""),"、",""),"|",""))+IF(AND(OR(J1405="EI",J1405="EO",J1405="EQ"),$AE$1="NESMA"),2,1)))</f>
        <v/>
      </c>
      <c r="P1405" s="86">
        <f>IF(J1405="EI",IF(OR(Y1405="估算法",Y1405="算法类"),"中",IF(Y1405="无法识别","低",IF(M1405&lt;2,IF(O1405&lt;16,"低","中"),IF(M1405&lt;3,IF(O1405&lt;5,"低",IF(O1405&lt;16,"中","高")),IF(O1405&lt;5,"中","高"))))),IF(OR(J1405="EO",J1405="EQ"),IF(OR(Y1405="估算法",Y1405="算法类"),"中",IF(Y1405="无法识别","低",IF(M1405&lt;2,IF(O1405&lt;20,"低","中"),IF(M1405&lt;4,IF(O1405&lt;6,"低",IF(O1405&lt;20,"中","高")),IF(O1405&lt;6,"中","高"))))),IF(OR(J1405="ILF",J1405="EIF"),IF(OR(Y1405="估算法",Y1405="算法类",Y1405="无法识别"),"低",IF(N1405&lt;2,IF(O1405&lt;51,"低","中"),IF(N1405&lt;6,IF(O1405&lt;20,"低",IF(O1405&lt;51,"中","高")),IF(O1405&lt;20,"中","高")))),"不计算")))</f>
        <v/>
      </c>
      <c r="Q1405" s="172">
        <f>IFERROR(IF(J1405="EI",IF(P1405="低",3,IF(P1405="中",4,6)),IF(J1405="EO",IF(P1405="低",4,IF(P1405="中",5,7)),IF(J1405="EQ",IF(P1405="低",3,IF(P1405="中",4,6)),IF(J1405="ILF",IF(P1405="低",7,IF(P1405="中",10,15)),IF(J1405="EIF",IF(P1405="低",5,IF(P1405="中",7,10)),"不计算")))))*R1405,"不计算")</f>
        <v/>
      </c>
      <c r="R1405" s="172" t="n">
        <v>1</v>
      </c>
      <c r="S1405" s="173">
        <f>调整因子!$F$13</f>
        <v/>
      </c>
      <c r="T1405" s="93" t="n">
        <v>1</v>
      </c>
      <c r="U1405" s="174">
        <f>IFERROR(Q1405*S1405,0)</f>
        <v/>
      </c>
      <c r="V1405" s="178">
        <f>U1405*T1405</f>
        <v/>
      </c>
      <c r="W1405" s="103" t="inlineStr">
        <is>
          <t>数据清洗任务表</t>
        </is>
      </c>
      <c r="X1405" s="103" t="inlineStr"/>
      <c r="Y1405" s="97" t="inlineStr">
        <is>
          <t>数据清洗任务表{任务ID、任务名称、任务类型、任务状态、创建时间、执行时间|任务ID、任务名称、任务类型}</t>
        </is>
      </c>
      <c r="Z1405" s="90" t="n"/>
      <c r="AA1405" s="90" t="n"/>
    </row>
    <row r="1406" s="112">
      <c r="A1406" s="72">
        <f>ROW()-1</f>
        <v/>
      </c>
      <c r="B1406" s="175" t="n"/>
      <c r="C1406" s="124" t="n">
        <v>2026</v>
      </c>
      <c r="E1406" s="103" t="n"/>
      <c r="F1406" s="175" t="n"/>
      <c r="G1406" s="175" t="n"/>
      <c r="H1406" s="175" t="n"/>
      <c r="I1406" s="103" t="inlineStr">
        <is>
          <t>删除采集任务</t>
        </is>
      </c>
      <c r="J1406" s="93" t="inlineStr">
        <is>
          <t>EI</t>
        </is>
      </c>
      <c r="K1406" s="102" t="n"/>
      <c r="L1406" s="102" t="n"/>
      <c r="M1406" s="85">
        <f>IF(OR(Y1406="估算法",Y1406="算法类",Y1406="无法识别"),"",IF(W1406="",IF(OR(J1406="EI",J1406="EO",J1406="EQ"),0,""),LEN(W1406)-LEN(SUBSTITUTE(W1406,"、",""))+1))</f>
        <v/>
      </c>
      <c r="N1406" s="85">
        <f>IF(OR(Y1406="估算法",Y1406="算法类",Y1406="无法识别"),"",IF(X1406="",IF(OR(J1406="ILF",J1406="EIF"),0,""),LEN(X1406)-LEN(SUBSTITUTE(X1406,"、",""))+1))</f>
        <v/>
      </c>
      <c r="O1406" s="85">
        <f>IF(OR(Y1406="估算法",Y1406="算法类",Y1406="无法识别"),"",IF(Y1406="",IF(OR(J1406="ILF",J1406="EIF",J1406="EI",J1406="EO",J1406="EQ"),0,""),LEN(Y1406)-LEN(SUBSTITUTE(SUBSTITUTE(SUBSTITUTE(SUBSTITUTE(SUBSTITUTE(Y1406,"|}","--"),"{|","--"),CHAR(10),""),"、",""),"|",""))+IF(AND(OR(J1406="EI",J1406="EO",J1406="EQ"),$AE$1="NESMA"),2,1)))</f>
        <v/>
      </c>
      <c r="P1406" s="86">
        <f>IF(J1406="EI",IF(OR(Y1406="估算法",Y1406="算法类"),"中",IF(Y1406="无法识别","低",IF(M1406&lt;2,IF(O1406&lt;16,"低","中"),IF(M1406&lt;3,IF(O1406&lt;5,"低",IF(O1406&lt;16,"中","高")),IF(O1406&lt;5,"中","高"))))),IF(OR(J1406="EO",J1406="EQ"),IF(OR(Y1406="估算法",Y1406="算法类"),"中",IF(Y1406="无法识别","低",IF(M1406&lt;2,IF(O1406&lt;20,"低","中"),IF(M1406&lt;4,IF(O1406&lt;6,"低",IF(O1406&lt;20,"中","高")),IF(O1406&lt;6,"中","高"))))),IF(OR(J1406="ILF",J1406="EIF"),IF(OR(Y1406="估算法",Y1406="算法类",Y1406="无法识别"),"低",IF(N1406&lt;2,IF(O1406&lt;51,"低","中"),IF(N1406&lt;6,IF(O1406&lt;20,"低",IF(O1406&lt;51,"中","高")),IF(O1406&lt;20,"中","高")))),"不计算")))</f>
        <v/>
      </c>
      <c r="Q1406" s="172">
        <f>IFERROR(IF(J1406="EI",IF(P1406="低",3,IF(P1406="中",4,6)),IF(J1406="EO",IF(P1406="低",4,IF(P1406="中",5,7)),IF(J1406="EQ",IF(P1406="低",3,IF(P1406="中",4,6)),IF(J1406="ILF",IF(P1406="低",7,IF(P1406="中",10,15)),IF(J1406="EIF",IF(P1406="低",5,IF(P1406="中",7,10)),"不计算")))))*R1406,"不计算")</f>
        <v/>
      </c>
      <c r="R1406" s="172" t="n">
        <v>0.333333333333333</v>
      </c>
      <c r="S1406" s="173">
        <f>调整因子!$F$13</f>
        <v/>
      </c>
      <c r="T1406" s="92" t="n">
        <v>1</v>
      </c>
      <c r="U1406" s="174">
        <f>IFERROR(Q1406*S1406,0)</f>
        <v/>
      </c>
      <c r="V1406" s="178">
        <f>U1406*T1406</f>
        <v/>
      </c>
      <c r="W1406" s="103" t="inlineStr">
        <is>
          <t>数据清洗任务表</t>
        </is>
      </c>
      <c r="X1406" s="103" t="inlineStr"/>
      <c r="Y1406" s="97" t="inlineStr">
        <is>
          <t>数据清洗任务表{任务ID、任务名称、任务类型、任务状态、创建时间、执行时间|任务ID、任务名称、任务类型}</t>
        </is>
      </c>
      <c r="Z1406" s="90" t="n"/>
      <c r="AA1406" s="90" t="n"/>
    </row>
    <row r="1407" s="112">
      <c r="A1407" s="72">
        <f>ROW()-1</f>
        <v/>
      </c>
      <c r="B1407" s="175" t="n"/>
      <c r="C1407" s="124" t="n">
        <v>2026</v>
      </c>
      <c r="E1407" s="103" t="n"/>
      <c r="F1407" s="175" t="n"/>
      <c r="G1407" s="175" t="n"/>
      <c r="H1407" s="175" t="n"/>
      <c r="I1407" s="103" t="inlineStr">
        <is>
          <t>启动采集任务</t>
        </is>
      </c>
      <c r="J1407" s="93" t="inlineStr">
        <is>
          <t>EI</t>
        </is>
      </c>
      <c r="K1407" s="102" t="n"/>
      <c r="L1407" s="102" t="n"/>
      <c r="M1407" s="85">
        <f>IF(OR(Y1407="估算法",Y1407="算法类",Y1407="无法识别"),"",IF(W1407="",IF(OR(J1407="EI",J1407="EO",J1407="EQ"),0,""),LEN(W1407)-LEN(SUBSTITUTE(W1407,"、",""))+1))</f>
        <v/>
      </c>
      <c r="N1407" s="85">
        <f>IF(OR(Y1407="估算法",Y1407="算法类",Y1407="无法识别"),"",IF(X1407="",IF(OR(J1407="ILF",J1407="EIF"),0,""),LEN(X1407)-LEN(SUBSTITUTE(X1407,"、",""))+1))</f>
        <v/>
      </c>
      <c r="O1407" s="85">
        <f>IF(OR(Y1407="估算法",Y1407="算法类",Y1407="无法识别"),"",IF(Y1407="",IF(OR(J1407="ILF",J1407="EIF",J1407="EI",J1407="EO",J1407="EQ"),0,""),LEN(Y1407)-LEN(SUBSTITUTE(SUBSTITUTE(SUBSTITUTE(SUBSTITUTE(SUBSTITUTE(Y1407,"|}","--"),"{|","--"),CHAR(10),""),"、",""),"|",""))+IF(AND(OR(J1407="EI",J1407="EO",J1407="EQ"),$AE$1="NESMA"),2,1)))</f>
        <v/>
      </c>
      <c r="P1407" s="86">
        <f>IF(J1407="EI",IF(OR(Y1407="估算法",Y1407="算法类"),"中",IF(Y1407="无法识别","低",IF(M1407&lt;2,IF(O1407&lt;16,"低","中"),IF(M1407&lt;3,IF(O1407&lt;5,"低",IF(O1407&lt;16,"中","高")),IF(O1407&lt;5,"中","高"))))),IF(OR(J1407="EO",J1407="EQ"),IF(OR(Y1407="估算法",Y1407="算法类"),"中",IF(Y1407="无法识别","低",IF(M1407&lt;2,IF(O1407&lt;20,"低","中"),IF(M1407&lt;4,IF(O1407&lt;6,"低",IF(O1407&lt;20,"中","高")),IF(O1407&lt;6,"中","高"))))),IF(OR(J1407="ILF",J1407="EIF"),IF(OR(Y1407="估算法",Y1407="算法类",Y1407="无法识别"),"低",IF(N1407&lt;2,IF(O1407&lt;51,"低","中"),IF(N1407&lt;6,IF(O1407&lt;20,"低",IF(O1407&lt;51,"中","高")),IF(O1407&lt;20,"中","高")))),"不计算")))</f>
        <v/>
      </c>
      <c r="Q1407" s="172">
        <f>IFERROR(IF(J1407="EI",IF(P1407="低",3,IF(P1407="中",4,6)),IF(J1407="EO",IF(P1407="低",4,IF(P1407="中",5,7)),IF(J1407="EQ",IF(P1407="低",3,IF(P1407="中",4,6)),IF(J1407="ILF",IF(P1407="低",7,IF(P1407="中",10,15)),IF(J1407="EIF",IF(P1407="低",5,IF(P1407="中",7,10)),"不计算")))))*R1407,"不计算")</f>
        <v/>
      </c>
      <c r="R1407" s="172" t="n">
        <v>1</v>
      </c>
      <c r="S1407" s="173">
        <f>调整因子!$F$13</f>
        <v/>
      </c>
      <c r="T1407" s="92" t="n">
        <v>1</v>
      </c>
      <c r="U1407" s="174">
        <f>IFERROR(Q1407*S1407,0)</f>
        <v/>
      </c>
      <c r="V1407" s="178">
        <f>U1407*T1407</f>
        <v/>
      </c>
      <c r="W1407" s="103" t="inlineStr">
        <is>
          <t>数据清洗任务表</t>
        </is>
      </c>
      <c r="X1407" s="103" t="inlineStr"/>
      <c r="Y1407" s="97" t="inlineStr">
        <is>
          <t>数据清洗任务表{任务ID、任务名称、任务类型、任务状态、创建时间、执行时间|任务ID、任务名称、任务类型}</t>
        </is>
      </c>
      <c r="Z1407" s="90" t="n"/>
      <c r="AA1407" s="90" t="n"/>
    </row>
    <row r="1408" s="112">
      <c r="A1408" s="72">
        <f>ROW()-1</f>
        <v/>
      </c>
      <c r="B1408" s="175" t="n"/>
      <c r="C1408" s="124" t="n">
        <v>2026</v>
      </c>
      <c r="E1408" s="103" t="n"/>
      <c r="F1408" s="175" t="n"/>
      <c r="G1408" s="175" t="n"/>
      <c r="H1408" s="175" t="n"/>
      <c r="I1408" s="103" t="inlineStr">
        <is>
          <t>停止采集任务</t>
        </is>
      </c>
      <c r="J1408" s="93" t="n"/>
      <c r="K1408" s="102" t="n"/>
      <c r="L1408" s="102" t="inlineStr">
        <is>
          <t>和上行合并，启停为相同功能</t>
        </is>
      </c>
      <c r="M1408" s="85">
        <f>IF(OR(Y1408="估算法",Y1408="算法类",Y1408="无法识别"),"",IF(W1408="",IF(OR(J1408="EI",J1408="EO",J1408="EQ"),0,""),LEN(W1408)-LEN(SUBSTITUTE(W1408,"、",""))+1))</f>
        <v/>
      </c>
      <c r="N1408" s="85">
        <f>IF(OR(Y1408="估算法",Y1408="算法类",Y1408="无法识别"),"",IF(X1408="",IF(OR(J1408="ILF",J1408="EIF"),0,""),LEN(X1408)-LEN(SUBSTITUTE(X1408,"、",""))+1))</f>
        <v/>
      </c>
      <c r="O1408" s="85">
        <f>IF(OR(Y1408="估算法",Y1408="算法类",Y1408="无法识别"),"",IF(Y1408="",IF(OR(J1408="ILF",J1408="EIF",J1408="EI",J1408="EO",J1408="EQ"),0,""),LEN(Y1408)-LEN(SUBSTITUTE(SUBSTITUTE(SUBSTITUTE(SUBSTITUTE(SUBSTITUTE(Y1408,"|}","--"),"{|","--"),CHAR(10),""),"、",""),"|",""))+IF(AND(OR(J1408="EI",J1408="EO",J1408="EQ"),$AE$1="NESMA"),2,1)))</f>
        <v/>
      </c>
      <c r="P1408" s="86">
        <f>IF(J1408="EI",IF(OR(Y1408="估算法",Y1408="算法类"),"中",IF(Y1408="无法识别","低",IF(M1408&lt;2,IF(O1408&lt;16,"低","中"),IF(M1408&lt;3,IF(O1408&lt;5,"低",IF(O1408&lt;16,"中","高")),IF(O1408&lt;5,"中","高"))))),IF(OR(J1408="EO",J1408="EQ"),IF(OR(Y1408="估算法",Y1408="算法类"),"中",IF(Y1408="无法识别","低",IF(M1408&lt;2,IF(O1408&lt;20,"低","中"),IF(M1408&lt;4,IF(O1408&lt;6,"低",IF(O1408&lt;20,"中","高")),IF(O1408&lt;6,"中","高"))))),IF(OR(J1408="ILF",J1408="EIF"),IF(OR(Y1408="估算法",Y1408="算法类",Y1408="无法识别"),"低",IF(N1408&lt;2,IF(O1408&lt;51,"低","中"),IF(N1408&lt;6,IF(O1408&lt;20,"低",IF(O1408&lt;51,"中","高")),IF(O1408&lt;20,"中","高")))),"不计算")))</f>
        <v/>
      </c>
      <c r="Q1408" s="172">
        <f>IFERROR(IF(J1408="EI",IF(P1408="低",3,IF(P1408="中",4,6)),IF(J1408="EO",IF(P1408="低",4,IF(P1408="中",5,7)),IF(J1408="EQ",IF(P1408="低",3,IF(P1408="中",4,6)),IF(J1408="ILF",IF(P1408="低",7,IF(P1408="中",10,15)),IF(J1408="EIF",IF(P1408="低",5,IF(P1408="中",7,10)),"不计算")))))*R1408,"不计算")</f>
        <v/>
      </c>
      <c r="R1408" s="172" t="n">
        <v>1</v>
      </c>
      <c r="S1408" s="173">
        <f>调整因子!$F$13</f>
        <v/>
      </c>
      <c r="T1408" s="93" t="n">
        <v>1</v>
      </c>
      <c r="U1408" s="174">
        <f>IFERROR(Q1408*S1408,0)</f>
        <v/>
      </c>
      <c r="V1408" s="178">
        <f>U1408*T1408</f>
        <v/>
      </c>
      <c r="W1408" s="103" t="inlineStr">
        <is>
          <t>数据清洗任务表</t>
        </is>
      </c>
      <c r="X1408" s="103" t="inlineStr"/>
      <c r="Y1408" s="97" t="inlineStr">
        <is>
          <t>数据清洗任务表{任务ID、任务名称、任务类型、任务状态、创建时间、执行时间|任务ID、任务名称、任务类型}</t>
        </is>
      </c>
      <c r="Z1408" s="90" t="n"/>
      <c r="AA1408" s="90" t="n"/>
    </row>
    <row r="1409" s="112">
      <c r="A1409" s="72">
        <f>ROW()-1</f>
        <v/>
      </c>
      <c r="B1409" s="175" t="n"/>
      <c r="C1409" s="124" t="n">
        <v>2026</v>
      </c>
      <c r="E1409" s="103" t="n"/>
      <c r="F1409" s="175" t="n"/>
      <c r="G1409" s="175" t="n"/>
      <c r="H1409" s="175" t="n"/>
      <c r="I1409" s="103" t="inlineStr">
        <is>
          <t>导出采集记录</t>
        </is>
      </c>
      <c r="J1409" s="93" t="inlineStr">
        <is>
          <t>EO</t>
        </is>
      </c>
      <c r="K1409" s="102" t="n"/>
      <c r="L1409" s="102" t="n"/>
      <c r="M1409" s="85">
        <f>IF(OR(Y1409="估算法",Y1409="算法类",Y1409="无法识别"),"",IF(W1409="",IF(OR(J1409="EI",J1409="EO",J1409="EQ"),0,""),LEN(W1409)-LEN(SUBSTITUTE(W1409,"、",""))+1))</f>
        <v/>
      </c>
      <c r="N1409" s="85">
        <f>IF(OR(Y1409="估算法",Y1409="算法类",Y1409="无法识别"),"",IF(X1409="",IF(OR(J1409="ILF",J1409="EIF"),0,""),LEN(X1409)-LEN(SUBSTITUTE(X1409,"、",""))+1))</f>
        <v/>
      </c>
      <c r="O1409" s="85">
        <f>IF(OR(Y1409="估算法",Y1409="算法类",Y1409="无法识别"),"",IF(Y1409="",IF(OR(J1409="ILF",J1409="EIF",J1409="EI",J1409="EO",J1409="EQ"),0,""),LEN(Y1409)-LEN(SUBSTITUTE(SUBSTITUTE(SUBSTITUTE(SUBSTITUTE(SUBSTITUTE(Y1409,"|}","--"),"{|","--"),CHAR(10),""),"、",""),"|",""))+IF(AND(OR(J1409="EI",J1409="EO",J1409="EQ"),$AE$1="NESMA"),2,1)))</f>
        <v/>
      </c>
      <c r="P1409" s="86">
        <f>IF(J1409="EI",IF(OR(Y1409="估算法",Y1409="算法类"),"中",IF(Y1409="无法识别","低",IF(M1409&lt;2,IF(O1409&lt;16,"低","中"),IF(M1409&lt;3,IF(O1409&lt;5,"低",IF(O1409&lt;16,"中","高")),IF(O1409&lt;5,"中","高"))))),IF(OR(J1409="EO",J1409="EQ"),IF(OR(Y1409="估算法",Y1409="算法类"),"中",IF(Y1409="无法识别","低",IF(M1409&lt;2,IF(O1409&lt;20,"低","中"),IF(M1409&lt;4,IF(O1409&lt;6,"低",IF(O1409&lt;20,"中","高")),IF(O1409&lt;6,"中","高"))))),IF(OR(J1409="ILF",J1409="EIF"),IF(OR(Y1409="估算法",Y1409="算法类",Y1409="无法识别"),"低",IF(N1409&lt;2,IF(O1409&lt;51,"低","中"),IF(N1409&lt;6,IF(O1409&lt;20,"低",IF(O1409&lt;51,"中","高")),IF(O1409&lt;20,"中","高")))),"不计算")))</f>
        <v/>
      </c>
      <c r="Q1409" s="172">
        <f>IFERROR(IF(J1409="EI",IF(P1409="低",3,IF(P1409="中",4,6)),IF(J1409="EO",IF(P1409="低",4,IF(P1409="中",5,7)),IF(J1409="EQ",IF(P1409="低",3,IF(P1409="中",4,6)),IF(J1409="ILF",IF(P1409="低",7,IF(P1409="中",10,15)),IF(J1409="EIF",IF(P1409="低",5,IF(P1409="中",7,10)),"不计算")))))*R1409,"不计算")</f>
        <v/>
      </c>
      <c r="R1409" s="172" t="n">
        <v>1</v>
      </c>
      <c r="S1409" s="173">
        <f>调整因子!$F$13</f>
        <v/>
      </c>
      <c r="T1409" s="92" t="n">
        <v>1</v>
      </c>
      <c r="U1409" s="174">
        <f>IFERROR(Q1409*S1409,0)</f>
        <v/>
      </c>
      <c r="V1409" s="178">
        <f>U1409*T1409</f>
        <v/>
      </c>
      <c r="W1409" s="103" t="inlineStr">
        <is>
          <t>接口参数表、处置流程定义表</t>
        </is>
      </c>
      <c r="X1409" s="103" t="inlineStr"/>
      <c r="Y1409" s="97" t="inlineStr">
        <is>
          <t>接口参数表{接口ID、接口名称|接口ID、接口名称、接口类型、接口地址、调用时间}
处置流程定义表{ID、名称|ID、名称、类型、状态、创建时间、更新时间}</t>
        </is>
      </c>
      <c r="Z1409" s="90" t="n"/>
      <c r="AA1409" s="90" t="n"/>
    </row>
    <row r="1410" s="112">
      <c r="A1410" s="72">
        <f>ROW()-1</f>
        <v/>
      </c>
      <c r="B1410" s="175" t="n"/>
      <c r="C1410" s="124" t="n">
        <v>2026</v>
      </c>
      <c r="E1410" s="103" t="n"/>
      <c r="F1410" s="175" t="n"/>
      <c r="G1410" s="175" t="n"/>
      <c r="H1410" s="175" t="n"/>
      <c r="I1410" s="103" t="inlineStr">
        <is>
          <t>查询采集任务</t>
        </is>
      </c>
      <c r="J1410" s="93" t="inlineStr">
        <is>
          <t>EQ</t>
        </is>
      </c>
      <c r="K1410" s="102" t="n"/>
      <c r="L1410" s="102" t="n"/>
      <c r="M1410" s="85">
        <f>IF(OR(Y1410="估算法",Y1410="算法类",Y1410="无法识别"),"",IF(W1410="",IF(OR(J1410="EI",J1410="EO",J1410="EQ"),0,""),LEN(W1410)-LEN(SUBSTITUTE(W1410,"、",""))+1))</f>
        <v/>
      </c>
      <c r="N1410" s="85">
        <f>IF(OR(Y1410="估算法",Y1410="算法类",Y1410="无法识别"),"",IF(X1410="",IF(OR(J1410="ILF",J1410="EIF"),0,""),LEN(X1410)-LEN(SUBSTITUTE(X1410,"、",""))+1))</f>
        <v/>
      </c>
      <c r="O1410" s="85">
        <f>IF(OR(Y1410="估算法",Y1410="算法类",Y1410="无法识别"),"",IF(Y1410="",IF(OR(J1410="ILF",J1410="EIF",J1410="EI",J1410="EO",J1410="EQ"),0,""),LEN(Y1410)-LEN(SUBSTITUTE(SUBSTITUTE(SUBSTITUTE(SUBSTITUTE(SUBSTITUTE(Y1410,"|}","--"),"{|","--"),CHAR(10),""),"、",""),"|",""))+IF(AND(OR(J1410="EI",J1410="EO",J1410="EQ"),$AE$1="NESMA"),2,1)))</f>
        <v/>
      </c>
      <c r="P1410" s="86">
        <f>IF(J1410="EI",IF(OR(Y1410="估算法",Y1410="算法类"),"中",IF(Y1410="无法识别","低",IF(M1410&lt;2,IF(O1410&lt;16,"低","中"),IF(M1410&lt;3,IF(O1410&lt;5,"低",IF(O1410&lt;16,"中","高")),IF(O1410&lt;5,"中","高"))))),IF(OR(J1410="EO",J1410="EQ"),IF(OR(Y1410="估算法",Y1410="算法类"),"中",IF(Y1410="无法识别","低",IF(M1410&lt;2,IF(O1410&lt;20,"低","中"),IF(M1410&lt;4,IF(O1410&lt;6,"低",IF(O1410&lt;20,"中","高")),IF(O1410&lt;6,"中","高"))))),IF(OR(J1410="ILF",J1410="EIF"),IF(OR(Y1410="估算法",Y1410="算法类",Y1410="无法识别"),"低",IF(N1410&lt;2,IF(O1410&lt;51,"低","中"),IF(N1410&lt;6,IF(O1410&lt;20,"低",IF(O1410&lt;51,"中","高")),IF(O1410&lt;20,"中","高")))),"不计算")))</f>
        <v/>
      </c>
      <c r="Q1410" s="172">
        <f>IFERROR(IF(J1410="EI",IF(P1410="低",3,IF(P1410="中",4,6)),IF(J1410="EO",IF(P1410="低",4,IF(P1410="中",5,7)),IF(J1410="EQ",IF(P1410="低",3,IF(P1410="中",4,6)),IF(J1410="ILF",IF(P1410="低",7,IF(P1410="中",10,15)),IF(J1410="EIF",IF(P1410="低",5,IF(P1410="中",7,10)),"不计算")))))*R1410,"不计算")</f>
        <v/>
      </c>
      <c r="R1410" s="172" t="n">
        <v>1</v>
      </c>
      <c r="S1410" s="173">
        <f>调整因子!$F$13</f>
        <v/>
      </c>
      <c r="T1410" s="92" t="n">
        <v>1</v>
      </c>
      <c r="U1410" s="174">
        <f>IFERROR(Q1410*S1410,0)</f>
        <v/>
      </c>
      <c r="V1410" s="178">
        <f>U1410*T1410</f>
        <v/>
      </c>
      <c r="W1410" s="103" t="inlineStr">
        <is>
          <t>数据清洗任务表、资产同步任务表</t>
        </is>
      </c>
      <c r="X1410" s="103" t="inlineStr"/>
      <c r="Y1410" s="97" t="inlineStr">
        <is>
          <t>数据清洗任务表{任务ID、任务名称|任务ID、任务名称、任务类型、任务状态、创建时间、执行时间}
资产同步任务表{资产ID、资产名称|资产ID、资产名称、IP地址、资产类型、资产状态、创建时间、更新时间}</t>
        </is>
      </c>
      <c r="Z1410" s="90" t="n"/>
      <c r="AA1410" s="90" t="n"/>
    </row>
    <row r="1411" s="112">
      <c r="A1411" s="72">
        <f>ROW()-1</f>
        <v/>
      </c>
      <c r="B1411" s="175" t="n"/>
      <c r="C1411" s="124" t="n">
        <v>2026</v>
      </c>
      <c r="E1411" s="103" t="n"/>
      <c r="F1411" s="175" t="n"/>
      <c r="G1411" s="175" t="n"/>
      <c r="H1411" s="176" t="n"/>
      <c r="I1411" s="103" t="inlineStr">
        <is>
          <t>查看采集详情</t>
        </is>
      </c>
      <c r="J1411" s="93" t="inlineStr">
        <is>
          <t>EQ</t>
        </is>
      </c>
      <c r="K1411" s="102" t="n"/>
      <c r="L1411" s="102" t="n"/>
      <c r="M1411" s="85">
        <f>IF(OR(Y1411="估算法",Y1411="算法类",Y1411="无法识别"),"",IF(W1411="",IF(OR(J1411="EI",J1411="EO",J1411="EQ"),0,""),LEN(W1411)-LEN(SUBSTITUTE(W1411,"、",""))+1))</f>
        <v/>
      </c>
      <c r="N1411" s="85">
        <f>IF(OR(Y1411="估算法",Y1411="算法类",Y1411="无法识别"),"",IF(X1411="",IF(OR(J1411="ILF",J1411="EIF"),0,""),LEN(X1411)-LEN(SUBSTITUTE(X1411,"、",""))+1))</f>
        <v/>
      </c>
      <c r="O1411" s="85">
        <f>IF(OR(Y1411="估算法",Y1411="算法类",Y1411="无法识别"),"",IF(Y1411="",IF(OR(J1411="ILF",J1411="EIF",J1411="EI",J1411="EO",J1411="EQ"),0,""),LEN(Y1411)-LEN(SUBSTITUTE(SUBSTITUTE(SUBSTITUTE(SUBSTITUTE(SUBSTITUTE(Y1411,"|}","--"),"{|","--"),CHAR(10),""),"、",""),"|",""))+IF(AND(OR(J1411="EI",J1411="EO",J1411="EQ"),$AE$1="NESMA"),2,1)))</f>
        <v/>
      </c>
      <c r="P1411" s="86">
        <f>IF(J1411="EI",IF(OR(Y1411="估算法",Y1411="算法类"),"中",IF(Y1411="无法识别","低",IF(M1411&lt;2,IF(O1411&lt;16,"低","中"),IF(M1411&lt;3,IF(O1411&lt;5,"低",IF(O1411&lt;16,"中","高")),IF(O1411&lt;5,"中","高"))))),IF(OR(J1411="EO",J1411="EQ"),IF(OR(Y1411="估算法",Y1411="算法类"),"中",IF(Y1411="无法识别","低",IF(M1411&lt;2,IF(O1411&lt;20,"低","中"),IF(M1411&lt;4,IF(O1411&lt;6,"低",IF(O1411&lt;20,"中","高")),IF(O1411&lt;6,"中","高"))))),IF(OR(J1411="ILF",J1411="EIF"),IF(OR(Y1411="估算法",Y1411="算法类",Y1411="无法识别"),"低",IF(N1411&lt;2,IF(O1411&lt;51,"低","中"),IF(N1411&lt;6,IF(O1411&lt;20,"低",IF(O1411&lt;51,"中","高")),IF(O1411&lt;20,"中","高")))),"不计算")))</f>
        <v/>
      </c>
      <c r="Q1411" s="172">
        <f>IFERROR(IF(J1411="EI",IF(P1411="低",3,IF(P1411="中",4,6)),IF(J1411="EO",IF(P1411="低",4,IF(P1411="中",5,7)),IF(J1411="EQ",IF(P1411="低",3,IF(P1411="中",4,6)),IF(J1411="ILF",IF(P1411="低",7,IF(P1411="中",10,15)),IF(J1411="EIF",IF(P1411="低",5,IF(P1411="中",7,10)),"不计算")))))*R1411,"不计算")</f>
        <v/>
      </c>
      <c r="R1411" s="172" t="n">
        <v>1</v>
      </c>
      <c r="S1411" s="173">
        <f>调整因子!$F$13</f>
        <v/>
      </c>
      <c r="T1411" s="93" t="n">
        <v>1</v>
      </c>
      <c r="U1411" s="174">
        <f>IFERROR(Q1411*S1411,0)</f>
        <v/>
      </c>
      <c r="V1411" s="178">
        <f>U1411*T1411</f>
        <v/>
      </c>
      <c r="W1411" s="103" t="inlineStr">
        <is>
          <t>复测配置表</t>
        </is>
      </c>
      <c r="X1411" s="103" t="inlineStr"/>
      <c r="Y1411" s="97" t="inlineStr">
        <is>
          <t>复测配置表{配置ID、配置名称|配置ID、配置名称、配置类型、配置值、创建时间}</t>
        </is>
      </c>
      <c r="Z1411" s="90" t="n"/>
      <c r="AA1411" s="90" t="n"/>
    </row>
    <row r="1412" s="112">
      <c r="A1412" s="72">
        <f>ROW()-1</f>
        <v/>
      </c>
      <c r="B1412" s="175" t="n"/>
      <c r="C1412" s="124" t="n">
        <v>2026</v>
      </c>
      <c r="E1412" s="103" t="n"/>
      <c r="F1412" s="175" t="n"/>
      <c r="G1412" s="175" t="n"/>
      <c r="H1412" s="97" t="inlineStr">
        <is>
          <t>态势可视化展示</t>
        </is>
      </c>
      <c r="I1412" s="103" t="inlineStr">
        <is>
          <t>编辑可视化布局</t>
        </is>
      </c>
      <c r="J1412" s="93" t="inlineStr">
        <is>
          <t>EI</t>
        </is>
      </c>
      <c r="K1412" s="102" t="n"/>
      <c r="L1412" s="102" t="n"/>
      <c r="M1412" s="85">
        <f>IF(OR(Y1412="估算法",Y1412="算法类",Y1412="无法识别"),"",IF(W1412="",IF(OR(J1412="EI",J1412="EO",J1412="EQ"),0,""),LEN(W1412)-LEN(SUBSTITUTE(W1412,"、",""))+1))</f>
        <v/>
      </c>
      <c r="N1412" s="85">
        <f>IF(OR(Y1412="估算法",Y1412="算法类",Y1412="无法识别"),"",IF(X1412="",IF(OR(J1412="ILF",J1412="EIF"),0,""),LEN(X1412)-LEN(SUBSTITUTE(X1412,"、",""))+1))</f>
        <v/>
      </c>
      <c r="O1412" s="85">
        <f>IF(OR(Y1412="估算法",Y1412="算法类",Y1412="无法识别"),"",IF(Y1412="",IF(OR(J1412="ILF",J1412="EIF",J1412="EI",J1412="EO",J1412="EQ"),0,""),LEN(Y1412)-LEN(SUBSTITUTE(SUBSTITUTE(SUBSTITUTE(SUBSTITUTE(SUBSTITUTE(Y1412,"|}","--"),"{|","--"),CHAR(10),""),"、",""),"|",""))+IF(AND(OR(J1412="EI",J1412="EO",J1412="EQ"),$AE$1="NESMA"),2,1)))</f>
        <v/>
      </c>
      <c r="P1412" s="86">
        <f>IF(J1412="EI",IF(OR(Y1412="估算法",Y1412="算法类"),"中",IF(Y1412="无法识别","低",IF(M1412&lt;2,IF(O1412&lt;16,"低","中"),IF(M1412&lt;3,IF(O1412&lt;5,"低",IF(O1412&lt;16,"中","高")),IF(O1412&lt;5,"中","高"))))),IF(OR(J1412="EO",J1412="EQ"),IF(OR(Y1412="估算法",Y1412="算法类"),"中",IF(Y1412="无法识别","低",IF(M1412&lt;2,IF(O1412&lt;20,"低","中"),IF(M1412&lt;4,IF(O1412&lt;6,"低",IF(O1412&lt;20,"中","高")),IF(O1412&lt;6,"中","高"))))),IF(OR(J1412="ILF",J1412="EIF"),IF(OR(Y1412="估算法",Y1412="算法类",Y1412="无法识别"),"低",IF(N1412&lt;2,IF(O1412&lt;51,"低","中"),IF(N1412&lt;6,IF(O1412&lt;20,"低",IF(O1412&lt;51,"中","高")),IF(O1412&lt;20,"中","高")))),"不计算")))</f>
        <v/>
      </c>
      <c r="Q1412" s="172">
        <f>IFERROR(IF(J1412="EI",IF(P1412="低",3,IF(P1412="中",4,6)),IF(J1412="EO",IF(P1412="低",4,IF(P1412="中",5,7)),IF(J1412="EQ",IF(P1412="低",3,IF(P1412="中",4,6)),IF(J1412="ILF",IF(P1412="低",7,IF(P1412="中",10,15)),IF(J1412="EIF",IF(P1412="低",5,IF(P1412="中",7,10)),"不计算")))))*R1412,"不计算")</f>
        <v/>
      </c>
      <c r="R1412" s="172" t="n">
        <v>1</v>
      </c>
      <c r="S1412" s="173">
        <f>调整因子!$F$13</f>
        <v/>
      </c>
      <c r="T1412" s="93" t="n">
        <v>1</v>
      </c>
      <c r="U1412" s="174">
        <f>IFERROR(Q1412*S1412,0)</f>
        <v/>
      </c>
      <c r="V1412" s="178">
        <f>U1412*T1412</f>
        <v/>
      </c>
      <c r="W1412" s="103" t="inlineStr">
        <is>
          <t>漏洞查询接口配置表</t>
        </is>
      </c>
      <c r="X1412" s="103" t="inlineStr"/>
      <c r="Y1412" s="97" t="inlineStr">
        <is>
          <t>漏洞查询接口配置表{漏洞ID、漏洞名称、漏洞等级、漏洞类型、CVE编号、发现时间、修复状态|漏洞ID、漏洞名称、漏洞等级}</t>
        </is>
      </c>
      <c r="Z1412" s="90" t="n"/>
      <c r="AA1412" s="90" t="n"/>
    </row>
    <row r="1413" s="112">
      <c r="A1413" s="72">
        <f>ROW()-1</f>
        <v/>
      </c>
      <c r="B1413" s="175" t="n"/>
      <c r="C1413" s="124" t="n">
        <v>2026</v>
      </c>
      <c r="E1413" s="103" t="n"/>
      <c r="F1413" s="175" t="n"/>
      <c r="G1413" s="175" t="n"/>
      <c r="H1413" s="175" t="n"/>
      <c r="I1413" s="103" t="inlineStr">
        <is>
          <t>删除可视化配置</t>
        </is>
      </c>
      <c r="J1413" s="93" t="inlineStr">
        <is>
          <t>EI</t>
        </is>
      </c>
      <c r="K1413" s="102" t="n"/>
      <c r="L1413" s="102" t="n"/>
      <c r="M1413" s="85">
        <f>IF(OR(Y1413="估算法",Y1413="算法类",Y1413="无法识别"),"",IF(W1413="",IF(OR(J1413="EI",J1413="EO",J1413="EQ"),0,""),LEN(W1413)-LEN(SUBSTITUTE(W1413,"、",""))+1))</f>
        <v/>
      </c>
      <c r="N1413" s="85">
        <f>IF(OR(Y1413="估算法",Y1413="算法类",Y1413="无法识别"),"",IF(X1413="",IF(OR(J1413="ILF",J1413="EIF"),0,""),LEN(X1413)-LEN(SUBSTITUTE(X1413,"、",""))+1))</f>
        <v/>
      </c>
      <c r="O1413" s="85">
        <f>IF(OR(Y1413="估算法",Y1413="算法类",Y1413="无法识别"),"",IF(Y1413="",IF(OR(J1413="ILF",J1413="EIF",J1413="EI",J1413="EO",J1413="EQ"),0,""),LEN(Y1413)-LEN(SUBSTITUTE(SUBSTITUTE(SUBSTITUTE(SUBSTITUTE(SUBSTITUTE(Y1413,"|}","--"),"{|","--"),CHAR(10),""),"、",""),"|",""))+IF(AND(OR(J1413="EI",J1413="EO",J1413="EQ"),$AE$1="NESMA"),2,1)))</f>
        <v/>
      </c>
      <c r="P1413" s="86">
        <f>IF(J1413="EI",IF(OR(Y1413="估算法",Y1413="算法类"),"中",IF(Y1413="无法识别","低",IF(M1413&lt;2,IF(O1413&lt;16,"低","中"),IF(M1413&lt;3,IF(O1413&lt;5,"低",IF(O1413&lt;16,"中","高")),IF(O1413&lt;5,"中","高"))))),IF(OR(J1413="EO",J1413="EQ"),IF(OR(Y1413="估算法",Y1413="算法类"),"中",IF(Y1413="无法识别","低",IF(M1413&lt;2,IF(O1413&lt;20,"低","中"),IF(M1413&lt;4,IF(O1413&lt;6,"低",IF(O1413&lt;20,"中","高")),IF(O1413&lt;6,"中","高"))))),IF(OR(J1413="ILF",J1413="EIF"),IF(OR(Y1413="估算法",Y1413="算法类",Y1413="无法识别"),"低",IF(N1413&lt;2,IF(O1413&lt;51,"低","中"),IF(N1413&lt;6,IF(O1413&lt;20,"低",IF(O1413&lt;51,"中","高")),IF(O1413&lt;20,"中","高")))),"不计算")))</f>
        <v/>
      </c>
      <c r="Q1413" s="172">
        <f>IFERROR(IF(J1413="EI",IF(P1413="低",3,IF(P1413="中",4,6)),IF(J1413="EO",IF(P1413="低",4,IF(P1413="中",5,7)),IF(J1413="EQ",IF(P1413="低",3,IF(P1413="中",4,6)),IF(J1413="ILF",IF(P1413="低",7,IF(P1413="中",10,15)),IF(J1413="EIF",IF(P1413="低",5,IF(P1413="中",7,10)),"不计算")))))*R1413,"不计算")</f>
        <v/>
      </c>
      <c r="R1413" s="172" t="n">
        <v>0.333333333333333</v>
      </c>
      <c r="S1413" s="173">
        <f>调整因子!$F$13</f>
        <v/>
      </c>
      <c r="T1413" s="92" t="n">
        <v>1</v>
      </c>
      <c r="U1413" s="174">
        <f>IFERROR(Q1413*S1413,0)</f>
        <v/>
      </c>
      <c r="V1413" s="178">
        <f>U1413*T1413</f>
        <v/>
      </c>
      <c r="W1413" s="103" t="inlineStr">
        <is>
          <t>任务优先级配置表</t>
        </is>
      </c>
      <c r="X1413" s="103" t="inlineStr"/>
      <c r="Y1413" s="97" t="inlineStr">
        <is>
          <t>任务优先级配置表{任务ID、任务名称、任务类型、任务状态、创建时间、执行时间|任务ID、任务名称、任务类型}</t>
        </is>
      </c>
      <c r="Z1413" s="90" t="n"/>
      <c r="AA1413" s="90" t="n"/>
    </row>
    <row r="1414" s="112">
      <c r="A1414" s="72">
        <f>ROW()-1</f>
        <v/>
      </c>
      <c r="B1414" s="175" t="n"/>
      <c r="C1414" s="124" t="n">
        <v>2026</v>
      </c>
      <c r="E1414" s="103" t="n"/>
      <c r="F1414" s="175" t="n"/>
      <c r="G1414" s="175" t="n"/>
      <c r="H1414" s="175" t="n"/>
      <c r="I1414" s="103" t="inlineStr">
        <is>
          <t>导出态势图表</t>
        </is>
      </c>
      <c r="J1414" s="93" t="inlineStr">
        <is>
          <t>EO</t>
        </is>
      </c>
      <c r="K1414" s="102" t="n"/>
      <c r="L1414" s="102" t="n"/>
      <c r="M1414" s="85">
        <f>IF(OR(Y1414="估算法",Y1414="算法类",Y1414="无法识别"),"",IF(W1414="",IF(OR(J1414="EI",J1414="EO",J1414="EQ"),0,""),LEN(W1414)-LEN(SUBSTITUTE(W1414,"、",""))+1))</f>
        <v/>
      </c>
      <c r="N1414" s="85">
        <f>IF(OR(Y1414="估算法",Y1414="算法类",Y1414="无法识别"),"",IF(X1414="",IF(OR(J1414="ILF",J1414="EIF"),0,""),LEN(X1414)-LEN(SUBSTITUTE(X1414,"、",""))+1))</f>
        <v/>
      </c>
      <c r="O1414" s="85">
        <f>IF(OR(Y1414="估算法",Y1414="算法类",Y1414="无法识别"),"",IF(Y1414="",IF(OR(J1414="ILF",J1414="EIF",J1414="EI",J1414="EO",J1414="EQ"),0,""),LEN(Y1414)-LEN(SUBSTITUTE(SUBSTITUTE(SUBSTITUTE(SUBSTITUTE(SUBSTITUTE(Y1414,"|}","--"),"{|","--"),CHAR(10),""),"、",""),"|",""))+IF(AND(OR(J1414="EI",J1414="EO",J1414="EQ"),$AE$1="NESMA"),2,1)))</f>
        <v/>
      </c>
      <c r="P1414" s="86">
        <f>IF(J1414="EI",IF(OR(Y1414="估算法",Y1414="算法类"),"中",IF(Y1414="无法识别","低",IF(M1414&lt;2,IF(O1414&lt;16,"低","中"),IF(M1414&lt;3,IF(O1414&lt;5,"低",IF(O1414&lt;16,"中","高")),IF(O1414&lt;5,"中","高"))))),IF(OR(J1414="EO",J1414="EQ"),IF(OR(Y1414="估算法",Y1414="算法类"),"中",IF(Y1414="无法识别","低",IF(M1414&lt;2,IF(O1414&lt;20,"低","中"),IF(M1414&lt;4,IF(O1414&lt;6,"低",IF(O1414&lt;20,"中","高")),IF(O1414&lt;6,"中","高"))))),IF(OR(J1414="ILF",J1414="EIF"),IF(OR(Y1414="估算法",Y1414="算法类",Y1414="无法识别"),"低",IF(N1414&lt;2,IF(O1414&lt;51,"低","中"),IF(N1414&lt;6,IF(O1414&lt;20,"低",IF(O1414&lt;51,"中","高")),IF(O1414&lt;20,"中","高")))),"不计算")))</f>
        <v/>
      </c>
      <c r="Q1414" s="172">
        <f>IFERROR(IF(J1414="EI",IF(P1414="低",3,IF(P1414="中",4,6)),IF(J1414="EO",IF(P1414="低",4,IF(P1414="中",5,7)),IF(J1414="EQ",IF(P1414="低",3,IF(P1414="中",4,6)),IF(J1414="ILF",IF(P1414="低",7,IF(P1414="中",10,15)),IF(J1414="EIF",IF(P1414="低",5,IF(P1414="中",7,10)),"不计算")))))*R1414,"不计算")</f>
        <v/>
      </c>
      <c r="R1414" s="172" t="n">
        <v>1</v>
      </c>
      <c r="S1414" s="173">
        <f>调整因子!$F$13</f>
        <v/>
      </c>
      <c r="T1414" s="92" t="n">
        <v>1</v>
      </c>
      <c r="U1414" s="174">
        <f>IFERROR(Q1414*S1414,0)</f>
        <v/>
      </c>
      <c r="V1414" s="178">
        <f>U1414*T1414</f>
        <v/>
      </c>
      <c r="W1414" s="103" t="inlineStr">
        <is>
          <t>处置单配置表、推送规则表</t>
        </is>
      </c>
      <c r="X1414" s="103" t="inlineStr"/>
      <c r="Y1414" s="97" t="inlineStr">
        <is>
          <t>处置单配置表{配置ID、配置名称|配置ID、配置名称、配置类型、配置值、创建时间}
推送规则表{规则ID、规则名称|规则ID、规则名称、规则类型、规则条件、创建时间}</t>
        </is>
      </c>
      <c r="Z1414" s="90" t="n"/>
      <c r="AA1414" s="90" t="n"/>
    </row>
    <row r="1415" s="112">
      <c r="A1415" s="72">
        <f>ROW()-1</f>
        <v/>
      </c>
      <c r="B1415" s="175" t="n"/>
      <c r="C1415" s="124" t="n">
        <v>2026</v>
      </c>
      <c r="E1415" s="103" t="n"/>
      <c r="F1415" s="175" t="n"/>
      <c r="G1415" s="175" t="n"/>
      <c r="H1415" s="175" t="n"/>
      <c r="I1415" s="103" t="inlineStr">
        <is>
          <t>查看态势大屏</t>
        </is>
      </c>
      <c r="J1415" s="93" t="inlineStr">
        <is>
          <t>EQ</t>
        </is>
      </c>
      <c r="K1415" s="102" t="n"/>
      <c r="L1415" s="102" t="n"/>
      <c r="M1415" s="85">
        <f>IF(OR(Y1415="估算法",Y1415="算法类",Y1415="无法识别"),"",IF(W1415="",IF(OR(J1415="EI",J1415="EO",J1415="EQ"),0,""),LEN(W1415)-LEN(SUBSTITUTE(W1415,"、",""))+1))</f>
        <v/>
      </c>
      <c r="N1415" s="85">
        <f>IF(OR(Y1415="估算法",Y1415="算法类",Y1415="无法识别"),"",IF(X1415="",IF(OR(J1415="ILF",J1415="EIF"),0,""),LEN(X1415)-LEN(SUBSTITUTE(X1415,"、",""))+1))</f>
        <v/>
      </c>
      <c r="O1415" s="85">
        <f>IF(OR(Y1415="估算法",Y1415="算法类",Y1415="无法识别"),"",IF(Y1415="",IF(OR(J1415="ILF",J1415="EIF",J1415="EI",J1415="EO",J1415="EQ"),0,""),LEN(Y1415)-LEN(SUBSTITUTE(SUBSTITUTE(SUBSTITUTE(SUBSTITUTE(SUBSTITUTE(Y1415,"|}","--"),"{|","--"),CHAR(10),""),"、",""),"|",""))+IF(AND(OR(J1415="EI",J1415="EO",J1415="EQ"),$AE$1="NESMA"),2,1)))</f>
        <v/>
      </c>
      <c r="P1415" s="86">
        <f>IF(J1415="EI",IF(OR(Y1415="估算法",Y1415="算法类"),"中",IF(Y1415="无法识别","低",IF(M1415&lt;2,IF(O1415&lt;16,"低","中"),IF(M1415&lt;3,IF(O1415&lt;5,"低",IF(O1415&lt;16,"中","高")),IF(O1415&lt;5,"中","高"))))),IF(OR(J1415="EO",J1415="EQ"),IF(OR(Y1415="估算法",Y1415="算法类"),"中",IF(Y1415="无法识别","低",IF(M1415&lt;2,IF(O1415&lt;20,"低","中"),IF(M1415&lt;4,IF(O1415&lt;6,"低",IF(O1415&lt;20,"中","高")),IF(O1415&lt;6,"中","高"))))),IF(OR(J1415="ILF",J1415="EIF"),IF(OR(Y1415="估算法",Y1415="算法类",Y1415="无法识别"),"低",IF(N1415&lt;2,IF(O1415&lt;51,"低","中"),IF(N1415&lt;6,IF(O1415&lt;20,"低",IF(O1415&lt;51,"中","高")),IF(O1415&lt;20,"中","高")))),"不计算")))</f>
        <v/>
      </c>
      <c r="Q1415" s="172">
        <f>IFERROR(IF(J1415="EI",IF(P1415="低",3,IF(P1415="中",4,6)),IF(J1415="EO",IF(P1415="低",4,IF(P1415="中",5,7)),IF(J1415="EQ",IF(P1415="低",3,IF(P1415="中",4,6)),IF(J1415="ILF",IF(P1415="低",7,IF(P1415="中",10,15)),IF(J1415="EIF",IF(P1415="低",5,IF(P1415="中",7,10)),"不计算")))))*R1415,"不计算")</f>
        <v/>
      </c>
      <c r="R1415" s="172" t="n">
        <v>1</v>
      </c>
      <c r="S1415" s="173">
        <f>调整因子!$F$13</f>
        <v/>
      </c>
      <c r="T1415" s="93" t="n">
        <v>1</v>
      </c>
      <c r="U1415" s="174">
        <f>IFERROR(Q1415*S1415,0)</f>
        <v/>
      </c>
      <c r="V1415" s="178">
        <f>U1415*T1415</f>
        <v/>
      </c>
      <c r="W1415" s="103" t="inlineStr">
        <is>
          <t>指标阈值表、报告解析结果表</t>
        </is>
      </c>
      <c r="X1415" s="103" t="inlineStr"/>
      <c r="Y1415" s="97" t="inlineStr">
        <is>
          <t>指标阈值表{ID、名称|ID、名称、类型、状态、创建时间、更新时间}
报告解析结果表{ID、名称|ID、名称、类型、状态、创建时间、更新时间}</t>
        </is>
      </c>
      <c r="Z1415" s="90" t="n"/>
      <c r="AA1415" s="90" t="n"/>
    </row>
    <row r="1416" s="112">
      <c r="A1416" s="72">
        <f>ROW()-1</f>
        <v/>
      </c>
      <c r="B1416" s="175" t="n"/>
      <c r="C1416" s="124" t="n">
        <v>2026</v>
      </c>
      <c r="E1416" s="103" t="n"/>
      <c r="F1416" s="175" t="n"/>
      <c r="G1416" s="176" t="n"/>
      <c r="H1416" s="176" t="n"/>
      <c r="I1416" s="103" t="inlineStr">
        <is>
          <t>查看分布视图</t>
        </is>
      </c>
      <c r="J1416" s="93" t="n"/>
      <c r="K1416" s="102" t="n"/>
      <c r="L1416" s="102" t="inlineStr">
        <is>
          <t>和上行合并</t>
        </is>
      </c>
      <c r="M1416" s="85">
        <f>IF(OR(Y1416="估算法",Y1416="算法类",Y1416="无法识别"),"",IF(W1416="",IF(OR(J1416="EI",J1416="EO",J1416="EQ"),0,""),LEN(W1416)-LEN(SUBSTITUTE(W1416,"、",""))+1))</f>
        <v/>
      </c>
      <c r="N1416" s="85">
        <f>IF(OR(Y1416="估算法",Y1416="算法类",Y1416="无法识别"),"",IF(X1416="",IF(OR(J1416="ILF",J1416="EIF"),0,""),LEN(X1416)-LEN(SUBSTITUTE(X1416,"、",""))+1))</f>
        <v/>
      </c>
      <c r="O1416" s="85">
        <f>IF(OR(Y1416="估算法",Y1416="算法类",Y1416="无法识别"),"",IF(Y1416="",IF(OR(J1416="ILF",J1416="EIF",J1416="EI",J1416="EO",J1416="EQ"),0,""),LEN(Y1416)-LEN(SUBSTITUTE(SUBSTITUTE(SUBSTITUTE(SUBSTITUTE(SUBSTITUTE(Y1416,"|}","--"),"{|","--"),CHAR(10),""),"、",""),"|",""))+IF(AND(OR(J1416="EI",J1416="EO",J1416="EQ"),$AE$1="NESMA"),2,1)))</f>
        <v/>
      </c>
      <c r="P1416" s="86">
        <f>IF(J1416="EI",IF(OR(Y1416="估算法",Y1416="算法类"),"中",IF(Y1416="无法识别","低",IF(M1416&lt;2,IF(O1416&lt;16,"低","中"),IF(M1416&lt;3,IF(O1416&lt;5,"低",IF(O1416&lt;16,"中","高")),IF(O1416&lt;5,"中","高"))))),IF(OR(J1416="EO",J1416="EQ"),IF(OR(Y1416="估算法",Y1416="算法类"),"中",IF(Y1416="无法识别","低",IF(M1416&lt;2,IF(O1416&lt;20,"低","中"),IF(M1416&lt;4,IF(O1416&lt;6,"低",IF(O1416&lt;20,"中","高")),IF(O1416&lt;6,"中","高"))))),IF(OR(J1416="ILF",J1416="EIF"),IF(OR(Y1416="估算法",Y1416="算法类",Y1416="无法识别"),"低",IF(N1416&lt;2,IF(O1416&lt;51,"低","中"),IF(N1416&lt;6,IF(O1416&lt;20,"低",IF(O1416&lt;51,"中","高")),IF(O1416&lt;20,"中","高")))),"不计算")))</f>
        <v/>
      </c>
      <c r="Q1416" s="172">
        <f>IFERROR(IF(J1416="EI",IF(P1416="低",3,IF(P1416="中",4,6)),IF(J1416="EO",IF(P1416="低",4,IF(P1416="中",5,7)),IF(J1416="EQ",IF(P1416="低",3,IF(P1416="中",4,6)),IF(J1416="ILF",IF(P1416="低",7,IF(P1416="中",10,15)),IF(J1416="EIF",IF(P1416="低",5,IF(P1416="中",7,10)),"不计算")))))*R1416,"不计算")</f>
        <v/>
      </c>
      <c r="R1416" s="172" t="n">
        <v>1</v>
      </c>
      <c r="S1416" s="173">
        <f>调整因子!$F$13</f>
        <v/>
      </c>
      <c r="T1416" s="92" t="n">
        <v>1</v>
      </c>
      <c r="U1416" s="174">
        <f>IFERROR(Q1416*S1416,0)</f>
        <v/>
      </c>
      <c r="V1416" s="178">
        <f>U1416*T1416</f>
        <v/>
      </c>
      <c r="W1416" s="103" t="inlineStr">
        <is>
          <t>提醒策略配置表</t>
        </is>
      </c>
      <c r="X1416" s="103" t="inlineStr"/>
      <c r="Y1416" s="97" t="inlineStr">
        <is>
          <t>提醒策略配置表{配置ID、配置名称|配置ID、配置名称、配置类型、配置值、创建时间}</t>
        </is>
      </c>
      <c r="Z1416" s="90" t="n"/>
      <c r="AA1416" s="90" t="n"/>
    </row>
    <row r="1417" s="112">
      <c r="A1417" s="72">
        <f>ROW()-1</f>
        <v/>
      </c>
      <c r="B1417" s="175" t="n"/>
      <c r="C1417" s="124" t="n">
        <v>2026</v>
      </c>
      <c r="E1417" s="103" t="n"/>
      <c r="F1417" s="175" t="n"/>
      <c r="G1417" s="97" t="inlineStr">
        <is>
          <t>漏洞白名单管理</t>
        </is>
      </c>
      <c r="H1417" s="97" t="inlineStr">
        <is>
          <t>漏洞分布统计</t>
        </is>
      </c>
      <c r="I1417" s="103" t="inlineStr">
        <is>
          <t>漏洞统计数据表</t>
        </is>
      </c>
      <c r="J1417" s="93" t="inlineStr">
        <is>
          <t>ILF</t>
        </is>
      </c>
      <c r="K1417" s="102" t="n"/>
      <c r="L1417" s="102" t="n"/>
      <c r="M1417" s="85">
        <f>IF(OR(Y1417="估算法",Y1417="算法类",Y1417="无法识别"),"",IF(W1417="",IF(OR(J1417="EI",J1417="EO",J1417="EQ"),0,""),LEN(W1417)-LEN(SUBSTITUTE(W1417,"、",""))+1))</f>
        <v/>
      </c>
      <c r="N1417" s="85">
        <f>IF(OR(Y1417="估算法",Y1417="算法类",Y1417="无法识别"),"",IF(X1417="",IF(OR(J1417="ILF",J1417="EIF"),0,""),LEN(X1417)-LEN(SUBSTITUTE(X1417,"、",""))+1))</f>
        <v/>
      </c>
      <c r="O1417" s="85">
        <f>IF(OR(Y1417="估算法",Y1417="算法类",Y1417="无法识别"),"",IF(Y1417="",IF(OR(J1417="ILF",J1417="EIF",J1417="EI",J1417="EO",J1417="EQ"),0,""),LEN(Y1417)-LEN(SUBSTITUTE(SUBSTITUTE(SUBSTITUTE(SUBSTITUTE(SUBSTITUTE(Y1417,"|}","--"),"{|","--"),CHAR(10),""),"、",""),"|",""))+IF(AND(OR(J1417="EI",J1417="EO",J1417="EQ"),$AE$1="NESMA"),2,1)))</f>
        <v/>
      </c>
      <c r="P1417" s="86">
        <f>IF(J1417="EI",IF(OR(Y1417="估算法",Y1417="算法类"),"中",IF(Y1417="无法识别","低",IF(M1417&lt;2,IF(O1417&lt;16,"低","中"),IF(M1417&lt;3,IF(O1417&lt;5,"低",IF(O1417&lt;16,"中","高")),IF(O1417&lt;5,"中","高"))))),IF(OR(J1417="EO",J1417="EQ"),IF(OR(Y1417="估算法",Y1417="算法类"),"中",IF(Y1417="无法识别","低",IF(M1417&lt;2,IF(O1417&lt;20,"低","中"),IF(M1417&lt;4,IF(O1417&lt;6,"低",IF(O1417&lt;20,"中","高")),IF(O1417&lt;6,"中","高"))))),IF(OR(J1417="ILF",J1417="EIF"),IF(OR(Y1417="估算法",Y1417="算法类",Y1417="无法识别"),"低",IF(N1417&lt;2,IF(O1417&lt;51,"低","中"),IF(N1417&lt;6,IF(O1417&lt;20,"低",IF(O1417&lt;51,"中","高")),IF(O1417&lt;20,"中","高")))),"不计算")))</f>
        <v/>
      </c>
      <c r="Q1417" s="172">
        <f>IFERROR(IF(J1417="EI",IF(P1417="低",3,IF(P1417="中",4,6)),IF(J1417="EO",IF(P1417="低",4,IF(P1417="中",5,7)),IF(J1417="EQ",IF(P1417="低",3,IF(P1417="中",4,6)),IF(J1417="ILF",IF(P1417="低",7,IF(P1417="中",10,15)),IF(J1417="EIF",IF(P1417="低",5,IF(P1417="中",7,10)),"不计算")))))*R1417,"不计算")</f>
        <v/>
      </c>
      <c r="R1417" s="172" t="n">
        <v>1</v>
      </c>
      <c r="S1417" s="173">
        <f>调整因子!$F$13</f>
        <v/>
      </c>
      <c r="T1417" s="92" t="n">
        <v>1</v>
      </c>
      <c r="U1417" s="174">
        <f>IFERROR(Q1417*S1417,0)</f>
        <v/>
      </c>
      <c r="V1417" s="178">
        <f>U1417*T1417</f>
        <v/>
      </c>
      <c r="W1417" s="103" t="inlineStr"/>
      <c r="X1417" s="103" t="inlineStr">
        <is>
          <t>系统漏洞、Web漏洞、弱口令</t>
        </is>
      </c>
      <c r="Y1417" s="97" t="inlineStr">
        <is>
          <t>漏洞统计数据表{漏洞ID、漏洞名称、漏洞等级|漏洞ID、漏洞名称、漏洞等级、漏洞类型、CVE编号、发现时间、修复状态}</t>
        </is>
      </c>
      <c r="Z1417" s="90">
        <f>IF(COUNTIFS(W:W,"*"&amp;I1417&amp;"*")&gt;0,"存在","不存在")</f>
        <v/>
      </c>
      <c r="AA1417" s="90">
        <f>IF(COUNTIFS(AB:AB,"*"&amp;I1417&amp;"*")&gt;0,"存在","不存在")</f>
        <v/>
      </c>
    </row>
    <row r="1418" s="112">
      <c r="A1418" s="72">
        <f>ROW()-1</f>
        <v/>
      </c>
      <c r="B1418" s="175" t="n"/>
      <c r="C1418" s="124" t="n">
        <v>2026</v>
      </c>
      <c r="E1418" s="103" t="n"/>
      <c r="F1418" s="175" t="n"/>
      <c r="G1418" s="175" t="n"/>
      <c r="H1418" s="175" t="n"/>
      <c r="I1418" s="103" t="inlineStr">
        <is>
          <t>分布分析表</t>
        </is>
      </c>
      <c r="J1418" s="93" t="inlineStr">
        <is>
          <t>ILF</t>
        </is>
      </c>
      <c r="K1418" s="102" t="n"/>
      <c r="L1418" s="102" t="n"/>
      <c r="M1418" s="85">
        <f>IF(OR(Y1418="估算法",Y1418="算法类",Y1418="无法识别"),"",IF(W1418="",IF(OR(J1418="EI",J1418="EO",J1418="EQ"),0,""),LEN(W1418)-LEN(SUBSTITUTE(W1418,"、",""))+1))</f>
        <v/>
      </c>
      <c r="N1418" s="85">
        <f>IF(OR(Y1418="估算法",Y1418="算法类",Y1418="无法识别"),"",IF(X1418="",IF(OR(J1418="ILF",J1418="EIF"),0,""),LEN(X1418)-LEN(SUBSTITUTE(X1418,"、",""))+1))</f>
        <v/>
      </c>
      <c r="O1418" s="85">
        <f>IF(OR(Y1418="估算法",Y1418="算法类",Y1418="无法识别"),"",IF(Y1418="",IF(OR(J1418="ILF",J1418="EIF",J1418="EI",J1418="EO",J1418="EQ"),0,""),LEN(Y1418)-LEN(SUBSTITUTE(SUBSTITUTE(SUBSTITUTE(SUBSTITUTE(SUBSTITUTE(Y1418,"|}","--"),"{|","--"),CHAR(10),""),"、",""),"|",""))+IF(AND(OR(J1418="EI",J1418="EO",J1418="EQ"),$AE$1="NESMA"),2,1)))</f>
        <v/>
      </c>
      <c r="P1418" s="86">
        <f>IF(J1418="EI",IF(OR(Y1418="估算法",Y1418="算法类"),"中",IF(Y1418="无法识别","低",IF(M1418&lt;2,IF(O1418&lt;16,"低","中"),IF(M1418&lt;3,IF(O1418&lt;5,"低",IF(O1418&lt;16,"中","高")),IF(O1418&lt;5,"中","高"))))),IF(OR(J1418="EO",J1418="EQ"),IF(OR(Y1418="估算法",Y1418="算法类"),"中",IF(Y1418="无法识别","低",IF(M1418&lt;2,IF(O1418&lt;20,"低","中"),IF(M1418&lt;4,IF(O1418&lt;6,"低",IF(O1418&lt;20,"中","高")),IF(O1418&lt;6,"中","高"))))),IF(OR(J1418="ILF",J1418="EIF"),IF(OR(Y1418="估算法",Y1418="算法类",Y1418="无法识别"),"低",IF(N1418&lt;2,IF(O1418&lt;51,"低","中"),IF(N1418&lt;6,IF(O1418&lt;20,"低",IF(O1418&lt;51,"中","高")),IF(O1418&lt;20,"中","高")))),"不计算")))</f>
        <v/>
      </c>
      <c r="Q1418" s="172">
        <f>IFERROR(IF(J1418="EI",IF(P1418="低",3,IF(P1418="中",4,6)),IF(J1418="EO",IF(P1418="低",4,IF(P1418="中",5,7)),IF(J1418="EQ",IF(P1418="低",3,IF(P1418="中",4,6)),IF(J1418="ILF",IF(P1418="低",7,IF(P1418="中",10,15)),IF(J1418="EIF",IF(P1418="低",5,IF(P1418="中",7,10)),"不计算")))))*R1418,"不计算")</f>
        <v/>
      </c>
      <c r="R1418" s="172" t="n">
        <v>1</v>
      </c>
      <c r="S1418" s="173">
        <f>调整因子!$F$13</f>
        <v/>
      </c>
      <c r="T1418" s="93" t="n">
        <v>1</v>
      </c>
      <c r="U1418" s="174">
        <f>IFERROR(Q1418*S1418,0)</f>
        <v/>
      </c>
      <c r="V1418" s="178">
        <f>U1418*T1418</f>
        <v/>
      </c>
      <c r="W1418" s="103" t="inlineStr"/>
      <c r="X1418" s="103" t="inlineStr">
        <is>
          <t>数据记录</t>
        </is>
      </c>
      <c r="Y1418" s="97" t="inlineStr">
        <is>
          <t>分布分析表{ID、名称、类型|ID、名称、类型、状态、创建时间、更新时间}</t>
        </is>
      </c>
      <c r="Z1418" s="90">
        <f>IF(COUNTIFS(W:W,"*"&amp;I1418&amp;"*")&gt;0,"存在","不存在")</f>
        <v/>
      </c>
      <c r="AA1418" s="90">
        <f>IF(COUNTIFS(AB:AB,"*"&amp;I1418&amp;"*")&gt;0,"存在","不存在")</f>
        <v/>
      </c>
    </row>
    <row r="1419" s="112">
      <c r="A1419" s="72">
        <f>ROW()-1</f>
        <v/>
      </c>
      <c r="B1419" s="175" t="n"/>
      <c r="C1419" s="124" t="n">
        <v>2026</v>
      </c>
      <c r="E1419" s="103" t="n"/>
      <c r="F1419" s="175" t="n"/>
      <c r="G1419" s="175" t="n"/>
      <c r="H1419" s="175" t="n"/>
      <c r="I1419" s="103" t="inlineStr">
        <is>
          <t>统计漏洞分布</t>
        </is>
      </c>
      <c r="J1419" s="93" t="inlineStr">
        <is>
          <t>EO</t>
        </is>
      </c>
      <c r="K1419" s="102" t="n"/>
      <c r="L1419" s="102" t="n"/>
      <c r="M1419" s="85">
        <f>IF(OR(Y1419="估算法",Y1419="算法类",Y1419="无法识别"),"",IF(W1419="",IF(OR(J1419="EI",J1419="EO",J1419="EQ"),0,""),LEN(W1419)-LEN(SUBSTITUTE(W1419,"、",""))+1))</f>
        <v/>
      </c>
      <c r="N1419" s="85">
        <f>IF(OR(Y1419="估算法",Y1419="算法类",Y1419="无法识别"),"",IF(X1419="",IF(OR(J1419="ILF",J1419="EIF"),0,""),LEN(X1419)-LEN(SUBSTITUTE(X1419,"、",""))+1))</f>
        <v/>
      </c>
      <c r="O1419" s="85">
        <f>IF(OR(Y1419="估算法",Y1419="算法类",Y1419="无法识别"),"",IF(Y1419="",IF(OR(J1419="ILF",J1419="EIF",J1419="EI",J1419="EO",J1419="EQ"),0,""),LEN(Y1419)-LEN(SUBSTITUTE(SUBSTITUTE(SUBSTITUTE(SUBSTITUTE(SUBSTITUTE(Y1419,"|}","--"),"{|","--"),CHAR(10),""),"、",""),"|",""))+IF(AND(OR(J1419="EI",J1419="EO",J1419="EQ"),$AE$1="NESMA"),2,1)))</f>
        <v/>
      </c>
      <c r="P1419" s="86">
        <f>IF(J1419="EI",IF(OR(Y1419="估算法",Y1419="算法类"),"中",IF(Y1419="无法识别","低",IF(M1419&lt;2,IF(O1419&lt;16,"低","中"),IF(M1419&lt;3,IF(O1419&lt;5,"低",IF(O1419&lt;16,"中","高")),IF(O1419&lt;5,"中","高"))))),IF(OR(J1419="EO",J1419="EQ"),IF(OR(Y1419="估算法",Y1419="算法类"),"中",IF(Y1419="无法识别","低",IF(M1419&lt;2,IF(O1419&lt;20,"低","中"),IF(M1419&lt;4,IF(O1419&lt;6,"低",IF(O1419&lt;20,"中","高")),IF(O1419&lt;6,"中","高"))))),IF(OR(J1419="ILF",J1419="EIF"),IF(OR(Y1419="估算法",Y1419="算法类",Y1419="无法识别"),"低",IF(N1419&lt;2,IF(O1419&lt;51,"低","中"),IF(N1419&lt;6,IF(O1419&lt;20,"低",IF(O1419&lt;51,"中","高")),IF(O1419&lt;20,"中","高")))),"不计算")))</f>
        <v/>
      </c>
      <c r="Q1419" s="172">
        <f>IFERROR(IF(J1419="EI",IF(P1419="低",3,IF(P1419="中",4,6)),IF(J1419="EO",IF(P1419="低",4,IF(P1419="中",5,7)),IF(J1419="EQ",IF(P1419="低",3,IF(P1419="中",4,6)),IF(J1419="ILF",IF(P1419="低",7,IF(P1419="中",10,15)),IF(J1419="EIF",IF(P1419="低",5,IF(P1419="中",7,10)),"不计算")))))*R1419,"不计算")</f>
        <v/>
      </c>
      <c r="R1419" s="172" t="n">
        <v>1</v>
      </c>
      <c r="S1419" s="173">
        <f>调整因子!$F$13</f>
        <v/>
      </c>
      <c r="T1419" s="93" t="n">
        <v>1</v>
      </c>
      <c r="U1419" s="174">
        <f>IFERROR(Q1419*S1419,0)</f>
        <v/>
      </c>
      <c r="V1419" s="178">
        <f>U1419*T1419</f>
        <v/>
      </c>
      <c r="W1419" s="103" t="inlineStr">
        <is>
          <t>漏洞处置单表</t>
        </is>
      </c>
      <c r="X1419" s="103" t="inlineStr"/>
      <c r="Y1419" s="97" t="inlineStr">
        <is>
          <t>漏洞处置单表{漏洞ID、漏洞名称、漏洞等级、漏洞类型、CVE编号、发现时间、修复状态|漏洞ID、漏洞名称、漏洞等级}</t>
        </is>
      </c>
      <c r="Z1419" s="90" t="n"/>
      <c r="AA1419" s="90" t="n"/>
    </row>
    <row r="1420" s="112">
      <c r="A1420" s="72">
        <f>ROW()-1</f>
        <v/>
      </c>
      <c r="B1420" s="175" t="n"/>
      <c r="C1420" s="124" t="n">
        <v>2026</v>
      </c>
      <c r="E1420" s="103" t="n"/>
      <c r="F1420" s="175" t="n"/>
      <c r="G1420" s="175" t="n"/>
      <c r="H1420" s="175" t="n"/>
      <c r="I1420" s="103" t="inlineStr">
        <is>
          <t>分析漏洞等级分布</t>
        </is>
      </c>
      <c r="J1420" s="93" t="n"/>
      <c r="K1420" s="102" t="n"/>
      <c r="L1420" s="102" t="inlineStr">
        <is>
          <t>和上行合并</t>
        </is>
      </c>
      <c r="M1420" s="85">
        <f>IF(OR(Y1420="估算法",Y1420="算法类",Y1420="无法识别"),"",IF(W1420="",IF(OR(J1420="EI",J1420="EO",J1420="EQ"),0,""),LEN(W1420)-LEN(SUBSTITUTE(W1420,"、",""))+1))</f>
        <v/>
      </c>
      <c r="N1420" s="85">
        <f>IF(OR(Y1420="估算法",Y1420="算法类",Y1420="无法识别"),"",IF(X1420="",IF(OR(J1420="ILF",J1420="EIF"),0,""),LEN(X1420)-LEN(SUBSTITUTE(X1420,"、",""))+1))</f>
        <v/>
      </c>
      <c r="O1420" s="85">
        <f>IF(OR(Y1420="估算法",Y1420="算法类",Y1420="无法识别"),"",IF(Y1420="",IF(OR(J1420="ILF",J1420="EIF",J1420="EI",J1420="EO",J1420="EQ"),0,""),LEN(Y1420)-LEN(SUBSTITUTE(SUBSTITUTE(SUBSTITUTE(SUBSTITUTE(SUBSTITUTE(Y1420,"|}","--"),"{|","--"),CHAR(10),""),"、",""),"|",""))+IF(AND(OR(J1420="EI",J1420="EO",J1420="EQ"),$AE$1="NESMA"),2,1)))</f>
        <v/>
      </c>
      <c r="P1420" s="86">
        <f>IF(J1420="EI",IF(OR(Y1420="估算法",Y1420="算法类"),"中",IF(Y1420="无法识别","低",IF(M1420&lt;2,IF(O1420&lt;16,"低","中"),IF(M1420&lt;3,IF(O1420&lt;5,"低",IF(O1420&lt;16,"中","高")),IF(O1420&lt;5,"中","高"))))),IF(OR(J1420="EO",J1420="EQ"),IF(OR(Y1420="估算法",Y1420="算法类"),"中",IF(Y1420="无法识别","低",IF(M1420&lt;2,IF(O1420&lt;20,"低","中"),IF(M1420&lt;4,IF(O1420&lt;6,"低",IF(O1420&lt;20,"中","高")),IF(O1420&lt;6,"中","高"))))),IF(OR(J1420="ILF",J1420="EIF"),IF(OR(Y1420="估算法",Y1420="算法类",Y1420="无法识别"),"低",IF(N1420&lt;2,IF(O1420&lt;51,"低","中"),IF(N1420&lt;6,IF(O1420&lt;20,"低",IF(O1420&lt;51,"中","高")),IF(O1420&lt;20,"中","高")))),"不计算")))</f>
        <v/>
      </c>
      <c r="Q1420" s="172">
        <f>IFERROR(IF(J1420="EI",IF(P1420="低",3,IF(P1420="中",4,6)),IF(J1420="EO",IF(P1420="低",4,IF(P1420="中",5,7)),IF(J1420="EQ",IF(P1420="低",3,IF(P1420="中",4,6)),IF(J1420="ILF",IF(P1420="低",7,IF(P1420="中",10,15)),IF(J1420="EIF",IF(P1420="低",5,IF(P1420="中",7,10)),"不计算")))))*R1420,"不计算")</f>
        <v/>
      </c>
      <c r="R1420" s="172" t="n">
        <v>1</v>
      </c>
      <c r="S1420" s="173">
        <f>调整因子!$F$13</f>
        <v/>
      </c>
      <c r="T1420" s="92" t="n">
        <v>1</v>
      </c>
      <c r="U1420" s="174">
        <f>IFERROR(Q1420*S1420,0)</f>
        <v/>
      </c>
      <c r="V1420" s="178">
        <f>U1420*T1420</f>
        <v/>
      </c>
      <c r="W1420" s="103" t="inlineStr">
        <is>
          <t>漏洞处置单表、漏洞统计数据表</t>
        </is>
      </c>
      <c r="X1420" s="103" t="inlineStr"/>
      <c r="Y1420"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420" s="90" t="n"/>
      <c r="AA1420" s="90" t="n"/>
    </row>
    <row r="1421" s="112">
      <c r="A1421" s="72">
        <f>ROW()-1</f>
        <v/>
      </c>
      <c r="B1421" s="175" t="n"/>
      <c r="C1421" s="124" t="n">
        <v>2026</v>
      </c>
      <c r="E1421" s="103" t="n"/>
      <c r="F1421" s="175" t="n"/>
      <c r="G1421" s="175" t="n"/>
      <c r="H1421" s="175" t="n"/>
      <c r="I1421" s="103" t="inlineStr">
        <is>
          <t>分析漏洞类型分布</t>
        </is>
      </c>
      <c r="J1421" s="93" t="n"/>
      <c r="K1421" s="102" t="n"/>
      <c r="L1421" s="102" t="inlineStr">
        <is>
          <t>和上行合并</t>
        </is>
      </c>
      <c r="M1421" s="85">
        <f>IF(OR(Y1421="估算法",Y1421="算法类",Y1421="无法识别"),"",IF(W1421="",IF(OR(J1421="EI",J1421="EO",J1421="EQ"),0,""),LEN(W1421)-LEN(SUBSTITUTE(W1421,"、",""))+1))</f>
        <v/>
      </c>
      <c r="N1421" s="85">
        <f>IF(OR(Y1421="估算法",Y1421="算法类",Y1421="无法识别"),"",IF(X1421="",IF(OR(J1421="ILF",J1421="EIF"),0,""),LEN(X1421)-LEN(SUBSTITUTE(X1421,"、",""))+1))</f>
        <v/>
      </c>
      <c r="O1421" s="85">
        <f>IF(OR(Y1421="估算法",Y1421="算法类",Y1421="无法识别"),"",IF(Y1421="",IF(OR(J1421="ILF",J1421="EIF",J1421="EI",J1421="EO",J1421="EQ"),0,""),LEN(Y1421)-LEN(SUBSTITUTE(SUBSTITUTE(SUBSTITUTE(SUBSTITUTE(SUBSTITUTE(Y1421,"|}","--"),"{|","--"),CHAR(10),""),"、",""),"|",""))+IF(AND(OR(J1421="EI",J1421="EO",J1421="EQ"),$AE$1="NESMA"),2,1)))</f>
        <v/>
      </c>
      <c r="P1421" s="86">
        <f>IF(J1421="EI",IF(OR(Y1421="估算法",Y1421="算法类"),"中",IF(Y1421="无法识别","低",IF(M1421&lt;2,IF(O1421&lt;16,"低","中"),IF(M1421&lt;3,IF(O1421&lt;5,"低",IF(O1421&lt;16,"中","高")),IF(O1421&lt;5,"中","高"))))),IF(OR(J1421="EO",J1421="EQ"),IF(OR(Y1421="估算法",Y1421="算法类"),"中",IF(Y1421="无法识别","低",IF(M1421&lt;2,IF(O1421&lt;20,"低","中"),IF(M1421&lt;4,IF(O1421&lt;6,"低",IF(O1421&lt;20,"中","高")),IF(O1421&lt;6,"中","高"))))),IF(OR(J1421="ILF",J1421="EIF"),IF(OR(Y1421="估算法",Y1421="算法类",Y1421="无法识别"),"低",IF(N1421&lt;2,IF(O1421&lt;51,"低","中"),IF(N1421&lt;6,IF(O1421&lt;20,"低",IF(O1421&lt;51,"中","高")),IF(O1421&lt;20,"中","高")))),"不计算")))</f>
        <v/>
      </c>
      <c r="Q1421" s="172">
        <f>IFERROR(IF(J1421="EI",IF(P1421="低",3,IF(P1421="中",4,6)),IF(J1421="EO",IF(P1421="低",4,IF(P1421="中",5,7)),IF(J1421="EQ",IF(P1421="低",3,IF(P1421="中",4,6)),IF(J1421="ILF",IF(P1421="低",7,IF(P1421="中",10,15)),IF(J1421="EIF",IF(P1421="低",5,IF(P1421="中",7,10)),"不计算")))))*R1421,"不计算")</f>
        <v/>
      </c>
      <c r="R1421" s="172" t="n">
        <v>1</v>
      </c>
      <c r="S1421" s="173">
        <f>调整因子!$F$13</f>
        <v/>
      </c>
      <c r="T1421" s="92" t="n">
        <v>1</v>
      </c>
      <c r="U1421" s="174">
        <f>IFERROR(Q1421*S1421,0)</f>
        <v/>
      </c>
      <c r="V1421" s="178">
        <f>U1421*T1421</f>
        <v/>
      </c>
      <c r="W1421" s="103" t="inlineStr">
        <is>
          <t>漏洞处置单表</t>
        </is>
      </c>
      <c r="X1421" s="103" t="inlineStr"/>
      <c r="Y1421" s="97" t="inlineStr">
        <is>
          <t>漏洞处置单表{漏洞ID、漏洞名称、漏洞等级、漏洞类型、CVE编号、发现时间、修复状态|漏洞ID、漏洞名称、漏洞等级}</t>
        </is>
      </c>
      <c r="Z1421" s="90" t="n"/>
      <c r="AA1421" s="90" t="n"/>
    </row>
    <row r="1422" s="112">
      <c r="A1422" s="72">
        <f>ROW()-1</f>
        <v/>
      </c>
      <c r="B1422" s="175" t="n"/>
      <c r="C1422" s="124" t="n">
        <v>2026</v>
      </c>
      <c r="E1422" s="103" t="n"/>
      <c r="F1422" s="175" t="n"/>
      <c r="G1422" s="175" t="n"/>
      <c r="H1422" s="175" t="n"/>
      <c r="I1422" s="103" t="inlineStr">
        <is>
          <t>分析资产漏洞分布</t>
        </is>
      </c>
      <c r="J1422" s="93" t="n"/>
      <c r="K1422" s="102" t="n"/>
      <c r="L1422" s="102" t="inlineStr">
        <is>
          <t>和上行合并</t>
        </is>
      </c>
      <c r="M1422" s="85">
        <f>IF(OR(Y1422="估算法",Y1422="算法类",Y1422="无法识别"),"",IF(W1422="",IF(OR(J1422="EI",J1422="EO",J1422="EQ"),0,""),LEN(W1422)-LEN(SUBSTITUTE(W1422,"、",""))+1))</f>
        <v/>
      </c>
      <c r="N1422" s="85">
        <f>IF(OR(Y1422="估算法",Y1422="算法类",Y1422="无法识别"),"",IF(X1422="",IF(OR(J1422="ILF",J1422="EIF"),0,""),LEN(X1422)-LEN(SUBSTITUTE(X1422,"、",""))+1))</f>
        <v/>
      </c>
      <c r="O1422" s="85">
        <f>IF(OR(Y1422="估算法",Y1422="算法类",Y1422="无法识别"),"",IF(Y1422="",IF(OR(J1422="ILF",J1422="EIF",J1422="EI",J1422="EO",J1422="EQ"),0,""),LEN(Y1422)-LEN(SUBSTITUTE(SUBSTITUTE(SUBSTITUTE(SUBSTITUTE(SUBSTITUTE(Y1422,"|}","--"),"{|","--"),CHAR(10),""),"、",""),"|",""))+IF(AND(OR(J1422="EI",J1422="EO",J1422="EQ"),$AE$1="NESMA"),2,1)))</f>
        <v/>
      </c>
      <c r="P1422" s="86">
        <f>IF(J1422="EI",IF(OR(Y1422="估算法",Y1422="算法类"),"中",IF(Y1422="无法识别","低",IF(M1422&lt;2,IF(O1422&lt;16,"低","中"),IF(M1422&lt;3,IF(O1422&lt;5,"低",IF(O1422&lt;16,"中","高")),IF(O1422&lt;5,"中","高"))))),IF(OR(J1422="EO",J1422="EQ"),IF(OR(Y1422="估算法",Y1422="算法类"),"中",IF(Y1422="无法识别","低",IF(M1422&lt;2,IF(O1422&lt;20,"低","中"),IF(M1422&lt;4,IF(O1422&lt;6,"低",IF(O1422&lt;20,"中","高")),IF(O1422&lt;6,"中","高"))))),IF(OR(J1422="ILF",J1422="EIF"),IF(OR(Y1422="估算法",Y1422="算法类",Y1422="无法识别"),"低",IF(N1422&lt;2,IF(O1422&lt;51,"低","中"),IF(N1422&lt;6,IF(O1422&lt;20,"低",IF(O1422&lt;51,"中","高")),IF(O1422&lt;20,"中","高")))),"不计算")))</f>
        <v/>
      </c>
      <c r="Q1422" s="172">
        <f>IFERROR(IF(J1422="EI",IF(P1422="低",3,IF(P1422="中",4,6)),IF(J1422="EO",IF(P1422="低",4,IF(P1422="中",5,7)),IF(J1422="EQ",IF(P1422="低",3,IF(P1422="中",4,6)),IF(J1422="ILF",IF(P1422="低",7,IF(P1422="中",10,15)),IF(J1422="EIF",IF(P1422="低",5,IF(P1422="中",7,10)),"不计算")))))*R1422,"不计算")</f>
        <v/>
      </c>
      <c r="R1422" s="172" t="n">
        <v>1</v>
      </c>
      <c r="S1422" s="173">
        <f>调整因子!$F$13</f>
        <v/>
      </c>
      <c r="T1422" s="93" t="n">
        <v>1</v>
      </c>
      <c r="U1422" s="174">
        <f>IFERROR(Q1422*S1422,0)</f>
        <v/>
      </c>
      <c r="V1422" s="178">
        <f>U1422*T1422</f>
        <v/>
      </c>
      <c r="W1422" s="103" t="inlineStr">
        <is>
          <t>资产同步任务表、资产扫描覆盖表</t>
        </is>
      </c>
      <c r="X1422" s="103" t="inlineStr"/>
      <c r="Y1422"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22" s="90" t="n"/>
      <c r="AA1422" s="90" t="n"/>
    </row>
    <row r="1423" s="112">
      <c r="A1423" s="72">
        <f>ROW()-1</f>
        <v/>
      </c>
      <c r="B1423" s="175" t="n"/>
      <c r="C1423" s="124" t="n">
        <v>2026</v>
      </c>
      <c r="E1423" s="103" t="n"/>
      <c r="F1423" s="175" t="n"/>
      <c r="G1423" s="175" t="n"/>
      <c r="H1423" s="175" t="n"/>
      <c r="I1423" s="103" t="inlineStr">
        <is>
          <t>生成分布报表</t>
        </is>
      </c>
      <c r="J1423" s="93" t="n"/>
      <c r="K1423" s="102" t="n"/>
      <c r="L1423" s="102" t="inlineStr">
        <is>
          <t>和上行合并</t>
        </is>
      </c>
      <c r="M1423" s="85">
        <f>IF(OR(Y1423="估算法",Y1423="算法类",Y1423="无法识别"),"",IF(W1423="",IF(OR(J1423="EI",J1423="EO",J1423="EQ"),0,""),LEN(W1423)-LEN(SUBSTITUTE(W1423,"、",""))+1))</f>
        <v/>
      </c>
      <c r="N1423" s="85">
        <f>IF(OR(Y1423="估算法",Y1423="算法类",Y1423="无法识别"),"",IF(X1423="",IF(OR(J1423="ILF",J1423="EIF"),0,""),LEN(X1423)-LEN(SUBSTITUTE(X1423,"、",""))+1))</f>
        <v/>
      </c>
      <c r="O1423" s="85">
        <f>IF(OR(Y1423="估算法",Y1423="算法类",Y1423="无法识别"),"",IF(Y1423="",IF(OR(J1423="ILF",J1423="EIF",J1423="EI",J1423="EO",J1423="EQ"),0,""),LEN(Y1423)-LEN(SUBSTITUTE(SUBSTITUTE(SUBSTITUTE(SUBSTITUTE(SUBSTITUTE(Y1423,"|}","--"),"{|","--"),CHAR(10),""),"、",""),"|",""))+IF(AND(OR(J1423="EI",J1423="EO",J1423="EQ"),$AE$1="NESMA"),2,1)))</f>
        <v/>
      </c>
      <c r="P1423" s="86">
        <f>IF(J1423="EI",IF(OR(Y1423="估算法",Y1423="算法类"),"中",IF(Y1423="无法识别","低",IF(M1423&lt;2,IF(O1423&lt;16,"低","中"),IF(M1423&lt;3,IF(O1423&lt;5,"低",IF(O1423&lt;16,"中","高")),IF(O1423&lt;5,"中","高"))))),IF(OR(J1423="EO",J1423="EQ"),IF(OR(Y1423="估算法",Y1423="算法类"),"中",IF(Y1423="无法识别","低",IF(M1423&lt;2,IF(O1423&lt;20,"低","中"),IF(M1423&lt;4,IF(O1423&lt;6,"低",IF(O1423&lt;20,"中","高")),IF(O1423&lt;6,"中","高"))))),IF(OR(J1423="ILF",J1423="EIF"),IF(OR(Y1423="估算法",Y1423="算法类",Y1423="无法识别"),"低",IF(N1423&lt;2,IF(O1423&lt;51,"低","中"),IF(N1423&lt;6,IF(O1423&lt;20,"低",IF(O1423&lt;51,"中","高")),IF(O1423&lt;20,"中","高")))),"不计算")))</f>
        <v/>
      </c>
      <c r="Q1423" s="172">
        <f>IFERROR(IF(J1423="EI",IF(P1423="低",3,IF(P1423="中",4,6)),IF(J1423="EO",IF(P1423="低",4,IF(P1423="中",5,7)),IF(J1423="EQ",IF(P1423="低",3,IF(P1423="中",4,6)),IF(J1423="ILF",IF(P1423="低",7,IF(P1423="中",10,15)),IF(J1423="EIF",IF(P1423="低",5,IF(P1423="中",7,10)),"不计算")))))*R1423,"不计算")</f>
        <v/>
      </c>
      <c r="R1423" s="172" t="n">
        <v>1</v>
      </c>
      <c r="S1423" s="173">
        <f>调整因子!$F$13</f>
        <v/>
      </c>
      <c r="T1423" s="92" t="n">
        <v>1</v>
      </c>
      <c r="U1423" s="174">
        <f>IFERROR(Q1423*S1423,0)</f>
        <v/>
      </c>
      <c r="V1423" s="178">
        <f>U1423*T1423</f>
        <v/>
      </c>
      <c r="W1423" s="103" t="inlineStr">
        <is>
          <t>报表模板表</t>
        </is>
      </c>
      <c r="X1423" s="103" t="inlineStr"/>
      <c r="Y1423" s="97" t="inlineStr">
        <is>
          <t>报表模板表{报表ID、报表名称、报表类型、生成时间、报表内容|报表ID、报表名称、报表类型}</t>
        </is>
      </c>
      <c r="Z1423" s="90" t="n"/>
      <c r="AA1423" s="90" t="n"/>
    </row>
    <row r="1424" s="112">
      <c r="A1424" s="72">
        <f>ROW()-1</f>
        <v/>
      </c>
      <c r="B1424" s="175" t="n"/>
      <c r="C1424" s="124" t="n">
        <v>2026</v>
      </c>
      <c r="E1424" s="103" t="n"/>
      <c r="F1424" s="175" t="n"/>
      <c r="G1424" s="175" t="n"/>
      <c r="H1424" s="175" t="n"/>
      <c r="I1424" s="103" t="inlineStr">
        <is>
          <t>导出统计报表</t>
        </is>
      </c>
      <c r="J1424" s="93" t="inlineStr">
        <is>
          <t>EO</t>
        </is>
      </c>
      <c r="K1424" s="102" t="n"/>
      <c r="L1424" s="102" t="n"/>
      <c r="M1424" s="85">
        <f>IF(OR(Y1424="估算法",Y1424="算法类",Y1424="无法识别"),"",IF(W1424="",IF(OR(J1424="EI",J1424="EO",J1424="EQ"),0,""),LEN(W1424)-LEN(SUBSTITUTE(W1424,"、",""))+1))</f>
        <v/>
      </c>
      <c r="N1424" s="85">
        <f>IF(OR(Y1424="估算法",Y1424="算法类",Y1424="无法识别"),"",IF(X1424="",IF(OR(J1424="ILF",J1424="EIF"),0,""),LEN(X1424)-LEN(SUBSTITUTE(X1424,"、",""))+1))</f>
        <v/>
      </c>
      <c r="O1424" s="85">
        <f>IF(OR(Y1424="估算法",Y1424="算法类",Y1424="无法识别"),"",IF(Y1424="",IF(OR(J1424="ILF",J1424="EIF",J1424="EI",J1424="EO",J1424="EQ"),0,""),LEN(Y1424)-LEN(SUBSTITUTE(SUBSTITUTE(SUBSTITUTE(SUBSTITUTE(SUBSTITUTE(Y1424,"|}","--"),"{|","--"),CHAR(10),""),"、",""),"|",""))+IF(AND(OR(J1424="EI",J1424="EO",J1424="EQ"),$AE$1="NESMA"),2,1)))</f>
        <v/>
      </c>
      <c r="P1424" s="86">
        <f>IF(J1424="EI",IF(OR(Y1424="估算法",Y1424="算法类"),"中",IF(Y1424="无法识别","低",IF(M1424&lt;2,IF(O1424&lt;16,"低","中"),IF(M1424&lt;3,IF(O1424&lt;5,"低",IF(O1424&lt;16,"中","高")),IF(O1424&lt;5,"中","高"))))),IF(OR(J1424="EO",J1424="EQ"),IF(OR(Y1424="估算法",Y1424="算法类"),"中",IF(Y1424="无法识别","低",IF(M1424&lt;2,IF(O1424&lt;20,"低","中"),IF(M1424&lt;4,IF(O1424&lt;6,"低",IF(O1424&lt;20,"中","高")),IF(O1424&lt;6,"中","高"))))),IF(OR(J1424="ILF",J1424="EIF"),IF(OR(Y1424="估算法",Y1424="算法类",Y1424="无法识别"),"低",IF(N1424&lt;2,IF(O1424&lt;51,"低","中"),IF(N1424&lt;6,IF(O1424&lt;20,"低",IF(O1424&lt;51,"中","高")),IF(O1424&lt;20,"中","高")))),"不计算")))</f>
        <v/>
      </c>
      <c r="Q1424" s="172">
        <f>IFERROR(IF(J1424="EI",IF(P1424="低",3,IF(P1424="中",4,6)),IF(J1424="EO",IF(P1424="低",4,IF(P1424="中",5,7)),IF(J1424="EQ",IF(P1424="低",3,IF(P1424="中",4,6)),IF(J1424="ILF",IF(P1424="低",7,IF(P1424="中",10,15)),IF(J1424="EIF",IF(P1424="低",5,IF(P1424="中",7,10)),"不计算")))))*R1424,"不计算")</f>
        <v/>
      </c>
      <c r="R1424" s="172" t="n">
        <v>1</v>
      </c>
      <c r="S1424" s="173">
        <f>调整因子!$F$13</f>
        <v/>
      </c>
      <c r="T1424" s="92" t="n">
        <v>1</v>
      </c>
      <c r="U1424" s="174">
        <f>IFERROR(Q1424*S1424,0)</f>
        <v/>
      </c>
      <c r="V1424" s="178">
        <f>U1424*T1424</f>
        <v/>
      </c>
      <c r="W1424" s="103" t="inlineStr">
        <is>
          <t>报表模板表、数据清洗任务表</t>
        </is>
      </c>
      <c r="X1424" s="103" t="inlineStr"/>
      <c r="Y1424" s="97" t="inlineStr">
        <is>
          <t>报表模板表{报表ID、报表名称|报表ID、报表名称、报表类型、生成时间、报表内容}
数据清洗任务表{任务ID、任务名称|任务ID、任务名称、任务类型、任务状态、创建时间、执行时间}</t>
        </is>
      </c>
      <c r="Z1424" s="90" t="n"/>
      <c r="AA1424" s="90" t="n"/>
    </row>
    <row r="1425" s="112">
      <c r="A1425" s="72">
        <f>ROW()-1</f>
        <v/>
      </c>
      <c r="B1425" s="175" t="n"/>
      <c r="C1425" s="124" t="n">
        <v>2026</v>
      </c>
      <c r="E1425" s="103" t="n"/>
      <c r="F1425" s="175" t="n"/>
      <c r="G1425" s="175" t="n"/>
      <c r="H1425" s="175" t="n"/>
      <c r="I1425" s="103" t="inlineStr">
        <is>
          <t>下载分析报告</t>
        </is>
      </c>
      <c r="J1425" s="93" t="inlineStr">
        <is>
          <t>EO</t>
        </is>
      </c>
      <c r="K1425" s="102" t="n"/>
      <c r="L1425" s="102" t="n"/>
      <c r="M1425" s="85">
        <f>IF(OR(Y1425="估算法",Y1425="算法类",Y1425="无法识别"),"",IF(W1425="",IF(OR(J1425="EI",J1425="EO",J1425="EQ"),0,""),LEN(W1425)-LEN(SUBSTITUTE(W1425,"、",""))+1))</f>
        <v/>
      </c>
      <c r="N1425" s="85">
        <f>IF(OR(Y1425="估算法",Y1425="算法类",Y1425="无法识别"),"",IF(X1425="",IF(OR(J1425="ILF",J1425="EIF"),0,""),LEN(X1425)-LEN(SUBSTITUTE(X1425,"、",""))+1))</f>
        <v/>
      </c>
      <c r="O1425" s="85">
        <f>IF(OR(Y1425="估算法",Y1425="算法类",Y1425="无法识别"),"",IF(Y1425="",IF(OR(J1425="ILF",J1425="EIF",J1425="EI",J1425="EO",J1425="EQ"),0,""),LEN(Y1425)-LEN(SUBSTITUTE(SUBSTITUTE(SUBSTITUTE(SUBSTITUTE(SUBSTITUTE(Y1425,"|}","--"),"{|","--"),CHAR(10),""),"、",""),"|",""))+IF(AND(OR(J1425="EI",J1425="EO",J1425="EQ"),$AE$1="NESMA"),2,1)))</f>
        <v/>
      </c>
      <c r="P1425" s="86">
        <f>IF(J1425="EI",IF(OR(Y1425="估算法",Y1425="算法类"),"中",IF(Y1425="无法识别","低",IF(M1425&lt;2,IF(O1425&lt;16,"低","中"),IF(M1425&lt;3,IF(O1425&lt;5,"低",IF(O1425&lt;16,"中","高")),IF(O1425&lt;5,"中","高"))))),IF(OR(J1425="EO",J1425="EQ"),IF(OR(Y1425="估算法",Y1425="算法类"),"中",IF(Y1425="无法识别","低",IF(M1425&lt;2,IF(O1425&lt;20,"低","中"),IF(M1425&lt;4,IF(O1425&lt;6,"低",IF(O1425&lt;20,"中","高")),IF(O1425&lt;6,"中","高"))))),IF(OR(J1425="ILF",J1425="EIF"),IF(OR(Y1425="估算法",Y1425="算法类",Y1425="无法识别"),"低",IF(N1425&lt;2,IF(O1425&lt;51,"低","中"),IF(N1425&lt;6,IF(O1425&lt;20,"低",IF(O1425&lt;51,"中","高")),IF(O1425&lt;20,"中","高")))),"不计算")))</f>
        <v/>
      </c>
      <c r="Q1425" s="172">
        <f>IFERROR(IF(J1425="EI",IF(P1425="低",3,IF(P1425="中",4,6)),IF(J1425="EO",IF(P1425="低",4,IF(P1425="中",5,7)),IF(J1425="EQ",IF(P1425="低",3,IF(P1425="中",4,6)),IF(J1425="ILF",IF(P1425="低",7,IF(P1425="中",10,15)),IF(J1425="EIF",IF(P1425="低",5,IF(P1425="中",7,10)),"不计算")))))*R1425,"不计算")</f>
        <v/>
      </c>
      <c r="R1425" s="172" t="n">
        <v>1</v>
      </c>
      <c r="S1425" s="173">
        <f>调整因子!$F$13</f>
        <v/>
      </c>
      <c r="T1425" s="93" t="n">
        <v>1</v>
      </c>
      <c r="U1425" s="174">
        <f>IFERROR(Q1425*S1425,0)</f>
        <v/>
      </c>
      <c r="V1425" s="178">
        <f>U1425*T1425</f>
        <v/>
      </c>
      <c r="W1425" s="103" t="inlineStr">
        <is>
          <t>处置单关联表、通报配置表</t>
        </is>
      </c>
      <c r="X1425" s="103" t="inlineStr"/>
      <c r="Y1425" s="97" t="inlineStr">
        <is>
          <t>处置单关联表{ID、名称|ID、名称、类型、状态、创建时间、更新时间}
通报配置表{配置ID、配置名称|配置ID、配置名称、配置类型、配置值、创建时间}</t>
        </is>
      </c>
      <c r="Z1425" s="90" t="n"/>
      <c r="AA1425" s="90" t="n"/>
    </row>
    <row r="1426" s="112">
      <c r="A1426" s="72">
        <f>ROW()-1</f>
        <v/>
      </c>
      <c r="B1426" s="175" t="n"/>
      <c r="C1426" s="124" t="n">
        <v>2026</v>
      </c>
      <c r="E1426" s="103" t="n"/>
      <c r="F1426" s="175" t="n"/>
      <c r="G1426" s="175" t="n"/>
      <c r="H1426" s="175" t="n"/>
      <c r="I1426" s="103" t="inlineStr">
        <is>
          <t>查询分布统计</t>
        </is>
      </c>
      <c r="J1426" s="93" t="inlineStr">
        <is>
          <t>EQ</t>
        </is>
      </c>
      <c r="K1426" s="102" t="n"/>
      <c r="L1426" s="102" t="n"/>
      <c r="M1426" s="85">
        <f>IF(OR(Y1426="估算法",Y1426="算法类",Y1426="无法识别"),"",IF(W1426="",IF(OR(J1426="EI",J1426="EO",J1426="EQ"),0,""),LEN(W1426)-LEN(SUBSTITUTE(W1426,"、",""))+1))</f>
        <v/>
      </c>
      <c r="N1426" s="85">
        <f>IF(OR(Y1426="估算法",Y1426="算法类",Y1426="无法识别"),"",IF(X1426="",IF(OR(J1426="ILF",J1426="EIF"),0,""),LEN(X1426)-LEN(SUBSTITUTE(X1426,"、",""))+1))</f>
        <v/>
      </c>
      <c r="O1426" s="85">
        <f>IF(OR(Y1426="估算法",Y1426="算法类",Y1426="无法识别"),"",IF(Y1426="",IF(OR(J1426="ILF",J1426="EIF",J1426="EI",J1426="EO",J1426="EQ"),0,""),LEN(Y1426)-LEN(SUBSTITUTE(SUBSTITUTE(SUBSTITUTE(SUBSTITUTE(SUBSTITUTE(Y1426,"|}","--"),"{|","--"),CHAR(10),""),"、",""),"|",""))+IF(AND(OR(J1426="EI",J1426="EO",J1426="EQ"),$AE$1="NESMA"),2,1)))</f>
        <v/>
      </c>
      <c r="P1426" s="86">
        <f>IF(J1426="EI",IF(OR(Y1426="估算法",Y1426="算法类"),"中",IF(Y1426="无法识别","低",IF(M1426&lt;2,IF(O1426&lt;16,"低","中"),IF(M1426&lt;3,IF(O1426&lt;5,"低",IF(O1426&lt;16,"中","高")),IF(O1426&lt;5,"中","高"))))),IF(OR(J1426="EO",J1426="EQ"),IF(OR(Y1426="估算法",Y1426="算法类"),"中",IF(Y1426="无法识别","低",IF(M1426&lt;2,IF(O1426&lt;20,"低","中"),IF(M1426&lt;4,IF(O1426&lt;6,"低",IF(O1426&lt;20,"中","高")),IF(O1426&lt;6,"中","高"))))),IF(OR(J1426="ILF",J1426="EIF"),IF(OR(Y1426="估算法",Y1426="算法类",Y1426="无法识别"),"低",IF(N1426&lt;2,IF(O1426&lt;51,"低","中"),IF(N1426&lt;6,IF(O1426&lt;20,"低",IF(O1426&lt;51,"中","高")),IF(O1426&lt;20,"中","高")))),"不计算")))</f>
        <v/>
      </c>
      <c r="Q1426" s="172">
        <f>IFERROR(IF(J1426="EI",IF(P1426="低",3,IF(P1426="中",4,6)),IF(J1426="EO",IF(P1426="低",4,IF(P1426="中",5,7)),IF(J1426="EQ",IF(P1426="低",3,IF(P1426="中",4,6)),IF(J1426="ILF",IF(P1426="低",7,IF(P1426="中",10,15)),IF(J1426="EIF",IF(P1426="低",5,IF(P1426="中",7,10)),"不计算")))))*R1426,"不计算")</f>
        <v/>
      </c>
      <c r="R1426" s="172" t="n">
        <v>1</v>
      </c>
      <c r="S1426" s="173">
        <f>调整因子!$F$13</f>
        <v/>
      </c>
      <c r="T1426" s="93" t="n">
        <v>1</v>
      </c>
      <c r="U1426" s="174">
        <f>IFERROR(Q1426*S1426,0)</f>
        <v/>
      </c>
      <c r="V1426" s="178">
        <f>U1426*T1426</f>
        <v/>
      </c>
      <c r="W1426" s="103" t="inlineStr">
        <is>
          <t>模板配置表、推送配置表</t>
        </is>
      </c>
      <c r="X1426" s="103" t="inlineStr"/>
      <c r="Y1426" s="97" t="inlineStr">
        <is>
          <t>模板配置表{配置ID、配置名称|配置ID、配置名称、配置类型、配置值、创建时间}
推送配置表{配置ID、配置名称|配置ID、配置名称、配置类型、配置值、创建时间}</t>
        </is>
      </c>
      <c r="Z1426" s="90" t="n"/>
      <c r="AA1426" s="90" t="n"/>
    </row>
    <row r="1427" s="112">
      <c r="A1427" s="72">
        <f>ROW()-1</f>
        <v/>
      </c>
      <c r="B1427" s="175" t="n"/>
      <c r="C1427" s="124" t="n">
        <v>2026</v>
      </c>
      <c r="E1427" s="103" t="n"/>
      <c r="F1427" s="175" t="n"/>
      <c r="G1427" s="175" t="n"/>
      <c r="H1427" s="176" t="n"/>
      <c r="I1427" s="103" t="inlineStr">
        <is>
          <t>查看分布详情</t>
        </is>
      </c>
      <c r="J1427" s="93" t="inlineStr">
        <is>
          <t>EQ</t>
        </is>
      </c>
      <c r="K1427" s="102" t="n"/>
      <c r="L1427" s="102" t="n"/>
      <c r="M1427" s="85">
        <f>IF(OR(Y1427="估算法",Y1427="算法类",Y1427="无法识别"),"",IF(W1427="",IF(OR(J1427="EI",J1427="EO",J1427="EQ"),0,""),LEN(W1427)-LEN(SUBSTITUTE(W1427,"、",""))+1))</f>
        <v/>
      </c>
      <c r="N1427" s="85">
        <f>IF(OR(Y1427="估算法",Y1427="算法类",Y1427="无法识别"),"",IF(X1427="",IF(OR(J1427="ILF",J1427="EIF"),0,""),LEN(X1427)-LEN(SUBSTITUTE(X1427,"、",""))+1))</f>
        <v/>
      </c>
      <c r="O1427" s="85">
        <f>IF(OR(Y1427="估算法",Y1427="算法类",Y1427="无法识别"),"",IF(Y1427="",IF(OR(J1427="ILF",J1427="EIF",J1427="EI",J1427="EO",J1427="EQ"),0,""),LEN(Y1427)-LEN(SUBSTITUTE(SUBSTITUTE(SUBSTITUTE(SUBSTITUTE(SUBSTITUTE(Y1427,"|}","--"),"{|","--"),CHAR(10),""),"、",""),"|",""))+IF(AND(OR(J1427="EI",J1427="EO",J1427="EQ"),$AE$1="NESMA"),2,1)))</f>
        <v/>
      </c>
      <c r="P1427" s="86">
        <f>IF(J1427="EI",IF(OR(Y1427="估算法",Y1427="算法类"),"中",IF(Y1427="无法识别","低",IF(M1427&lt;2,IF(O1427&lt;16,"低","中"),IF(M1427&lt;3,IF(O1427&lt;5,"低",IF(O1427&lt;16,"中","高")),IF(O1427&lt;5,"中","高"))))),IF(OR(J1427="EO",J1427="EQ"),IF(OR(Y1427="估算法",Y1427="算法类"),"中",IF(Y1427="无法识别","低",IF(M1427&lt;2,IF(O1427&lt;20,"低","中"),IF(M1427&lt;4,IF(O1427&lt;6,"低",IF(O1427&lt;20,"中","高")),IF(O1427&lt;6,"中","高"))))),IF(OR(J1427="ILF",J1427="EIF"),IF(OR(Y1427="估算法",Y1427="算法类",Y1427="无法识别"),"低",IF(N1427&lt;2,IF(O1427&lt;51,"低","中"),IF(N1427&lt;6,IF(O1427&lt;20,"低",IF(O1427&lt;51,"中","高")),IF(O1427&lt;20,"中","高")))),"不计算")))</f>
        <v/>
      </c>
      <c r="Q1427" s="172">
        <f>IFERROR(IF(J1427="EI",IF(P1427="低",3,IF(P1427="中",4,6)),IF(J1427="EO",IF(P1427="低",4,IF(P1427="中",5,7)),IF(J1427="EQ",IF(P1427="低",3,IF(P1427="中",4,6)),IF(J1427="ILF",IF(P1427="低",7,IF(P1427="中",10,15)),IF(J1427="EIF",IF(P1427="低",5,IF(P1427="中",7,10)),"不计算")))))*R1427,"不计算")</f>
        <v/>
      </c>
      <c r="R1427" s="172" t="n">
        <v>1</v>
      </c>
      <c r="S1427" s="173">
        <f>调整因子!$F$13</f>
        <v/>
      </c>
      <c r="T1427" s="92" t="n">
        <v>1</v>
      </c>
      <c r="U1427" s="174">
        <f>IFERROR(Q1427*S1427,0)</f>
        <v/>
      </c>
      <c r="V1427" s="178">
        <f>U1427*T1427</f>
        <v/>
      </c>
      <c r="W1427" s="103" t="inlineStr">
        <is>
          <t>模板配置表、验证任务表</t>
        </is>
      </c>
      <c r="X1427" s="103" t="inlineStr"/>
      <c r="Y1427" s="97" t="inlineStr">
        <is>
          <t>模板配置表{配置ID、配置名称|配置ID、配置名称、配置类型、配置值、创建时间}
验证任务表{任务ID、任务名称|任务ID、任务名称、任务类型、任务状态、创建时间、执行时间}</t>
        </is>
      </c>
      <c r="Z1427" s="90" t="n"/>
      <c r="AA1427" s="90" t="n"/>
    </row>
    <row r="1428" s="112">
      <c r="A1428" s="72">
        <f>ROW()-1</f>
        <v/>
      </c>
      <c r="B1428" s="175" t="n"/>
      <c r="C1428" s="124" t="n">
        <v>2026</v>
      </c>
      <c r="E1428" s="103" t="n"/>
      <c r="F1428" s="175" t="n"/>
      <c r="G1428" s="175" t="n"/>
      <c r="H1428" s="97" t="inlineStr">
        <is>
          <t>漏洞趋势分析</t>
        </is>
      </c>
      <c r="I1428" s="103" t="inlineStr">
        <is>
          <t>漏洞趋势数据表</t>
        </is>
      </c>
      <c r="J1428" s="93" t="inlineStr">
        <is>
          <t>ILF</t>
        </is>
      </c>
      <c r="K1428" s="84" t="n"/>
      <c r="L1428" s="84" t="inlineStr">
        <is>
          <t>数据库表未被本系统所维护</t>
        </is>
      </c>
      <c r="M1428" s="85">
        <f>IF(OR(Y1428="估算法",Y1428="算法类",Y1428="无法识别"),"",IF(W1428="",IF(OR(J1428="EI",J1428="EO",J1428="EQ"),0,""),LEN(W1428)-LEN(SUBSTITUTE(W1428,"、",""))+1))</f>
        <v/>
      </c>
      <c r="N1428" s="85">
        <f>IF(OR(Y1428="估算法",Y1428="算法类",Y1428="无法识别"),"",IF(X1428="",IF(OR(J1428="ILF",J1428="EIF"),0,""),LEN(X1428)-LEN(SUBSTITUTE(X1428,"、",""))+1))</f>
        <v/>
      </c>
      <c r="O1428" s="85">
        <f>IF(OR(Y1428="估算法",Y1428="算法类",Y1428="无法识别"),"",IF(Y1428="",IF(OR(J1428="ILF",J1428="EIF",J1428="EI",J1428="EO",J1428="EQ"),0,""),LEN(Y1428)-LEN(SUBSTITUTE(SUBSTITUTE(SUBSTITUTE(SUBSTITUTE(SUBSTITUTE(Y1428,"|}","--"),"{|","--"),CHAR(10),""),"、",""),"|",""))+IF(AND(OR(J1428="EI",J1428="EO",J1428="EQ"),$AE$1="NESMA"),2,1)))</f>
        <v/>
      </c>
      <c r="P1428" s="86">
        <f>IF(J1428="EI",IF(OR(Y1428="估算法",Y1428="算法类"),"中",IF(Y1428="无法识别","低",IF(M1428&lt;2,IF(O1428&lt;16,"低","中"),IF(M1428&lt;3,IF(O1428&lt;5,"低",IF(O1428&lt;16,"中","高")),IF(O1428&lt;5,"中","高"))))),IF(OR(J1428="EO",J1428="EQ"),IF(OR(Y1428="估算法",Y1428="算法类"),"中",IF(Y1428="无法识别","低",IF(M1428&lt;2,IF(O1428&lt;20,"低","中"),IF(M1428&lt;4,IF(O1428&lt;6,"低",IF(O1428&lt;20,"中","高")),IF(O1428&lt;6,"中","高"))))),IF(OR(J1428="ILF",J1428="EIF"),IF(OR(Y1428="估算法",Y1428="算法类",Y1428="无法识别"),"低",IF(N1428&lt;2,IF(O1428&lt;51,"低","中"),IF(N1428&lt;6,IF(O1428&lt;20,"低",IF(O1428&lt;51,"中","高")),IF(O1428&lt;20,"中","高")))),"不计算")))</f>
        <v/>
      </c>
      <c r="Q1428" s="172">
        <f>IFERROR(IF(J1428="EI",IF(P1428="低",3,IF(P1428="中",4,6)),IF(J1428="EO",IF(P1428="低",4,IF(P1428="中",5,7)),IF(J1428="EQ",IF(P1428="低",3,IF(P1428="中",4,6)),IF(J1428="ILF",IF(P1428="低",7,IF(P1428="中",10,15)),IF(J1428="EIF",IF(P1428="低",5,IF(P1428="中",7,10)),"不计算")))))*R1428,"不计算")</f>
        <v/>
      </c>
      <c r="R1428" s="172" t="n">
        <v>0</v>
      </c>
      <c r="S1428" s="173">
        <f>调整因子!$F$13</f>
        <v/>
      </c>
      <c r="T1428" s="92" t="n">
        <v>1</v>
      </c>
      <c r="U1428" s="174">
        <f>IFERROR(Q1428*S1428,0)</f>
        <v/>
      </c>
      <c r="V1428" s="178">
        <f>U1428*T1428</f>
        <v/>
      </c>
      <c r="W1428" s="103" t="inlineStr"/>
      <c r="X1428" s="103" t="inlineStr">
        <is>
          <t>系统漏洞、Web漏洞、弱口令</t>
        </is>
      </c>
      <c r="Y1428" s="97" t="inlineStr">
        <is>
          <t>漏洞趋势数据表{漏洞ID、漏洞名称、漏洞等级|漏洞ID、漏洞名称、漏洞等级、漏洞类型、CVE编号、发现时间、修复状态}</t>
        </is>
      </c>
      <c r="Z1428" s="90">
        <f>IF(COUNTIFS(W:W,"*"&amp;I1428&amp;"*")&gt;0,"存在","不存在")</f>
        <v/>
      </c>
      <c r="AA1428" s="90">
        <f>IF(COUNTIFS(AB:AB,"*"&amp;I1428&amp;"*")&gt;0,"存在","不存在")</f>
        <v/>
      </c>
    </row>
    <row r="1429" s="112">
      <c r="A1429" s="72">
        <f>ROW()-1</f>
        <v/>
      </c>
      <c r="B1429" s="175" t="n"/>
      <c r="C1429" s="124" t="n">
        <v>2026</v>
      </c>
      <c r="E1429" s="103" t="n"/>
      <c r="F1429" s="175" t="n"/>
      <c r="G1429" s="175" t="n"/>
      <c r="H1429" s="175" t="n"/>
      <c r="I1429" s="103" t="inlineStr">
        <is>
          <t>导出趋势图表</t>
        </is>
      </c>
      <c r="J1429" s="93" t="inlineStr">
        <is>
          <t>EO</t>
        </is>
      </c>
      <c r="K1429" s="102" t="n"/>
      <c r="L1429" s="102" t="n"/>
      <c r="M1429" s="85">
        <f>IF(OR(Y1429="估算法",Y1429="算法类",Y1429="无法识别"),"",IF(W1429="",IF(OR(J1429="EI",J1429="EO",J1429="EQ"),0,""),LEN(W1429)-LEN(SUBSTITUTE(W1429,"、",""))+1))</f>
        <v/>
      </c>
      <c r="N1429" s="85">
        <f>IF(OR(Y1429="估算法",Y1429="算法类",Y1429="无法识别"),"",IF(X1429="",IF(OR(J1429="ILF",J1429="EIF"),0,""),LEN(X1429)-LEN(SUBSTITUTE(X1429,"、",""))+1))</f>
        <v/>
      </c>
      <c r="O1429" s="85">
        <f>IF(OR(Y1429="估算法",Y1429="算法类",Y1429="无法识别"),"",IF(Y1429="",IF(OR(J1429="ILF",J1429="EIF",J1429="EI",J1429="EO",J1429="EQ"),0,""),LEN(Y1429)-LEN(SUBSTITUTE(SUBSTITUTE(SUBSTITUTE(SUBSTITUTE(SUBSTITUTE(Y1429,"|}","--"),"{|","--"),CHAR(10),""),"、",""),"|",""))+IF(AND(OR(J1429="EI",J1429="EO",J1429="EQ"),$AE$1="NESMA"),2,1)))</f>
        <v/>
      </c>
      <c r="P1429" s="86">
        <f>IF(J1429="EI",IF(OR(Y1429="估算法",Y1429="算法类"),"中",IF(Y1429="无法识别","低",IF(M1429&lt;2,IF(O1429&lt;16,"低","中"),IF(M1429&lt;3,IF(O1429&lt;5,"低",IF(O1429&lt;16,"中","高")),IF(O1429&lt;5,"中","高"))))),IF(OR(J1429="EO",J1429="EQ"),IF(OR(Y1429="估算法",Y1429="算法类"),"中",IF(Y1429="无法识别","低",IF(M1429&lt;2,IF(O1429&lt;20,"低","中"),IF(M1429&lt;4,IF(O1429&lt;6,"低",IF(O1429&lt;20,"中","高")),IF(O1429&lt;6,"中","高"))))),IF(OR(J1429="ILF",J1429="EIF"),IF(OR(Y1429="估算法",Y1429="算法类",Y1429="无法识别"),"低",IF(N1429&lt;2,IF(O1429&lt;51,"低","中"),IF(N1429&lt;6,IF(O1429&lt;20,"低",IF(O1429&lt;51,"中","高")),IF(O1429&lt;20,"中","高")))),"不计算")))</f>
        <v/>
      </c>
      <c r="Q1429" s="172">
        <f>IFERROR(IF(J1429="EI",IF(P1429="低",3,IF(P1429="中",4,6)),IF(J1429="EO",IF(P1429="低",4,IF(P1429="中",5,7)),IF(J1429="EQ",IF(P1429="低",3,IF(P1429="中",4,6)),IF(J1429="ILF",IF(P1429="低",7,IF(P1429="中",10,15)),IF(J1429="EIF",IF(P1429="低",5,IF(P1429="中",7,10)),"不计算")))))*R1429,"不计算")</f>
        <v/>
      </c>
      <c r="R1429" s="172" t="n">
        <v>1</v>
      </c>
      <c r="S1429" s="173">
        <f>调整因子!$F$13</f>
        <v/>
      </c>
      <c r="T1429" s="93" t="n">
        <v>1</v>
      </c>
      <c r="U1429" s="174">
        <f>IFERROR(Q1429*S1429,0)</f>
        <v/>
      </c>
      <c r="V1429" s="178">
        <f>U1429*T1429</f>
        <v/>
      </c>
      <c r="W1429" s="103" t="inlineStr">
        <is>
          <t>任务优先级配置表</t>
        </is>
      </c>
      <c r="X1429" s="103" t="inlineStr"/>
      <c r="Y1429" s="97" t="inlineStr">
        <is>
          <t>任务优先级配置表{任务ID、任务名称|任务ID、任务名称、任务类型、任务状态、创建时间、执行时间}</t>
        </is>
      </c>
      <c r="Z1429" s="90" t="n"/>
      <c r="AA1429" s="90" t="n"/>
    </row>
    <row r="1430" s="112">
      <c r="A1430" s="72">
        <f>ROW()-1</f>
        <v/>
      </c>
      <c r="B1430" s="175" t="n"/>
      <c r="C1430" s="124" t="n">
        <v>2026</v>
      </c>
      <c r="E1430" s="103" t="n"/>
      <c r="F1430" s="175" t="n"/>
      <c r="G1430" s="175" t="n"/>
      <c r="H1430" s="175" t="n"/>
      <c r="I1430" s="103" t="inlineStr">
        <is>
          <t>下载趋势报告</t>
        </is>
      </c>
      <c r="J1430" s="93" t="inlineStr">
        <is>
          <t>EO</t>
        </is>
      </c>
      <c r="K1430" s="102" t="n"/>
      <c r="L1430" s="102" t="n"/>
      <c r="M1430" s="85">
        <f>IF(OR(Y1430="估算法",Y1430="算法类",Y1430="无法识别"),"",IF(W1430="",IF(OR(J1430="EI",J1430="EO",J1430="EQ"),0,""),LEN(W1430)-LEN(SUBSTITUTE(W1430,"、",""))+1))</f>
        <v/>
      </c>
      <c r="N1430" s="85">
        <f>IF(OR(Y1430="估算法",Y1430="算法类",Y1430="无法识别"),"",IF(X1430="",IF(OR(J1430="ILF",J1430="EIF"),0,""),LEN(X1430)-LEN(SUBSTITUTE(X1430,"、",""))+1))</f>
        <v/>
      </c>
      <c r="O1430" s="85">
        <f>IF(OR(Y1430="估算法",Y1430="算法类",Y1430="无法识别"),"",IF(Y1430="",IF(OR(J1430="ILF",J1430="EIF",J1430="EI",J1430="EO",J1430="EQ"),0,""),LEN(Y1430)-LEN(SUBSTITUTE(SUBSTITUTE(SUBSTITUTE(SUBSTITUTE(SUBSTITUTE(Y1430,"|}","--"),"{|","--"),CHAR(10),""),"、",""),"|",""))+IF(AND(OR(J1430="EI",J1430="EO",J1430="EQ"),$AE$1="NESMA"),2,1)))</f>
        <v/>
      </c>
      <c r="P1430" s="86">
        <f>IF(J1430="EI",IF(OR(Y1430="估算法",Y1430="算法类"),"中",IF(Y1430="无法识别","低",IF(M1430&lt;2,IF(O1430&lt;16,"低","中"),IF(M1430&lt;3,IF(O1430&lt;5,"低",IF(O1430&lt;16,"中","高")),IF(O1430&lt;5,"中","高"))))),IF(OR(J1430="EO",J1430="EQ"),IF(OR(Y1430="估算法",Y1430="算法类"),"中",IF(Y1430="无法识别","低",IF(M1430&lt;2,IF(O1430&lt;20,"低","中"),IF(M1430&lt;4,IF(O1430&lt;6,"低",IF(O1430&lt;20,"中","高")),IF(O1430&lt;6,"中","高"))))),IF(OR(J1430="ILF",J1430="EIF"),IF(OR(Y1430="估算法",Y1430="算法类",Y1430="无法识别"),"低",IF(N1430&lt;2,IF(O1430&lt;51,"低","中"),IF(N1430&lt;6,IF(O1430&lt;20,"低",IF(O1430&lt;51,"中","高")),IF(O1430&lt;20,"中","高")))),"不计算")))</f>
        <v/>
      </c>
      <c r="Q1430" s="172">
        <f>IFERROR(IF(J1430="EI",IF(P1430="低",3,IF(P1430="中",4,6)),IF(J1430="EO",IF(P1430="低",4,IF(P1430="中",5,7)),IF(J1430="EQ",IF(P1430="低",3,IF(P1430="中",4,6)),IF(J1430="ILF",IF(P1430="低",7,IF(P1430="中",10,15)),IF(J1430="EIF",IF(P1430="低",5,IF(P1430="中",7,10)),"不计算")))))*R1430,"不计算")</f>
        <v/>
      </c>
      <c r="R1430" s="172" t="n">
        <v>1</v>
      </c>
      <c r="S1430" s="173">
        <f>调整因子!$F$13</f>
        <v/>
      </c>
      <c r="T1430" s="92" t="n">
        <v>1</v>
      </c>
      <c r="U1430" s="174">
        <f>IFERROR(Q1430*S1430,0)</f>
        <v/>
      </c>
      <c r="V1430" s="178">
        <f>U1430*T1430</f>
        <v/>
      </c>
      <c r="W1430" s="103" t="inlineStr">
        <is>
          <t>任务队列表、修复方案表</t>
        </is>
      </c>
      <c r="X1430" s="103" t="inlineStr"/>
      <c r="Y1430" s="97" t="inlineStr">
        <is>
          <t>任务队列表{任务ID、任务名称|任务ID、任务名称、任务类型、任务状态、创建时间、执行时间}
修复方案表{ID、名称|ID、名称、类型、状态、创建时间、更新时间}</t>
        </is>
      </c>
      <c r="Z1430" s="90" t="n"/>
      <c r="AA1430" s="90" t="n"/>
    </row>
    <row r="1431" s="112">
      <c r="A1431" s="72">
        <f>ROW()-1</f>
        <v/>
      </c>
      <c r="B1431" s="175" t="n"/>
      <c r="C1431" s="124" t="n">
        <v>2026</v>
      </c>
      <c r="E1431" s="103" t="n"/>
      <c r="F1431" s="175" t="n"/>
      <c r="G1431" s="175" t="n"/>
      <c r="H1431" s="175" t="n"/>
      <c r="I1431" s="103" t="inlineStr">
        <is>
          <t>查询趋势数据</t>
        </is>
      </c>
      <c r="J1431" s="93" t="inlineStr">
        <is>
          <t>EQ</t>
        </is>
      </c>
      <c r="K1431" s="102" t="n"/>
      <c r="L1431" s="102" t="n"/>
      <c r="M1431" s="85">
        <f>IF(OR(Y1431="估算法",Y1431="算法类",Y1431="无法识别"),"",IF(W1431="",IF(OR(J1431="EI",J1431="EO",J1431="EQ"),0,""),LEN(W1431)-LEN(SUBSTITUTE(W1431,"、",""))+1))</f>
        <v/>
      </c>
      <c r="N1431" s="85">
        <f>IF(OR(Y1431="估算法",Y1431="算法类",Y1431="无法识别"),"",IF(X1431="",IF(OR(J1431="ILF",J1431="EIF"),0,""),LEN(X1431)-LEN(SUBSTITUTE(X1431,"、",""))+1))</f>
        <v/>
      </c>
      <c r="O1431" s="85">
        <f>IF(OR(Y1431="估算法",Y1431="算法类",Y1431="无法识别"),"",IF(Y1431="",IF(OR(J1431="ILF",J1431="EIF",J1431="EI",J1431="EO",J1431="EQ"),0,""),LEN(Y1431)-LEN(SUBSTITUTE(SUBSTITUTE(SUBSTITUTE(SUBSTITUTE(SUBSTITUTE(Y1431,"|}","--"),"{|","--"),CHAR(10),""),"、",""),"|",""))+IF(AND(OR(J1431="EI",J1431="EO",J1431="EQ"),$AE$1="NESMA"),2,1)))</f>
        <v/>
      </c>
      <c r="P1431" s="86">
        <f>IF(J1431="EI",IF(OR(Y1431="估算法",Y1431="算法类"),"中",IF(Y1431="无法识别","低",IF(M1431&lt;2,IF(O1431&lt;16,"低","中"),IF(M1431&lt;3,IF(O1431&lt;5,"低",IF(O1431&lt;16,"中","高")),IF(O1431&lt;5,"中","高"))))),IF(OR(J1431="EO",J1431="EQ"),IF(OR(Y1431="估算法",Y1431="算法类"),"中",IF(Y1431="无法识别","低",IF(M1431&lt;2,IF(O1431&lt;20,"低","中"),IF(M1431&lt;4,IF(O1431&lt;6,"低",IF(O1431&lt;20,"中","高")),IF(O1431&lt;6,"中","高"))))),IF(OR(J1431="ILF",J1431="EIF"),IF(OR(Y1431="估算法",Y1431="算法类",Y1431="无法识别"),"低",IF(N1431&lt;2,IF(O1431&lt;51,"低","中"),IF(N1431&lt;6,IF(O1431&lt;20,"低",IF(O1431&lt;51,"中","高")),IF(O1431&lt;20,"中","高")))),"不计算")))</f>
        <v/>
      </c>
      <c r="Q1431" s="172">
        <f>IFERROR(IF(J1431="EI",IF(P1431="低",3,IF(P1431="中",4,6)),IF(J1431="EO",IF(P1431="低",4,IF(P1431="中",5,7)),IF(J1431="EQ",IF(P1431="低",3,IF(P1431="中",4,6)),IF(J1431="ILF",IF(P1431="低",7,IF(P1431="中",10,15)),IF(J1431="EIF",IF(P1431="低",5,IF(P1431="中",7,10)),"不计算")))))*R1431,"不计算")</f>
        <v/>
      </c>
      <c r="R1431" s="172" t="n">
        <v>1</v>
      </c>
      <c r="S1431" s="173">
        <f>调整因子!$F$13</f>
        <v/>
      </c>
      <c r="T1431" s="92" t="n">
        <v>1</v>
      </c>
      <c r="U1431" s="174">
        <f>IFERROR(Q1431*S1431,0)</f>
        <v/>
      </c>
      <c r="V1431" s="178">
        <f>U1431*T1431</f>
        <v/>
      </c>
      <c r="W1431" s="103" t="inlineStr">
        <is>
          <t>态势数据采集表、任务日志表</t>
        </is>
      </c>
      <c r="X1431" s="103" t="inlineStr"/>
      <c r="Y1431" s="97" t="inlineStr">
        <is>
          <t>态势数据采集表{ID、名称|ID、名称、类型、状态、创建时间、更新时间}
任务日志表{任务ID、任务名称|任务ID、任务名称、任务类型、任务状态、创建时间、执行时间}</t>
        </is>
      </c>
      <c r="Z1431" s="90" t="n"/>
      <c r="AA1431" s="90" t="n"/>
    </row>
    <row r="1432" s="112">
      <c r="A1432" s="72">
        <f>ROW()-1</f>
        <v/>
      </c>
      <c r="B1432" s="175" t="n"/>
      <c r="C1432" s="124" t="n">
        <v>2026</v>
      </c>
      <c r="E1432" s="103" t="n"/>
      <c r="F1432" s="175" t="n"/>
      <c r="G1432" s="176" t="n"/>
      <c r="H1432" s="176" t="n"/>
      <c r="I1432" s="103" t="inlineStr">
        <is>
          <t>查看趋势详情</t>
        </is>
      </c>
      <c r="J1432" s="93" t="inlineStr">
        <is>
          <t>EQ</t>
        </is>
      </c>
      <c r="K1432" s="102" t="n"/>
      <c r="L1432" s="102" t="n"/>
      <c r="M1432" s="85">
        <f>IF(OR(Y1432="估算法",Y1432="算法类",Y1432="无法识别"),"",IF(W1432="",IF(OR(J1432="EI",J1432="EO",J1432="EQ"),0,""),LEN(W1432)-LEN(SUBSTITUTE(W1432,"、",""))+1))</f>
        <v/>
      </c>
      <c r="N1432" s="85">
        <f>IF(OR(Y1432="估算法",Y1432="算法类",Y1432="无法识别"),"",IF(X1432="",IF(OR(J1432="ILF",J1432="EIF"),0,""),LEN(X1432)-LEN(SUBSTITUTE(X1432,"、",""))+1))</f>
        <v/>
      </c>
      <c r="O1432" s="85">
        <f>IF(OR(Y1432="估算法",Y1432="算法类",Y1432="无法识别"),"",IF(Y1432="",IF(OR(J1432="ILF",J1432="EIF",J1432="EI",J1432="EO",J1432="EQ"),0,""),LEN(Y1432)-LEN(SUBSTITUTE(SUBSTITUTE(SUBSTITUTE(SUBSTITUTE(SUBSTITUTE(Y1432,"|}","--"),"{|","--"),CHAR(10),""),"、",""),"|",""))+IF(AND(OR(J1432="EI",J1432="EO",J1432="EQ"),$AE$1="NESMA"),2,1)))</f>
        <v/>
      </c>
      <c r="P1432" s="86">
        <f>IF(J1432="EI",IF(OR(Y1432="估算法",Y1432="算法类"),"中",IF(Y1432="无法识别","低",IF(M1432&lt;2,IF(O1432&lt;16,"低","中"),IF(M1432&lt;3,IF(O1432&lt;5,"低",IF(O1432&lt;16,"中","高")),IF(O1432&lt;5,"中","高"))))),IF(OR(J1432="EO",J1432="EQ"),IF(OR(Y1432="估算法",Y1432="算法类"),"中",IF(Y1432="无法识别","低",IF(M1432&lt;2,IF(O1432&lt;20,"低","中"),IF(M1432&lt;4,IF(O1432&lt;6,"低",IF(O1432&lt;20,"中","高")),IF(O1432&lt;6,"中","高"))))),IF(OR(J1432="ILF",J1432="EIF"),IF(OR(Y1432="估算法",Y1432="算法类",Y1432="无法识别"),"低",IF(N1432&lt;2,IF(O1432&lt;51,"低","中"),IF(N1432&lt;6,IF(O1432&lt;20,"低",IF(O1432&lt;51,"中","高")),IF(O1432&lt;20,"中","高")))),"不计算")))</f>
        <v/>
      </c>
      <c r="Q1432" s="172">
        <f>IFERROR(IF(J1432="EI",IF(P1432="低",3,IF(P1432="中",4,6)),IF(J1432="EO",IF(P1432="低",4,IF(P1432="中",5,7)),IF(J1432="EQ",IF(P1432="低",3,IF(P1432="中",4,6)),IF(J1432="ILF",IF(P1432="低",7,IF(P1432="中",10,15)),IF(J1432="EIF",IF(P1432="低",5,IF(P1432="中",7,10)),"不计算")))))*R1432,"不计算")</f>
        <v/>
      </c>
      <c r="R1432" s="172" t="n">
        <v>1</v>
      </c>
      <c r="S1432" s="173">
        <f>调整因子!$F$13</f>
        <v/>
      </c>
      <c r="T1432" s="93" t="n">
        <v>1</v>
      </c>
      <c r="U1432" s="174">
        <f>IFERROR(Q1432*S1432,0)</f>
        <v/>
      </c>
      <c r="V1432" s="178">
        <f>U1432*T1432</f>
        <v/>
      </c>
      <c r="W1432" s="103" t="inlineStr">
        <is>
          <t>通报模板表、加密策略表</t>
        </is>
      </c>
      <c r="X1432" s="103" t="inlineStr"/>
      <c r="Y1432" s="97" t="inlineStr">
        <is>
          <t>通报模板表{ID、名称|ID、名称、类型、状态、创建时间、更新时间}
加密策略表{策略ID、策略名称|策略ID、策略名称、策略类型、策略内容、生效时间}</t>
        </is>
      </c>
      <c r="Z1432" s="90" t="n"/>
      <c r="AA1432" s="90" t="n"/>
    </row>
    <row r="1433" s="112">
      <c r="A1433" s="72">
        <f>ROW()-1</f>
        <v/>
      </c>
      <c r="B1433" s="175" t="n"/>
      <c r="C1433" s="124" t="n">
        <v>2026</v>
      </c>
      <c r="E1433" s="103" t="n"/>
      <c r="F1433" s="175" t="n"/>
      <c r="G1433" s="97" t="inlineStr">
        <is>
          <t>VPT漏洞优先级算法</t>
        </is>
      </c>
      <c r="H1433" s="97" t="inlineStr">
        <is>
          <t>考核指标配置管理</t>
        </is>
      </c>
      <c r="I1433" s="103" t="inlineStr">
        <is>
          <t>考核指标配置表</t>
        </is>
      </c>
      <c r="J1433" s="93" t="inlineStr">
        <is>
          <t>ILF</t>
        </is>
      </c>
      <c r="K1433" s="102" t="n"/>
      <c r="L1433" s="102" t="n"/>
      <c r="M1433" s="85">
        <f>IF(OR(Y1433="估算法",Y1433="算法类",Y1433="无法识别"),"",IF(W1433="",IF(OR(J1433="EI",J1433="EO",J1433="EQ"),0,""),LEN(W1433)-LEN(SUBSTITUTE(W1433,"、",""))+1))</f>
        <v/>
      </c>
      <c r="N1433" s="85">
        <f>IF(OR(Y1433="估算法",Y1433="算法类",Y1433="无法识别"),"",IF(X1433="",IF(OR(J1433="ILF",J1433="EIF"),0,""),LEN(X1433)-LEN(SUBSTITUTE(X1433,"、",""))+1))</f>
        <v/>
      </c>
      <c r="O1433" s="85">
        <f>IF(OR(Y1433="估算法",Y1433="算法类",Y1433="无法识别"),"",IF(Y1433="",IF(OR(J1433="ILF",J1433="EIF",J1433="EI",J1433="EO",J1433="EQ"),0,""),LEN(Y1433)-LEN(SUBSTITUTE(SUBSTITUTE(SUBSTITUTE(SUBSTITUTE(SUBSTITUTE(Y1433,"|}","--"),"{|","--"),CHAR(10),""),"、",""),"|",""))+IF(AND(OR(J1433="EI",J1433="EO",J1433="EQ"),$AE$1="NESMA"),2,1)))</f>
        <v/>
      </c>
      <c r="P1433" s="86">
        <f>IF(J1433="EI",IF(OR(Y1433="估算法",Y1433="算法类"),"中",IF(Y1433="无法识别","低",IF(M1433&lt;2,IF(O1433&lt;16,"低","中"),IF(M1433&lt;3,IF(O1433&lt;5,"低",IF(O1433&lt;16,"中","高")),IF(O1433&lt;5,"中","高"))))),IF(OR(J1433="EO",J1433="EQ"),IF(OR(Y1433="估算法",Y1433="算法类"),"中",IF(Y1433="无法识别","低",IF(M1433&lt;2,IF(O1433&lt;20,"低","中"),IF(M1433&lt;4,IF(O1433&lt;6,"低",IF(O1433&lt;20,"中","高")),IF(O1433&lt;6,"中","高"))))),IF(OR(J1433="ILF",J1433="EIF"),IF(OR(Y1433="估算法",Y1433="算法类",Y1433="无法识别"),"低",IF(N1433&lt;2,IF(O1433&lt;51,"低","中"),IF(N1433&lt;6,IF(O1433&lt;20,"低",IF(O1433&lt;51,"中","高")),IF(O1433&lt;20,"中","高")))),"不计算")))</f>
        <v/>
      </c>
      <c r="Q1433" s="172">
        <f>IFERROR(IF(J1433="EI",IF(P1433="低",3,IF(P1433="中",4,6)),IF(J1433="EO",IF(P1433="低",4,IF(P1433="中",5,7)),IF(J1433="EQ",IF(P1433="低",3,IF(P1433="中",4,6)),IF(J1433="ILF",IF(P1433="低",7,IF(P1433="中",10,15)),IF(J1433="EIF",IF(P1433="低",5,IF(P1433="中",7,10)),"不计算")))))*R1433,"不计算")</f>
        <v/>
      </c>
      <c r="R1433" s="172" t="n">
        <v>1</v>
      </c>
      <c r="S1433" s="173">
        <f>调整因子!$F$13</f>
        <v/>
      </c>
      <c r="T1433" s="93" t="n">
        <v>1</v>
      </c>
      <c r="U1433" s="174">
        <f>IFERROR(Q1433*S1433,0)</f>
        <v/>
      </c>
      <c r="V1433" s="178">
        <f>U1433*T1433</f>
        <v/>
      </c>
      <c r="W1433" s="103" t="inlineStr"/>
      <c r="X1433" s="103" t="inlineStr">
        <is>
          <t>配置项</t>
        </is>
      </c>
      <c r="Y1433" s="97" t="inlineStr">
        <is>
          <t>考核指标配置表{配置ID、配置名称、配置类型|配置ID、配置名称、配置类型、配置值、创建时间}</t>
        </is>
      </c>
      <c r="Z1433" s="90">
        <f>IF(COUNTIFS(W:W,"*"&amp;I1433&amp;"*")&gt;0,"存在","不存在")</f>
        <v/>
      </c>
      <c r="AA1433" s="90">
        <f>IF(COUNTIFS(AB:AB,"*"&amp;I1433&amp;"*")&gt;0,"存在","不存在")</f>
        <v/>
      </c>
    </row>
    <row r="1434" s="112">
      <c r="A1434" s="72">
        <f>ROW()-1</f>
        <v/>
      </c>
      <c r="B1434" s="175" t="n"/>
      <c r="C1434" s="124" t="n">
        <v>2026</v>
      </c>
      <c r="E1434" s="103" t="n"/>
      <c r="F1434" s="175" t="n"/>
      <c r="G1434" s="175" t="n"/>
      <c r="H1434" s="175" t="n"/>
      <c r="I1434" s="103" t="inlineStr">
        <is>
          <t>指标权重表</t>
        </is>
      </c>
      <c r="J1434" s="93" t="inlineStr">
        <is>
          <t>ILF</t>
        </is>
      </c>
      <c r="K1434" s="84" t="n"/>
      <c r="L1434" s="84" t="inlineStr">
        <is>
          <t>数据库表未被本系统所维护</t>
        </is>
      </c>
      <c r="M1434" s="85">
        <f>IF(OR(Y1434="估算法",Y1434="算法类",Y1434="无法识别"),"",IF(W1434="",IF(OR(J1434="EI",J1434="EO",J1434="EQ"),0,""),LEN(W1434)-LEN(SUBSTITUTE(W1434,"、",""))+1))</f>
        <v/>
      </c>
      <c r="N1434" s="85">
        <f>IF(OR(Y1434="估算法",Y1434="算法类",Y1434="无法识别"),"",IF(X1434="",IF(OR(J1434="ILF",J1434="EIF"),0,""),LEN(X1434)-LEN(SUBSTITUTE(X1434,"、",""))+1))</f>
        <v/>
      </c>
      <c r="O1434" s="85">
        <f>IF(OR(Y1434="估算法",Y1434="算法类",Y1434="无法识别"),"",IF(Y1434="",IF(OR(J1434="ILF",J1434="EIF",J1434="EI",J1434="EO",J1434="EQ"),0,""),LEN(Y1434)-LEN(SUBSTITUTE(SUBSTITUTE(SUBSTITUTE(SUBSTITUTE(SUBSTITUTE(Y1434,"|}","--"),"{|","--"),CHAR(10),""),"、",""),"|",""))+IF(AND(OR(J1434="EI",J1434="EO",J1434="EQ"),$AE$1="NESMA"),2,1)))</f>
        <v/>
      </c>
      <c r="P1434" s="86">
        <f>IF(J1434="EI",IF(OR(Y1434="估算法",Y1434="算法类"),"中",IF(Y1434="无法识别","低",IF(M1434&lt;2,IF(O1434&lt;16,"低","中"),IF(M1434&lt;3,IF(O1434&lt;5,"低",IF(O1434&lt;16,"中","高")),IF(O1434&lt;5,"中","高"))))),IF(OR(J1434="EO",J1434="EQ"),IF(OR(Y1434="估算法",Y1434="算法类"),"中",IF(Y1434="无法识别","低",IF(M1434&lt;2,IF(O1434&lt;20,"低","中"),IF(M1434&lt;4,IF(O1434&lt;6,"低",IF(O1434&lt;20,"中","高")),IF(O1434&lt;6,"中","高"))))),IF(OR(J1434="ILF",J1434="EIF"),IF(OR(Y1434="估算法",Y1434="算法类",Y1434="无法识别"),"低",IF(N1434&lt;2,IF(O1434&lt;51,"低","中"),IF(N1434&lt;6,IF(O1434&lt;20,"低",IF(O1434&lt;51,"中","高")),IF(O1434&lt;20,"中","高")))),"不计算")))</f>
        <v/>
      </c>
      <c r="Q1434" s="172">
        <f>IFERROR(IF(J1434="EI",IF(P1434="低",3,IF(P1434="中",4,6)),IF(J1434="EO",IF(P1434="低",4,IF(P1434="中",5,7)),IF(J1434="EQ",IF(P1434="低",3,IF(P1434="中",4,6)),IF(J1434="ILF",IF(P1434="低",7,IF(P1434="中",10,15)),IF(J1434="EIF",IF(P1434="低",5,IF(P1434="中",7,10)),"不计算")))))*R1434,"不计算")</f>
        <v/>
      </c>
      <c r="R1434" s="172" t="n">
        <v>0</v>
      </c>
      <c r="S1434" s="173">
        <f>调整因子!$F$13</f>
        <v/>
      </c>
      <c r="T1434" s="92" t="n">
        <v>1</v>
      </c>
      <c r="U1434" s="174">
        <f>IFERROR(Q1434*S1434,0)</f>
        <v/>
      </c>
      <c r="V1434" s="178">
        <f>U1434*T1434</f>
        <v/>
      </c>
      <c r="W1434" s="103" t="inlineStr"/>
      <c r="X1434" s="103" t="inlineStr">
        <is>
          <t>数据记录</t>
        </is>
      </c>
      <c r="Y1434" s="97" t="inlineStr">
        <is>
          <t>指标权重表{ID、名称、类型|ID、名称、类型、状态、创建时间、更新时间}</t>
        </is>
      </c>
      <c r="Z1434" s="90">
        <f>IF(COUNTIFS(W:W,"*"&amp;I1434&amp;"*")&gt;0,"存在","不存在")</f>
        <v/>
      </c>
      <c r="AA1434" s="90">
        <f>IF(COUNTIFS(AB:AB,"*"&amp;I1434&amp;"*")&gt;0,"存在","不存在")</f>
        <v/>
      </c>
    </row>
    <row r="1435" s="112">
      <c r="A1435" s="72">
        <f>ROW()-1</f>
        <v/>
      </c>
      <c r="B1435" s="175" t="n"/>
      <c r="C1435" s="124" t="n">
        <v>2026</v>
      </c>
      <c r="E1435" s="103" t="n"/>
      <c r="F1435" s="175" t="n"/>
      <c r="G1435" s="175" t="n"/>
      <c r="H1435" s="175" t="n"/>
      <c r="I1435" s="103" t="inlineStr">
        <is>
          <t>指标阈值表</t>
        </is>
      </c>
      <c r="J1435" s="93" t="inlineStr">
        <is>
          <t>ILF</t>
        </is>
      </c>
      <c r="K1435" s="102" t="n"/>
      <c r="L1435" s="102" t="n"/>
      <c r="M1435" s="85">
        <f>IF(OR(Y1435="估算法",Y1435="算法类",Y1435="无法识别"),"",IF(W1435="",IF(OR(J1435="EI",J1435="EO",J1435="EQ"),0,""),LEN(W1435)-LEN(SUBSTITUTE(W1435,"、",""))+1))</f>
        <v/>
      </c>
      <c r="N1435" s="85">
        <f>IF(OR(Y1435="估算法",Y1435="算法类",Y1435="无法识别"),"",IF(X1435="",IF(OR(J1435="ILF",J1435="EIF"),0,""),LEN(X1435)-LEN(SUBSTITUTE(X1435,"、",""))+1))</f>
        <v/>
      </c>
      <c r="O1435" s="85">
        <f>IF(OR(Y1435="估算法",Y1435="算法类",Y1435="无法识别"),"",IF(Y1435="",IF(OR(J1435="ILF",J1435="EIF",J1435="EI",J1435="EO",J1435="EQ"),0,""),LEN(Y1435)-LEN(SUBSTITUTE(SUBSTITUTE(SUBSTITUTE(SUBSTITUTE(SUBSTITUTE(Y1435,"|}","--"),"{|","--"),CHAR(10),""),"、",""),"|",""))+IF(AND(OR(J1435="EI",J1435="EO",J1435="EQ"),$AE$1="NESMA"),2,1)))</f>
        <v/>
      </c>
      <c r="P1435" s="86">
        <f>IF(J1435="EI",IF(OR(Y1435="估算法",Y1435="算法类"),"中",IF(Y1435="无法识别","低",IF(M1435&lt;2,IF(O1435&lt;16,"低","中"),IF(M1435&lt;3,IF(O1435&lt;5,"低",IF(O1435&lt;16,"中","高")),IF(O1435&lt;5,"中","高"))))),IF(OR(J1435="EO",J1435="EQ"),IF(OR(Y1435="估算法",Y1435="算法类"),"中",IF(Y1435="无法识别","低",IF(M1435&lt;2,IF(O1435&lt;20,"低","中"),IF(M1435&lt;4,IF(O1435&lt;6,"低",IF(O1435&lt;20,"中","高")),IF(O1435&lt;6,"中","高"))))),IF(OR(J1435="ILF",J1435="EIF"),IF(OR(Y1435="估算法",Y1435="算法类",Y1435="无法识别"),"低",IF(N1435&lt;2,IF(O1435&lt;51,"低","中"),IF(N1435&lt;6,IF(O1435&lt;20,"低",IF(O1435&lt;51,"中","高")),IF(O1435&lt;20,"中","高")))),"不计算")))</f>
        <v/>
      </c>
      <c r="Q1435" s="172">
        <f>IFERROR(IF(J1435="EI",IF(P1435="低",3,IF(P1435="中",4,6)),IF(J1435="EO",IF(P1435="低",4,IF(P1435="中",5,7)),IF(J1435="EQ",IF(P1435="低",3,IF(P1435="中",4,6)),IF(J1435="ILF",IF(P1435="低",7,IF(P1435="中",10,15)),IF(J1435="EIF",IF(P1435="低",5,IF(P1435="中",7,10)),"不计算")))))*R1435,"不计算")</f>
        <v/>
      </c>
      <c r="R1435" s="172" t="n">
        <v>1</v>
      </c>
      <c r="S1435" s="173">
        <f>调整因子!$F$13</f>
        <v/>
      </c>
      <c r="T1435" s="92" t="n">
        <v>1</v>
      </c>
      <c r="U1435" s="174">
        <f>IFERROR(Q1435*S1435,0)</f>
        <v/>
      </c>
      <c r="V1435" s="178">
        <f>U1435*T1435</f>
        <v/>
      </c>
      <c r="W1435" s="103" t="inlineStr"/>
      <c r="X1435" s="103" t="inlineStr">
        <is>
          <t>数据记录</t>
        </is>
      </c>
      <c r="Y1435" s="97" t="inlineStr">
        <is>
          <t>指标阈值表{ID、名称、类型|ID、名称、类型、状态、创建时间、更新时间}</t>
        </is>
      </c>
      <c r="Z1435" s="90">
        <f>IF(COUNTIFS(W:W,"*"&amp;I1435&amp;"*")&gt;0,"存在","不存在")</f>
        <v/>
      </c>
      <c r="AA1435" s="90">
        <f>IF(COUNTIFS(AB:AB,"*"&amp;I1435&amp;"*")&gt;0,"存在","不存在")</f>
        <v/>
      </c>
    </row>
    <row r="1436" s="112">
      <c r="A1436" s="72">
        <f>ROW()-1</f>
        <v/>
      </c>
      <c r="B1436" s="175" t="n"/>
      <c r="C1436" s="124" t="n">
        <v>2026</v>
      </c>
      <c r="E1436" s="103" t="n"/>
      <c r="F1436" s="175" t="n"/>
      <c r="G1436" s="175" t="n"/>
      <c r="H1436" s="175" t="n"/>
      <c r="I1436" s="103" t="inlineStr">
        <is>
          <t>配置考核指标</t>
        </is>
      </c>
      <c r="J1436" s="93" t="inlineStr">
        <is>
          <t>EI</t>
        </is>
      </c>
      <c r="K1436" s="102" t="n"/>
      <c r="L1436" s="102" t="n"/>
      <c r="M1436" s="85">
        <f>IF(OR(Y1436="估算法",Y1436="算法类",Y1436="无法识别"),"",IF(W1436="",IF(OR(J1436="EI",J1436="EO",J1436="EQ"),0,""),LEN(W1436)-LEN(SUBSTITUTE(W1436,"、",""))+1))</f>
        <v/>
      </c>
      <c r="N1436" s="85">
        <f>IF(OR(Y1436="估算法",Y1436="算法类",Y1436="无法识别"),"",IF(X1436="",IF(OR(J1436="ILF",J1436="EIF"),0,""),LEN(X1436)-LEN(SUBSTITUTE(X1436,"、",""))+1))</f>
        <v/>
      </c>
      <c r="O1436" s="85">
        <f>IF(OR(Y1436="估算法",Y1436="算法类",Y1436="无法识别"),"",IF(Y1436="",IF(OR(J1436="ILF",J1436="EIF",J1436="EI",J1436="EO",J1436="EQ"),0,""),LEN(Y1436)-LEN(SUBSTITUTE(SUBSTITUTE(SUBSTITUTE(SUBSTITUTE(SUBSTITUTE(Y1436,"|}","--"),"{|","--"),CHAR(10),""),"、",""),"|",""))+IF(AND(OR(J1436="EI",J1436="EO",J1436="EQ"),$AE$1="NESMA"),2,1)))</f>
        <v/>
      </c>
      <c r="P1436" s="86">
        <f>IF(J1436="EI",IF(OR(Y1436="估算法",Y1436="算法类"),"中",IF(Y1436="无法识别","低",IF(M1436&lt;2,IF(O1436&lt;16,"低","中"),IF(M1436&lt;3,IF(O1436&lt;5,"低",IF(O1436&lt;16,"中","高")),IF(O1436&lt;5,"中","高"))))),IF(OR(J1436="EO",J1436="EQ"),IF(OR(Y1436="估算法",Y1436="算法类"),"中",IF(Y1436="无法识别","低",IF(M1436&lt;2,IF(O1436&lt;20,"低","中"),IF(M1436&lt;4,IF(O1436&lt;6,"低",IF(O1436&lt;20,"中","高")),IF(O1436&lt;6,"中","高"))))),IF(OR(J1436="ILF",J1436="EIF"),IF(OR(Y1436="估算法",Y1436="算法类",Y1436="无法识别"),"低",IF(N1436&lt;2,IF(O1436&lt;51,"低","中"),IF(N1436&lt;6,IF(O1436&lt;20,"低",IF(O1436&lt;51,"中","高")),IF(O1436&lt;20,"中","高")))),"不计算")))</f>
        <v/>
      </c>
      <c r="Q1436" s="172">
        <f>IFERROR(IF(J1436="EI",IF(P1436="低",3,IF(P1436="中",4,6)),IF(J1436="EO",IF(P1436="低",4,IF(P1436="中",5,7)),IF(J1436="EQ",IF(P1436="低",3,IF(P1436="中",4,6)),IF(J1436="ILF",IF(P1436="低",7,IF(P1436="中",10,15)),IF(J1436="EIF",IF(P1436="低",5,IF(P1436="中",7,10)),"不计算")))))*R1436,"不计算")</f>
        <v/>
      </c>
      <c r="R1436" s="172" t="n">
        <v>1</v>
      </c>
      <c r="S1436" s="173">
        <f>调整因子!$F$13</f>
        <v/>
      </c>
      <c r="T1436" s="93" t="n">
        <v>1</v>
      </c>
      <c r="U1436" s="174">
        <f>IFERROR(Q1436*S1436,0)</f>
        <v/>
      </c>
      <c r="V1436" s="178">
        <f>U1436*T1436</f>
        <v/>
      </c>
      <c r="W1436" s="103" t="inlineStr">
        <is>
          <t>任务优先级配置表、模板参数配置表</t>
        </is>
      </c>
      <c r="X1436" s="103" t="inlineStr"/>
      <c r="Y1436" s="97" t="inlineStr">
        <is>
          <t>任务优先级配置表{任务ID、任务名称、任务类型、任务状态、创建时间、执行时间|任务ID、任务名称、任务类型}
模板参数配置表{配置ID、配置名称、配置类型、配置值、创建时间|配置ID、配置名称、配置类型}</t>
        </is>
      </c>
      <c r="Z1436" s="90" t="n"/>
      <c r="AA1436" s="90" t="n"/>
    </row>
    <row r="1437" s="112">
      <c r="A1437" s="72">
        <f>ROW()-1</f>
        <v/>
      </c>
      <c r="B1437" s="175" t="n"/>
      <c r="C1437" s="124" t="n">
        <v>2026</v>
      </c>
      <c r="E1437" s="103" t="n"/>
      <c r="F1437" s="175" t="n"/>
      <c r="G1437" s="175" t="n"/>
      <c r="H1437" s="175" t="n"/>
      <c r="I1437" s="103" t="inlineStr">
        <is>
          <t>编辑考核指标</t>
        </is>
      </c>
      <c r="J1437" s="93" t="inlineStr">
        <is>
          <t>EI</t>
        </is>
      </c>
      <c r="K1437" s="102" t="n"/>
      <c r="L1437" s="102" t="n"/>
      <c r="M1437" s="85">
        <f>IF(OR(Y1437="估算法",Y1437="算法类",Y1437="无法识别"),"",IF(W1437="",IF(OR(J1437="EI",J1437="EO",J1437="EQ"),0,""),LEN(W1437)-LEN(SUBSTITUTE(W1437,"、",""))+1))</f>
        <v/>
      </c>
      <c r="N1437" s="85">
        <f>IF(OR(Y1437="估算法",Y1437="算法类",Y1437="无法识别"),"",IF(X1437="",IF(OR(J1437="ILF",J1437="EIF"),0,""),LEN(X1437)-LEN(SUBSTITUTE(X1437,"、",""))+1))</f>
        <v/>
      </c>
      <c r="O1437" s="85">
        <f>IF(OR(Y1437="估算法",Y1437="算法类",Y1437="无法识别"),"",IF(Y1437="",IF(OR(J1437="ILF",J1437="EIF",J1437="EI",J1437="EO",J1437="EQ"),0,""),LEN(Y1437)-LEN(SUBSTITUTE(SUBSTITUTE(SUBSTITUTE(SUBSTITUTE(SUBSTITUTE(Y1437,"|}","--"),"{|","--"),CHAR(10),""),"、",""),"|",""))+IF(AND(OR(J1437="EI",J1437="EO",J1437="EQ"),$AE$1="NESMA"),2,1)))</f>
        <v/>
      </c>
      <c r="P1437" s="86">
        <f>IF(J1437="EI",IF(OR(Y1437="估算法",Y1437="算法类"),"中",IF(Y1437="无法识别","低",IF(M1437&lt;2,IF(O1437&lt;16,"低","中"),IF(M1437&lt;3,IF(O1437&lt;5,"低",IF(O1437&lt;16,"中","高")),IF(O1437&lt;5,"中","高"))))),IF(OR(J1437="EO",J1437="EQ"),IF(OR(Y1437="估算法",Y1437="算法类"),"中",IF(Y1437="无法识别","低",IF(M1437&lt;2,IF(O1437&lt;20,"低","中"),IF(M1437&lt;4,IF(O1437&lt;6,"低",IF(O1437&lt;20,"中","高")),IF(O1437&lt;6,"中","高"))))),IF(OR(J1437="ILF",J1437="EIF"),IF(OR(Y1437="估算法",Y1437="算法类",Y1437="无法识别"),"低",IF(N1437&lt;2,IF(O1437&lt;51,"低","中"),IF(N1437&lt;6,IF(O1437&lt;20,"低",IF(O1437&lt;51,"中","高")),IF(O1437&lt;20,"中","高")))),"不计算")))</f>
        <v/>
      </c>
      <c r="Q1437" s="172">
        <f>IFERROR(IF(J1437="EI",IF(P1437="低",3,IF(P1437="中",4,6)),IF(J1437="EO",IF(P1437="低",4,IF(P1437="中",5,7)),IF(J1437="EQ",IF(P1437="低",3,IF(P1437="中",4,6)),IF(J1437="ILF",IF(P1437="低",7,IF(P1437="中",10,15)),IF(J1437="EIF",IF(P1437="低",5,IF(P1437="中",7,10)),"不计算")))))*R1437,"不计算")</f>
        <v/>
      </c>
      <c r="R1437" s="172" t="n">
        <v>1</v>
      </c>
      <c r="S1437" s="173">
        <f>调整因子!$F$13</f>
        <v/>
      </c>
      <c r="T1437" s="92" t="n">
        <v>1</v>
      </c>
      <c r="U1437" s="174">
        <f>IFERROR(Q1437*S1437,0)</f>
        <v/>
      </c>
      <c r="V1437" s="178">
        <f>U1437*T1437</f>
        <v/>
      </c>
      <c r="W1437" s="103" t="inlineStr">
        <is>
          <t>报告解析结果表</t>
        </is>
      </c>
      <c r="X1437" s="103" t="inlineStr"/>
      <c r="Y1437" s="97" t="inlineStr">
        <is>
          <t>报告解析结果表{ID、名称、类型、状态、创建时间、更新时间|ID、名称、类型}</t>
        </is>
      </c>
      <c r="Z1437" s="90" t="n"/>
      <c r="AA1437" s="90" t="n"/>
    </row>
    <row r="1438" s="112">
      <c r="A1438" s="72">
        <f>ROW()-1</f>
        <v/>
      </c>
      <c r="B1438" s="175" t="n"/>
      <c r="C1438" s="124" t="n">
        <v>2026</v>
      </c>
      <c r="E1438" s="103" t="n"/>
      <c r="F1438" s="175" t="n"/>
      <c r="G1438" s="175" t="n"/>
      <c r="H1438" s="175" t="n"/>
      <c r="I1438" s="103" t="inlineStr">
        <is>
          <t>删除考核指标</t>
        </is>
      </c>
      <c r="J1438" s="93" t="inlineStr">
        <is>
          <t>EI</t>
        </is>
      </c>
      <c r="K1438" s="102" t="n"/>
      <c r="L1438" s="102" t="n"/>
      <c r="M1438" s="85">
        <f>IF(OR(Y1438="估算法",Y1438="算法类",Y1438="无法识别"),"",IF(W1438="",IF(OR(J1438="EI",J1438="EO",J1438="EQ"),0,""),LEN(W1438)-LEN(SUBSTITUTE(W1438,"、",""))+1))</f>
        <v/>
      </c>
      <c r="N1438" s="85">
        <f>IF(OR(Y1438="估算法",Y1438="算法类",Y1438="无法识别"),"",IF(X1438="",IF(OR(J1438="ILF",J1438="EIF"),0,""),LEN(X1438)-LEN(SUBSTITUTE(X1438,"、",""))+1))</f>
        <v/>
      </c>
      <c r="O1438" s="85">
        <f>IF(OR(Y1438="估算法",Y1438="算法类",Y1438="无法识别"),"",IF(Y1438="",IF(OR(J1438="ILF",J1438="EIF",J1438="EI",J1438="EO",J1438="EQ"),0,""),LEN(Y1438)-LEN(SUBSTITUTE(SUBSTITUTE(SUBSTITUTE(SUBSTITUTE(SUBSTITUTE(Y1438,"|}","--"),"{|","--"),CHAR(10),""),"、",""),"|",""))+IF(AND(OR(J1438="EI",J1438="EO",J1438="EQ"),$AE$1="NESMA"),2,1)))</f>
        <v/>
      </c>
      <c r="P1438" s="86">
        <f>IF(J1438="EI",IF(OR(Y1438="估算法",Y1438="算法类"),"中",IF(Y1438="无法识别","低",IF(M1438&lt;2,IF(O1438&lt;16,"低","中"),IF(M1438&lt;3,IF(O1438&lt;5,"低",IF(O1438&lt;16,"中","高")),IF(O1438&lt;5,"中","高"))))),IF(OR(J1438="EO",J1438="EQ"),IF(OR(Y1438="估算法",Y1438="算法类"),"中",IF(Y1438="无法识别","低",IF(M1438&lt;2,IF(O1438&lt;20,"低","中"),IF(M1438&lt;4,IF(O1438&lt;6,"低",IF(O1438&lt;20,"中","高")),IF(O1438&lt;6,"中","高"))))),IF(OR(J1438="ILF",J1438="EIF"),IF(OR(Y1438="估算法",Y1438="算法类",Y1438="无法识别"),"低",IF(N1438&lt;2,IF(O1438&lt;51,"低","中"),IF(N1438&lt;6,IF(O1438&lt;20,"低",IF(O1438&lt;51,"中","高")),IF(O1438&lt;20,"中","高")))),"不计算")))</f>
        <v/>
      </c>
      <c r="Q1438" s="172">
        <f>IFERROR(IF(J1438="EI",IF(P1438="低",3,IF(P1438="中",4,6)),IF(J1438="EO",IF(P1438="低",4,IF(P1438="中",5,7)),IF(J1438="EQ",IF(P1438="低",3,IF(P1438="中",4,6)),IF(J1438="ILF",IF(P1438="低",7,IF(P1438="中",10,15)),IF(J1438="EIF",IF(P1438="低",5,IF(P1438="中",7,10)),"不计算")))))*R1438,"不计算")</f>
        <v/>
      </c>
      <c r="R1438" s="172" t="n">
        <v>0.333333333333333</v>
      </c>
      <c r="S1438" s="173">
        <f>调整因子!$F$13</f>
        <v/>
      </c>
      <c r="T1438" s="92" t="n">
        <v>1</v>
      </c>
      <c r="U1438" s="174">
        <f>IFERROR(Q1438*S1438,0)</f>
        <v/>
      </c>
      <c r="V1438" s="178">
        <f>U1438*T1438</f>
        <v/>
      </c>
      <c r="W1438" s="103" t="inlineStr">
        <is>
          <t>推送日志表、扫描策略模板表</t>
        </is>
      </c>
      <c r="X1438" s="103" t="inlineStr"/>
      <c r="Y1438" s="97" t="inlineStr">
        <is>
          <t>推送日志表{日志ID、操作人、操作类型、操作时间、操作内容|日志ID、操作人、操作类型}
扫描策略模板表{任务ID、任务名称、任务状态、扫描器类型、开始时间、结束时间、扫描结果|任务ID、任务名称、任务状态}</t>
        </is>
      </c>
      <c r="Z1438" s="90" t="n"/>
      <c r="AA1438" s="90" t="n"/>
    </row>
    <row r="1439" s="112">
      <c r="A1439" s="72">
        <f>ROW()-1</f>
        <v/>
      </c>
      <c r="B1439" s="175" t="n"/>
      <c r="C1439" s="124" t="n">
        <v>2026</v>
      </c>
      <c r="E1439" s="103" t="n"/>
      <c r="F1439" s="175" t="n"/>
      <c r="G1439" s="175" t="n"/>
      <c r="H1439" s="175" t="n"/>
      <c r="I1439" s="103" t="inlineStr">
        <is>
          <t>配置指标权重</t>
        </is>
      </c>
      <c r="J1439" s="93" t="inlineStr">
        <is>
          <t>EI</t>
        </is>
      </c>
      <c r="K1439" s="102" t="n"/>
      <c r="L1439" s="102" t="n"/>
      <c r="M1439" s="85">
        <f>IF(OR(Y1439="估算法",Y1439="算法类",Y1439="无法识别"),"",IF(W1439="",IF(OR(J1439="EI",J1439="EO",J1439="EQ"),0,""),LEN(W1439)-LEN(SUBSTITUTE(W1439,"、",""))+1))</f>
        <v/>
      </c>
      <c r="N1439" s="85">
        <f>IF(OR(Y1439="估算法",Y1439="算法类",Y1439="无法识别"),"",IF(X1439="",IF(OR(J1439="ILF",J1439="EIF"),0,""),LEN(X1439)-LEN(SUBSTITUTE(X1439,"、",""))+1))</f>
        <v/>
      </c>
      <c r="O1439" s="85">
        <f>IF(OR(Y1439="估算法",Y1439="算法类",Y1439="无法识别"),"",IF(Y1439="",IF(OR(J1439="ILF",J1439="EIF",J1439="EI",J1439="EO",J1439="EQ"),0,""),LEN(Y1439)-LEN(SUBSTITUTE(SUBSTITUTE(SUBSTITUTE(SUBSTITUTE(SUBSTITUTE(Y1439,"|}","--"),"{|","--"),CHAR(10),""),"、",""),"|",""))+IF(AND(OR(J1439="EI",J1439="EO",J1439="EQ"),$AE$1="NESMA"),2,1)))</f>
        <v/>
      </c>
      <c r="P1439" s="86">
        <f>IF(J1439="EI",IF(OR(Y1439="估算法",Y1439="算法类"),"中",IF(Y1439="无法识别","低",IF(M1439&lt;2,IF(O1439&lt;16,"低","中"),IF(M1439&lt;3,IF(O1439&lt;5,"低",IF(O1439&lt;16,"中","高")),IF(O1439&lt;5,"中","高"))))),IF(OR(J1439="EO",J1439="EQ"),IF(OR(Y1439="估算法",Y1439="算法类"),"中",IF(Y1439="无法识别","低",IF(M1439&lt;2,IF(O1439&lt;20,"低","中"),IF(M1439&lt;4,IF(O1439&lt;6,"低",IF(O1439&lt;20,"中","高")),IF(O1439&lt;6,"中","高"))))),IF(OR(J1439="ILF",J1439="EIF"),IF(OR(Y1439="估算法",Y1439="算法类",Y1439="无法识别"),"低",IF(N1439&lt;2,IF(O1439&lt;51,"低","中"),IF(N1439&lt;6,IF(O1439&lt;20,"低",IF(O1439&lt;51,"中","高")),IF(O1439&lt;20,"中","高")))),"不计算")))</f>
        <v/>
      </c>
      <c r="Q1439" s="172">
        <f>IFERROR(IF(J1439="EI",IF(P1439="低",3,IF(P1439="中",4,6)),IF(J1439="EO",IF(P1439="低",4,IF(P1439="中",5,7)),IF(J1439="EQ",IF(P1439="低",3,IF(P1439="中",4,6)),IF(J1439="ILF",IF(P1439="低",7,IF(P1439="中",10,15)),IF(J1439="EIF",IF(P1439="低",5,IF(P1439="中",7,10)),"不计算")))))*R1439,"不计算")</f>
        <v/>
      </c>
      <c r="R1439" s="172" t="n">
        <v>1</v>
      </c>
      <c r="S1439" s="173">
        <f>调整因子!$F$13</f>
        <v/>
      </c>
      <c r="T1439" s="93" t="n">
        <v>1</v>
      </c>
      <c r="U1439" s="174">
        <f>IFERROR(Q1439*S1439,0)</f>
        <v/>
      </c>
      <c r="V1439" s="178">
        <f>U1439*T1439</f>
        <v/>
      </c>
      <c r="W1439" s="103" t="inlineStr">
        <is>
          <t>任务优先级配置表、模板参数配置表</t>
        </is>
      </c>
      <c r="X1439" s="103" t="inlineStr"/>
      <c r="Y1439" s="97" t="inlineStr">
        <is>
          <t>任务优先级配置表{任务ID、任务名称、任务类型、任务状态、创建时间、执行时间|任务ID、任务名称、任务类型}
模板参数配置表{配置ID、配置名称、配置类型、配置值、创建时间|配置ID、配置名称、配置类型}</t>
        </is>
      </c>
      <c r="Z1439" s="90" t="n"/>
      <c r="AA1439" s="90" t="n"/>
    </row>
    <row r="1440" s="112">
      <c r="A1440" s="72">
        <f>ROW()-1</f>
        <v/>
      </c>
      <c r="B1440" s="175" t="n"/>
      <c r="C1440" s="124" t="n">
        <v>2026</v>
      </c>
      <c r="E1440" s="103" t="n"/>
      <c r="F1440" s="175" t="n"/>
      <c r="G1440" s="175" t="n"/>
      <c r="H1440" s="175" t="n"/>
      <c r="I1440" s="103" t="inlineStr">
        <is>
          <t>启用考核指标</t>
        </is>
      </c>
      <c r="J1440" s="93" t="inlineStr">
        <is>
          <t>EI</t>
        </is>
      </c>
      <c r="K1440" s="102" t="n"/>
      <c r="L1440" s="102" t="n"/>
      <c r="M1440" s="85">
        <f>IF(OR(Y1440="估算法",Y1440="算法类",Y1440="无法识别"),"",IF(W1440="",IF(OR(J1440="EI",J1440="EO",J1440="EQ"),0,""),LEN(W1440)-LEN(SUBSTITUTE(W1440,"、",""))+1))</f>
        <v/>
      </c>
      <c r="N1440" s="85">
        <f>IF(OR(Y1440="估算法",Y1440="算法类",Y1440="无法识别"),"",IF(X1440="",IF(OR(J1440="ILF",J1440="EIF"),0,""),LEN(X1440)-LEN(SUBSTITUTE(X1440,"、",""))+1))</f>
        <v/>
      </c>
      <c r="O1440" s="85">
        <f>IF(OR(Y1440="估算法",Y1440="算法类",Y1440="无法识别"),"",IF(Y1440="",IF(OR(J1440="ILF",J1440="EIF",J1440="EI",J1440="EO",J1440="EQ"),0,""),LEN(Y1440)-LEN(SUBSTITUTE(SUBSTITUTE(SUBSTITUTE(SUBSTITUTE(SUBSTITUTE(Y1440,"|}","--"),"{|","--"),CHAR(10),""),"、",""),"|",""))+IF(AND(OR(J1440="EI",J1440="EO",J1440="EQ"),$AE$1="NESMA"),2,1)))</f>
        <v/>
      </c>
      <c r="P1440" s="86">
        <f>IF(J1440="EI",IF(OR(Y1440="估算法",Y1440="算法类"),"中",IF(Y1440="无法识别","低",IF(M1440&lt;2,IF(O1440&lt;16,"低","中"),IF(M1440&lt;3,IF(O1440&lt;5,"低",IF(O1440&lt;16,"中","高")),IF(O1440&lt;5,"中","高"))))),IF(OR(J1440="EO",J1440="EQ"),IF(OR(Y1440="估算法",Y1440="算法类"),"中",IF(Y1440="无法识别","低",IF(M1440&lt;2,IF(O1440&lt;20,"低","中"),IF(M1440&lt;4,IF(O1440&lt;6,"低",IF(O1440&lt;20,"中","高")),IF(O1440&lt;6,"中","高"))))),IF(OR(J1440="ILF",J1440="EIF"),IF(OR(Y1440="估算法",Y1440="算法类",Y1440="无法识别"),"低",IF(N1440&lt;2,IF(O1440&lt;51,"低","中"),IF(N1440&lt;6,IF(O1440&lt;20,"低",IF(O1440&lt;51,"中","高")),IF(O1440&lt;20,"中","高")))),"不计算")))</f>
        <v/>
      </c>
      <c r="Q1440" s="172">
        <f>IFERROR(IF(J1440="EI",IF(P1440="低",3,IF(P1440="中",4,6)),IF(J1440="EO",IF(P1440="低",4,IF(P1440="中",5,7)),IF(J1440="EQ",IF(P1440="低",3,IF(P1440="中",4,6)),IF(J1440="ILF",IF(P1440="低",7,IF(P1440="中",10,15)),IF(J1440="EIF",IF(P1440="低",5,IF(P1440="中",7,10)),"不计算")))))*R1440,"不计算")</f>
        <v/>
      </c>
      <c r="R1440" s="172" t="n">
        <v>1</v>
      </c>
      <c r="S1440" s="173">
        <f>调整因子!$F$13</f>
        <v/>
      </c>
      <c r="T1440" s="93" t="n">
        <v>1</v>
      </c>
      <c r="U1440" s="174">
        <f>IFERROR(Q1440*S1440,0)</f>
        <v/>
      </c>
      <c r="V1440" s="178">
        <f>U1440*T1440</f>
        <v/>
      </c>
      <c r="W1440" s="103" t="inlineStr">
        <is>
          <t>采集记录表、接口参数表</t>
        </is>
      </c>
      <c r="X1440" s="103" t="inlineStr"/>
      <c r="Y1440" s="97" t="inlineStr">
        <is>
          <t>采集记录表{ID、名称、类型、状态、创建时间、更新时间|ID、名称、类型}
接口参数表{接口ID、接口名称、接口类型、接口地址、调用时间|接口ID、接口名称、接口类型}</t>
        </is>
      </c>
      <c r="Z1440" s="90" t="n"/>
      <c r="AA1440" s="90" t="n"/>
    </row>
    <row r="1441" s="112">
      <c r="A1441" s="72">
        <f>ROW()-1</f>
        <v/>
      </c>
      <c r="B1441" s="175" t="n"/>
      <c r="C1441" s="124" t="n">
        <v>2026</v>
      </c>
      <c r="E1441" s="103" t="n"/>
      <c r="F1441" s="175" t="n"/>
      <c r="G1441" s="175" t="n"/>
      <c r="H1441" s="175" t="n"/>
      <c r="I1441" s="103" t="inlineStr">
        <is>
          <t>停用考核指标</t>
        </is>
      </c>
      <c r="J1441" s="93" t="n"/>
      <c r="K1441" s="102" t="n"/>
      <c r="L1441" s="102" t="inlineStr">
        <is>
          <t>和上行合并，启停为相同功能</t>
        </is>
      </c>
      <c r="M1441" s="85">
        <f>IF(OR(Y1441="估算法",Y1441="算法类",Y1441="无法识别"),"",IF(W1441="",IF(OR(J1441="EI",J1441="EO",J1441="EQ"),0,""),LEN(W1441)-LEN(SUBSTITUTE(W1441,"、",""))+1))</f>
        <v/>
      </c>
      <c r="N1441" s="85">
        <f>IF(OR(Y1441="估算法",Y1441="算法类",Y1441="无法识别"),"",IF(X1441="",IF(OR(J1441="ILF",J1441="EIF"),0,""),LEN(X1441)-LEN(SUBSTITUTE(X1441,"、",""))+1))</f>
        <v/>
      </c>
      <c r="O1441" s="85">
        <f>IF(OR(Y1441="估算法",Y1441="算法类",Y1441="无法识别"),"",IF(Y1441="",IF(OR(J1441="ILF",J1441="EIF",J1441="EI",J1441="EO",J1441="EQ"),0,""),LEN(Y1441)-LEN(SUBSTITUTE(SUBSTITUTE(SUBSTITUTE(SUBSTITUTE(SUBSTITUTE(Y1441,"|}","--"),"{|","--"),CHAR(10),""),"、",""),"|",""))+IF(AND(OR(J1441="EI",J1441="EO",J1441="EQ"),$AE$1="NESMA"),2,1)))</f>
        <v/>
      </c>
      <c r="P1441" s="86">
        <f>IF(J1441="EI",IF(OR(Y1441="估算法",Y1441="算法类"),"中",IF(Y1441="无法识别","低",IF(M1441&lt;2,IF(O1441&lt;16,"低","中"),IF(M1441&lt;3,IF(O1441&lt;5,"低",IF(O1441&lt;16,"中","高")),IF(O1441&lt;5,"中","高"))))),IF(OR(J1441="EO",J1441="EQ"),IF(OR(Y1441="估算法",Y1441="算法类"),"中",IF(Y1441="无法识别","低",IF(M1441&lt;2,IF(O1441&lt;20,"低","中"),IF(M1441&lt;4,IF(O1441&lt;6,"低",IF(O1441&lt;20,"中","高")),IF(O1441&lt;6,"中","高"))))),IF(OR(J1441="ILF",J1441="EIF"),IF(OR(Y1441="估算法",Y1441="算法类",Y1441="无法识别"),"低",IF(N1441&lt;2,IF(O1441&lt;51,"低","中"),IF(N1441&lt;6,IF(O1441&lt;20,"低",IF(O1441&lt;51,"中","高")),IF(O1441&lt;20,"中","高")))),"不计算")))</f>
        <v/>
      </c>
      <c r="Q1441" s="172">
        <f>IFERROR(IF(J1441="EI",IF(P1441="低",3,IF(P1441="中",4,6)),IF(J1441="EO",IF(P1441="低",4,IF(P1441="中",5,7)),IF(J1441="EQ",IF(P1441="低",3,IF(P1441="中",4,6)),IF(J1441="ILF",IF(P1441="低",7,IF(P1441="中",10,15)),IF(J1441="EIF",IF(P1441="低",5,IF(P1441="中",7,10)),"不计算")))))*R1441,"不计算")</f>
        <v/>
      </c>
      <c r="R1441" s="172" t="n">
        <v>1</v>
      </c>
      <c r="S1441" s="173">
        <f>调整因子!$F$13</f>
        <v/>
      </c>
      <c r="T1441" s="92" t="n">
        <v>1</v>
      </c>
      <c r="U1441" s="174">
        <f>IFERROR(Q1441*S1441,0)</f>
        <v/>
      </c>
      <c r="V1441" s="178">
        <f>U1441*T1441</f>
        <v/>
      </c>
      <c r="W1441" s="103" t="inlineStr">
        <is>
          <t>同步任务调度表、任务队列表</t>
        </is>
      </c>
      <c r="X1441" s="103" t="inlineStr"/>
      <c r="Y1441" s="97" t="inlineStr">
        <is>
          <t>同步任务调度表{任务ID、任务名称、任务类型、任务状态、创建时间、执行时间|任务ID、任务名称、任务类型}
任务队列表{任务ID、任务名称、任务类型、任务状态、创建时间、执行时间|任务ID、任务名称、任务类型}</t>
        </is>
      </c>
      <c r="Z1441" s="90" t="n"/>
      <c r="AA1441" s="90" t="n"/>
    </row>
    <row r="1442" s="112">
      <c r="A1442" s="72">
        <f>ROW()-1</f>
        <v/>
      </c>
      <c r="B1442" s="175" t="n"/>
      <c r="C1442" s="124" t="n">
        <v>2026</v>
      </c>
      <c r="E1442" s="103" t="n"/>
      <c r="F1442" s="175" t="n"/>
      <c r="G1442" s="175" t="n"/>
      <c r="H1442" s="175" t="n"/>
      <c r="I1442" s="103" t="inlineStr">
        <is>
          <t>导出指标配置</t>
        </is>
      </c>
      <c r="J1442" s="93" t="inlineStr">
        <is>
          <t>EO</t>
        </is>
      </c>
      <c r="K1442" s="102" t="n"/>
      <c r="L1442" s="102" t="n"/>
      <c r="M1442" s="85">
        <f>IF(OR(Y1442="估算法",Y1442="算法类",Y1442="无法识别"),"",IF(W1442="",IF(OR(J1442="EI",J1442="EO",J1442="EQ"),0,""),LEN(W1442)-LEN(SUBSTITUTE(W1442,"、",""))+1))</f>
        <v/>
      </c>
      <c r="N1442" s="85">
        <f>IF(OR(Y1442="估算法",Y1442="算法类",Y1442="无法识别"),"",IF(X1442="",IF(OR(J1442="ILF",J1442="EIF"),0,""),LEN(X1442)-LEN(SUBSTITUTE(X1442,"、",""))+1))</f>
        <v/>
      </c>
      <c r="O1442" s="85">
        <f>IF(OR(Y1442="估算法",Y1442="算法类",Y1442="无法识别"),"",IF(Y1442="",IF(OR(J1442="ILF",J1442="EIF",J1442="EI",J1442="EO",J1442="EQ"),0,""),LEN(Y1442)-LEN(SUBSTITUTE(SUBSTITUTE(SUBSTITUTE(SUBSTITUTE(SUBSTITUTE(Y1442,"|}","--"),"{|","--"),CHAR(10),""),"、",""),"|",""))+IF(AND(OR(J1442="EI",J1442="EO",J1442="EQ"),$AE$1="NESMA"),2,1)))</f>
        <v/>
      </c>
      <c r="P1442" s="86">
        <f>IF(J1442="EI",IF(OR(Y1442="估算法",Y1442="算法类"),"中",IF(Y1442="无法识别","低",IF(M1442&lt;2,IF(O1442&lt;16,"低","中"),IF(M1442&lt;3,IF(O1442&lt;5,"低",IF(O1442&lt;16,"中","高")),IF(O1442&lt;5,"中","高"))))),IF(OR(J1442="EO",J1442="EQ"),IF(OR(Y1442="估算法",Y1442="算法类"),"中",IF(Y1442="无法识别","低",IF(M1442&lt;2,IF(O1442&lt;20,"低","中"),IF(M1442&lt;4,IF(O1442&lt;6,"低",IF(O1442&lt;20,"中","高")),IF(O1442&lt;6,"中","高"))))),IF(OR(J1442="ILF",J1442="EIF"),IF(OR(Y1442="估算法",Y1442="算法类",Y1442="无法识别"),"低",IF(N1442&lt;2,IF(O1442&lt;51,"低","中"),IF(N1442&lt;6,IF(O1442&lt;20,"低",IF(O1442&lt;51,"中","高")),IF(O1442&lt;20,"中","高")))),"不计算")))</f>
        <v/>
      </c>
      <c r="Q1442" s="172">
        <f>IFERROR(IF(J1442="EI",IF(P1442="低",3,IF(P1442="中",4,6)),IF(J1442="EO",IF(P1442="低",4,IF(P1442="中",5,7)),IF(J1442="EQ",IF(P1442="低",3,IF(P1442="中",4,6)),IF(J1442="ILF",IF(P1442="低",7,IF(P1442="中",10,15)),IF(J1442="EIF",IF(P1442="低",5,IF(P1442="中",7,10)),"不计算")))))*R1442,"不计算")</f>
        <v/>
      </c>
      <c r="R1442" s="172" t="n">
        <v>1</v>
      </c>
      <c r="S1442" s="173">
        <f>调整因子!$F$13</f>
        <v/>
      </c>
      <c r="T1442" s="92" t="n">
        <v>1</v>
      </c>
      <c r="U1442" s="174">
        <f>IFERROR(Q1442*S1442,0)</f>
        <v/>
      </c>
      <c r="V1442" s="178">
        <f>U1442*T1442</f>
        <v/>
      </c>
      <c r="W1442" s="103" t="inlineStr">
        <is>
          <t>任务优先级配置表、模板参数配置表</t>
        </is>
      </c>
      <c r="X1442" s="103" t="inlineStr"/>
      <c r="Y1442" s="97" t="inlineStr">
        <is>
          <t>任务优先级配置表{任务ID、任务名称|任务ID、任务名称、任务类型、任务状态、创建时间、执行时间}
模板参数配置表{配置ID、配置名称|配置ID、配置名称、配置类型、配置值、创建时间}</t>
        </is>
      </c>
      <c r="Z1442" s="90" t="n"/>
      <c r="AA1442" s="90" t="n"/>
    </row>
    <row r="1443" s="112">
      <c r="A1443" s="72">
        <f>ROW()-1</f>
        <v/>
      </c>
      <c r="B1443" s="175" t="n"/>
      <c r="C1443" s="124" t="n">
        <v>2026</v>
      </c>
      <c r="E1443" s="103" t="n"/>
      <c r="F1443" s="175" t="n"/>
      <c r="G1443" s="175" t="n"/>
      <c r="H1443" s="175" t="n"/>
      <c r="I1443" s="103" t="inlineStr">
        <is>
          <t>查询指标列表</t>
        </is>
      </c>
      <c r="J1443" s="93" t="inlineStr">
        <is>
          <t>EO</t>
        </is>
      </c>
      <c r="K1443" s="102" t="n"/>
      <c r="L1443" s="102" t="n"/>
      <c r="M1443" s="85">
        <f>IF(OR(Y1443="估算法",Y1443="算法类",Y1443="无法识别"),"",IF(W1443="",IF(OR(J1443="EI",J1443="EO",J1443="EQ"),0,""),LEN(W1443)-LEN(SUBSTITUTE(W1443,"、",""))+1))</f>
        <v/>
      </c>
      <c r="N1443" s="85">
        <f>IF(OR(Y1443="估算法",Y1443="算法类",Y1443="无法识别"),"",IF(X1443="",IF(OR(J1443="ILF",J1443="EIF"),0,""),LEN(X1443)-LEN(SUBSTITUTE(X1443,"、",""))+1))</f>
        <v/>
      </c>
      <c r="O1443" s="85">
        <f>IF(OR(Y1443="估算法",Y1443="算法类",Y1443="无法识别"),"",IF(Y1443="",IF(OR(J1443="ILF",J1443="EIF",J1443="EI",J1443="EO",J1443="EQ"),0,""),LEN(Y1443)-LEN(SUBSTITUTE(SUBSTITUTE(SUBSTITUTE(SUBSTITUTE(SUBSTITUTE(Y1443,"|}","--"),"{|","--"),CHAR(10),""),"、",""),"|",""))+IF(AND(OR(J1443="EI",J1443="EO",J1443="EQ"),$AE$1="NESMA"),2,1)))</f>
        <v/>
      </c>
      <c r="P1443" s="86">
        <f>IF(J1443="EI",IF(OR(Y1443="估算法",Y1443="算法类"),"中",IF(Y1443="无法识别","低",IF(M1443&lt;2,IF(O1443&lt;16,"低","中"),IF(M1443&lt;3,IF(O1443&lt;5,"低",IF(O1443&lt;16,"中","高")),IF(O1443&lt;5,"中","高"))))),IF(OR(J1443="EO",J1443="EQ"),IF(OR(Y1443="估算法",Y1443="算法类"),"中",IF(Y1443="无法识别","低",IF(M1443&lt;2,IF(O1443&lt;20,"低","中"),IF(M1443&lt;4,IF(O1443&lt;6,"低",IF(O1443&lt;20,"中","高")),IF(O1443&lt;6,"中","高"))))),IF(OR(J1443="ILF",J1443="EIF"),IF(OR(Y1443="估算法",Y1443="算法类",Y1443="无法识别"),"低",IF(N1443&lt;2,IF(O1443&lt;51,"低","中"),IF(N1443&lt;6,IF(O1443&lt;20,"低",IF(O1443&lt;51,"中","高")),IF(O1443&lt;20,"中","高")))),"不计算")))</f>
        <v/>
      </c>
      <c r="Q1443" s="172">
        <f>IFERROR(IF(J1443="EI",IF(P1443="低",3,IF(P1443="中",4,6)),IF(J1443="EO",IF(P1443="低",4,IF(P1443="中",5,7)),IF(J1443="EQ",IF(P1443="低",3,IF(P1443="中",4,6)),IF(J1443="ILF",IF(P1443="低",7,IF(P1443="中",10,15)),IF(J1443="EIF",IF(P1443="低",5,IF(P1443="中",7,10)),"不计算")))))*R1443,"不计算")</f>
        <v/>
      </c>
      <c r="R1443" s="172" t="n">
        <v>1</v>
      </c>
      <c r="S1443" s="173">
        <f>调整因子!$F$13</f>
        <v/>
      </c>
      <c r="T1443" s="93" t="n">
        <v>1</v>
      </c>
      <c r="U1443" s="174">
        <f>IFERROR(Q1443*S1443,0)</f>
        <v/>
      </c>
      <c r="V1443" s="178">
        <f>U1443*T1443</f>
        <v/>
      </c>
      <c r="W1443" s="103" t="inlineStr">
        <is>
          <t>离线扫描报告表</t>
        </is>
      </c>
      <c r="X1443" s="103" t="inlineStr"/>
      <c r="Y1443" s="97" t="inlineStr">
        <is>
          <t>离线扫描报告表{任务ID、任务名称|任务ID、任务名称、任务状态、扫描器类型、开始时间、结束时间}</t>
        </is>
      </c>
      <c r="Z1443" s="90" t="n"/>
      <c r="AA1443" s="90" t="n"/>
    </row>
    <row r="1444" s="112">
      <c r="A1444" s="72">
        <f>ROW()-1</f>
        <v/>
      </c>
      <c r="B1444" s="175" t="n"/>
      <c r="C1444" s="124" t="n">
        <v>2026</v>
      </c>
      <c r="E1444" s="103" t="n"/>
      <c r="F1444" s="175" t="n"/>
      <c r="G1444" s="175" t="n"/>
      <c r="H1444" s="176" t="n"/>
      <c r="I1444" s="103" t="inlineStr">
        <is>
          <t>查看指标详情</t>
        </is>
      </c>
      <c r="J1444" s="93" t="inlineStr">
        <is>
          <t>EQ</t>
        </is>
      </c>
      <c r="K1444" s="102" t="n"/>
      <c r="L1444" s="102" t="n"/>
      <c r="M1444" s="85">
        <f>IF(OR(Y1444="估算法",Y1444="算法类",Y1444="无法识别"),"",IF(W1444="",IF(OR(J1444="EI",J1444="EO",J1444="EQ"),0,""),LEN(W1444)-LEN(SUBSTITUTE(W1444,"、",""))+1))</f>
        <v/>
      </c>
      <c r="N1444" s="85">
        <f>IF(OR(Y1444="估算法",Y1444="算法类",Y1444="无法识别"),"",IF(X1444="",IF(OR(J1444="ILF",J1444="EIF"),0,""),LEN(X1444)-LEN(SUBSTITUTE(X1444,"、",""))+1))</f>
        <v/>
      </c>
      <c r="O1444" s="85">
        <f>IF(OR(Y1444="估算法",Y1444="算法类",Y1444="无法识别"),"",IF(Y1444="",IF(OR(J1444="ILF",J1444="EIF",J1444="EI",J1444="EO",J1444="EQ"),0,""),LEN(Y1444)-LEN(SUBSTITUTE(SUBSTITUTE(SUBSTITUTE(SUBSTITUTE(SUBSTITUTE(Y1444,"|}","--"),"{|","--"),CHAR(10),""),"、",""),"|",""))+IF(AND(OR(J1444="EI",J1444="EO",J1444="EQ"),$AE$1="NESMA"),2,1)))</f>
        <v/>
      </c>
      <c r="P1444" s="86">
        <f>IF(J1444="EI",IF(OR(Y1444="估算法",Y1444="算法类"),"中",IF(Y1444="无法识别","低",IF(M1444&lt;2,IF(O1444&lt;16,"低","中"),IF(M1444&lt;3,IF(O1444&lt;5,"低",IF(O1444&lt;16,"中","高")),IF(O1444&lt;5,"中","高"))))),IF(OR(J1444="EO",J1444="EQ"),IF(OR(Y1444="估算法",Y1444="算法类"),"中",IF(Y1444="无法识别","低",IF(M1444&lt;2,IF(O1444&lt;20,"低","中"),IF(M1444&lt;4,IF(O1444&lt;6,"低",IF(O1444&lt;20,"中","高")),IF(O1444&lt;6,"中","高"))))),IF(OR(J1444="ILF",J1444="EIF"),IF(OR(Y1444="估算法",Y1444="算法类",Y1444="无法识别"),"低",IF(N1444&lt;2,IF(O1444&lt;51,"低","中"),IF(N1444&lt;6,IF(O1444&lt;20,"低",IF(O1444&lt;51,"中","高")),IF(O1444&lt;20,"中","高")))),"不计算")))</f>
        <v/>
      </c>
      <c r="Q1444" s="172">
        <f>IFERROR(IF(J1444="EI",IF(P1444="低",3,IF(P1444="中",4,6)),IF(J1444="EO",IF(P1444="低",4,IF(P1444="中",5,7)),IF(J1444="EQ",IF(P1444="低",3,IF(P1444="中",4,6)),IF(J1444="ILF",IF(P1444="低",7,IF(P1444="中",10,15)),IF(J1444="EIF",IF(P1444="低",5,IF(P1444="中",7,10)),"不计算")))))*R1444,"不计算")</f>
        <v/>
      </c>
      <c r="R1444" s="172" t="n">
        <v>1</v>
      </c>
      <c r="S1444" s="173">
        <f>调整因子!$F$13</f>
        <v/>
      </c>
      <c r="T1444" s="92" t="n">
        <v>1</v>
      </c>
      <c r="U1444" s="174">
        <f>IFERROR(Q1444*S1444,0)</f>
        <v/>
      </c>
      <c r="V1444" s="178">
        <f>U1444*T1444</f>
        <v/>
      </c>
      <c r="W1444" s="103" t="inlineStr">
        <is>
          <t>接口参数表、性能数据表</t>
        </is>
      </c>
      <c r="X1444" s="103" t="inlineStr"/>
      <c r="Y1444" s="97" t="inlineStr">
        <is>
          <t>接口参数表{接口ID、接口名称|接口ID、接口名称、接口类型、接口地址、调用时间}
性能数据表{ID、名称|ID、名称、类型、状态、创建时间}</t>
        </is>
      </c>
      <c r="Z1444" s="90" t="n"/>
      <c r="AA1444" s="90" t="n"/>
    </row>
    <row r="1445" s="112">
      <c r="A1445" s="72">
        <f>ROW()-1</f>
        <v/>
      </c>
      <c r="B1445" s="175" t="n"/>
      <c r="C1445" s="124" t="n">
        <v>2026</v>
      </c>
      <c r="E1445" s="103" t="n"/>
      <c r="F1445" s="175" t="n"/>
      <c r="G1445" s="175" t="n"/>
      <c r="H1445" s="97" t="inlineStr">
        <is>
          <t>考核数据统计管理</t>
        </is>
      </c>
      <c r="I1445" s="103" t="inlineStr">
        <is>
          <t>导出考核报表</t>
        </is>
      </c>
      <c r="J1445" s="93" t="inlineStr">
        <is>
          <t>EO</t>
        </is>
      </c>
      <c r="K1445" s="102" t="n"/>
      <c r="L1445" s="102" t="n"/>
      <c r="M1445" s="85">
        <f>IF(OR(Y1445="估算法",Y1445="算法类",Y1445="无法识别"),"",IF(W1445="",IF(OR(J1445="EI",J1445="EO",J1445="EQ"),0,""),LEN(W1445)-LEN(SUBSTITUTE(W1445,"、",""))+1))</f>
        <v/>
      </c>
      <c r="N1445" s="85">
        <f>IF(OR(Y1445="估算法",Y1445="算法类",Y1445="无法识别"),"",IF(X1445="",IF(OR(J1445="ILF",J1445="EIF"),0,""),LEN(X1445)-LEN(SUBSTITUTE(X1445,"、",""))+1))</f>
        <v/>
      </c>
      <c r="O1445" s="85">
        <f>IF(OR(Y1445="估算法",Y1445="算法类",Y1445="无法识别"),"",IF(Y1445="",IF(OR(J1445="ILF",J1445="EIF",J1445="EI",J1445="EO",J1445="EQ"),0,""),LEN(Y1445)-LEN(SUBSTITUTE(SUBSTITUTE(SUBSTITUTE(SUBSTITUTE(SUBSTITUTE(Y1445,"|}","--"),"{|","--"),CHAR(10),""),"、",""),"|",""))+IF(AND(OR(J1445="EI",J1445="EO",J1445="EQ"),$AE$1="NESMA"),2,1)))</f>
        <v/>
      </c>
      <c r="P1445" s="86">
        <f>IF(J1445="EI",IF(OR(Y1445="估算法",Y1445="算法类"),"中",IF(Y1445="无法识别","低",IF(M1445&lt;2,IF(O1445&lt;16,"低","中"),IF(M1445&lt;3,IF(O1445&lt;5,"低",IF(O1445&lt;16,"中","高")),IF(O1445&lt;5,"中","高"))))),IF(OR(J1445="EO",J1445="EQ"),IF(OR(Y1445="估算法",Y1445="算法类"),"中",IF(Y1445="无法识别","低",IF(M1445&lt;2,IF(O1445&lt;20,"低","中"),IF(M1445&lt;4,IF(O1445&lt;6,"低",IF(O1445&lt;20,"中","高")),IF(O1445&lt;6,"中","高"))))),IF(OR(J1445="ILF",J1445="EIF"),IF(OR(Y1445="估算法",Y1445="算法类",Y1445="无法识别"),"低",IF(N1445&lt;2,IF(O1445&lt;51,"低","中"),IF(N1445&lt;6,IF(O1445&lt;20,"低",IF(O1445&lt;51,"中","高")),IF(O1445&lt;20,"中","高")))),"不计算")))</f>
        <v/>
      </c>
      <c r="Q1445" s="172">
        <f>IFERROR(IF(J1445="EI",IF(P1445="低",3,IF(P1445="中",4,6)),IF(J1445="EO",IF(P1445="低",4,IF(P1445="中",5,7)),IF(J1445="EQ",IF(P1445="低",3,IF(P1445="中",4,6)),IF(J1445="ILF",IF(P1445="低",7,IF(P1445="中",10,15)),IF(J1445="EIF",IF(P1445="低",5,IF(P1445="中",7,10)),"不计算")))))*R1445,"不计算")</f>
        <v/>
      </c>
      <c r="R1445" s="172" t="n">
        <v>1</v>
      </c>
      <c r="S1445" s="173">
        <f>调整因子!$F$13</f>
        <v/>
      </c>
      <c r="T1445" s="92" t="n">
        <v>1</v>
      </c>
      <c r="U1445" s="174">
        <f>IFERROR(Q1445*S1445,0)</f>
        <v/>
      </c>
      <c r="V1445" s="178">
        <f>U1445*T1445</f>
        <v/>
      </c>
      <c r="W1445" s="103" t="inlineStr">
        <is>
          <t>报表模板表、资产同步任务表</t>
        </is>
      </c>
      <c r="X1445" s="103" t="inlineStr"/>
      <c r="Y1445" s="97" t="inlineStr">
        <is>
          <t>报表模板表{报表ID、报表名称|报表ID、报表名称、报表类型、生成时间、报表内容}
资产同步任务表{资产ID、资产名称|资产ID、资产名称、IP地址、资产类型、资产状态}</t>
        </is>
      </c>
      <c r="Z1445" s="90" t="n"/>
      <c r="AA1445" s="90" t="n"/>
    </row>
    <row r="1446" s="112">
      <c r="A1446" s="72">
        <f>ROW()-1</f>
        <v/>
      </c>
      <c r="B1446" s="175" t="n"/>
      <c r="C1446" s="124" t="n">
        <v>2026</v>
      </c>
      <c r="E1446" s="103" t="n"/>
      <c r="F1446" s="175" t="n"/>
      <c r="G1446" s="175" t="n"/>
      <c r="H1446" s="175" t="n"/>
      <c r="I1446" s="103" t="inlineStr">
        <is>
          <t>下载考核报告</t>
        </is>
      </c>
      <c r="J1446" s="93" t="inlineStr">
        <is>
          <t>EO</t>
        </is>
      </c>
      <c r="K1446" s="102" t="n"/>
      <c r="L1446" s="102" t="n"/>
      <c r="M1446" s="85">
        <f>IF(OR(Y1446="估算法",Y1446="算法类",Y1446="无法识别"),"",IF(W1446="",IF(OR(J1446="EI",J1446="EO",J1446="EQ"),0,""),LEN(W1446)-LEN(SUBSTITUTE(W1446,"、",""))+1))</f>
        <v/>
      </c>
      <c r="N1446" s="85">
        <f>IF(OR(Y1446="估算法",Y1446="算法类",Y1446="无法识别"),"",IF(X1446="",IF(OR(J1446="ILF",J1446="EIF"),0,""),LEN(X1446)-LEN(SUBSTITUTE(X1446,"、",""))+1))</f>
        <v/>
      </c>
      <c r="O1446" s="85">
        <f>IF(OR(Y1446="估算法",Y1446="算法类",Y1446="无法识别"),"",IF(Y1446="",IF(OR(J1446="ILF",J1446="EIF",J1446="EI",J1446="EO",J1446="EQ"),0,""),LEN(Y1446)-LEN(SUBSTITUTE(SUBSTITUTE(SUBSTITUTE(SUBSTITUTE(SUBSTITUTE(Y1446,"|}","--"),"{|","--"),CHAR(10),""),"、",""),"|",""))+IF(AND(OR(J1446="EI",J1446="EO",J1446="EQ"),$AE$1="NESMA"),2,1)))</f>
        <v/>
      </c>
      <c r="P1446" s="86">
        <f>IF(J1446="EI",IF(OR(Y1446="估算法",Y1446="算法类"),"中",IF(Y1446="无法识别","低",IF(M1446&lt;2,IF(O1446&lt;16,"低","中"),IF(M1446&lt;3,IF(O1446&lt;5,"低",IF(O1446&lt;16,"中","高")),IF(O1446&lt;5,"中","高"))))),IF(OR(J1446="EO",J1446="EQ"),IF(OR(Y1446="估算法",Y1446="算法类"),"中",IF(Y1446="无法识别","低",IF(M1446&lt;2,IF(O1446&lt;20,"低","中"),IF(M1446&lt;4,IF(O1446&lt;6,"低",IF(O1446&lt;20,"中","高")),IF(O1446&lt;6,"中","高"))))),IF(OR(J1446="ILF",J1446="EIF"),IF(OR(Y1446="估算法",Y1446="算法类",Y1446="无法识别"),"低",IF(N1446&lt;2,IF(O1446&lt;51,"低","中"),IF(N1446&lt;6,IF(O1446&lt;20,"低",IF(O1446&lt;51,"中","高")),IF(O1446&lt;20,"中","高")))),"不计算")))</f>
        <v/>
      </c>
      <c r="Q1446" s="172">
        <f>IFERROR(IF(J1446="EI",IF(P1446="低",3,IF(P1446="中",4,6)),IF(J1446="EO",IF(P1446="低",4,IF(P1446="中",5,7)),IF(J1446="EQ",IF(P1446="低",3,IF(P1446="中",4,6)),IF(J1446="ILF",IF(P1446="低",7,IF(P1446="中",10,15)),IF(J1446="EIF",IF(P1446="低",5,IF(P1446="中",7,10)),"不计算")))))*R1446,"不计算")</f>
        <v/>
      </c>
      <c r="R1446" s="172" t="n">
        <v>1</v>
      </c>
      <c r="S1446" s="173">
        <f>调整因子!$F$13</f>
        <v/>
      </c>
      <c r="T1446" s="93" t="n">
        <v>1</v>
      </c>
      <c r="U1446" s="174">
        <f>IFERROR(Q1446*S1446,0)</f>
        <v/>
      </c>
      <c r="V1446" s="178">
        <f>U1446*T1446</f>
        <v/>
      </c>
      <c r="W1446" s="103" t="inlineStr">
        <is>
          <t>修复步骤表</t>
        </is>
      </c>
      <c r="X1446" s="103" t="inlineStr"/>
      <c r="Y1446" s="97" t="inlineStr">
        <is>
          <t>修复步骤表{ID、名称|ID、名称、类型、状态、创建时间、更新时间}</t>
        </is>
      </c>
      <c r="Z1446" s="90" t="n"/>
      <c r="AA1446" s="90" t="n"/>
    </row>
    <row r="1447" s="112">
      <c r="A1447" s="72">
        <f>ROW()-1</f>
        <v/>
      </c>
      <c r="B1447" s="175" t="n"/>
      <c r="C1447" s="124" t="n">
        <v>2026</v>
      </c>
      <c r="E1447" s="103" t="n"/>
      <c r="F1447" s="175" t="n"/>
      <c r="G1447" s="175" t="n"/>
      <c r="H1447" s="175" t="n"/>
      <c r="I1447" s="103" t="inlineStr">
        <is>
          <t>查询考核统计</t>
        </is>
      </c>
      <c r="J1447" s="93" t="inlineStr">
        <is>
          <t>EQ</t>
        </is>
      </c>
      <c r="K1447" s="102" t="n"/>
      <c r="L1447" s="102" t="n"/>
      <c r="M1447" s="85">
        <f>IF(OR(Y1447="估算法",Y1447="算法类",Y1447="无法识别"),"",IF(W1447="",IF(OR(J1447="EI",J1447="EO",J1447="EQ"),0,""),LEN(W1447)-LEN(SUBSTITUTE(W1447,"、",""))+1))</f>
        <v/>
      </c>
      <c r="N1447" s="85">
        <f>IF(OR(Y1447="估算法",Y1447="算法类",Y1447="无法识别"),"",IF(X1447="",IF(OR(J1447="ILF",J1447="EIF"),0,""),LEN(X1447)-LEN(SUBSTITUTE(X1447,"、",""))+1))</f>
        <v/>
      </c>
      <c r="O1447" s="85">
        <f>IF(OR(Y1447="估算法",Y1447="算法类",Y1447="无法识别"),"",IF(Y1447="",IF(OR(J1447="ILF",J1447="EIF",J1447="EI",J1447="EO",J1447="EQ"),0,""),LEN(Y1447)-LEN(SUBSTITUTE(SUBSTITUTE(SUBSTITUTE(SUBSTITUTE(SUBSTITUTE(Y1447,"|}","--"),"{|","--"),CHAR(10),""),"、",""),"|",""))+IF(AND(OR(J1447="EI",J1447="EO",J1447="EQ"),$AE$1="NESMA"),2,1)))</f>
        <v/>
      </c>
      <c r="P1447" s="86">
        <f>IF(J1447="EI",IF(OR(Y1447="估算法",Y1447="算法类"),"中",IF(Y1447="无法识别","低",IF(M1447&lt;2,IF(O1447&lt;16,"低","中"),IF(M1447&lt;3,IF(O1447&lt;5,"低",IF(O1447&lt;16,"中","高")),IF(O1447&lt;5,"中","高"))))),IF(OR(J1447="EO",J1447="EQ"),IF(OR(Y1447="估算法",Y1447="算法类"),"中",IF(Y1447="无法识别","低",IF(M1447&lt;2,IF(O1447&lt;20,"低","中"),IF(M1447&lt;4,IF(O1447&lt;6,"低",IF(O1447&lt;20,"中","高")),IF(O1447&lt;6,"中","高"))))),IF(OR(J1447="ILF",J1447="EIF"),IF(OR(Y1447="估算法",Y1447="算法类",Y1447="无法识别"),"低",IF(N1447&lt;2,IF(O1447&lt;51,"低","中"),IF(N1447&lt;6,IF(O1447&lt;20,"低",IF(O1447&lt;51,"中","高")),IF(O1447&lt;20,"中","高")))),"不计算")))</f>
        <v/>
      </c>
      <c r="Q1447" s="172">
        <f>IFERROR(IF(J1447="EI",IF(P1447="低",3,IF(P1447="中",4,6)),IF(J1447="EO",IF(P1447="低",4,IF(P1447="中",5,7)),IF(J1447="EQ",IF(P1447="低",3,IF(P1447="中",4,6)),IF(J1447="ILF",IF(P1447="低",7,IF(P1447="中",10,15)),IF(J1447="EIF",IF(P1447="低",5,IF(P1447="中",7,10)),"不计算")))))*R1447,"不计算")</f>
        <v/>
      </c>
      <c r="R1447" s="172" t="n">
        <v>1</v>
      </c>
      <c r="S1447" s="173">
        <f>调整因子!$F$13</f>
        <v/>
      </c>
      <c r="T1447" s="93" t="n">
        <v>1</v>
      </c>
      <c r="U1447" s="174">
        <f>IFERROR(Q1447*S1447,0)</f>
        <v/>
      </c>
      <c r="V1447" s="178">
        <f>U1447*T1447</f>
        <v/>
      </c>
      <c r="W1447" s="103" t="inlineStr">
        <is>
          <t>修复步骤表</t>
        </is>
      </c>
      <c r="X1447" s="103" t="inlineStr"/>
      <c r="Y1447" s="97" t="inlineStr">
        <is>
          <t>修复步骤表{ID、名称|ID、名称、类型、状态、创建时间、更新时间}</t>
        </is>
      </c>
      <c r="Z1447" s="90" t="n"/>
      <c r="AA1447" s="90" t="n"/>
    </row>
    <row r="1448" s="112">
      <c r="A1448" s="72">
        <f>ROW()-1</f>
        <v/>
      </c>
      <c r="B1448" s="175" t="n"/>
      <c r="C1448" s="124" t="n">
        <v>2026</v>
      </c>
      <c r="E1448" s="103" t="n"/>
      <c r="F1448" s="175" t="n"/>
      <c r="G1448" s="176" t="n"/>
      <c r="H1448" s="176" t="n"/>
      <c r="I1448" s="103" t="inlineStr">
        <is>
          <t>查看考核详情</t>
        </is>
      </c>
      <c r="J1448" s="93" t="inlineStr">
        <is>
          <t>EQ</t>
        </is>
      </c>
      <c r="K1448" s="102" t="n"/>
      <c r="L1448" s="102" t="n"/>
      <c r="M1448" s="85">
        <f>IF(OR(Y1448="估算法",Y1448="算法类",Y1448="无法识别"),"",IF(W1448="",IF(OR(J1448="EI",J1448="EO",J1448="EQ"),0,""),LEN(W1448)-LEN(SUBSTITUTE(W1448,"、",""))+1))</f>
        <v/>
      </c>
      <c r="N1448" s="85">
        <f>IF(OR(Y1448="估算法",Y1448="算法类",Y1448="无法识别"),"",IF(X1448="",IF(OR(J1448="ILF",J1448="EIF"),0,""),LEN(X1448)-LEN(SUBSTITUTE(X1448,"、",""))+1))</f>
        <v/>
      </c>
      <c r="O1448" s="85">
        <f>IF(OR(Y1448="估算法",Y1448="算法类",Y1448="无法识别"),"",IF(Y1448="",IF(OR(J1448="ILF",J1448="EIF",J1448="EI",J1448="EO",J1448="EQ"),0,""),LEN(Y1448)-LEN(SUBSTITUTE(SUBSTITUTE(SUBSTITUTE(SUBSTITUTE(SUBSTITUTE(Y1448,"|}","--"),"{|","--"),CHAR(10),""),"、",""),"|",""))+IF(AND(OR(J1448="EI",J1448="EO",J1448="EQ"),$AE$1="NESMA"),2,1)))</f>
        <v/>
      </c>
      <c r="P1448" s="86">
        <f>IF(J1448="EI",IF(OR(Y1448="估算法",Y1448="算法类"),"中",IF(Y1448="无法识别","低",IF(M1448&lt;2,IF(O1448&lt;16,"低","中"),IF(M1448&lt;3,IF(O1448&lt;5,"低",IF(O1448&lt;16,"中","高")),IF(O1448&lt;5,"中","高"))))),IF(OR(J1448="EO",J1448="EQ"),IF(OR(Y1448="估算法",Y1448="算法类"),"中",IF(Y1448="无法识别","低",IF(M1448&lt;2,IF(O1448&lt;20,"低","中"),IF(M1448&lt;4,IF(O1448&lt;6,"低",IF(O1448&lt;20,"中","高")),IF(O1448&lt;6,"中","高"))))),IF(OR(J1448="ILF",J1448="EIF"),IF(OR(Y1448="估算法",Y1448="算法类",Y1448="无法识别"),"低",IF(N1448&lt;2,IF(O1448&lt;51,"低","中"),IF(N1448&lt;6,IF(O1448&lt;20,"低",IF(O1448&lt;51,"中","高")),IF(O1448&lt;20,"中","高")))),"不计算")))</f>
        <v/>
      </c>
      <c r="Q1448" s="172">
        <f>IFERROR(IF(J1448="EI",IF(P1448="低",3,IF(P1448="中",4,6)),IF(J1448="EO",IF(P1448="低",4,IF(P1448="中",5,7)),IF(J1448="EQ",IF(P1448="低",3,IF(P1448="中",4,6)),IF(J1448="ILF",IF(P1448="低",7,IF(P1448="中",10,15)),IF(J1448="EIF",IF(P1448="低",5,IF(P1448="中",7,10)),"不计算")))))*R1448,"不计算")</f>
        <v/>
      </c>
      <c r="R1448" s="172" t="n">
        <v>1</v>
      </c>
      <c r="S1448" s="173">
        <f>调整因子!$F$13</f>
        <v/>
      </c>
      <c r="T1448" s="92" t="n">
        <v>1</v>
      </c>
      <c r="U1448" s="174">
        <f>IFERROR(Q1448*S1448,0)</f>
        <v/>
      </c>
      <c r="V1448" s="178">
        <f>U1448*T1448</f>
        <v/>
      </c>
      <c r="W1448" s="103" t="inlineStr">
        <is>
          <t>资产扫描覆盖表</t>
        </is>
      </c>
      <c r="X1448" s="103" t="inlineStr"/>
      <c r="Y1448" s="97" t="inlineStr">
        <is>
          <t>资产扫描覆盖表{资产ID、资产名称|资产ID、资产名称、IP地址、资产类型、资产状态、创建时间、更新时间}</t>
        </is>
      </c>
      <c r="Z1448" s="90" t="n"/>
      <c r="AA1448" s="90" t="n"/>
    </row>
    <row r="1449" s="112">
      <c r="A1449" s="72">
        <f>ROW()-1</f>
        <v/>
      </c>
      <c r="B1449" s="175" t="n"/>
      <c r="C1449" s="124" t="n">
        <v>2026</v>
      </c>
      <c r="E1449" s="103" t="n"/>
      <c r="F1449" s="175" t="n"/>
      <c r="G1449" s="97" t="inlineStr">
        <is>
          <t>漏洞备案与豁免管理</t>
        </is>
      </c>
      <c r="H1449" s="97" t="inlineStr">
        <is>
          <t>通报配置管理</t>
        </is>
      </c>
      <c r="I1449" s="103" t="inlineStr">
        <is>
          <t>通报配置表</t>
        </is>
      </c>
      <c r="J1449" s="93" t="inlineStr">
        <is>
          <t>ILF</t>
        </is>
      </c>
      <c r="K1449" s="102" t="n"/>
      <c r="L1449" s="102" t="n"/>
      <c r="M1449" s="85">
        <f>IF(OR(Y1449="估算法",Y1449="算法类",Y1449="无法识别"),"",IF(W1449="",IF(OR(J1449="EI",J1449="EO",J1449="EQ"),0,""),LEN(W1449)-LEN(SUBSTITUTE(W1449,"、",""))+1))</f>
        <v/>
      </c>
      <c r="N1449" s="85">
        <f>IF(OR(Y1449="估算法",Y1449="算法类",Y1449="无法识别"),"",IF(X1449="",IF(OR(J1449="ILF",J1449="EIF"),0,""),LEN(X1449)-LEN(SUBSTITUTE(X1449,"、",""))+1))</f>
        <v/>
      </c>
      <c r="O1449" s="85">
        <f>IF(OR(Y1449="估算法",Y1449="算法类",Y1449="无法识别"),"",IF(Y1449="",IF(OR(J1449="ILF",J1449="EIF",J1449="EI",J1449="EO",J1449="EQ"),0,""),LEN(Y1449)-LEN(SUBSTITUTE(SUBSTITUTE(SUBSTITUTE(SUBSTITUTE(SUBSTITUTE(Y1449,"|}","--"),"{|","--"),CHAR(10),""),"、",""),"|",""))+IF(AND(OR(J1449="EI",J1449="EO",J1449="EQ"),$AE$1="NESMA"),2,1)))</f>
        <v/>
      </c>
      <c r="P1449" s="86">
        <f>IF(J1449="EI",IF(OR(Y1449="估算法",Y1449="算法类"),"中",IF(Y1449="无法识别","低",IF(M1449&lt;2,IF(O1449&lt;16,"低","中"),IF(M1449&lt;3,IF(O1449&lt;5,"低",IF(O1449&lt;16,"中","高")),IF(O1449&lt;5,"中","高"))))),IF(OR(J1449="EO",J1449="EQ"),IF(OR(Y1449="估算法",Y1449="算法类"),"中",IF(Y1449="无法识别","低",IF(M1449&lt;2,IF(O1449&lt;20,"低","中"),IF(M1449&lt;4,IF(O1449&lt;6,"低",IF(O1449&lt;20,"中","高")),IF(O1449&lt;6,"中","高"))))),IF(OR(J1449="ILF",J1449="EIF"),IF(OR(Y1449="估算法",Y1449="算法类",Y1449="无法识别"),"低",IF(N1449&lt;2,IF(O1449&lt;51,"低","中"),IF(N1449&lt;6,IF(O1449&lt;20,"低",IF(O1449&lt;51,"中","高")),IF(O1449&lt;20,"中","高")))),"不计算")))</f>
        <v/>
      </c>
      <c r="Q1449" s="172">
        <f>IFERROR(IF(J1449="EI",IF(P1449="低",3,IF(P1449="中",4,6)),IF(J1449="EO",IF(P1449="低",4,IF(P1449="中",5,7)),IF(J1449="EQ",IF(P1449="低",3,IF(P1449="中",4,6)),IF(J1449="ILF",IF(P1449="低",7,IF(P1449="中",10,15)),IF(J1449="EIF",IF(P1449="低",5,IF(P1449="中",7,10)),"不计算")))))*R1449,"不计算")</f>
        <v/>
      </c>
      <c r="R1449" s="172" t="n">
        <v>1</v>
      </c>
      <c r="S1449" s="173">
        <f>调整因子!$F$13</f>
        <v/>
      </c>
      <c r="T1449" s="92" t="n">
        <v>1</v>
      </c>
      <c r="U1449" s="174">
        <f>IFERROR(Q1449*S1449,0)</f>
        <v/>
      </c>
      <c r="V1449" s="178">
        <f>U1449*T1449</f>
        <v/>
      </c>
      <c r="W1449" s="103" t="inlineStr"/>
      <c r="X1449" s="103" t="inlineStr">
        <is>
          <t>配置项</t>
        </is>
      </c>
      <c r="Y1449" s="97" t="inlineStr">
        <is>
          <t>通报配置表{配置ID、配置名称、配置类型|配置ID、配置名称、配置类型、配置值、创建时间}</t>
        </is>
      </c>
      <c r="Z1449" s="90">
        <f>IF(COUNTIFS(W:W,"*"&amp;I1449&amp;"*")&gt;0,"存在","不存在")</f>
        <v/>
      </c>
      <c r="AA1449" s="90">
        <f>IF(COUNTIFS(AB:AB,"*"&amp;I1449&amp;"*")&gt;0,"存在","不存在")</f>
        <v/>
      </c>
    </row>
    <row r="1450" s="112">
      <c r="A1450" s="72">
        <f>ROW()-1</f>
        <v/>
      </c>
      <c r="B1450" s="175" t="n"/>
      <c r="C1450" s="124" t="n">
        <v>2026</v>
      </c>
      <c r="E1450" s="103" t="n"/>
      <c r="F1450" s="175" t="n"/>
      <c r="G1450" s="175" t="n"/>
      <c r="H1450" s="175" t="n"/>
      <c r="I1450" s="103" t="inlineStr">
        <is>
          <t>通报模板表</t>
        </is>
      </c>
      <c r="J1450" s="93" t="inlineStr">
        <is>
          <t>ILF</t>
        </is>
      </c>
      <c r="K1450" s="102" t="n"/>
      <c r="L1450" s="102" t="n"/>
      <c r="M1450" s="85">
        <f>IF(OR(Y1450="估算法",Y1450="算法类",Y1450="无法识别"),"",IF(W1450="",IF(OR(J1450="EI",J1450="EO",J1450="EQ"),0,""),LEN(W1450)-LEN(SUBSTITUTE(W1450,"、",""))+1))</f>
        <v/>
      </c>
      <c r="N1450" s="85">
        <f>IF(OR(Y1450="估算法",Y1450="算法类",Y1450="无法识别"),"",IF(X1450="",IF(OR(J1450="ILF",J1450="EIF"),0,""),LEN(X1450)-LEN(SUBSTITUTE(X1450,"、",""))+1))</f>
        <v/>
      </c>
      <c r="O1450" s="85">
        <f>IF(OR(Y1450="估算法",Y1450="算法类",Y1450="无法识别"),"",IF(Y1450="",IF(OR(J1450="ILF",J1450="EIF",J1450="EI",J1450="EO",J1450="EQ"),0,""),LEN(Y1450)-LEN(SUBSTITUTE(SUBSTITUTE(SUBSTITUTE(SUBSTITUTE(SUBSTITUTE(Y1450,"|}","--"),"{|","--"),CHAR(10),""),"、",""),"|",""))+IF(AND(OR(J1450="EI",J1450="EO",J1450="EQ"),$AE$1="NESMA"),2,1)))</f>
        <v/>
      </c>
      <c r="P1450" s="86">
        <f>IF(J1450="EI",IF(OR(Y1450="估算法",Y1450="算法类"),"中",IF(Y1450="无法识别","低",IF(M1450&lt;2,IF(O1450&lt;16,"低","中"),IF(M1450&lt;3,IF(O1450&lt;5,"低",IF(O1450&lt;16,"中","高")),IF(O1450&lt;5,"中","高"))))),IF(OR(J1450="EO",J1450="EQ"),IF(OR(Y1450="估算法",Y1450="算法类"),"中",IF(Y1450="无法识别","低",IF(M1450&lt;2,IF(O1450&lt;20,"低","中"),IF(M1450&lt;4,IF(O1450&lt;6,"低",IF(O1450&lt;20,"中","高")),IF(O1450&lt;6,"中","高"))))),IF(OR(J1450="ILF",J1450="EIF"),IF(OR(Y1450="估算法",Y1450="算法类",Y1450="无法识别"),"低",IF(N1450&lt;2,IF(O1450&lt;51,"低","中"),IF(N1450&lt;6,IF(O1450&lt;20,"低",IF(O1450&lt;51,"中","高")),IF(O1450&lt;20,"中","高")))),"不计算")))</f>
        <v/>
      </c>
      <c r="Q1450" s="172">
        <f>IFERROR(IF(J1450="EI",IF(P1450="低",3,IF(P1450="中",4,6)),IF(J1450="EO",IF(P1450="低",4,IF(P1450="中",5,7)),IF(J1450="EQ",IF(P1450="低",3,IF(P1450="中",4,6)),IF(J1450="ILF",IF(P1450="低",7,IF(P1450="中",10,15)),IF(J1450="EIF",IF(P1450="低",5,IF(P1450="中",7,10)),"不计算")))))*R1450,"不计算")</f>
        <v/>
      </c>
      <c r="R1450" s="172" t="n">
        <v>1</v>
      </c>
      <c r="S1450" s="173">
        <f>调整因子!$F$13</f>
        <v/>
      </c>
      <c r="T1450" s="93" t="n">
        <v>1</v>
      </c>
      <c r="U1450" s="174">
        <f>IFERROR(Q1450*S1450,0)</f>
        <v/>
      </c>
      <c r="V1450" s="178">
        <f>U1450*T1450</f>
        <v/>
      </c>
      <c r="W1450" s="103" t="inlineStr"/>
      <c r="X1450" s="103" t="inlineStr">
        <is>
          <t>数据记录</t>
        </is>
      </c>
      <c r="Y1450" s="97" t="inlineStr">
        <is>
          <t>通报模板表{ID、名称、类型|ID、名称、类型、状态、创建时间、更新时间}</t>
        </is>
      </c>
      <c r="Z1450" s="90">
        <f>IF(COUNTIFS(W:W,"*"&amp;I1450&amp;"*")&gt;0,"存在","不存在")</f>
        <v/>
      </c>
      <c r="AA1450" s="90">
        <f>IF(COUNTIFS(AB:AB,"*"&amp;I1450&amp;"*")&gt;0,"存在","不存在")</f>
        <v/>
      </c>
    </row>
    <row r="1451" s="112">
      <c r="A1451" s="72">
        <f>ROW()-1</f>
        <v/>
      </c>
      <c r="B1451" s="175" t="n"/>
      <c r="C1451" s="124" t="n">
        <v>2026</v>
      </c>
      <c r="E1451" s="103" t="n"/>
      <c r="F1451" s="175" t="n"/>
      <c r="G1451" s="175" t="n"/>
      <c r="H1451" s="175" t="n"/>
      <c r="I1451" s="103" t="inlineStr">
        <is>
          <t>通报对象表</t>
        </is>
      </c>
      <c r="J1451" s="93" t="inlineStr">
        <is>
          <t>ILF</t>
        </is>
      </c>
      <c r="K1451" s="102" t="n"/>
      <c r="L1451" s="102" t="n"/>
      <c r="M1451" s="85">
        <f>IF(OR(Y1451="估算法",Y1451="算法类",Y1451="无法识别"),"",IF(W1451="",IF(OR(J1451="EI",J1451="EO",J1451="EQ"),0,""),LEN(W1451)-LEN(SUBSTITUTE(W1451,"、",""))+1))</f>
        <v/>
      </c>
      <c r="N1451" s="85">
        <f>IF(OR(Y1451="估算法",Y1451="算法类",Y1451="无法识别"),"",IF(X1451="",IF(OR(J1451="ILF",J1451="EIF"),0,""),LEN(X1451)-LEN(SUBSTITUTE(X1451,"、",""))+1))</f>
        <v/>
      </c>
      <c r="O1451" s="85">
        <f>IF(OR(Y1451="估算法",Y1451="算法类",Y1451="无法识别"),"",IF(Y1451="",IF(OR(J1451="ILF",J1451="EIF",J1451="EI",J1451="EO",J1451="EQ"),0,""),LEN(Y1451)-LEN(SUBSTITUTE(SUBSTITUTE(SUBSTITUTE(SUBSTITUTE(SUBSTITUTE(Y1451,"|}","--"),"{|","--"),CHAR(10),""),"、",""),"|",""))+IF(AND(OR(J1451="EI",J1451="EO",J1451="EQ"),$AE$1="NESMA"),2,1)))</f>
        <v/>
      </c>
      <c r="P1451" s="86">
        <f>IF(J1451="EI",IF(OR(Y1451="估算法",Y1451="算法类"),"中",IF(Y1451="无法识别","低",IF(M1451&lt;2,IF(O1451&lt;16,"低","中"),IF(M1451&lt;3,IF(O1451&lt;5,"低",IF(O1451&lt;16,"中","高")),IF(O1451&lt;5,"中","高"))))),IF(OR(J1451="EO",J1451="EQ"),IF(OR(Y1451="估算法",Y1451="算法类"),"中",IF(Y1451="无法识别","低",IF(M1451&lt;2,IF(O1451&lt;20,"低","中"),IF(M1451&lt;4,IF(O1451&lt;6,"低",IF(O1451&lt;20,"中","高")),IF(O1451&lt;6,"中","高"))))),IF(OR(J1451="ILF",J1451="EIF"),IF(OR(Y1451="估算法",Y1451="算法类",Y1451="无法识别"),"低",IF(N1451&lt;2,IF(O1451&lt;51,"低","中"),IF(N1451&lt;6,IF(O1451&lt;20,"低",IF(O1451&lt;51,"中","高")),IF(O1451&lt;20,"中","高")))),"不计算")))</f>
        <v/>
      </c>
      <c r="Q1451" s="172">
        <f>IFERROR(IF(J1451="EI",IF(P1451="低",3,IF(P1451="中",4,6)),IF(J1451="EO",IF(P1451="低",4,IF(P1451="中",5,7)),IF(J1451="EQ",IF(P1451="低",3,IF(P1451="中",4,6)),IF(J1451="ILF",IF(P1451="低",7,IF(P1451="中",10,15)),IF(J1451="EIF",IF(P1451="低",5,IF(P1451="中",7,10)),"不计算")))))*R1451,"不计算")</f>
        <v/>
      </c>
      <c r="R1451" s="172" t="n">
        <v>1</v>
      </c>
      <c r="S1451" s="173">
        <f>调整因子!$F$13</f>
        <v/>
      </c>
      <c r="T1451" s="92" t="n">
        <v>1</v>
      </c>
      <c r="U1451" s="174">
        <f>IFERROR(Q1451*S1451,0)</f>
        <v/>
      </c>
      <c r="V1451" s="178">
        <f>U1451*T1451</f>
        <v/>
      </c>
      <c r="W1451" s="103" t="inlineStr"/>
      <c r="X1451" s="103" t="inlineStr">
        <is>
          <t>数据记录</t>
        </is>
      </c>
      <c r="Y1451" s="97" t="inlineStr">
        <is>
          <t>通报对象表{ID、名称、类型|ID、名称、类型、状态、创建时间、更新时间}</t>
        </is>
      </c>
      <c r="Z1451" s="90">
        <f>IF(COUNTIFS(W:W,"*"&amp;I1451&amp;"*")&gt;0,"存在","不存在")</f>
        <v/>
      </c>
      <c r="AA1451" s="90">
        <f>IF(COUNTIFS(AB:AB,"*"&amp;I1451&amp;"*")&gt;0,"存在","不存在")</f>
        <v/>
      </c>
    </row>
    <row r="1452" s="112">
      <c r="A1452" s="72">
        <f>ROW()-1</f>
        <v/>
      </c>
      <c r="B1452" s="175" t="n"/>
      <c r="C1452" s="124" t="n">
        <v>2026</v>
      </c>
      <c r="E1452" s="103" t="n"/>
      <c r="F1452" s="175" t="n"/>
      <c r="G1452" s="175" t="n"/>
      <c r="H1452" s="175" t="n"/>
      <c r="I1452" s="103" t="inlineStr">
        <is>
          <t>配置通报规则</t>
        </is>
      </c>
      <c r="J1452" s="93" t="inlineStr">
        <is>
          <t>EI</t>
        </is>
      </c>
      <c r="K1452" s="102" t="n"/>
      <c r="L1452" s="102" t="n"/>
      <c r="M1452" s="85">
        <f>IF(OR(Y1452="估算法",Y1452="算法类",Y1452="无法识别"),"",IF(W1452="",IF(OR(J1452="EI",J1452="EO",J1452="EQ"),0,""),LEN(W1452)-LEN(SUBSTITUTE(W1452,"、",""))+1))</f>
        <v/>
      </c>
      <c r="N1452" s="85">
        <f>IF(OR(Y1452="估算法",Y1452="算法类",Y1452="无法识别"),"",IF(X1452="",IF(OR(J1452="ILF",J1452="EIF"),0,""),LEN(X1452)-LEN(SUBSTITUTE(X1452,"、",""))+1))</f>
        <v/>
      </c>
      <c r="O1452" s="85">
        <f>IF(OR(Y1452="估算法",Y1452="算法类",Y1452="无法识别"),"",IF(Y1452="",IF(OR(J1452="ILF",J1452="EIF",J1452="EI",J1452="EO",J1452="EQ"),0,""),LEN(Y1452)-LEN(SUBSTITUTE(SUBSTITUTE(SUBSTITUTE(SUBSTITUTE(SUBSTITUTE(Y1452,"|}","--"),"{|","--"),CHAR(10),""),"、",""),"|",""))+IF(AND(OR(J1452="EI",J1452="EO",J1452="EQ"),$AE$1="NESMA"),2,1)))</f>
        <v/>
      </c>
      <c r="P1452" s="86">
        <f>IF(J1452="EI",IF(OR(Y1452="估算法",Y1452="算法类"),"中",IF(Y1452="无法识别","低",IF(M1452&lt;2,IF(O1452&lt;16,"低","中"),IF(M1452&lt;3,IF(O1452&lt;5,"低",IF(O1452&lt;16,"中","高")),IF(O1452&lt;5,"中","高"))))),IF(OR(J1452="EO",J1452="EQ"),IF(OR(Y1452="估算法",Y1452="算法类"),"中",IF(Y1452="无法识别","低",IF(M1452&lt;2,IF(O1452&lt;20,"低","中"),IF(M1452&lt;4,IF(O1452&lt;6,"低",IF(O1452&lt;20,"中","高")),IF(O1452&lt;6,"中","高"))))),IF(OR(J1452="ILF",J1452="EIF"),IF(OR(Y1452="估算法",Y1452="算法类",Y1452="无法识别"),"低",IF(N1452&lt;2,IF(O1452&lt;51,"低","中"),IF(N1452&lt;6,IF(O1452&lt;20,"低",IF(O1452&lt;51,"中","高")),IF(O1452&lt;20,"中","高")))),"不计算")))</f>
        <v/>
      </c>
      <c r="Q1452" s="172">
        <f>IFERROR(IF(J1452="EI",IF(P1452="低",3,IF(P1452="中",4,6)),IF(J1452="EO",IF(P1452="低",4,IF(P1452="中",5,7)),IF(J1452="EQ",IF(P1452="低",3,IF(P1452="中",4,6)),IF(J1452="ILF",IF(P1452="低",7,IF(P1452="中",10,15)),IF(J1452="EIF",IF(P1452="低",5,IF(P1452="中",7,10)),"不计算")))))*R1452,"不计算")</f>
        <v/>
      </c>
      <c r="R1452" s="172" t="n">
        <v>1</v>
      </c>
      <c r="S1452" s="173">
        <f>调整因子!$F$13</f>
        <v/>
      </c>
      <c r="T1452" s="92" t="n">
        <v>1</v>
      </c>
      <c r="U1452" s="174">
        <f>IFERROR(Q1452*S1452,0)</f>
        <v/>
      </c>
      <c r="V1452" s="178">
        <f>U1452*T1452</f>
        <v/>
      </c>
      <c r="W1452" s="103" t="inlineStr">
        <is>
          <t>任务优先级配置表</t>
        </is>
      </c>
      <c r="X1452" s="103" t="inlineStr"/>
      <c r="Y1452" s="97" t="inlineStr">
        <is>
          <t>任务优先级配置表{任务ID、任务名称、任务类型、任务状态、创建时间、执行时间|任务ID、任务名称、任务类型}</t>
        </is>
      </c>
      <c r="Z1452" s="90" t="n"/>
      <c r="AA1452" s="90" t="n"/>
    </row>
    <row r="1453" s="112">
      <c r="A1453" s="72">
        <f>ROW()-1</f>
        <v/>
      </c>
      <c r="B1453" s="175" t="n"/>
      <c r="C1453" s="124" t="n">
        <v>2026</v>
      </c>
      <c r="E1453" s="103" t="n"/>
      <c r="F1453" s="175" t="n"/>
      <c r="G1453" s="175" t="n"/>
      <c r="H1453" s="175" t="n"/>
      <c r="I1453" s="103" t="inlineStr">
        <is>
          <t>编辑通报规则</t>
        </is>
      </c>
      <c r="J1453" s="93" t="inlineStr">
        <is>
          <t>EI</t>
        </is>
      </c>
      <c r="K1453" s="102" t="n"/>
      <c r="L1453" s="102" t="n"/>
      <c r="M1453" s="85">
        <f>IF(OR(Y1453="估算法",Y1453="算法类",Y1453="无法识别"),"",IF(W1453="",IF(OR(J1453="EI",J1453="EO",J1453="EQ"),0,""),LEN(W1453)-LEN(SUBSTITUTE(W1453,"、",""))+1))</f>
        <v/>
      </c>
      <c r="N1453" s="85">
        <f>IF(OR(Y1453="估算法",Y1453="算法类",Y1453="无法识别"),"",IF(X1453="",IF(OR(J1453="ILF",J1453="EIF"),0,""),LEN(X1453)-LEN(SUBSTITUTE(X1453,"、",""))+1))</f>
        <v/>
      </c>
      <c r="O1453" s="85">
        <f>IF(OR(Y1453="估算法",Y1453="算法类",Y1453="无法识别"),"",IF(Y1453="",IF(OR(J1453="ILF",J1453="EIF",J1453="EI",J1453="EO",J1453="EQ"),0,""),LEN(Y1453)-LEN(SUBSTITUTE(SUBSTITUTE(SUBSTITUTE(SUBSTITUTE(SUBSTITUTE(Y1453,"|}","--"),"{|","--"),CHAR(10),""),"、",""),"|",""))+IF(AND(OR(J1453="EI",J1453="EO",J1453="EQ"),$AE$1="NESMA"),2,1)))</f>
        <v/>
      </c>
      <c r="P1453" s="86">
        <f>IF(J1453="EI",IF(OR(Y1453="估算法",Y1453="算法类"),"中",IF(Y1453="无法识别","低",IF(M1453&lt;2,IF(O1453&lt;16,"低","中"),IF(M1453&lt;3,IF(O1453&lt;5,"低",IF(O1453&lt;16,"中","高")),IF(O1453&lt;5,"中","高"))))),IF(OR(J1453="EO",J1453="EQ"),IF(OR(Y1453="估算法",Y1453="算法类"),"中",IF(Y1453="无法识别","低",IF(M1453&lt;2,IF(O1453&lt;20,"低","中"),IF(M1453&lt;4,IF(O1453&lt;6,"低",IF(O1453&lt;20,"中","高")),IF(O1453&lt;6,"中","高"))))),IF(OR(J1453="ILF",J1453="EIF"),IF(OR(Y1453="估算法",Y1453="算法类",Y1453="无法识别"),"低",IF(N1453&lt;2,IF(O1453&lt;51,"低","中"),IF(N1453&lt;6,IF(O1453&lt;20,"低",IF(O1453&lt;51,"中","高")),IF(O1453&lt;20,"中","高")))),"不计算")))</f>
        <v/>
      </c>
      <c r="Q1453" s="172">
        <f>IFERROR(IF(J1453="EI",IF(P1453="低",3,IF(P1453="中",4,6)),IF(J1453="EO",IF(P1453="低",4,IF(P1453="中",5,7)),IF(J1453="EQ",IF(P1453="低",3,IF(P1453="中",4,6)),IF(J1453="ILF",IF(P1453="低",7,IF(P1453="中",10,15)),IF(J1453="EIF",IF(P1453="低",5,IF(P1453="中",7,10)),"不计算")))))*R1453,"不计算")</f>
        <v/>
      </c>
      <c r="R1453" s="172" t="n">
        <v>1</v>
      </c>
      <c r="S1453" s="173">
        <f>调整因子!$F$13</f>
        <v/>
      </c>
      <c r="T1453" s="93" t="n">
        <v>1</v>
      </c>
      <c r="U1453" s="174">
        <f>IFERROR(Q1453*S1453,0)</f>
        <v/>
      </c>
      <c r="V1453" s="178">
        <f>U1453*T1453</f>
        <v/>
      </c>
      <c r="W1453" s="103" t="inlineStr">
        <is>
          <t>推送规则表</t>
        </is>
      </c>
      <c r="X1453" s="103" t="inlineStr"/>
      <c r="Y1453" s="97" t="inlineStr">
        <is>
          <t>推送规则表{规则ID、规则名称、规则类型、规则条件、创建时间|规则ID、规则名称、规则类型}</t>
        </is>
      </c>
      <c r="Z1453" s="90" t="n"/>
      <c r="AA1453" s="90" t="n"/>
    </row>
    <row r="1454" s="112">
      <c r="A1454" s="72">
        <f>ROW()-1</f>
        <v/>
      </c>
      <c r="B1454" s="175" t="n"/>
      <c r="C1454" s="124" t="n">
        <v>2026</v>
      </c>
      <c r="E1454" s="103" t="n"/>
      <c r="F1454" s="175" t="n"/>
      <c r="G1454" s="175" t="n"/>
      <c r="H1454" s="175" t="n"/>
      <c r="I1454" s="103" t="inlineStr">
        <is>
          <t>删除通报规则</t>
        </is>
      </c>
      <c r="J1454" s="93" t="inlineStr">
        <is>
          <t>EI</t>
        </is>
      </c>
      <c r="K1454" s="102" t="n"/>
      <c r="L1454" s="102" t="n"/>
      <c r="M1454" s="85">
        <f>IF(OR(Y1454="估算法",Y1454="算法类",Y1454="无法识别"),"",IF(W1454="",IF(OR(J1454="EI",J1454="EO",J1454="EQ"),0,""),LEN(W1454)-LEN(SUBSTITUTE(W1454,"、",""))+1))</f>
        <v/>
      </c>
      <c r="N1454" s="85">
        <f>IF(OR(Y1454="估算法",Y1454="算法类",Y1454="无法识别"),"",IF(X1454="",IF(OR(J1454="ILF",J1454="EIF"),0,""),LEN(X1454)-LEN(SUBSTITUTE(X1454,"、",""))+1))</f>
        <v/>
      </c>
      <c r="O1454" s="85">
        <f>IF(OR(Y1454="估算法",Y1454="算法类",Y1454="无法识别"),"",IF(Y1454="",IF(OR(J1454="ILF",J1454="EIF",J1454="EI",J1454="EO",J1454="EQ"),0,""),LEN(Y1454)-LEN(SUBSTITUTE(SUBSTITUTE(SUBSTITUTE(SUBSTITUTE(SUBSTITUTE(Y1454,"|}","--"),"{|","--"),CHAR(10),""),"、",""),"|",""))+IF(AND(OR(J1454="EI",J1454="EO",J1454="EQ"),$AE$1="NESMA"),2,1)))</f>
        <v/>
      </c>
      <c r="P1454" s="86">
        <f>IF(J1454="EI",IF(OR(Y1454="估算法",Y1454="算法类"),"中",IF(Y1454="无法识别","低",IF(M1454&lt;2,IF(O1454&lt;16,"低","中"),IF(M1454&lt;3,IF(O1454&lt;5,"低",IF(O1454&lt;16,"中","高")),IF(O1454&lt;5,"中","高"))))),IF(OR(J1454="EO",J1454="EQ"),IF(OR(Y1454="估算法",Y1454="算法类"),"中",IF(Y1454="无法识别","低",IF(M1454&lt;2,IF(O1454&lt;20,"低","中"),IF(M1454&lt;4,IF(O1454&lt;6,"低",IF(O1454&lt;20,"中","高")),IF(O1454&lt;6,"中","高"))))),IF(OR(J1454="ILF",J1454="EIF"),IF(OR(Y1454="估算法",Y1454="算法类",Y1454="无法识别"),"低",IF(N1454&lt;2,IF(O1454&lt;51,"低","中"),IF(N1454&lt;6,IF(O1454&lt;20,"低",IF(O1454&lt;51,"中","高")),IF(O1454&lt;20,"中","高")))),"不计算")))</f>
        <v/>
      </c>
      <c r="Q1454" s="172">
        <f>IFERROR(IF(J1454="EI",IF(P1454="低",3,IF(P1454="中",4,6)),IF(J1454="EO",IF(P1454="低",4,IF(P1454="中",5,7)),IF(J1454="EQ",IF(P1454="低",3,IF(P1454="中",4,6)),IF(J1454="ILF",IF(P1454="低",7,IF(P1454="中",10,15)),IF(J1454="EIF",IF(P1454="低",5,IF(P1454="中",7,10)),"不计算")))))*R1454,"不计算")</f>
        <v/>
      </c>
      <c r="R1454" s="172" t="n">
        <v>0.333333333333333</v>
      </c>
      <c r="S1454" s="173">
        <f>调整因子!$F$13</f>
        <v/>
      </c>
      <c r="T1454" s="93" t="n">
        <v>1</v>
      </c>
      <c r="U1454" s="174">
        <f>IFERROR(Q1454*S1454,0)</f>
        <v/>
      </c>
      <c r="V1454" s="178">
        <f>U1454*T1454</f>
        <v/>
      </c>
      <c r="W1454" s="103" t="inlineStr">
        <is>
          <t>推送规则表</t>
        </is>
      </c>
      <c r="X1454" s="103" t="inlineStr"/>
      <c r="Y1454" s="97" t="inlineStr">
        <is>
          <t>推送规则表{规则ID、规则名称、规则类型、规则条件、创建时间|规则ID、规则名称、规则类型}</t>
        </is>
      </c>
      <c r="Z1454" s="90" t="n"/>
      <c r="AA1454" s="90" t="n"/>
    </row>
    <row r="1455" s="112">
      <c r="A1455" s="72">
        <f>ROW()-1</f>
        <v/>
      </c>
      <c r="B1455" s="175" t="n"/>
      <c r="C1455" s="124" t="n">
        <v>2026</v>
      </c>
      <c r="E1455" s="103" t="n"/>
      <c r="F1455" s="175" t="n"/>
      <c r="G1455" s="175" t="n"/>
      <c r="H1455" s="175" t="n"/>
      <c r="I1455" s="103" t="inlineStr">
        <is>
          <t>启用通报规则</t>
        </is>
      </c>
      <c r="J1455" s="93" t="inlineStr">
        <is>
          <t>EI</t>
        </is>
      </c>
      <c r="K1455" s="102" t="n"/>
      <c r="L1455" s="102" t="n"/>
      <c r="M1455" s="85">
        <f>IF(OR(Y1455="估算法",Y1455="算法类",Y1455="无法识别"),"",IF(W1455="",IF(OR(J1455="EI",J1455="EO",J1455="EQ"),0,""),LEN(W1455)-LEN(SUBSTITUTE(W1455,"、",""))+1))</f>
        <v/>
      </c>
      <c r="N1455" s="85">
        <f>IF(OR(Y1455="估算法",Y1455="算法类",Y1455="无法识别"),"",IF(X1455="",IF(OR(J1455="ILF",J1455="EIF"),0,""),LEN(X1455)-LEN(SUBSTITUTE(X1455,"、",""))+1))</f>
        <v/>
      </c>
      <c r="O1455" s="85">
        <f>IF(OR(Y1455="估算法",Y1455="算法类",Y1455="无法识别"),"",IF(Y1455="",IF(OR(J1455="ILF",J1455="EIF",J1455="EI",J1455="EO",J1455="EQ"),0,""),LEN(Y1455)-LEN(SUBSTITUTE(SUBSTITUTE(SUBSTITUTE(SUBSTITUTE(SUBSTITUTE(Y1455,"|}","--"),"{|","--"),CHAR(10),""),"、",""),"|",""))+IF(AND(OR(J1455="EI",J1455="EO",J1455="EQ"),$AE$1="NESMA"),2,1)))</f>
        <v/>
      </c>
      <c r="P1455" s="86">
        <f>IF(J1455="EI",IF(OR(Y1455="估算法",Y1455="算法类"),"中",IF(Y1455="无法识别","低",IF(M1455&lt;2,IF(O1455&lt;16,"低","中"),IF(M1455&lt;3,IF(O1455&lt;5,"低",IF(O1455&lt;16,"中","高")),IF(O1455&lt;5,"中","高"))))),IF(OR(J1455="EO",J1455="EQ"),IF(OR(Y1455="估算法",Y1455="算法类"),"中",IF(Y1455="无法识别","低",IF(M1455&lt;2,IF(O1455&lt;20,"低","中"),IF(M1455&lt;4,IF(O1455&lt;6,"低",IF(O1455&lt;20,"中","高")),IF(O1455&lt;6,"中","高"))))),IF(OR(J1455="ILF",J1455="EIF"),IF(OR(Y1455="估算法",Y1455="算法类",Y1455="无法识别"),"低",IF(N1455&lt;2,IF(O1455&lt;51,"低","中"),IF(N1455&lt;6,IF(O1455&lt;20,"低",IF(O1455&lt;51,"中","高")),IF(O1455&lt;20,"中","高")))),"不计算")))</f>
        <v/>
      </c>
      <c r="Q1455" s="172">
        <f>IFERROR(IF(J1455="EI",IF(P1455="低",3,IF(P1455="中",4,6)),IF(J1455="EO",IF(P1455="低",4,IF(P1455="中",5,7)),IF(J1455="EQ",IF(P1455="低",3,IF(P1455="中",4,6)),IF(J1455="ILF",IF(P1455="低",7,IF(P1455="中",10,15)),IF(J1455="EIF",IF(P1455="低",5,IF(P1455="中",7,10)),"不计算")))))*R1455,"不计算")</f>
        <v/>
      </c>
      <c r="R1455" s="172" t="n">
        <v>1</v>
      </c>
      <c r="S1455" s="173">
        <f>调整因子!$F$13</f>
        <v/>
      </c>
      <c r="T1455" s="92" t="n">
        <v>1</v>
      </c>
      <c r="U1455" s="174">
        <f>IFERROR(Q1455*S1455,0)</f>
        <v/>
      </c>
      <c r="V1455" s="178">
        <f>U1455*T1455</f>
        <v/>
      </c>
      <c r="W1455" s="103" t="inlineStr">
        <is>
          <t>推送规则表、提醒规则表</t>
        </is>
      </c>
      <c r="X1455" s="103" t="inlineStr"/>
      <c r="Y1455" s="97" t="inlineStr">
        <is>
          <t>推送规则表{规则ID、规则名称、规则类型、规则条件、创建时间|规则ID、规则名称、规则类型}
提醒规则表{规则ID、规则名称、规则类型、规则条件、创建时间|规则ID、规则名称、规则类型}</t>
        </is>
      </c>
      <c r="Z1455" s="90" t="n"/>
      <c r="AA1455" s="90" t="n"/>
    </row>
    <row r="1456" s="112">
      <c r="A1456" s="72">
        <f>ROW()-1</f>
        <v/>
      </c>
      <c r="B1456" s="175" t="n"/>
      <c r="C1456" s="124" t="n">
        <v>2026</v>
      </c>
      <c r="E1456" s="103" t="n"/>
      <c r="F1456" s="175" t="n"/>
      <c r="G1456" s="175" t="n"/>
      <c r="H1456" s="175" t="n"/>
      <c r="I1456" s="103" t="inlineStr">
        <is>
          <t>停用通报规则</t>
        </is>
      </c>
      <c r="J1456" s="93" t="n"/>
      <c r="K1456" s="102" t="n"/>
      <c r="L1456" s="102" t="inlineStr">
        <is>
          <t>和上行合并，启停为相同功能</t>
        </is>
      </c>
      <c r="M1456" s="85">
        <f>IF(OR(Y1456="估算法",Y1456="算法类",Y1456="无法识别"),"",IF(W1456="",IF(OR(J1456="EI",J1456="EO",J1456="EQ"),0,""),LEN(W1456)-LEN(SUBSTITUTE(W1456,"、",""))+1))</f>
        <v/>
      </c>
      <c r="N1456" s="85">
        <f>IF(OR(Y1456="估算法",Y1456="算法类",Y1456="无法识别"),"",IF(X1456="",IF(OR(J1456="ILF",J1456="EIF"),0,""),LEN(X1456)-LEN(SUBSTITUTE(X1456,"、",""))+1))</f>
        <v/>
      </c>
      <c r="O1456" s="85">
        <f>IF(OR(Y1456="估算法",Y1456="算法类",Y1456="无法识别"),"",IF(Y1456="",IF(OR(J1456="ILF",J1456="EIF",J1456="EI",J1456="EO",J1456="EQ"),0,""),LEN(Y1456)-LEN(SUBSTITUTE(SUBSTITUTE(SUBSTITUTE(SUBSTITUTE(SUBSTITUTE(Y1456,"|}","--"),"{|","--"),CHAR(10),""),"、",""),"|",""))+IF(AND(OR(J1456="EI",J1456="EO",J1456="EQ"),$AE$1="NESMA"),2,1)))</f>
        <v/>
      </c>
      <c r="P1456" s="86">
        <f>IF(J1456="EI",IF(OR(Y1456="估算法",Y1456="算法类"),"中",IF(Y1456="无法识别","低",IF(M1456&lt;2,IF(O1456&lt;16,"低","中"),IF(M1456&lt;3,IF(O1456&lt;5,"低",IF(O1456&lt;16,"中","高")),IF(O1456&lt;5,"中","高"))))),IF(OR(J1456="EO",J1456="EQ"),IF(OR(Y1456="估算法",Y1456="算法类"),"中",IF(Y1456="无法识别","低",IF(M1456&lt;2,IF(O1456&lt;20,"低","中"),IF(M1456&lt;4,IF(O1456&lt;6,"低",IF(O1456&lt;20,"中","高")),IF(O1456&lt;6,"中","高"))))),IF(OR(J1456="ILF",J1456="EIF"),IF(OR(Y1456="估算法",Y1456="算法类",Y1456="无法识别"),"低",IF(N1456&lt;2,IF(O1456&lt;51,"低","中"),IF(N1456&lt;6,IF(O1456&lt;20,"低",IF(O1456&lt;51,"中","高")),IF(O1456&lt;20,"中","高")))),"不计算")))</f>
        <v/>
      </c>
      <c r="Q1456" s="172">
        <f>IFERROR(IF(J1456="EI",IF(P1456="低",3,IF(P1456="中",4,6)),IF(J1456="EO",IF(P1456="低",4,IF(P1456="中",5,7)),IF(J1456="EQ",IF(P1456="低",3,IF(P1456="中",4,6)),IF(J1456="ILF",IF(P1456="低",7,IF(P1456="中",10,15)),IF(J1456="EIF",IF(P1456="低",5,IF(P1456="中",7,10)),"不计算")))))*R1456,"不计算")</f>
        <v/>
      </c>
      <c r="R1456" s="172" t="n">
        <v>1</v>
      </c>
      <c r="S1456" s="173">
        <f>调整因子!$F$13</f>
        <v/>
      </c>
      <c r="T1456" s="92" t="n">
        <v>1</v>
      </c>
      <c r="U1456" s="174">
        <f>IFERROR(Q1456*S1456,0)</f>
        <v/>
      </c>
      <c r="V1456" s="178">
        <f>U1456*T1456</f>
        <v/>
      </c>
      <c r="W1456" s="103" t="inlineStr">
        <is>
          <t>推送规则表、提醒规则表</t>
        </is>
      </c>
      <c r="X1456" s="103" t="inlineStr"/>
      <c r="Y1456" s="97" t="inlineStr">
        <is>
          <t>推送规则表{规则ID、规则名称、规则类型、规则条件、创建时间|规则ID、规则名称、规则类型}
提醒规则表{规则ID、规则名称、规则类型、规则条件、创建时间|规则ID、规则名称、规则类型}</t>
        </is>
      </c>
      <c r="Z1456" s="90" t="n"/>
      <c r="AA1456" s="90" t="n"/>
    </row>
    <row r="1457" s="112">
      <c r="A1457" s="72">
        <f>ROW()-1</f>
        <v/>
      </c>
      <c r="B1457" s="175" t="n"/>
      <c r="C1457" s="124" t="n">
        <v>2026</v>
      </c>
      <c r="E1457" s="103" t="n"/>
      <c r="F1457" s="175" t="n"/>
      <c r="G1457" s="175" t="n"/>
      <c r="H1457" s="175" t="n"/>
      <c r="I1457" s="103" t="inlineStr">
        <is>
          <t>导出通报配置</t>
        </is>
      </c>
      <c r="J1457" s="93" t="inlineStr">
        <is>
          <t>EO</t>
        </is>
      </c>
      <c r="K1457" s="102" t="n"/>
      <c r="L1457" s="102" t="n"/>
      <c r="M1457" s="85">
        <f>IF(OR(Y1457="估算法",Y1457="算法类",Y1457="无法识别"),"",IF(W1457="",IF(OR(J1457="EI",J1457="EO",J1457="EQ"),0,""),LEN(W1457)-LEN(SUBSTITUTE(W1457,"、",""))+1))</f>
        <v/>
      </c>
      <c r="N1457" s="85">
        <f>IF(OR(Y1457="估算法",Y1457="算法类",Y1457="无法识别"),"",IF(X1457="",IF(OR(J1457="ILF",J1457="EIF"),0,""),LEN(X1457)-LEN(SUBSTITUTE(X1457,"、",""))+1))</f>
        <v/>
      </c>
      <c r="O1457" s="85">
        <f>IF(OR(Y1457="估算法",Y1457="算法类",Y1457="无法识别"),"",IF(Y1457="",IF(OR(J1457="ILF",J1457="EIF",J1457="EI",J1457="EO",J1457="EQ"),0,""),LEN(Y1457)-LEN(SUBSTITUTE(SUBSTITUTE(SUBSTITUTE(SUBSTITUTE(SUBSTITUTE(Y1457,"|}","--"),"{|","--"),CHAR(10),""),"、",""),"|",""))+IF(AND(OR(J1457="EI",J1457="EO",J1457="EQ"),$AE$1="NESMA"),2,1)))</f>
        <v/>
      </c>
      <c r="P1457" s="86">
        <f>IF(J1457="EI",IF(OR(Y1457="估算法",Y1457="算法类"),"中",IF(Y1457="无法识别","低",IF(M1457&lt;2,IF(O1457&lt;16,"低","中"),IF(M1457&lt;3,IF(O1457&lt;5,"低",IF(O1457&lt;16,"中","高")),IF(O1457&lt;5,"中","高"))))),IF(OR(J1457="EO",J1457="EQ"),IF(OR(Y1457="估算法",Y1457="算法类"),"中",IF(Y1457="无法识别","低",IF(M1457&lt;2,IF(O1457&lt;20,"低","中"),IF(M1457&lt;4,IF(O1457&lt;6,"低",IF(O1457&lt;20,"中","高")),IF(O1457&lt;6,"中","高"))))),IF(OR(J1457="ILF",J1457="EIF"),IF(OR(Y1457="估算法",Y1457="算法类",Y1457="无法识别"),"低",IF(N1457&lt;2,IF(O1457&lt;51,"低","中"),IF(N1457&lt;6,IF(O1457&lt;20,"低",IF(O1457&lt;51,"中","高")),IF(O1457&lt;20,"中","高")))),"不计算")))</f>
        <v/>
      </c>
      <c r="Q1457" s="172">
        <f>IFERROR(IF(J1457="EI",IF(P1457="低",3,IF(P1457="中",4,6)),IF(J1457="EO",IF(P1457="低",4,IF(P1457="中",5,7)),IF(J1457="EQ",IF(P1457="低",3,IF(P1457="中",4,6)),IF(J1457="ILF",IF(P1457="低",7,IF(P1457="中",10,15)),IF(J1457="EIF",IF(P1457="低",5,IF(P1457="中",7,10)),"不计算")))))*R1457,"不计算")</f>
        <v/>
      </c>
      <c r="R1457" s="172" t="n">
        <v>1</v>
      </c>
      <c r="S1457" s="173">
        <f>调整因子!$F$13</f>
        <v/>
      </c>
      <c r="T1457" s="93" t="n">
        <v>1</v>
      </c>
      <c r="U1457" s="174">
        <f>IFERROR(Q1457*S1457,0)</f>
        <v/>
      </c>
      <c r="V1457" s="178">
        <f>U1457*T1457</f>
        <v/>
      </c>
      <c r="W1457" s="103" t="inlineStr">
        <is>
          <t>任务优先级配置表</t>
        </is>
      </c>
      <c r="X1457" s="103" t="inlineStr"/>
      <c r="Y1457" s="97" t="inlineStr">
        <is>
          <t>任务优先级配置表{任务ID、任务名称|任务ID、任务名称、任务类型、任务状态、创建时间、执行时间}</t>
        </is>
      </c>
      <c r="Z1457" s="90" t="n"/>
      <c r="AA1457" s="90" t="n"/>
    </row>
    <row r="1458" s="112">
      <c r="A1458" s="72">
        <f>ROW()-1</f>
        <v/>
      </c>
      <c r="B1458" s="175" t="n"/>
      <c r="C1458" s="124" t="n">
        <v>2026</v>
      </c>
      <c r="E1458" s="103" t="n"/>
      <c r="F1458" s="175" t="n"/>
      <c r="G1458" s="175" t="n"/>
      <c r="H1458" s="175" t="n"/>
      <c r="I1458" s="103" t="inlineStr">
        <is>
          <t>查询通报规则</t>
        </is>
      </c>
      <c r="J1458" s="93" t="inlineStr">
        <is>
          <t>EQ</t>
        </is>
      </c>
      <c r="K1458" s="102" t="n"/>
      <c r="L1458" s="102" t="n"/>
      <c r="M1458" s="85">
        <f>IF(OR(Y1458="估算法",Y1458="算法类",Y1458="无法识别"),"",IF(W1458="",IF(OR(J1458="EI",J1458="EO",J1458="EQ"),0,""),LEN(W1458)-LEN(SUBSTITUTE(W1458,"、",""))+1))</f>
        <v/>
      </c>
      <c r="N1458" s="85">
        <f>IF(OR(Y1458="估算法",Y1458="算法类",Y1458="无法识别"),"",IF(X1458="",IF(OR(J1458="ILF",J1458="EIF"),0,""),LEN(X1458)-LEN(SUBSTITUTE(X1458,"、",""))+1))</f>
        <v/>
      </c>
      <c r="O1458" s="85">
        <f>IF(OR(Y1458="估算法",Y1458="算法类",Y1458="无法识别"),"",IF(Y1458="",IF(OR(J1458="ILF",J1458="EIF",J1458="EI",J1458="EO",J1458="EQ"),0,""),LEN(Y1458)-LEN(SUBSTITUTE(SUBSTITUTE(SUBSTITUTE(SUBSTITUTE(SUBSTITUTE(Y1458,"|}","--"),"{|","--"),CHAR(10),""),"、",""),"|",""))+IF(AND(OR(J1458="EI",J1458="EO",J1458="EQ"),$AE$1="NESMA"),2,1)))</f>
        <v/>
      </c>
      <c r="P1458" s="86">
        <f>IF(J1458="EI",IF(OR(Y1458="估算法",Y1458="算法类"),"中",IF(Y1458="无法识别","低",IF(M1458&lt;2,IF(O1458&lt;16,"低","中"),IF(M1458&lt;3,IF(O1458&lt;5,"低",IF(O1458&lt;16,"中","高")),IF(O1458&lt;5,"中","高"))))),IF(OR(J1458="EO",J1458="EQ"),IF(OR(Y1458="估算法",Y1458="算法类"),"中",IF(Y1458="无法识别","低",IF(M1458&lt;2,IF(O1458&lt;20,"低","中"),IF(M1458&lt;4,IF(O1458&lt;6,"低",IF(O1458&lt;20,"中","高")),IF(O1458&lt;6,"中","高"))))),IF(OR(J1458="ILF",J1458="EIF"),IF(OR(Y1458="估算法",Y1458="算法类",Y1458="无法识别"),"低",IF(N1458&lt;2,IF(O1458&lt;51,"低","中"),IF(N1458&lt;6,IF(O1458&lt;20,"低",IF(O1458&lt;51,"中","高")),IF(O1458&lt;20,"中","高")))),"不计算")))</f>
        <v/>
      </c>
      <c r="Q1458" s="172">
        <f>IFERROR(IF(J1458="EI",IF(P1458="低",3,IF(P1458="中",4,6)),IF(J1458="EO",IF(P1458="低",4,IF(P1458="中",5,7)),IF(J1458="EQ",IF(P1458="低",3,IF(P1458="中",4,6)),IF(J1458="ILF",IF(P1458="低",7,IF(P1458="中",10,15)),IF(J1458="EIF",IF(P1458="低",5,IF(P1458="中",7,10)),"不计算")))))*R1458,"不计算")</f>
        <v/>
      </c>
      <c r="R1458" s="172" t="n">
        <v>1</v>
      </c>
      <c r="S1458" s="173">
        <f>调整因子!$F$13</f>
        <v/>
      </c>
      <c r="T1458" s="92" t="n">
        <v>1</v>
      </c>
      <c r="U1458" s="174">
        <f>IFERROR(Q1458*S1458,0)</f>
        <v/>
      </c>
      <c r="V1458" s="178">
        <f>U1458*T1458</f>
        <v/>
      </c>
      <c r="W1458" s="103" t="inlineStr">
        <is>
          <t>推送规则表、提醒规则表</t>
        </is>
      </c>
      <c r="X1458" s="103" t="inlineStr"/>
      <c r="Y1458" s="97" t="inlineStr">
        <is>
          <t>推送规则表{规则ID、规则名称|规则ID、规则名称、规则类型、规则条件、创建时间}
提醒规则表{规则ID、规则名称|规则ID、规则名称、规则类型、规则条件、创建时间}</t>
        </is>
      </c>
      <c r="Z1458" s="90" t="n"/>
      <c r="AA1458" s="90" t="n"/>
    </row>
    <row r="1459" s="112">
      <c r="A1459" s="72">
        <f>ROW()-1</f>
        <v/>
      </c>
      <c r="B1459" s="175" t="n"/>
      <c r="C1459" s="124" t="n">
        <v>2026</v>
      </c>
      <c r="E1459" s="103" t="n"/>
      <c r="F1459" s="175" t="n"/>
      <c r="G1459" s="175" t="n"/>
      <c r="H1459" s="176" t="n"/>
      <c r="I1459" s="103" t="inlineStr">
        <is>
          <t>查看通报详情</t>
        </is>
      </c>
      <c r="J1459" s="93" t="inlineStr">
        <is>
          <t>EQ</t>
        </is>
      </c>
      <c r="K1459" s="102" t="n"/>
      <c r="L1459" s="102" t="n"/>
      <c r="M1459" s="85">
        <f>IF(OR(Y1459="估算法",Y1459="算法类",Y1459="无法识别"),"",IF(W1459="",IF(OR(J1459="EI",J1459="EO",J1459="EQ"),0,""),LEN(W1459)-LEN(SUBSTITUTE(W1459,"、",""))+1))</f>
        <v/>
      </c>
      <c r="N1459" s="85">
        <f>IF(OR(Y1459="估算法",Y1459="算法类",Y1459="无法识别"),"",IF(X1459="",IF(OR(J1459="ILF",J1459="EIF"),0,""),LEN(X1459)-LEN(SUBSTITUTE(X1459,"、",""))+1))</f>
        <v/>
      </c>
      <c r="O1459" s="85">
        <f>IF(OR(Y1459="估算法",Y1459="算法类",Y1459="无法识别"),"",IF(Y1459="",IF(OR(J1459="ILF",J1459="EIF",J1459="EI",J1459="EO",J1459="EQ"),0,""),LEN(Y1459)-LEN(SUBSTITUTE(SUBSTITUTE(SUBSTITUTE(SUBSTITUTE(SUBSTITUTE(Y1459,"|}","--"),"{|","--"),CHAR(10),""),"、",""),"|",""))+IF(AND(OR(J1459="EI",J1459="EO",J1459="EQ"),$AE$1="NESMA"),2,1)))</f>
        <v/>
      </c>
      <c r="P1459" s="86">
        <f>IF(J1459="EI",IF(OR(Y1459="估算法",Y1459="算法类"),"中",IF(Y1459="无法识别","低",IF(M1459&lt;2,IF(O1459&lt;16,"低","中"),IF(M1459&lt;3,IF(O1459&lt;5,"低",IF(O1459&lt;16,"中","高")),IF(O1459&lt;5,"中","高"))))),IF(OR(J1459="EO",J1459="EQ"),IF(OR(Y1459="估算法",Y1459="算法类"),"中",IF(Y1459="无法识别","低",IF(M1459&lt;2,IF(O1459&lt;20,"低","中"),IF(M1459&lt;4,IF(O1459&lt;6,"低",IF(O1459&lt;20,"中","高")),IF(O1459&lt;6,"中","高"))))),IF(OR(J1459="ILF",J1459="EIF"),IF(OR(Y1459="估算法",Y1459="算法类",Y1459="无法识别"),"低",IF(N1459&lt;2,IF(O1459&lt;51,"低","中"),IF(N1459&lt;6,IF(O1459&lt;20,"低",IF(O1459&lt;51,"中","高")),IF(O1459&lt;20,"中","高")))),"不计算")))</f>
        <v/>
      </c>
      <c r="Q1459" s="172">
        <f>IFERROR(IF(J1459="EI",IF(P1459="低",3,IF(P1459="中",4,6)),IF(J1459="EO",IF(P1459="低",4,IF(P1459="中",5,7)),IF(J1459="EQ",IF(P1459="低",3,IF(P1459="中",4,6)),IF(J1459="ILF",IF(P1459="低",7,IF(P1459="中",10,15)),IF(J1459="EIF",IF(P1459="低",5,IF(P1459="中",7,10)),"不计算")))))*R1459,"不计算")</f>
        <v/>
      </c>
      <c r="R1459" s="172" t="n">
        <v>1</v>
      </c>
      <c r="S1459" s="173">
        <f>调整因子!$F$13</f>
        <v/>
      </c>
      <c r="T1459" s="92" t="n">
        <v>1</v>
      </c>
      <c r="U1459" s="174">
        <f>IFERROR(Q1459*S1459,0)</f>
        <v/>
      </c>
      <c r="V1459" s="178">
        <f>U1459*T1459</f>
        <v/>
      </c>
      <c r="W1459" s="103" t="inlineStr">
        <is>
          <t>推送任务表</t>
        </is>
      </c>
      <c r="X1459" s="103" t="inlineStr"/>
      <c r="Y1459" s="97" t="inlineStr">
        <is>
          <t>推送任务表{任务ID、任务名称|任务ID、任务名称、任务类型、任务状态、创建时间、执行时间}</t>
        </is>
      </c>
      <c r="Z1459" s="90" t="n"/>
      <c r="AA1459" s="90" t="n"/>
    </row>
    <row r="1460" s="112">
      <c r="A1460" s="72">
        <f>ROW()-1</f>
        <v/>
      </c>
      <c r="B1460" s="175" t="n"/>
      <c r="C1460" s="124" t="n">
        <v>2026</v>
      </c>
      <c r="E1460" s="103" t="n"/>
      <c r="F1460" s="175" t="n"/>
      <c r="G1460" s="175" t="n"/>
      <c r="H1460" s="97" t="inlineStr">
        <is>
          <t>预警通知管理</t>
        </is>
      </c>
      <c r="I1460" s="103" t="inlineStr">
        <is>
          <t>启用通知策略</t>
        </is>
      </c>
      <c r="J1460" s="93" t="inlineStr">
        <is>
          <t>EI</t>
        </is>
      </c>
      <c r="K1460" s="102" t="n"/>
      <c r="L1460" s="102" t="n"/>
      <c r="M1460" s="85">
        <f>IF(OR(Y1460="估算法",Y1460="算法类",Y1460="无法识别"),"",IF(W1460="",IF(OR(J1460="EI",J1460="EO",J1460="EQ"),0,""),LEN(W1460)-LEN(SUBSTITUTE(W1460,"、",""))+1))</f>
        <v/>
      </c>
      <c r="N1460" s="85">
        <f>IF(OR(Y1460="估算法",Y1460="算法类",Y1460="无法识别"),"",IF(X1460="",IF(OR(J1460="ILF",J1460="EIF"),0,""),LEN(X1460)-LEN(SUBSTITUTE(X1460,"、",""))+1))</f>
        <v/>
      </c>
      <c r="O1460" s="85">
        <f>IF(OR(Y1460="估算法",Y1460="算法类",Y1460="无法识别"),"",IF(Y1460="",IF(OR(J1460="ILF",J1460="EIF",J1460="EI",J1460="EO",J1460="EQ"),0,""),LEN(Y1460)-LEN(SUBSTITUTE(SUBSTITUTE(SUBSTITUTE(SUBSTITUTE(SUBSTITUTE(Y1460,"|}","--"),"{|","--"),CHAR(10),""),"、",""),"|",""))+IF(AND(OR(J1460="EI",J1460="EO",J1460="EQ"),$AE$1="NESMA"),2,1)))</f>
        <v/>
      </c>
      <c r="P1460" s="86">
        <f>IF(J1460="EI",IF(OR(Y1460="估算法",Y1460="算法类"),"中",IF(Y1460="无法识别","低",IF(M1460&lt;2,IF(O1460&lt;16,"低","中"),IF(M1460&lt;3,IF(O1460&lt;5,"低",IF(O1460&lt;16,"中","高")),IF(O1460&lt;5,"中","高"))))),IF(OR(J1460="EO",J1460="EQ"),IF(OR(Y1460="估算法",Y1460="算法类"),"中",IF(Y1460="无法识别","低",IF(M1460&lt;2,IF(O1460&lt;20,"低","中"),IF(M1460&lt;4,IF(O1460&lt;6,"低",IF(O1460&lt;20,"中","高")),IF(O1460&lt;6,"中","高"))))),IF(OR(J1460="ILF",J1460="EIF"),IF(OR(Y1460="估算法",Y1460="算法类",Y1460="无法识别"),"低",IF(N1460&lt;2,IF(O1460&lt;51,"低","中"),IF(N1460&lt;6,IF(O1460&lt;20,"低",IF(O1460&lt;51,"中","高")),IF(O1460&lt;20,"中","高")))),"不计算")))</f>
        <v/>
      </c>
      <c r="Q1460" s="172">
        <f>IFERROR(IF(J1460="EI",IF(P1460="低",3,IF(P1460="中",4,6)),IF(J1460="EO",IF(P1460="低",4,IF(P1460="中",5,7)),IF(J1460="EQ",IF(P1460="低",3,IF(P1460="中",4,6)),IF(J1460="ILF",IF(P1460="低",7,IF(P1460="中",10,15)),IF(J1460="EIF",IF(P1460="低",5,IF(P1460="中",7,10)),"不计算")))))*R1460,"不计算")</f>
        <v/>
      </c>
      <c r="R1460" s="172" t="n">
        <v>1</v>
      </c>
      <c r="S1460" s="173">
        <f>调整因子!$F$13</f>
        <v/>
      </c>
      <c r="T1460" s="93" t="n">
        <v>1</v>
      </c>
      <c r="U1460" s="174">
        <f>IFERROR(Q1460*S1460,0)</f>
        <v/>
      </c>
      <c r="V1460" s="178">
        <f>U1460*T1460</f>
        <v/>
      </c>
      <c r="W1460" s="103" t="inlineStr">
        <is>
          <t>扫描策略模板表</t>
        </is>
      </c>
      <c r="X1460" s="103" t="inlineStr"/>
      <c r="Y1460" s="97" t="inlineStr">
        <is>
          <t>扫描策略模板表{任务ID、任务名称、任务状态、扫描器类型、开始时间、结束时间、扫描结果|任务ID、任务名称、任务状态}</t>
        </is>
      </c>
      <c r="Z1460" s="90" t="n"/>
      <c r="AA1460" s="90" t="n"/>
    </row>
    <row r="1461" s="112">
      <c r="A1461" s="72">
        <f>ROW()-1</f>
        <v/>
      </c>
      <c r="B1461" s="175" t="n"/>
      <c r="C1461" s="124" t="n">
        <v>2026</v>
      </c>
      <c r="E1461" s="103" t="n"/>
      <c r="F1461" s="175" t="n"/>
      <c r="G1461" s="175" t="n"/>
      <c r="H1461" s="175" t="n"/>
      <c r="I1461" s="103" t="inlineStr">
        <is>
          <t>停用通知策略</t>
        </is>
      </c>
      <c r="J1461" s="93" t="n"/>
      <c r="K1461" s="102" t="n"/>
      <c r="L1461" s="102" t="inlineStr">
        <is>
          <t>和上行合并，启停为相同功能</t>
        </is>
      </c>
      <c r="M1461" s="85">
        <f>IF(OR(Y1461="估算法",Y1461="算法类",Y1461="无法识别"),"",IF(W1461="",IF(OR(J1461="EI",J1461="EO",J1461="EQ"),0,""),LEN(W1461)-LEN(SUBSTITUTE(W1461,"、",""))+1))</f>
        <v/>
      </c>
      <c r="N1461" s="85">
        <f>IF(OR(Y1461="估算法",Y1461="算法类",Y1461="无法识别"),"",IF(X1461="",IF(OR(J1461="ILF",J1461="EIF"),0,""),LEN(X1461)-LEN(SUBSTITUTE(X1461,"、",""))+1))</f>
        <v/>
      </c>
      <c r="O1461" s="85">
        <f>IF(OR(Y1461="估算法",Y1461="算法类",Y1461="无法识别"),"",IF(Y1461="",IF(OR(J1461="ILF",J1461="EIF",J1461="EI",J1461="EO",J1461="EQ"),0,""),LEN(Y1461)-LEN(SUBSTITUTE(SUBSTITUTE(SUBSTITUTE(SUBSTITUTE(SUBSTITUTE(Y1461,"|}","--"),"{|","--"),CHAR(10),""),"、",""),"|",""))+IF(AND(OR(J1461="EI",J1461="EO",J1461="EQ"),$AE$1="NESMA"),2,1)))</f>
        <v/>
      </c>
      <c r="P1461" s="86">
        <f>IF(J1461="EI",IF(OR(Y1461="估算法",Y1461="算法类"),"中",IF(Y1461="无法识别","低",IF(M1461&lt;2,IF(O1461&lt;16,"低","中"),IF(M1461&lt;3,IF(O1461&lt;5,"低",IF(O1461&lt;16,"中","高")),IF(O1461&lt;5,"中","高"))))),IF(OR(J1461="EO",J1461="EQ"),IF(OR(Y1461="估算法",Y1461="算法类"),"中",IF(Y1461="无法识别","低",IF(M1461&lt;2,IF(O1461&lt;20,"低","中"),IF(M1461&lt;4,IF(O1461&lt;6,"低",IF(O1461&lt;20,"中","高")),IF(O1461&lt;6,"中","高"))))),IF(OR(J1461="ILF",J1461="EIF"),IF(OR(Y1461="估算法",Y1461="算法类",Y1461="无法识别"),"低",IF(N1461&lt;2,IF(O1461&lt;51,"低","中"),IF(N1461&lt;6,IF(O1461&lt;20,"低",IF(O1461&lt;51,"中","高")),IF(O1461&lt;20,"中","高")))),"不计算")))</f>
        <v/>
      </c>
      <c r="Q1461" s="172">
        <f>IFERROR(IF(J1461="EI",IF(P1461="低",3,IF(P1461="中",4,6)),IF(J1461="EO",IF(P1461="低",4,IF(P1461="中",5,7)),IF(J1461="EQ",IF(P1461="低",3,IF(P1461="中",4,6)),IF(J1461="ILF",IF(P1461="低",7,IF(P1461="中",10,15)),IF(J1461="EIF",IF(P1461="低",5,IF(P1461="中",7,10)),"不计算")))))*R1461,"不计算")</f>
        <v/>
      </c>
      <c r="R1461" s="172" t="n">
        <v>1</v>
      </c>
      <c r="S1461" s="173">
        <f>调整因子!$F$13</f>
        <v/>
      </c>
      <c r="T1461" s="93" t="n">
        <v>1</v>
      </c>
      <c r="U1461" s="174">
        <f>IFERROR(Q1461*S1461,0)</f>
        <v/>
      </c>
      <c r="V1461" s="178">
        <f>U1461*T1461</f>
        <v/>
      </c>
      <c r="W1461" s="103" t="inlineStr">
        <is>
          <t>扫描策略模板表</t>
        </is>
      </c>
      <c r="X1461" s="103" t="inlineStr"/>
      <c r="Y1461" s="97" t="inlineStr">
        <is>
          <t>扫描策略模板表{任务ID、任务名称、任务状态、扫描器类型、开始时间、结束时间、扫描结果|任务ID、任务名称、任务状态}</t>
        </is>
      </c>
      <c r="Z1461" s="90" t="n"/>
      <c r="AA1461" s="90" t="n"/>
    </row>
    <row r="1462" s="112">
      <c r="A1462" s="72">
        <f>ROW()-1</f>
        <v/>
      </c>
      <c r="B1462" s="175" t="n"/>
      <c r="C1462" s="124" t="n">
        <v>2026</v>
      </c>
      <c r="E1462" s="103" t="n"/>
      <c r="F1462" s="175" t="n"/>
      <c r="G1462" s="175" t="n"/>
      <c r="H1462" s="175" t="n"/>
      <c r="I1462" s="103" t="inlineStr">
        <is>
          <t>导出通知记录</t>
        </is>
      </c>
      <c r="J1462" s="93" t="inlineStr">
        <is>
          <t>EO</t>
        </is>
      </c>
      <c r="K1462" s="102" t="n"/>
      <c r="L1462" s="102" t="n"/>
      <c r="M1462" s="85">
        <f>IF(OR(Y1462="估算法",Y1462="算法类",Y1462="无法识别"),"",IF(W1462="",IF(OR(J1462="EI",J1462="EO",J1462="EQ"),0,""),LEN(W1462)-LEN(SUBSTITUTE(W1462,"、",""))+1))</f>
        <v/>
      </c>
      <c r="N1462" s="85">
        <f>IF(OR(Y1462="估算法",Y1462="算法类",Y1462="无法识别"),"",IF(X1462="",IF(OR(J1462="ILF",J1462="EIF"),0,""),LEN(X1462)-LEN(SUBSTITUTE(X1462,"、",""))+1))</f>
        <v/>
      </c>
      <c r="O1462" s="85">
        <f>IF(OR(Y1462="估算法",Y1462="算法类",Y1462="无法识别"),"",IF(Y1462="",IF(OR(J1462="ILF",J1462="EIF",J1462="EI",J1462="EO",J1462="EQ"),0,""),LEN(Y1462)-LEN(SUBSTITUTE(SUBSTITUTE(SUBSTITUTE(SUBSTITUTE(SUBSTITUTE(Y1462,"|}","--"),"{|","--"),CHAR(10),""),"、",""),"|",""))+IF(AND(OR(J1462="EI",J1462="EO",J1462="EQ"),$AE$1="NESMA"),2,1)))</f>
        <v/>
      </c>
      <c r="P1462" s="86">
        <f>IF(J1462="EI",IF(OR(Y1462="估算法",Y1462="算法类"),"中",IF(Y1462="无法识别","低",IF(M1462&lt;2,IF(O1462&lt;16,"低","中"),IF(M1462&lt;3,IF(O1462&lt;5,"低",IF(O1462&lt;16,"中","高")),IF(O1462&lt;5,"中","高"))))),IF(OR(J1462="EO",J1462="EQ"),IF(OR(Y1462="估算法",Y1462="算法类"),"中",IF(Y1462="无法识别","低",IF(M1462&lt;2,IF(O1462&lt;20,"低","中"),IF(M1462&lt;4,IF(O1462&lt;6,"低",IF(O1462&lt;20,"中","高")),IF(O1462&lt;6,"中","高"))))),IF(OR(J1462="ILF",J1462="EIF"),IF(OR(Y1462="估算法",Y1462="算法类",Y1462="无法识别"),"低",IF(N1462&lt;2,IF(O1462&lt;51,"低","中"),IF(N1462&lt;6,IF(O1462&lt;20,"低",IF(O1462&lt;51,"中","高")),IF(O1462&lt;20,"中","高")))),"不计算")))</f>
        <v/>
      </c>
      <c r="Q1462" s="172">
        <f>IFERROR(IF(J1462="EI",IF(P1462="低",3,IF(P1462="中",4,6)),IF(J1462="EO",IF(P1462="低",4,IF(P1462="中",5,7)),IF(J1462="EQ",IF(P1462="低",3,IF(P1462="中",4,6)),IF(J1462="ILF",IF(P1462="低",7,IF(P1462="中",10,15)),IF(J1462="EIF",IF(P1462="低",5,IF(P1462="中",7,10)),"不计算")))))*R1462,"不计算")</f>
        <v/>
      </c>
      <c r="R1462" s="172" t="n">
        <v>1</v>
      </c>
      <c r="S1462" s="173">
        <f>调整因子!$F$13</f>
        <v/>
      </c>
      <c r="T1462" s="92" t="n">
        <v>1</v>
      </c>
      <c r="U1462" s="174">
        <f>IFERROR(Q1462*S1462,0)</f>
        <v/>
      </c>
      <c r="V1462" s="178">
        <f>U1462*T1462</f>
        <v/>
      </c>
      <c r="W1462" s="103" t="inlineStr">
        <is>
          <t>数据清洗任务表</t>
        </is>
      </c>
      <c r="X1462" s="103" t="inlineStr"/>
      <c r="Y1462" s="97" t="inlineStr">
        <is>
          <t>数据清洗任务表{任务ID、任务名称|任务ID、任务名称、任务类型、任务状态、创建时间、执行时间}</t>
        </is>
      </c>
      <c r="Z1462" s="90" t="n"/>
      <c r="AA1462" s="90" t="n"/>
    </row>
    <row r="1463" s="112">
      <c r="A1463" s="72">
        <f>ROW()-1</f>
        <v/>
      </c>
      <c r="B1463" s="175" t="n"/>
      <c r="C1463" s="124" t="n">
        <v>2026</v>
      </c>
      <c r="E1463" s="103" t="n"/>
      <c r="F1463" s="175" t="n"/>
      <c r="G1463" s="175" t="n"/>
      <c r="H1463" s="175" t="n"/>
      <c r="I1463" s="103" t="inlineStr">
        <is>
          <t>查询通知记录</t>
        </is>
      </c>
      <c r="J1463" s="93" t="inlineStr">
        <is>
          <t>EQ</t>
        </is>
      </c>
      <c r="K1463" s="102" t="n"/>
      <c r="L1463" s="102" t="n"/>
      <c r="M1463" s="85">
        <f>IF(OR(Y1463="估算法",Y1463="算法类",Y1463="无法识别"),"",IF(W1463="",IF(OR(J1463="EI",J1463="EO",J1463="EQ"),0,""),LEN(W1463)-LEN(SUBSTITUTE(W1463,"、",""))+1))</f>
        <v/>
      </c>
      <c r="N1463" s="85">
        <f>IF(OR(Y1463="估算法",Y1463="算法类",Y1463="无法识别"),"",IF(X1463="",IF(OR(J1463="ILF",J1463="EIF"),0,""),LEN(X1463)-LEN(SUBSTITUTE(X1463,"、",""))+1))</f>
        <v/>
      </c>
      <c r="O1463" s="85">
        <f>IF(OR(Y1463="估算法",Y1463="算法类",Y1463="无法识别"),"",IF(Y1463="",IF(OR(J1463="ILF",J1463="EIF",J1463="EI",J1463="EO",J1463="EQ"),0,""),LEN(Y1463)-LEN(SUBSTITUTE(SUBSTITUTE(SUBSTITUTE(SUBSTITUTE(SUBSTITUTE(Y1463,"|}","--"),"{|","--"),CHAR(10),""),"、",""),"|",""))+IF(AND(OR(J1463="EI",J1463="EO",J1463="EQ"),$AE$1="NESMA"),2,1)))</f>
        <v/>
      </c>
      <c r="P1463" s="86">
        <f>IF(J1463="EI",IF(OR(Y1463="估算法",Y1463="算法类"),"中",IF(Y1463="无法识别","低",IF(M1463&lt;2,IF(O1463&lt;16,"低","中"),IF(M1463&lt;3,IF(O1463&lt;5,"低",IF(O1463&lt;16,"中","高")),IF(O1463&lt;5,"中","高"))))),IF(OR(J1463="EO",J1463="EQ"),IF(OR(Y1463="估算法",Y1463="算法类"),"中",IF(Y1463="无法识别","低",IF(M1463&lt;2,IF(O1463&lt;20,"低","中"),IF(M1463&lt;4,IF(O1463&lt;6,"低",IF(O1463&lt;20,"中","高")),IF(O1463&lt;6,"中","高"))))),IF(OR(J1463="ILF",J1463="EIF"),IF(OR(Y1463="估算法",Y1463="算法类",Y1463="无法识别"),"低",IF(N1463&lt;2,IF(O1463&lt;51,"低","中"),IF(N1463&lt;6,IF(O1463&lt;20,"低",IF(O1463&lt;51,"中","高")),IF(O1463&lt;20,"中","高")))),"不计算")))</f>
        <v/>
      </c>
      <c r="Q1463" s="172">
        <f>IFERROR(IF(J1463="EI",IF(P1463="低",3,IF(P1463="中",4,6)),IF(J1463="EO",IF(P1463="低",4,IF(P1463="中",5,7)),IF(J1463="EQ",IF(P1463="低",3,IF(P1463="中",4,6)),IF(J1463="ILF",IF(P1463="低",7,IF(P1463="中",10,15)),IF(J1463="EIF",IF(P1463="低",5,IF(P1463="中",7,10)),"不计算")))))*R1463,"不计算")</f>
        <v/>
      </c>
      <c r="R1463" s="172" t="n">
        <v>1</v>
      </c>
      <c r="S1463" s="173">
        <f>调整因子!$F$13</f>
        <v/>
      </c>
      <c r="T1463" s="92" t="n">
        <v>1</v>
      </c>
      <c r="U1463" s="174">
        <f>IFERROR(Q1463*S1463,0)</f>
        <v/>
      </c>
      <c r="V1463" s="178">
        <f>U1463*T1463</f>
        <v/>
      </c>
      <c r="W1463" s="103" t="inlineStr">
        <is>
          <t>方案审批表、任务优先级配置表</t>
        </is>
      </c>
      <c r="X1463" s="103" t="inlineStr"/>
      <c r="Y1463" s="97" t="inlineStr">
        <is>
          <t>方案审批表{ID、名称|ID、名称、类型、状态、创建时间、更新时间}
任务优先级配置表{任务ID、任务名称|任务ID、任务名称、任务类型、任务状态、创建时间、执行时间}</t>
        </is>
      </c>
      <c r="Z1463" s="90" t="n"/>
      <c r="AA1463" s="90" t="n"/>
    </row>
    <row r="1464" s="112">
      <c r="A1464" s="72">
        <f>ROW()-1</f>
        <v/>
      </c>
      <c r="B1464" s="175" t="n"/>
      <c r="C1464" s="124" t="n">
        <v>2026</v>
      </c>
      <c r="E1464" s="103" t="n"/>
      <c r="F1464" s="175" t="n"/>
      <c r="G1464" s="176" t="n"/>
      <c r="H1464" s="176" t="n"/>
      <c r="I1464" s="103" t="inlineStr">
        <is>
          <t>查看通知详情</t>
        </is>
      </c>
      <c r="J1464" s="93" t="inlineStr">
        <is>
          <t>EQ</t>
        </is>
      </c>
      <c r="K1464" s="102" t="n"/>
      <c r="L1464" s="102" t="n"/>
      <c r="M1464" s="85">
        <f>IF(OR(Y1464="估算法",Y1464="算法类",Y1464="无法识别"),"",IF(W1464="",IF(OR(J1464="EI",J1464="EO",J1464="EQ"),0,""),LEN(W1464)-LEN(SUBSTITUTE(W1464,"、",""))+1))</f>
        <v/>
      </c>
      <c r="N1464" s="85">
        <f>IF(OR(Y1464="估算法",Y1464="算法类",Y1464="无法识别"),"",IF(X1464="",IF(OR(J1464="ILF",J1464="EIF"),0,""),LEN(X1464)-LEN(SUBSTITUTE(X1464,"、",""))+1))</f>
        <v/>
      </c>
      <c r="O1464" s="85">
        <f>IF(OR(Y1464="估算法",Y1464="算法类",Y1464="无法识别"),"",IF(Y1464="",IF(OR(J1464="ILF",J1464="EIF",J1464="EI",J1464="EO",J1464="EQ"),0,""),LEN(Y1464)-LEN(SUBSTITUTE(SUBSTITUTE(SUBSTITUTE(SUBSTITUTE(SUBSTITUTE(Y1464,"|}","--"),"{|","--"),CHAR(10),""),"、",""),"|",""))+IF(AND(OR(J1464="EI",J1464="EO",J1464="EQ"),$AE$1="NESMA"),2,1)))</f>
        <v/>
      </c>
      <c r="P1464" s="86">
        <f>IF(J1464="EI",IF(OR(Y1464="估算法",Y1464="算法类"),"中",IF(Y1464="无法识别","低",IF(M1464&lt;2,IF(O1464&lt;16,"低","中"),IF(M1464&lt;3,IF(O1464&lt;5,"低",IF(O1464&lt;16,"中","高")),IF(O1464&lt;5,"中","高"))))),IF(OR(J1464="EO",J1464="EQ"),IF(OR(Y1464="估算法",Y1464="算法类"),"中",IF(Y1464="无法识别","低",IF(M1464&lt;2,IF(O1464&lt;20,"低","中"),IF(M1464&lt;4,IF(O1464&lt;6,"低",IF(O1464&lt;20,"中","高")),IF(O1464&lt;6,"中","高"))))),IF(OR(J1464="ILF",J1464="EIF"),IF(OR(Y1464="估算法",Y1464="算法类",Y1464="无法识别"),"低",IF(N1464&lt;2,IF(O1464&lt;51,"低","中"),IF(N1464&lt;6,IF(O1464&lt;20,"低",IF(O1464&lt;51,"中","高")),IF(O1464&lt;20,"中","高")))),"不计算")))</f>
        <v/>
      </c>
      <c r="Q1464" s="172">
        <f>IFERROR(IF(J1464="EI",IF(P1464="低",3,IF(P1464="中",4,6)),IF(J1464="EO",IF(P1464="低",4,IF(P1464="中",5,7)),IF(J1464="EQ",IF(P1464="低",3,IF(P1464="中",4,6)),IF(J1464="ILF",IF(P1464="低",7,IF(P1464="中",10,15)),IF(J1464="EIF",IF(P1464="低",5,IF(P1464="中",7,10)),"不计算")))))*R1464,"不计算")</f>
        <v/>
      </c>
      <c r="R1464" s="172" t="n">
        <v>1</v>
      </c>
      <c r="S1464" s="173">
        <f>调整因子!$F$13</f>
        <v/>
      </c>
      <c r="T1464" s="93" t="n">
        <v>1</v>
      </c>
      <c r="U1464" s="174">
        <f>IFERROR(Q1464*S1464,0)</f>
        <v/>
      </c>
      <c r="V1464" s="178">
        <f>U1464*T1464</f>
        <v/>
      </c>
      <c r="W1464" s="103" t="inlineStr">
        <is>
          <t>处置单关联表</t>
        </is>
      </c>
      <c r="X1464" s="103" t="inlineStr"/>
      <c r="Y1464" s="97" t="inlineStr">
        <is>
          <t>处置单关联表{ID、名称|ID、名称、类型、状态、创建时间、更新时间}</t>
        </is>
      </c>
      <c r="Z1464" s="90" t="n"/>
      <c r="AA1464" s="90" t="n"/>
    </row>
    <row r="1465" s="112">
      <c r="A1465" s="72">
        <f>ROW()-1</f>
        <v/>
      </c>
      <c r="B1465" s="175" t="n"/>
      <c r="C1465" s="124" t="n">
        <v>2026</v>
      </c>
      <c r="E1465" s="103" t="n"/>
      <c r="F1465" s="175" t="n"/>
      <c r="G1465" s="97" t="inlineStr">
        <is>
          <t>漏洞闭环率统计与考核</t>
        </is>
      </c>
      <c r="H1465" s="97" t="inlineStr">
        <is>
          <t>报告模板管理</t>
        </is>
      </c>
      <c r="I1465" s="103" t="inlineStr">
        <is>
          <t>报告模板表</t>
        </is>
      </c>
      <c r="J1465" s="93" t="n"/>
      <c r="K1465" s="84" t="n"/>
      <c r="L1465" s="84" t="inlineStr">
        <is>
          <t>重复数据库表</t>
        </is>
      </c>
      <c r="M1465" s="85">
        <f>IF(OR(Y1465="估算法",Y1465="算法类",Y1465="无法识别"),"",IF(W1465="",IF(OR(J1465="EI",J1465="EO",J1465="EQ"),0,""),LEN(W1465)-LEN(SUBSTITUTE(W1465,"、",""))+1))</f>
        <v/>
      </c>
      <c r="N1465" s="85">
        <f>IF(OR(Y1465="估算法",Y1465="算法类",Y1465="无法识别"),"",IF(X1465="",IF(OR(J1465="ILF",J1465="EIF"),0,""),LEN(X1465)-LEN(SUBSTITUTE(X1465,"、",""))+1))</f>
        <v/>
      </c>
      <c r="O1465" s="85">
        <f>IF(OR(Y1465="估算法",Y1465="算法类",Y1465="无法识别"),"",IF(Y1465="",IF(OR(J1465="ILF",J1465="EIF",J1465="EI",J1465="EO",J1465="EQ"),0,""),LEN(Y1465)-LEN(SUBSTITUTE(SUBSTITUTE(SUBSTITUTE(SUBSTITUTE(SUBSTITUTE(Y1465,"|}","--"),"{|","--"),CHAR(10),""),"、",""),"|",""))+IF(AND(OR(J1465="EI",J1465="EO",J1465="EQ"),$AE$1="NESMA"),2,1)))</f>
        <v/>
      </c>
      <c r="P1465" s="86">
        <f>IF(J1465="EI",IF(OR(Y1465="估算法",Y1465="算法类"),"中",IF(Y1465="无法识别","低",IF(M1465&lt;2,IF(O1465&lt;16,"低","中"),IF(M1465&lt;3,IF(O1465&lt;5,"低",IF(O1465&lt;16,"中","高")),IF(O1465&lt;5,"中","高"))))),IF(OR(J1465="EO",J1465="EQ"),IF(OR(Y1465="估算法",Y1465="算法类"),"中",IF(Y1465="无法识别","低",IF(M1465&lt;2,IF(O1465&lt;20,"低","中"),IF(M1465&lt;4,IF(O1465&lt;6,"低",IF(O1465&lt;20,"中","高")),IF(O1465&lt;6,"中","高"))))),IF(OR(J1465="ILF",J1465="EIF"),IF(OR(Y1465="估算法",Y1465="算法类",Y1465="无法识别"),"低",IF(N1465&lt;2,IF(O1465&lt;51,"低","中"),IF(N1465&lt;6,IF(O1465&lt;20,"低",IF(O1465&lt;51,"中","高")),IF(O1465&lt;20,"中","高")))),"不计算")))</f>
        <v/>
      </c>
      <c r="Q1465" s="172">
        <f>IFERROR(IF(J1465="EI",IF(P1465="低",3,IF(P1465="中",4,6)),IF(J1465="EO",IF(P1465="低",4,IF(P1465="中",5,7)),IF(J1465="EQ",IF(P1465="低",3,IF(P1465="中",4,6)),IF(J1465="ILF",IF(P1465="低",7,IF(P1465="中",10,15)),IF(J1465="EIF",IF(P1465="低",5,IF(P1465="中",7,10)),"不计算")))))*R1465,"不计算")</f>
        <v/>
      </c>
      <c r="R1465" s="172" t="n">
        <v>1</v>
      </c>
      <c r="S1465" s="173">
        <f>调整因子!$F$13</f>
        <v/>
      </c>
      <c r="T1465" s="92" t="n">
        <v>1</v>
      </c>
      <c r="U1465" s="174">
        <f>IFERROR(Q1465*S1465,0)</f>
        <v/>
      </c>
      <c r="V1465" s="178">
        <f>U1465*T1465</f>
        <v/>
      </c>
      <c r="W1465" s="103" t="inlineStr"/>
      <c r="X1465" s="103" t="inlineStr">
        <is>
          <t>数据记录</t>
        </is>
      </c>
      <c r="Y1465" s="97" t="inlineStr">
        <is>
          <t>报告模板表{ID、名称、类型|ID、名称、类型、状态、创建时间、更新时间}</t>
        </is>
      </c>
      <c r="Z1465" s="90">
        <f>IF(COUNTIFS(W:W,"*"&amp;I1465&amp;"*")&gt;0,"存在","不存在")</f>
        <v/>
      </c>
      <c r="AA1465" s="90">
        <f>IF(COUNTIFS(AB:AB,"*"&amp;I1465&amp;"*")&gt;0,"存在","不存在")</f>
        <v/>
      </c>
    </row>
    <row r="1466" s="112">
      <c r="A1466" s="72">
        <f>ROW()-1</f>
        <v/>
      </c>
      <c r="B1466" s="175" t="n"/>
      <c r="C1466" s="124" t="n">
        <v>2026</v>
      </c>
      <c r="E1466" s="103" t="n"/>
      <c r="F1466" s="175" t="n"/>
      <c r="G1466" s="175" t="n"/>
      <c r="H1466" s="175" t="n"/>
      <c r="I1466" s="103" t="inlineStr">
        <is>
          <t>模板配置表</t>
        </is>
      </c>
      <c r="J1466" s="93" t="n"/>
      <c r="K1466" s="84" t="n"/>
      <c r="L1466" s="84" t="inlineStr">
        <is>
          <t>重复数据库表</t>
        </is>
      </c>
      <c r="M1466" s="85">
        <f>IF(OR(Y1466="估算法",Y1466="算法类",Y1466="无法识别"),"",IF(W1466="",IF(OR(J1466="EI",J1466="EO",J1466="EQ"),0,""),LEN(W1466)-LEN(SUBSTITUTE(W1466,"、",""))+1))</f>
        <v/>
      </c>
      <c r="N1466" s="85">
        <f>IF(OR(Y1466="估算法",Y1466="算法类",Y1466="无法识别"),"",IF(X1466="",IF(OR(J1466="ILF",J1466="EIF"),0,""),LEN(X1466)-LEN(SUBSTITUTE(X1466,"、",""))+1))</f>
        <v/>
      </c>
      <c r="O1466" s="85">
        <f>IF(OR(Y1466="估算法",Y1466="算法类",Y1466="无法识别"),"",IF(Y1466="",IF(OR(J1466="ILF",J1466="EIF",J1466="EI",J1466="EO",J1466="EQ"),0,""),LEN(Y1466)-LEN(SUBSTITUTE(SUBSTITUTE(SUBSTITUTE(SUBSTITUTE(SUBSTITUTE(Y1466,"|}","--"),"{|","--"),CHAR(10),""),"、",""),"|",""))+IF(AND(OR(J1466="EI",J1466="EO",J1466="EQ"),$AE$1="NESMA"),2,1)))</f>
        <v/>
      </c>
      <c r="P1466" s="86">
        <f>IF(J1466="EI",IF(OR(Y1466="估算法",Y1466="算法类"),"中",IF(Y1466="无法识别","低",IF(M1466&lt;2,IF(O1466&lt;16,"低","中"),IF(M1466&lt;3,IF(O1466&lt;5,"低",IF(O1466&lt;16,"中","高")),IF(O1466&lt;5,"中","高"))))),IF(OR(J1466="EO",J1466="EQ"),IF(OR(Y1466="估算法",Y1466="算法类"),"中",IF(Y1466="无法识别","低",IF(M1466&lt;2,IF(O1466&lt;20,"低","中"),IF(M1466&lt;4,IF(O1466&lt;6,"低",IF(O1466&lt;20,"中","高")),IF(O1466&lt;6,"中","高"))))),IF(OR(J1466="ILF",J1466="EIF"),IF(OR(Y1466="估算法",Y1466="算法类",Y1466="无法识别"),"低",IF(N1466&lt;2,IF(O1466&lt;51,"低","中"),IF(N1466&lt;6,IF(O1466&lt;20,"低",IF(O1466&lt;51,"中","高")),IF(O1466&lt;20,"中","高")))),"不计算")))</f>
        <v/>
      </c>
      <c r="Q1466" s="172">
        <f>IFERROR(IF(J1466="EI",IF(P1466="低",3,IF(P1466="中",4,6)),IF(J1466="EO",IF(P1466="低",4,IF(P1466="中",5,7)),IF(J1466="EQ",IF(P1466="低",3,IF(P1466="中",4,6)),IF(J1466="ILF",IF(P1466="低",7,IF(P1466="中",10,15)),IF(J1466="EIF",IF(P1466="低",5,IF(P1466="中",7,10)),"不计算")))))*R1466,"不计算")</f>
        <v/>
      </c>
      <c r="R1466" s="172" t="n">
        <v>1</v>
      </c>
      <c r="S1466" s="173">
        <f>调整因子!$F$13</f>
        <v/>
      </c>
      <c r="T1466" s="92" t="n">
        <v>1</v>
      </c>
      <c r="U1466" s="174">
        <f>IFERROR(Q1466*S1466,0)</f>
        <v/>
      </c>
      <c r="V1466" s="178">
        <f>U1466*T1466</f>
        <v/>
      </c>
      <c r="W1466" s="103" t="inlineStr"/>
      <c r="X1466" s="103" t="inlineStr">
        <is>
          <t>配置项</t>
        </is>
      </c>
      <c r="Y1466" s="97" t="inlineStr">
        <is>
          <t>模板配置表{配置ID、配置名称、配置类型|配置ID、配置名称、配置类型、配置值、创建时间}</t>
        </is>
      </c>
      <c r="Z1466" s="90">
        <f>IF(COUNTIFS(W:W,"*"&amp;I1466&amp;"*")&gt;0,"存在","不存在")</f>
        <v/>
      </c>
      <c r="AA1466" s="90">
        <f>IF(COUNTIFS(AB:AB,"*"&amp;I1466&amp;"*")&gt;0,"存在","不存在")</f>
        <v/>
      </c>
    </row>
    <row r="1467" s="112">
      <c r="A1467" s="72">
        <f>ROW()-1</f>
        <v/>
      </c>
      <c r="B1467" s="175" t="n"/>
      <c r="C1467" s="124" t="n">
        <v>2026</v>
      </c>
      <c r="E1467" s="103" t="n"/>
      <c r="F1467" s="175" t="n"/>
      <c r="G1467" s="175" t="n"/>
      <c r="H1467" s="175" t="n"/>
      <c r="I1467" s="103" t="inlineStr">
        <is>
          <t>编辑报告模板</t>
        </is>
      </c>
      <c r="J1467" s="93" t="inlineStr">
        <is>
          <t>EI</t>
        </is>
      </c>
      <c r="K1467" s="102" t="n"/>
      <c r="L1467" s="102" t="n"/>
      <c r="M1467" s="85">
        <f>IF(OR(Y1467="估算法",Y1467="算法类",Y1467="无法识别"),"",IF(W1467="",IF(OR(J1467="EI",J1467="EO",J1467="EQ"),0,""),LEN(W1467)-LEN(SUBSTITUTE(W1467,"、",""))+1))</f>
        <v/>
      </c>
      <c r="N1467" s="85">
        <f>IF(OR(Y1467="估算法",Y1467="算法类",Y1467="无法识别"),"",IF(X1467="",IF(OR(J1467="ILF",J1467="EIF"),0,""),LEN(X1467)-LEN(SUBSTITUTE(X1467,"、",""))+1))</f>
        <v/>
      </c>
      <c r="O1467" s="85">
        <f>IF(OR(Y1467="估算法",Y1467="算法类",Y1467="无法识别"),"",IF(Y1467="",IF(OR(J1467="ILF",J1467="EIF",J1467="EI",J1467="EO",J1467="EQ"),0,""),LEN(Y1467)-LEN(SUBSTITUTE(SUBSTITUTE(SUBSTITUTE(SUBSTITUTE(SUBSTITUTE(Y1467,"|}","--"),"{|","--"),CHAR(10),""),"、",""),"|",""))+IF(AND(OR(J1467="EI",J1467="EO",J1467="EQ"),$AE$1="NESMA"),2,1)))</f>
        <v/>
      </c>
      <c r="P1467" s="86">
        <f>IF(J1467="EI",IF(OR(Y1467="估算法",Y1467="算法类"),"中",IF(Y1467="无法识别","低",IF(M1467&lt;2,IF(O1467&lt;16,"低","中"),IF(M1467&lt;3,IF(O1467&lt;5,"低",IF(O1467&lt;16,"中","高")),IF(O1467&lt;5,"中","高"))))),IF(OR(J1467="EO",J1467="EQ"),IF(OR(Y1467="估算法",Y1467="算法类"),"中",IF(Y1467="无法识别","低",IF(M1467&lt;2,IF(O1467&lt;20,"低","中"),IF(M1467&lt;4,IF(O1467&lt;6,"低",IF(O1467&lt;20,"中","高")),IF(O1467&lt;6,"中","高"))))),IF(OR(J1467="ILF",J1467="EIF"),IF(OR(Y1467="估算法",Y1467="算法类",Y1467="无法识别"),"低",IF(N1467&lt;2,IF(O1467&lt;51,"低","中"),IF(N1467&lt;6,IF(O1467&lt;20,"低",IF(O1467&lt;51,"中","高")),IF(O1467&lt;20,"中","高")))),"不计算")))</f>
        <v/>
      </c>
      <c r="Q1467" s="172">
        <f>IFERROR(IF(J1467="EI",IF(P1467="低",3,IF(P1467="中",4,6)),IF(J1467="EO",IF(P1467="低",4,IF(P1467="中",5,7)),IF(J1467="EQ",IF(P1467="低",3,IF(P1467="中",4,6)),IF(J1467="ILF",IF(P1467="低",7,IF(P1467="中",10,15)),IF(J1467="EIF",IF(P1467="低",5,IF(P1467="中",7,10)),"不计算")))))*R1467,"不计算")</f>
        <v/>
      </c>
      <c r="R1467" s="172" t="n">
        <v>1</v>
      </c>
      <c r="S1467" s="173">
        <f>调整因子!$F$13</f>
        <v/>
      </c>
      <c r="T1467" s="93" t="n">
        <v>1</v>
      </c>
      <c r="U1467" s="174">
        <f>IFERROR(Q1467*S1467,0)</f>
        <v/>
      </c>
      <c r="V1467" s="178">
        <f>U1467*T1467</f>
        <v/>
      </c>
      <c r="W1467" s="103" t="inlineStr">
        <is>
          <t>数据清洗任务表</t>
        </is>
      </c>
      <c r="X1467" s="103" t="inlineStr"/>
      <c r="Y1467" s="97" t="inlineStr">
        <is>
          <t>数据清洗任务表{任务ID、任务名称、任务类型、任务状态、创建时间、执行时间|任务ID、任务名称、任务类型}</t>
        </is>
      </c>
      <c r="Z1467" s="90" t="n"/>
      <c r="AA1467" s="90" t="n"/>
    </row>
    <row r="1468" s="112">
      <c r="A1468" s="72">
        <f>ROW()-1</f>
        <v/>
      </c>
      <c r="B1468" s="175" t="n"/>
      <c r="C1468" s="124" t="n">
        <v>2026</v>
      </c>
      <c r="E1468" s="103" t="n"/>
      <c r="F1468" s="175" t="n"/>
      <c r="G1468" s="175" t="n"/>
      <c r="H1468" s="175" t="n"/>
      <c r="I1468" s="103" t="inlineStr">
        <is>
          <t>删除报告模板</t>
        </is>
      </c>
      <c r="J1468" s="93" t="inlineStr">
        <is>
          <t>EI</t>
        </is>
      </c>
      <c r="K1468" s="102" t="n"/>
      <c r="L1468" s="102" t="n"/>
      <c r="M1468" s="85">
        <f>IF(OR(Y1468="估算法",Y1468="算法类",Y1468="无法识别"),"",IF(W1468="",IF(OR(J1468="EI",J1468="EO",J1468="EQ"),0,""),LEN(W1468)-LEN(SUBSTITUTE(W1468,"、",""))+1))</f>
        <v/>
      </c>
      <c r="N1468" s="85">
        <f>IF(OR(Y1468="估算法",Y1468="算法类",Y1468="无法识别"),"",IF(X1468="",IF(OR(J1468="ILF",J1468="EIF"),0,""),LEN(X1468)-LEN(SUBSTITUTE(X1468,"、",""))+1))</f>
        <v/>
      </c>
      <c r="O1468" s="85">
        <f>IF(OR(Y1468="估算法",Y1468="算法类",Y1468="无法识别"),"",IF(Y1468="",IF(OR(J1468="ILF",J1468="EIF",J1468="EI",J1468="EO",J1468="EQ"),0,""),LEN(Y1468)-LEN(SUBSTITUTE(SUBSTITUTE(SUBSTITUTE(SUBSTITUTE(SUBSTITUTE(Y1468,"|}","--"),"{|","--"),CHAR(10),""),"、",""),"|",""))+IF(AND(OR(J1468="EI",J1468="EO",J1468="EQ"),$AE$1="NESMA"),2,1)))</f>
        <v/>
      </c>
      <c r="P1468" s="86">
        <f>IF(J1468="EI",IF(OR(Y1468="估算法",Y1468="算法类"),"中",IF(Y1468="无法识别","低",IF(M1468&lt;2,IF(O1468&lt;16,"低","中"),IF(M1468&lt;3,IF(O1468&lt;5,"低",IF(O1468&lt;16,"中","高")),IF(O1468&lt;5,"中","高"))))),IF(OR(J1468="EO",J1468="EQ"),IF(OR(Y1468="估算法",Y1468="算法类"),"中",IF(Y1468="无法识别","低",IF(M1468&lt;2,IF(O1468&lt;20,"低","中"),IF(M1468&lt;4,IF(O1468&lt;6,"低",IF(O1468&lt;20,"中","高")),IF(O1468&lt;6,"中","高"))))),IF(OR(J1468="ILF",J1468="EIF"),IF(OR(Y1468="估算法",Y1468="算法类",Y1468="无法识别"),"低",IF(N1468&lt;2,IF(O1468&lt;51,"低","中"),IF(N1468&lt;6,IF(O1468&lt;20,"低",IF(O1468&lt;51,"中","高")),IF(O1468&lt;20,"中","高")))),"不计算")))</f>
        <v/>
      </c>
      <c r="Q1468" s="172">
        <f>IFERROR(IF(J1468="EI",IF(P1468="低",3,IF(P1468="中",4,6)),IF(J1468="EO",IF(P1468="低",4,IF(P1468="中",5,7)),IF(J1468="EQ",IF(P1468="低",3,IF(P1468="中",4,6)),IF(J1468="ILF",IF(P1468="低",7,IF(P1468="中",10,15)),IF(J1468="EIF",IF(P1468="低",5,IF(P1468="中",7,10)),"不计算")))))*R1468,"不计算")</f>
        <v/>
      </c>
      <c r="R1468" s="172" t="n">
        <v>0.333333333333333</v>
      </c>
      <c r="S1468" s="173">
        <f>调整因子!$F$13</f>
        <v/>
      </c>
      <c r="T1468" s="93" t="n">
        <v>1</v>
      </c>
      <c r="U1468" s="174">
        <f>IFERROR(Q1468*S1468,0)</f>
        <v/>
      </c>
      <c r="V1468" s="178">
        <f>U1468*T1468</f>
        <v/>
      </c>
      <c r="W1468" s="103" t="inlineStr">
        <is>
          <t>推送日志表、报告解析结果表</t>
        </is>
      </c>
      <c r="X1468" s="103" t="inlineStr"/>
      <c r="Y1468" s="97" t="inlineStr">
        <is>
          <t>推送日志表{日志ID、操作人、操作类型、操作时间、操作内容|日志ID、操作人、操作类型}
报告解析结果表{ID、名称、类型、状态、创建时间、更新时间|ID、名称、类型}</t>
        </is>
      </c>
      <c r="Z1468" s="90" t="n"/>
      <c r="AA1468" s="90" t="n"/>
    </row>
    <row r="1469" s="112">
      <c r="A1469" s="72">
        <f>ROW()-1</f>
        <v/>
      </c>
      <c r="B1469" s="175" t="n"/>
      <c r="C1469" s="124" t="n">
        <v>2026</v>
      </c>
      <c r="E1469" s="103" t="n"/>
      <c r="F1469" s="175" t="n"/>
      <c r="G1469" s="175" t="n"/>
      <c r="H1469" s="175" t="n"/>
      <c r="I1469" s="103" t="inlineStr">
        <is>
          <t>启用报告模板</t>
        </is>
      </c>
      <c r="J1469" s="93" t="inlineStr">
        <is>
          <t>EI</t>
        </is>
      </c>
      <c r="K1469" s="102" t="n"/>
      <c r="L1469" s="102" t="n"/>
      <c r="M1469" s="85">
        <f>IF(OR(Y1469="估算法",Y1469="算法类",Y1469="无法识别"),"",IF(W1469="",IF(OR(J1469="EI",J1469="EO",J1469="EQ"),0,""),LEN(W1469)-LEN(SUBSTITUTE(W1469,"、",""))+1))</f>
        <v/>
      </c>
      <c r="N1469" s="85">
        <f>IF(OR(Y1469="估算法",Y1469="算法类",Y1469="无法识别"),"",IF(X1469="",IF(OR(J1469="ILF",J1469="EIF"),0,""),LEN(X1469)-LEN(SUBSTITUTE(X1469,"、",""))+1))</f>
        <v/>
      </c>
      <c r="O1469" s="85">
        <f>IF(OR(Y1469="估算法",Y1469="算法类",Y1469="无法识别"),"",IF(Y1469="",IF(OR(J1469="ILF",J1469="EIF",J1469="EI",J1469="EO",J1469="EQ"),0,""),LEN(Y1469)-LEN(SUBSTITUTE(SUBSTITUTE(SUBSTITUTE(SUBSTITUTE(SUBSTITUTE(Y1469,"|}","--"),"{|","--"),CHAR(10),""),"、",""),"|",""))+IF(AND(OR(J1469="EI",J1469="EO",J1469="EQ"),$AE$1="NESMA"),2,1)))</f>
        <v/>
      </c>
      <c r="P1469" s="86">
        <f>IF(J1469="EI",IF(OR(Y1469="估算法",Y1469="算法类"),"中",IF(Y1469="无法识别","低",IF(M1469&lt;2,IF(O1469&lt;16,"低","中"),IF(M1469&lt;3,IF(O1469&lt;5,"低",IF(O1469&lt;16,"中","高")),IF(O1469&lt;5,"中","高"))))),IF(OR(J1469="EO",J1469="EQ"),IF(OR(Y1469="估算法",Y1469="算法类"),"中",IF(Y1469="无法识别","低",IF(M1469&lt;2,IF(O1469&lt;20,"低","中"),IF(M1469&lt;4,IF(O1469&lt;6,"低",IF(O1469&lt;20,"中","高")),IF(O1469&lt;6,"中","高"))))),IF(OR(J1469="ILF",J1469="EIF"),IF(OR(Y1469="估算法",Y1469="算法类",Y1469="无法识别"),"低",IF(N1469&lt;2,IF(O1469&lt;51,"低","中"),IF(N1469&lt;6,IF(O1469&lt;20,"低",IF(O1469&lt;51,"中","高")),IF(O1469&lt;20,"中","高")))),"不计算")))</f>
        <v/>
      </c>
      <c r="Q1469" s="172">
        <f>IFERROR(IF(J1469="EI",IF(P1469="低",3,IF(P1469="中",4,6)),IF(J1469="EO",IF(P1469="低",4,IF(P1469="中",5,7)),IF(J1469="EQ",IF(P1469="低",3,IF(P1469="中",4,6)),IF(J1469="ILF",IF(P1469="低",7,IF(P1469="中",10,15)),IF(J1469="EIF",IF(P1469="低",5,IF(P1469="中",7,10)),"不计算")))))*R1469,"不计算")</f>
        <v/>
      </c>
      <c r="R1469" s="172" t="n">
        <v>1</v>
      </c>
      <c r="S1469" s="173">
        <f>调整因子!$F$13</f>
        <v/>
      </c>
      <c r="T1469" s="92" t="n">
        <v>1</v>
      </c>
      <c r="U1469" s="174">
        <f>IFERROR(Q1469*S1469,0)</f>
        <v/>
      </c>
      <c r="V1469" s="178">
        <f>U1469*T1469</f>
        <v/>
      </c>
      <c r="W1469" s="103" t="inlineStr">
        <is>
          <t>方案审批表</t>
        </is>
      </c>
      <c r="X1469" s="103" t="inlineStr"/>
      <c r="Y1469" s="97" t="inlineStr">
        <is>
          <t>方案审批表{ID、名称、类型、状态、创建时间、更新时间|ID、名称、类型}</t>
        </is>
      </c>
      <c r="Z1469" s="90" t="n"/>
      <c r="AA1469" s="90" t="n"/>
    </row>
    <row r="1470" s="112">
      <c r="A1470" s="72">
        <f>ROW()-1</f>
        <v/>
      </c>
      <c r="B1470" s="175" t="n"/>
      <c r="C1470" s="124" t="n">
        <v>2026</v>
      </c>
      <c r="E1470" s="103" t="n"/>
      <c r="F1470" s="175" t="n"/>
      <c r="G1470" s="175" t="n"/>
      <c r="H1470" s="175" t="n"/>
      <c r="I1470" s="103" t="inlineStr">
        <is>
          <t>停用报告模板</t>
        </is>
      </c>
      <c r="J1470" s="93" t="n"/>
      <c r="K1470" s="102" t="n"/>
      <c r="L1470" s="102" t="inlineStr">
        <is>
          <t>和上行合并，启停为相同功能</t>
        </is>
      </c>
      <c r="M1470" s="85">
        <f>IF(OR(Y1470="估算法",Y1470="算法类",Y1470="无法识别"),"",IF(W1470="",IF(OR(J1470="EI",J1470="EO",J1470="EQ"),0,""),LEN(W1470)-LEN(SUBSTITUTE(W1470,"、",""))+1))</f>
        <v/>
      </c>
      <c r="N1470" s="85">
        <f>IF(OR(Y1470="估算法",Y1470="算法类",Y1470="无法识别"),"",IF(X1470="",IF(OR(J1470="ILF",J1470="EIF"),0,""),LEN(X1470)-LEN(SUBSTITUTE(X1470,"、",""))+1))</f>
        <v/>
      </c>
      <c r="O1470" s="85">
        <f>IF(OR(Y1470="估算法",Y1470="算法类",Y1470="无法识别"),"",IF(Y1470="",IF(OR(J1470="ILF",J1470="EIF",J1470="EI",J1470="EO",J1470="EQ"),0,""),LEN(Y1470)-LEN(SUBSTITUTE(SUBSTITUTE(SUBSTITUTE(SUBSTITUTE(SUBSTITUTE(Y1470,"|}","--"),"{|","--"),CHAR(10),""),"、",""),"|",""))+IF(AND(OR(J1470="EI",J1470="EO",J1470="EQ"),$AE$1="NESMA"),2,1)))</f>
        <v/>
      </c>
      <c r="P1470" s="86">
        <f>IF(J1470="EI",IF(OR(Y1470="估算法",Y1470="算法类"),"中",IF(Y1470="无法识别","低",IF(M1470&lt;2,IF(O1470&lt;16,"低","中"),IF(M1470&lt;3,IF(O1470&lt;5,"低",IF(O1470&lt;16,"中","高")),IF(O1470&lt;5,"中","高"))))),IF(OR(J1470="EO",J1470="EQ"),IF(OR(Y1470="估算法",Y1470="算法类"),"中",IF(Y1470="无法识别","低",IF(M1470&lt;2,IF(O1470&lt;20,"低","中"),IF(M1470&lt;4,IF(O1470&lt;6,"低",IF(O1470&lt;20,"中","高")),IF(O1470&lt;6,"中","高"))))),IF(OR(J1470="ILF",J1470="EIF"),IF(OR(Y1470="估算法",Y1470="算法类",Y1470="无法识别"),"低",IF(N1470&lt;2,IF(O1470&lt;51,"低","中"),IF(N1470&lt;6,IF(O1470&lt;20,"低",IF(O1470&lt;51,"中","高")),IF(O1470&lt;20,"中","高")))),"不计算")))</f>
        <v/>
      </c>
      <c r="Q1470" s="172">
        <f>IFERROR(IF(J1470="EI",IF(P1470="低",3,IF(P1470="中",4,6)),IF(J1470="EO",IF(P1470="低",4,IF(P1470="中",5,7)),IF(J1470="EQ",IF(P1470="低",3,IF(P1470="中",4,6)),IF(J1470="ILF",IF(P1470="低",7,IF(P1470="中",10,15)),IF(J1470="EIF",IF(P1470="低",5,IF(P1470="中",7,10)),"不计算")))))*R1470,"不计算")</f>
        <v/>
      </c>
      <c r="R1470" s="172" t="n">
        <v>1</v>
      </c>
      <c r="S1470" s="173">
        <f>调整因子!$F$13</f>
        <v/>
      </c>
      <c r="T1470" s="92" t="n">
        <v>1</v>
      </c>
      <c r="U1470" s="174">
        <f>IFERROR(Q1470*S1470,0)</f>
        <v/>
      </c>
      <c r="V1470" s="178">
        <f>U1470*T1470</f>
        <v/>
      </c>
      <c r="W1470" s="103" t="inlineStr">
        <is>
          <t>处置单配置表、修复方案表</t>
        </is>
      </c>
      <c r="X1470" s="103" t="inlineStr"/>
      <c r="Y1470" s="97" t="inlineStr">
        <is>
          <t>处置单配置表{配置ID、配置名称、配置类型、配置值、创建时间|配置ID、配置名称、配置类型}
修复方案表{ID、名称、类型、状态、创建时间、更新时间|ID、名称、类型}</t>
        </is>
      </c>
      <c r="Z1470" s="90" t="n"/>
      <c r="AA1470" s="90" t="n"/>
    </row>
    <row r="1471" s="112">
      <c r="A1471" s="72">
        <f>ROW()-1</f>
        <v/>
      </c>
      <c r="B1471" s="175" t="n"/>
      <c r="C1471" s="124" t="n">
        <v>2026</v>
      </c>
      <c r="E1471" s="103" t="n"/>
      <c r="F1471" s="175" t="n"/>
      <c r="G1471" s="175" t="n"/>
      <c r="H1471" s="175" t="n"/>
      <c r="I1471" s="103" t="inlineStr">
        <is>
          <t>导出模板配置</t>
        </is>
      </c>
      <c r="J1471" s="93" t="inlineStr">
        <is>
          <t>EO</t>
        </is>
      </c>
      <c r="K1471" s="102" t="n"/>
      <c r="L1471" s="102" t="n"/>
      <c r="M1471" s="85">
        <f>IF(OR(Y1471="估算法",Y1471="算法类",Y1471="无法识别"),"",IF(W1471="",IF(OR(J1471="EI",J1471="EO",J1471="EQ"),0,""),LEN(W1471)-LEN(SUBSTITUTE(W1471,"、",""))+1))</f>
        <v/>
      </c>
      <c r="N1471" s="85">
        <f>IF(OR(Y1471="估算法",Y1471="算法类",Y1471="无法识别"),"",IF(X1471="",IF(OR(J1471="ILF",J1471="EIF"),0,""),LEN(X1471)-LEN(SUBSTITUTE(X1471,"、",""))+1))</f>
        <v/>
      </c>
      <c r="O1471" s="85">
        <f>IF(OR(Y1471="估算法",Y1471="算法类",Y1471="无法识别"),"",IF(Y1471="",IF(OR(J1471="ILF",J1471="EIF",J1471="EI",J1471="EO",J1471="EQ"),0,""),LEN(Y1471)-LEN(SUBSTITUTE(SUBSTITUTE(SUBSTITUTE(SUBSTITUTE(SUBSTITUTE(Y1471,"|}","--"),"{|","--"),CHAR(10),""),"、",""),"|",""))+IF(AND(OR(J1471="EI",J1471="EO",J1471="EQ"),$AE$1="NESMA"),2,1)))</f>
        <v/>
      </c>
      <c r="P1471" s="86">
        <f>IF(J1471="EI",IF(OR(Y1471="估算法",Y1471="算法类"),"中",IF(Y1471="无法识别","低",IF(M1471&lt;2,IF(O1471&lt;16,"低","中"),IF(M1471&lt;3,IF(O1471&lt;5,"低",IF(O1471&lt;16,"中","高")),IF(O1471&lt;5,"中","高"))))),IF(OR(J1471="EO",J1471="EQ"),IF(OR(Y1471="估算法",Y1471="算法类"),"中",IF(Y1471="无法识别","低",IF(M1471&lt;2,IF(O1471&lt;20,"低","中"),IF(M1471&lt;4,IF(O1471&lt;6,"低",IF(O1471&lt;20,"中","高")),IF(O1471&lt;6,"中","高"))))),IF(OR(J1471="ILF",J1471="EIF"),IF(OR(Y1471="估算法",Y1471="算法类",Y1471="无法识别"),"低",IF(N1471&lt;2,IF(O1471&lt;51,"低","中"),IF(N1471&lt;6,IF(O1471&lt;20,"低",IF(O1471&lt;51,"中","高")),IF(O1471&lt;20,"中","高")))),"不计算")))</f>
        <v/>
      </c>
      <c r="Q1471" s="172">
        <f>IFERROR(IF(J1471="EI",IF(P1471="低",3,IF(P1471="中",4,6)),IF(J1471="EO",IF(P1471="低",4,IF(P1471="中",5,7)),IF(J1471="EQ",IF(P1471="低",3,IF(P1471="中",4,6)),IF(J1471="ILF",IF(P1471="低",7,IF(P1471="中",10,15)),IF(J1471="EIF",IF(P1471="低",5,IF(P1471="中",7,10)),"不计算")))))*R1471,"不计算")</f>
        <v/>
      </c>
      <c r="R1471" s="172" t="n">
        <v>1</v>
      </c>
      <c r="S1471" s="173">
        <f>调整因子!$F$13</f>
        <v/>
      </c>
      <c r="T1471" s="93" t="n">
        <v>1</v>
      </c>
      <c r="U1471" s="174">
        <f>IFERROR(Q1471*S1471,0)</f>
        <v/>
      </c>
      <c r="V1471" s="178">
        <f>U1471*T1471</f>
        <v/>
      </c>
      <c r="W1471" s="103" t="inlineStr">
        <is>
          <t>任务优先级配置表、模板参数配置表</t>
        </is>
      </c>
      <c r="X1471" s="103" t="inlineStr"/>
      <c r="Y1471" s="97" t="inlineStr">
        <is>
          <t>任务优先级配置表{任务ID、任务名称|任务ID、任务名称、任务类型、任务状态、创建时间、执行时间}
模板参数配置表{配置ID、配置名称|配置ID、配置名称、配置类型、配置值、创建时间}</t>
        </is>
      </c>
      <c r="Z1471" s="90" t="n"/>
      <c r="AA1471" s="90" t="n"/>
    </row>
    <row r="1472" s="112">
      <c r="A1472" s="72">
        <f>ROW()-1</f>
        <v/>
      </c>
      <c r="B1472" s="175" t="n"/>
      <c r="C1472" s="124" t="n">
        <v>2026</v>
      </c>
      <c r="E1472" s="103" t="n"/>
      <c r="F1472" s="175" t="n"/>
      <c r="G1472" s="175" t="n"/>
      <c r="H1472" s="175" t="n"/>
      <c r="I1472" s="103" t="inlineStr">
        <is>
          <t>查询模板列表</t>
        </is>
      </c>
      <c r="J1472" s="93" t="inlineStr">
        <is>
          <t>EQ</t>
        </is>
      </c>
      <c r="K1472" s="102" t="n"/>
      <c r="L1472" s="102" t="n"/>
      <c r="M1472" s="85">
        <f>IF(OR(Y1472="估算法",Y1472="算法类",Y1472="无法识别"),"",IF(W1472="",IF(OR(J1472="EI",J1472="EO",J1472="EQ"),0,""),LEN(W1472)-LEN(SUBSTITUTE(W1472,"、",""))+1))</f>
        <v/>
      </c>
      <c r="N1472" s="85">
        <f>IF(OR(Y1472="估算法",Y1472="算法类",Y1472="无法识别"),"",IF(X1472="",IF(OR(J1472="ILF",J1472="EIF"),0,""),LEN(X1472)-LEN(SUBSTITUTE(X1472,"、",""))+1))</f>
        <v/>
      </c>
      <c r="O1472" s="85">
        <f>IF(OR(Y1472="估算法",Y1472="算法类",Y1472="无法识别"),"",IF(Y1472="",IF(OR(J1472="ILF",J1472="EIF",J1472="EI",J1472="EO",J1472="EQ"),0,""),LEN(Y1472)-LEN(SUBSTITUTE(SUBSTITUTE(SUBSTITUTE(SUBSTITUTE(SUBSTITUTE(Y1472,"|}","--"),"{|","--"),CHAR(10),""),"、",""),"|",""))+IF(AND(OR(J1472="EI",J1472="EO",J1472="EQ"),$AE$1="NESMA"),2,1)))</f>
        <v/>
      </c>
      <c r="P1472" s="86">
        <f>IF(J1472="EI",IF(OR(Y1472="估算法",Y1472="算法类"),"中",IF(Y1472="无法识别","低",IF(M1472&lt;2,IF(O1472&lt;16,"低","中"),IF(M1472&lt;3,IF(O1472&lt;5,"低",IF(O1472&lt;16,"中","高")),IF(O1472&lt;5,"中","高"))))),IF(OR(J1472="EO",J1472="EQ"),IF(OR(Y1472="估算法",Y1472="算法类"),"中",IF(Y1472="无法识别","低",IF(M1472&lt;2,IF(O1472&lt;20,"低","中"),IF(M1472&lt;4,IF(O1472&lt;6,"低",IF(O1472&lt;20,"中","高")),IF(O1472&lt;6,"中","高"))))),IF(OR(J1472="ILF",J1472="EIF"),IF(OR(Y1472="估算法",Y1472="算法类",Y1472="无法识别"),"低",IF(N1472&lt;2,IF(O1472&lt;51,"低","中"),IF(N1472&lt;6,IF(O1472&lt;20,"低",IF(O1472&lt;51,"中","高")),IF(O1472&lt;20,"中","高")))),"不计算")))</f>
        <v/>
      </c>
      <c r="Q1472" s="172">
        <f>IFERROR(IF(J1472="EI",IF(P1472="低",3,IF(P1472="中",4,6)),IF(J1472="EO",IF(P1472="低",4,IF(P1472="中",5,7)),IF(J1472="EQ",IF(P1472="低",3,IF(P1472="中",4,6)),IF(J1472="ILF",IF(P1472="低",7,IF(P1472="中",10,15)),IF(J1472="EIF",IF(P1472="低",5,IF(P1472="中",7,10)),"不计算")))))*R1472,"不计算")</f>
        <v/>
      </c>
      <c r="R1472" s="172" t="n">
        <v>1</v>
      </c>
      <c r="S1472" s="173">
        <f>调整因子!$F$13</f>
        <v/>
      </c>
      <c r="T1472" s="92" t="n">
        <v>1</v>
      </c>
      <c r="U1472" s="174">
        <f>IFERROR(Q1472*S1472,0)</f>
        <v/>
      </c>
      <c r="V1472" s="178">
        <f>U1472*T1472</f>
        <v/>
      </c>
      <c r="W1472" s="103" t="inlineStr">
        <is>
          <t>推送任务表、报告导入记录表</t>
        </is>
      </c>
      <c r="X1472" s="103" t="inlineStr"/>
      <c r="Y1472" s="97" t="inlineStr">
        <is>
          <t>推送任务表{任务ID、任务名称|任务ID、任务名称、任务类型、任务状态、创建时间、执行时间}
报告导入记录表{ID、名称|ID、名称、类型、状态、创建时间、更新时间}</t>
        </is>
      </c>
      <c r="Z1472" s="90" t="n"/>
      <c r="AA1472" s="90" t="n"/>
    </row>
    <row r="1473" s="112">
      <c r="A1473" s="72">
        <f>ROW()-1</f>
        <v/>
      </c>
      <c r="B1473" s="175" t="n"/>
      <c r="C1473" s="124" t="n">
        <v>2026</v>
      </c>
      <c r="E1473" s="103" t="n"/>
      <c r="F1473" s="175" t="n"/>
      <c r="G1473" s="175" t="n"/>
      <c r="H1473" s="176" t="n"/>
      <c r="I1473" s="103" t="inlineStr">
        <is>
          <t>查看模板详情</t>
        </is>
      </c>
      <c r="J1473" s="93" t="inlineStr">
        <is>
          <t>EQ</t>
        </is>
      </c>
      <c r="K1473" s="102" t="n"/>
      <c r="L1473" s="102" t="n"/>
      <c r="M1473" s="85">
        <f>IF(OR(Y1473="估算法",Y1473="算法类",Y1473="无法识别"),"",IF(W1473="",IF(OR(J1473="EI",J1473="EO",J1473="EQ"),0,""),LEN(W1473)-LEN(SUBSTITUTE(W1473,"、",""))+1))</f>
        <v/>
      </c>
      <c r="N1473" s="85">
        <f>IF(OR(Y1473="估算法",Y1473="算法类",Y1473="无法识别"),"",IF(X1473="",IF(OR(J1473="ILF",J1473="EIF"),0,""),LEN(X1473)-LEN(SUBSTITUTE(X1473,"、",""))+1))</f>
        <v/>
      </c>
      <c r="O1473" s="85">
        <f>IF(OR(Y1473="估算法",Y1473="算法类",Y1473="无法识别"),"",IF(Y1473="",IF(OR(J1473="ILF",J1473="EIF",J1473="EI",J1473="EO",J1473="EQ"),0,""),LEN(Y1473)-LEN(SUBSTITUTE(SUBSTITUTE(SUBSTITUTE(SUBSTITUTE(SUBSTITUTE(Y1473,"|}","--"),"{|","--"),CHAR(10),""),"、",""),"|",""))+IF(AND(OR(J1473="EI",J1473="EO",J1473="EQ"),$AE$1="NESMA"),2,1)))</f>
        <v/>
      </c>
      <c r="P1473" s="86">
        <f>IF(J1473="EI",IF(OR(Y1473="估算法",Y1473="算法类"),"中",IF(Y1473="无法识别","低",IF(M1473&lt;2,IF(O1473&lt;16,"低","中"),IF(M1473&lt;3,IF(O1473&lt;5,"低",IF(O1473&lt;16,"中","高")),IF(O1473&lt;5,"中","高"))))),IF(OR(J1473="EO",J1473="EQ"),IF(OR(Y1473="估算法",Y1473="算法类"),"中",IF(Y1473="无法识别","低",IF(M1473&lt;2,IF(O1473&lt;20,"低","中"),IF(M1473&lt;4,IF(O1473&lt;6,"低",IF(O1473&lt;20,"中","高")),IF(O1473&lt;6,"中","高"))))),IF(OR(J1473="ILF",J1473="EIF"),IF(OR(Y1473="估算法",Y1473="算法类",Y1473="无法识别"),"低",IF(N1473&lt;2,IF(O1473&lt;51,"低","中"),IF(N1473&lt;6,IF(O1473&lt;20,"低",IF(O1473&lt;51,"中","高")),IF(O1473&lt;20,"中","高")))),"不计算")))</f>
        <v/>
      </c>
      <c r="Q1473" s="172">
        <f>IFERROR(IF(J1473="EI",IF(P1473="低",3,IF(P1473="中",4,6)),IF(J1473="EO",IF(P1473="低",4,IF(P1473="中",5,7)),IF(J1473="EQ",IF(P1473="低",3,IF(P1473="中",4,6)),IF(J1473="ILF",IF(P1473="低",7,IF(P1473="中",10,15)),IF(J1473="EIF",IF(P1473="低",5,IF(P1473="中",7,10)),"不计算")))))*R1473,"不计算")</f>
        <v/>
      </c>
      <c r="R1473" s="172" t="n">
        <v>1</v>
      </c>
      <c r="S1473" s="173">
        <f>调整因子!$F$13</f>
        <v/>
      </c>
      <c r="T1473" s="92" t="n">
        <v>1</v>
      </c>
      <c r="U1473" s="174">
        <f>IFERROR(Q1473*S1473,0)</f>
        <v/>
      </c>
      <c r="V1473" s="178">
        <f>U1473*T1473</f>
        <v/>
      </c>
      <c r="W1473" s="103" t="inlineStr">
        <is>
          <t>指标阈值表、同步任务调度表</t>
        </is>
      </c>
      <c r="X1473" s="103" t="inlineStr"/>
      <c r="Y1473" s="97" t="inlineStr">
        <is>
          <t>指标阈值表{ID、名称|ID、名称、类型、状态、创建时间}
同步任务调度表{任务ID、任务名称|任务ID、任务名称、任务类型、任务状态、创建时间}</t>
        </is>
      </c>
      <c r="Z1473" s="90" t="n"/>
      <c r="AA1473" s="90" t="n"/>
    </row>
    <row r="1474" s="112">
      <c r="A1474" s="72">
        <f>ROW()-1</f>
        <v/>
      </c>
      <c r="B1474" s="175" t="n"/>
      <c r="C1474" s="124" t="n">
        <v>2026</v>
      </c>
      <c r="E1474" s="103" t="n"/>
      <c r="F1474" s="175" t="n"/>
      <c r="G1474" s="175" t="n"/>
      <c r="H1474" s="97" t="inlineStr">
        <is>
          <t>报告生成管理</t>
        </is>
      </c>
      <c r="I1474" s="103" t="inlineStr">
        <is>
          <t>编辑报告内容</t>
        </is>
      </c>
      <c r="J1474" s="93" t="inlineStr">
        <is>
          <t>EI</t>
        </is>
      </c>
      <c r="K1474" s="102" t="n"/>
      <c r="L1474" s="102" t="n"/>
      <c r="M1474" s="85">
        <f>IF(OR(Y1474="估算法",Y1474="算法类",Y1474="无法识别"),"",IF(W1474="",IF(OR(J1474="EI",J1474="EO",J1474="EQ"),0,""),LEN(W1474)-LEN(SUBSTITUTE(W1474,"、",""))+1))</f>
        <v/>
      </c>
      <c r="N1474" s="85">
        <f>IF(OR(Y1474="估算法",Y1474="算法类",Y1474="无法识别"),"",IF(X1474="",IF(OR(J1474="ILF",J1474="EIF"),0,""),LEN(X1474)-LEN(SUBSTITUTE(X1474,"、",""))+1))</f>
        <v/>
      </c>
      <c r="O1474" s="85">
        <f>IF(OR(Y1474="估算法",Y1474="算法类",Y1474="无法识别"),"",IF(Y1474="",IF(OR(J1474="ILF",J1474="EIF",J1474="EI",J1474="EO",J1474="EQ"),0,""),LEN(Y1474)-LEN(SUBSTITUTE(SUBSTITUTE(SUBSTITUTE(SUBSTITUTE(SUBSTITUTE(Y1474,"|}","--"),"{|","--"),CHAR(10),""),"、",""),"|",""))+IF(AND(OR(J1474="EI",J1474="EO",J1474="EQ"),$AE$1="NESMA"),2,1)))</f>
        <v/>
      </c>
      <c r="P1474" s="86">
        <f>IF(J1474="EI",IF(OR(Y1474="估算法",Y1474="算法类"),"中",IF(Y1474="无法识别","低",IF(M1474&lt;2,IF(O1474&lt;16,"低","中"),IF(M1474&lt;3,IF(O1474&lt;5,"低",IF(O1474&lt;16,"中","高")),IF(O1474&lt;5,"中","高"))))),IF(OR(J1474="EO",J1474="EQ"),IF(OR(Y1474="估算法",Y1474="算法类"),"中",IF(Y1474="无法识别","低",IF(M1474&lt;2,IF(O1474&lt;20,"低","中"),IF(M1474&lt;4,IF(O1474&lt;6,"低",IF(O1474&lt;20,"中","高")),IF(O1474&lt;6,"中","高"))))),IF(OR(J1474="ILF",J1474="EIF"),IF(OR(Y1474="估算法",Y1474="算法类",Y1474="无法识别"),"低",IF(N1474&lt;2,IF(O1474&lt;51,"低","中"),IF(N1474&lt;6,IF(O1474&lt;20,"低",IF(O1474&lt;51,"中","高")),IF(O1474&lt;20,"中","高")))),"不计算")))</f>
        <v/>
      </c>
      <c r="Q1474" s="172">
        <f>IFERROR(IF(J1474="EI",IF(P1474="低",3,IF(P1474="中",4,6)),IF(J1474="EO",IF(P1474="低",4,IF(P1474="中",5,7)),IF(J1474="EQ",IF(P1474="低",3,IF(P1474="中",4,6)),IF(J1474="ILF",IF(P1474="低",7,IF(P1474="中",10,15)),IF(J1474="EIF",IF(P1474="低",5,IF(P1474="中",7,10)),"不计算")))))*R1474,"不计算")</f>
        <v/>
      </c>
      <c r="R1474" s="172" t="n">
        <v>1</v>
      </c>
      <c r="S1474" s="173">
        <f>调整因子!$F$13</f>
        <v/>
      </c>
      <c r="T1474" s="93" t="n">
        <v>1</v>
      </c>
      <c r="U1474" s="174">
        <f>IFERROR(Q1474*S1474,0)</f>
        <v/>
      </c>
      <c r="V1474" s="178">
        <f>U1474*T1474</f>
        <v/>
      </c>
      <c r="W1474" s="103" t="inlineStr">
        <is>
          <t>任务日志表、通报配置表</t>
        </is>
      </c>
      <c r="X1474" s="103" t="inlineStr"/>
      <c r="Y1474" s="97" t="inlineStr">
        <is>
          <t>任务日志表{任务ID、任务名称、任务类型、任务状态、创建时间、执行时间|任务ID、任务名称、任务类型}
通报配置表{配置ID、配置名称、配置类型、配置值、创建时间|配置ID、配置名称、配置类型}</t>
        </is>
      </c>
      <c r="Z1474" s="90" t="n"/>
      <c r="AA1474" s="90" t="n"/>
    </row>
    <row r="1475" s="112">
      <c r="A1475" s="72">
        <f>ROW()-1</f>
        <v/>
      </c>
      <c r="B1475" s="175" t="n"/>
      <c r="C1475" s="124" t="n">
        <v>2026</v>
      </c>
      <c r="E1475" s="103" t="n"/>
      <c r="F1475" s="175" t="n"/>
      <c r="G1475" s="175" t="n"/>
      <c r="H1475" s="175" t="n"/>
      <c r="I1475" s="103" t="inlineStr">
        <is>
          <t>删除报告记录</t>
        </is>
      </c>
      <c r="J1475" s="93" t="inlineStr">
        <is>
          <t>EI</t>
        </is>
      </c>
      <c r="K1475" s="102" t="n"/>
      <c r="L1475" s="102" t="n"/>
      <c r="M1475" s="85">
        <f>IF(OR(Y1475="估算法",Y1475="算法类",Y1475="无法识别"),"",IF(W1475="",IF(OR(J1475="EI",J1475="EO",J1475="EQ"),0,""),LEN(W1475)-LEN(SUBSTITUTE(W1475,"、",""))+1))</f>
        <v/>
      </c>
      <c r="N1475" s="85">
        <f>IF(OR(Y1475="估算法",Y1475="算法类",Y1475="无法识别"),"",IF(X1475="",IF(OR(J1475="ILF",J1475="EIF"),0,""),LEN(X1475)-LEN(SUBSTITUTE(X1475,"、",""))+1))</f>
        <v/>
      </c>
      <c r="O1475" s="85">
        <f>IF(OR(Y1475="估算法",Y1475="算法类",Y1475="无法识别"),"",IF(Y1475="",IF(OR(J1475="ILF",J1475="EIF",J1475="EI",J1475="EO",J1475="EQ"),0,""),LEN(Y1475)-LEN(SUBSTITUTE(SUBSTITUTE(SUBSTITUTE(SUBSTITUTE(SUBSTITUTE(Y1475,"|}","--"),"{|","--"),CHAR(10),""),"、",""),"|",""))+IF(AND(OR(J1475="EI",J1475="EO",J1475="EQ"),$AE$1="NESMA"),2,1)))</f>
        <v/>
      </c>
      <c r="P1475" s="86">
        <f>IF(J1475="EI",IF(OR(Y1475="估算法",Y1475="算法类"),"中",IF(Y1475="无法识别","低",IF(M1475&lt;2,IF(O1475&lt;16,"低","中"),IF(M1475&lt;3,IF(O1475&lt;5,"低",IF(O1475&lt;16,"中","高")),IF(O1475&lt;5,"中","高"))))),IF(OR(J1475="EO",J1475="EQ"),IF(OR(Y1475="估算法",Y1475="算法类"),"中",IF(Y1475="无法识别","低",IF(M1475&lt;2,IF(O1475&lt;20,"低","中"),IF(M1475&lt;4,IF(O1475&lt;6,"低",IF(O1475&lt;20,"中","高")),IF(O1475&lt;6,"中","高"))))),IF(OR(J1475="ILF",J1475="EIF"),IF(OR(Y1475="估算法",Y1475="算法类",Y1475="无法识别"),"低",IF(N1475&lt;2,IF(O1475&lt;51,"低","中"),IF(N1475&lt;6,IF(O1475&lt;20,"低",IF(O1475&lt;51,"中","高")),IF(O1475&lt;20,"中","高")))),"不计算")))</f>
        <v/>
      </c>
      <c r="Q1475" s="172">
        <f>IFERROR(IF(J1475="EI",IF(P1475="低",3,IF(P1475="中",4,6)),IF(J1475="EO",IF(P1475="低",4,IF(P1475="中",5,7)),IF(J1475="EQ",IF(P1475="低",3,IF(P1475="中",4,6)),IF(J1475="ILF",IF(P1475="低",7,IF(P1475="中",10,15)),IF(J1475="EIF",IF(P1475="低",5,IF(P1475="中",7,10)),"不计算")))))*R1475,"不计算")</f>
        <v/>
      </c>
      <c r="R1475" s="172" t="n">
        <v>0.333333333333333</v>
      </c>
      <c r="S1475" s="173">
        <f>调整因子!$F$13</f>
        <v/>
      </c>
      <c r="T1475" s="93" t="n">
        <v>1</v>
      </c>
      <c r="U1475" s="174">
        <f>IFERROR(Q1475*S1475,0)</f>
        <v/>
      </c>
      <c r="V1475" s="178">
        <f>U1475*T1475</f>
        <v/>
      </c>
      <c r="W1475" s="103" t="inlineStr">
        <is>
          <t>审计日志表、复测任务表</t>
        </is>
      </c>
      <c r="X1475" s="103" t="inlineStr"/>
      <c r="Y1475" s="97" t="inlineStr">
        <is>
          <t>审计日志表{日志ID、操作人、操作类型、操作时间、操作内容|日志ID、操作人、操作类型}
复测任务表{任务ID、任务名称、任务类型、任务状态、创建时间、执行时间|任务ID、任务名称、任务类型}</t>
        </is>
      </c>
      <c r="Z1475" s="90" t="n"/>
      <c r="AA1475" s="90" t="n"/>
    </row>
    <row r="1476" s="112">
      <c r="A1476" s="72">
        <f>ROW()-1</f>
        <v/>
      </c>
      <c r="B1476" s="175" t="n"/>
      <c r="C1476" s="124" t="n">
        <v>2026</v>
      </c>
      <c r="E1476" s="103" t="n"/>
      <c r="F1476" s="175" t="n"/>
      <c r="G1476" s="175" t="n"/>
      <c r="H1476" s="175" t="n"/>
      <c r="I1476" s="103" t="inlineStr">
        <is>
          <t>导出报告文件</t>
        </is>
      </c>
      <c r="J1476" s="93" t="inlineStr">
        <is>
          <t>EO</t>
        </is>
      </c>
      <c r="K1476" s="102" t="n"/>
      <c r="L1476" s="102" t="n"/>
      <c r="M1476" s="85">
        <f>IF(OR(Y1476="估算法",Y1476="算法类",Y1476="无法识别"),"",IF(W1476="",IF(OR(J1476="EI",J1476="EO",J1476="EQ"),0,""),LEN(W1476)-LEN(SUBSTITUTE(W1476,"、",""))+1))</f>
        <v/>
      </c>
      <c r="N1476" s="85">
        <f>IF(OR(Y1476="估算法",Y1476="算法类",Y1476="无法识别"),"",IF(X1476="",IF(OR(J1476="ILF",J1476="EIF"),0,""),LEN(X1476)-LEN(SUBSTITUTE(X1476,"、",""))+1))</f>
        <v/>
      </c>
      <c r="O1476" s="85">
        <f>IF(OR(Y1476="估算法",Y1476="算法类",Y1476="无法识别"),"",IF(Y1476="",IF(OR(J1476="ILF",J1476="EIF",J1476="EI",J1476="EO",J1476="EQ"),0,""),LEN(Y1476)-LEN(SUBSTITUTE(SUBSTITUTE(SUBSTITUTE(SUBSTITUTE(SUBSTITUTE(Y1476,"|}","--"),"{|","--"),CHAR(10),""),"、",""),"|",""))+IF(AND(OR(J1476="EI",J1476="EO",J1476="EQ"),$AE$1="NESMA"),2,1)))</f>
        <v/>
      </c>
      <c r="P1476" s="86">
        <f>IF(J1476="EI",IF(OR(Y1476="估算法",Y1476="算法类"),"中",IF(Y1476="无法识别","低",IF(M1476&lt;2,IF(O1476&lt;16,"低","中"),IF(M1476&lt;3,IF(O1476&lt;5,"低",IF(O1476&lt;16,"中","高")),IF(O1476&lt;5,"中","高"))))),IF(OR(J1476="EO",J1476="EQ"),IF(OR(Y1476="估算法",Y1476="算法类"),"中",IF(Y1476="无法识别","低",IF(M1476&lt;2,IF(O1476&lt;20,"低","中"),IF(M1476&lt;4,IF(O1476&lt;6,"低",IF(O1476&lt;20,"中","高")),IF(O1476&lt;6,"中","高"))))),IF(OR(J1476="ILF",J1476="EIF"),IF(OR(Y1476="估算法",Y1476="算法类",Y1476="无法识别"),"低",IF(N1476&lt;2,IF(O1476&lt;51,"低","中"),IF(N1476&lt;6,IF(O1476&lt;20,"低",IF(O1476&lt;51,"中","高")),IF(O1476&lt;20,"中","高")))),"不计算")))</f>
        <v/>
      </c>
      <c r="Q1476" s="172">
        <f>IFERROR(IF(J1476="EI",IF(P1476="低",3,IF(P1476="中",4,6)),IF(J1476="EO",IF(P1476="低",4,IF(P1476="中",5,7)),IF(J1476="EQ",IF(P1476="低",3,IF(P1476="中",4,6)),IF(J1476="ILF",IF(P1476="低",7,IF(P1476="中",10,15)),IF(J1476="EIF",IF(P1476="低",5,IF(P1476="中",7,10)),"不计算")))))*R1476,"不计算")</f>
        <v/>
      </c>
      <c r="R1476" s="172" t="n">
        <v>1</v>
      </c>
      <c r="S1476" s="173">
        <f>调整因子!$F$13</f>
        <v/>
      </c>
      <c r="T1476" s="92" t="n">
        <v>1</v>
      </c>
      <c r="U1476" s="174">
        <f>IFERROR(Q1476*S1476,0)</f>
        <v/>
      </c>
      <c r="V1476" s="178">
        <f>U1476*T1476</f>
        <v/>
      </c>
      <c r="W1476" s="103" t="inlineStr">
        <is>
          <t>处置流程定义表、数据清洗任务表</t>
        </is>
      </c>
      <c r="X1476" s="103" t="inlineStr"/>
      <c r="Y1476" s="97" t="inlineStr">
        <is>
          <t>处置流程定义表{ID、名称|ID、名称、类型、状态、创建时间}
数据清洗任务表{任务ID、任务名称|任务ID、任务名称、任务类型、任务状态、创建时间}</t>
        </is>
      </c>
      <c r="Z1476" s="90" t="n"/>
      <c r="AA1476" s="90" t="n"/>
    </row>
    <row r="1477" s="112">
      <c r="A1477" s="72">
        <f>ROW()-1</f>
        <v/>
      </c>
      <c r="B1477" s="175" t="n"/>
      <c r="C1477" s="124" t="n">
        <v>2026</v>
      </c>
      <c r="E1477" s="103" t="n"/>
      <c r="F1477" s="175" t="n"/>
      <c r="G1477" s="175" t="n"/>
      <c r="H1477" s="175" t="n"/>
      <c r="I1477" s="103" t="inlineStr">
        <is>
          <t>下载报告文档</t>
        </is>
      </c>
      <c r="J1477" s="93" t="inlineStr">
        <is>
          <t>EO</t>
        </is>
      </c>
      <c r="K1477" s="102" t="n"/>
      <c r="L1477" s="102" t="n"/>
      <c r="M1477" s="85">
        <f>IF(OR(Y1477="估算法",Y1477="算法类",Y1477="无法识别"),"",IF(W1477="",IF(OR(J1477="EI",J1477="EO",J1477="EQ"),0,""),LEN(W1477)-LEN(SUBSTITUTE(W1477,"、",""))+1))</f>
        <v/>
      </c>
      <c r="N1477" s="85">
        <f>IF(OR(Y1477="估算法",Y1477="算法类",Y1477="无法识别"),"",IF(X1477="",IF(OR(J1477="ILF",J1477="EIF"),0,""),LEN(X1477)-LEN(SUBSTITUTE(X1477,"、",""))+1))</f>
        <v/>
      </c>
      <c r="O1477" s="85">
        <f>IF(OR(Y1477="估算法",Y1477="算法类",Y1477="无法识别"),"",IF(Y1477="",IF(OR(J1477="ILF",J1477="EIF",J1477="EI",J1477="EO",J1477="EQ"),0,""),LEN(Y1477)-LEN(SUBSTITUTE(SUBSTITUTE(SUBSTITUTE(SUBSTITUTE(SUBSTITUTE(Y1477,"|}","--"),"{|","--"),CHAR(10),""),"、",""),"|",""))+IF(AND(OR(J1477="EI",J1477="EO",J1477="EQ"),$AE$1="NESMA"),2,1)))</f>
        <v/>
      </c>
      <c r="P1477" s="86">
        <f>IF(J1477="EI",IF(OR(Y1477="估算法",Y1477="算法类"),"中",IF(Y1477="无法识别","低",IF(M1477&lt;2,IF(O1477&lt;16,"低","中"),IF(M1477&lt;3,IF(O1477&lt;5,"低",IF(O1477&lt;16,"中","高")),IF(O1477&lt;5,"中","高"))))),IF(OR(J1477="EO",J1477="EQ"),IF(OR(Y1477="估算法",Y1477="算法类"),"中",IF(Y1477="无法识别","低",IF(M1477&lt;2,IF(O1477&lt;20,"低","中"),IF(M1477&lt;4,IF(O1477&lt;6,"低",IF(O1477&lt;20,"中","高")),IF(O1477&lt;6,"中","高"))))),IF(OR(J1477="ILF",J1477="EIF"),IF(OR(Y1477="估算法",Y1477="算法类",Y1477="无法识别"),"低",IF(N1477&lt;2,IF(O1477&lt;51,"低","中"),IF(N1477&lt;6,IF(O1477&lt;20,"低",IF(O1477&lt;51,"中","高")),IF(O1477&lt;20,"中","高")))),"不计算")))</f>
        <v/>
      </c>
      <c r="Q1477" s="172">
        <f>IFERROR(IF(J1477="EI",IF(P1477="低",3,IF(P1477="中",4,6)),IF(J1477="EO",IF(P1477="低",4,IF(P1477="中",5,7)),IF(J1477="EQ",IF(P1477="低",3,IF(P1477="中",4,6)),IF(J1477="ILF",IF(P1477="低",7,IF(P1477="中",10,15)),IF(J1477="EIF",IF(P1477="低",5,IF(P1477="中",7,10)),"不计算")))))*R1477,"不计算")</f>
        <v/>
      </c>
      <c r="R1477" s="172" t="n">
        <v>1</v>
      </c>
      <c r="S1477" s="173">
        <f>调整因子!$F$13</f>
        <v/>
      </c>
      <c r="T1477" s="92" t="n">
        <v>1</v>
      </c>
      <c r="U1477" s="174">
        <f>IFERROR(Q1477*S1477,0)</f>
        <v/>
      </c>
      <c r="V1477" s="178">
        <f>U1477*T1477</f>
        <v/>
      </c>
      <c r="W1477" s="103" t="inlineStr">
        <is>
          <t>漏洞处置推送接口配置表</t>
        </is>
      </c>
      <c r="X1477" s="103" t="inlineStr"/>
      <c r="Y1477" s="97" t="inlineStr">
        <is>
          <t>漏洞处置推送接口配置表{漏洞ID、漏洞名称|漏洞ID、漏洞名称、漏洞等级、漏洞类型、CVE编号、发现时间、修复状态}</t>
        </is>
      </c>
      <c r="Z1477" s="90" t="n"/>
      <c r="AA1477" s="90" t="n"/>
    </row>
    <row r="1478" s="112">
      <c r="A1478" s="72">
        <f>ROW()-1</f>
        <v/>
      </c>
      <c r="B1478" s="175" t="n"/>
      <c r="C1478" s="124" t="n">
        <v>2026</v>
      </c>
      <c r="E1478" s="103" t="n"/>
      <c r="F1478" s="175" t="n"/>
      <c r="G1478" s="175" t="n"/>
      <c r="H1478" s="175" t="n"/>
      <c r="I1478" s="103" t="inlineStr">
        <is>
          <t>推送报告通知</t>
        </is>
      </c>
      <c r="J1478" s="93" t="inlineStr">
        <is>
          <t>EO</t>
        </is>
      </c>
      <c r="K1478" s="102" t="n"/>
      <c r="L1478" s="102" t="n"/>
      <c r="M1478" s="85">
        <f>IF(OR(Y1478="估算法",Y1478="算法类",Y1478="无法识别"),"",IF(W1478="",IF(OR(J1478="EI",J1478="EO",J1478="EQ"),0,""),LEN(W1478)-LEN(SUBSTITUTE(W1478,"、",""))+1))</f>
        <v/>
      </c>
      <c r="N1478" s="85">
        <f>IF(OR(Y1478="估算法",Y1478="算法类",Y1478="无法识别"),"",IF(X1478="",IF(OR(J1478="ILF",J1478="EIF"),0,""),LEN(X1478)-LEN(SUBSTITUTE(X1478,"、",""))+1))</f>
        <v/>
      </c>
      <c r="O1478" s="85">
        <f>IF(OR(Y1478="估算法",Y1478="算法类",Y1478="无法识别"),"",IF(Y1478="",IF(OR(J1478="ILF",J1478="EIF",J1478="EI",J1478="EO",J1478="EQ"),0,""),LEN(Y1478)-LEN(SUBSTITUTE(SUBSTITUTE(SUBSTITUTE(SUBSTITUTE(SUBSTITUTE(Y1478,"|}","--"),"{|","--"),CHAR(10),""),"、",""),"|",""))+IF(AND(OR(J1478="EI",J1478="EO",J1478="EQ"),$AE$1="NESMA"),2,1)))</f>
        <v/>
      </c>
      <c r="P1478" s="86">
        <f>IF(J1478="EI",IF(OR(Y1478="估算法",Y1478="算法类"),"中",IF(Y1478="无法识别","低",IF(M1478&lt;2,IF(O1478&lt;16,"低","中"),IF(M1478&lt;3,IF(O1478&lt;5,"低",IF(O1478&lt;16,"中","高")),IF(O1478&lt;5,"中","高"))))),IF(OR(J1478="EO",J1478="EQ"),IF(OR(Y1478="估算法",Y1478="算法类"),"中",IF(Y1478="无法识别","低",IF(M1478&lt;2,IF(O1478&lt;20,"低","中"),IF(M1478&lt;4,IF(O1478&lt;6,"低",IF(O1478&lt;20,"中","高")),IF(O1478&lt;6,"中","高"))))),IF(OR(J1478="ILF",J1478="EIF"),IF(OR(Y1478="估算法",Y1478="算法类",Y1478="无法识别"),"低",IF(N1478&lt;2,IF(O1478&lt;51,"低","中"),IF(N1478&lt;6,IF(O1478&lt;20,"低",IF(O1478&lt;51,"中","高")),IF(O1478&lt;20,"中","高")))),"不计算")))</f>
        <v/>
      </c>
      <c r="Q1478" s="172">
        <f>IFERROR(IF(J1478="EI",IF(P1478="低",3,IF(P1478="中",4,6)),IF(J1478="EO",IF(P1478="低",4,IF(P1478="中",5,7)),IF(J1478="EQ",IF(P1478="低",3,IF(P1478="中",4,6)),IF(J1478="ILF",IF(P1478="低",7,IF(P1478="中",10,15)),IF(J1478="EIF",IF(P1478="低",5,IF(P1478="中",7,10)),"不计算")))))*R1478,"不计算")</f>
        <v/>
      </c>
      <c r="R1478" s="172" t="n">
        <v>1</v>
      </c>
      <c r="S1478" s="173">
        <f>调整因子!$F$13</f>
        <v/>
      </c>
      <c r="T1478" s="93" t="n">
        <v>1</v>
      </c>
      <c r="U1478" s="174">
        <f>IFERROR(Q1478*S1478,0)</f>
        <v/>
      </c>
      <c r="V1478" s="178">
        <f>U1478*T1478</f>
        <v/>
      </c>
      <c r="W1478" s="103" t="inlineStr">
        <is>
          <t>修复方案表、漏洞处置推送接口配置表</t>
        </is>
      </c>
      <c r="X1478" s="103" t="inlineStr"/>
      <c r="Y1478" s="97" t="inlineStr">
        <is>
          <t>修复方案表{ID、名称|ID、名称、类型、状态、创建时间、更新时间}
漏洞处置推送接口配置表{漏洞ID、漏洞名称|漏洞ID、漏洞名称、漏洞等级、漏洞类型、CVE编号、发现时间、修复状态}</t>
        </is>
      </c>
      <c r="Z1478" s="90" t="n"/>
      <c r="AA1478" s="90" t="n"/>
    </row>
    <row r="1479" s="112">
      <c r="A1479" s="72">
        <f>ROW()-1</f>
        <v/>
      </c>
      <c r="B1479" s="175" t="n"/>
      <c r="C1479" s="124" t="n">
        <v>2026</v>
      </c>
      <c r="E1479" s="103" t="n"/>
      <c r="F1479" s="175" t="n"/>
      <c r="G1479" s="175" t="n"/>
      <c r="H1479" s="175" t="n"/>
      <c r="I1479" s="103" t="inlineStr">
        <is>
          <t>查询报告列表</t>
        </is>
      </c>
      <c r="J1479" s="93" t="inlineStr">
        <is>
          <t>EQ</t>
        </is>
      </c>
      <c r="K1479" s="102" t="n"/>
      <c r="L1479" s="102" t="n"/>
      <c r="M1479" s="85">
        <f>IF(OR(Y1479="估算法",Y1479="算法类",Y1479="无法识别"),"",IF(W1479="",IF(OR(J1479="EI",J1479="EO",J1479="EQ"),0,""),LEN(W1479)-LEN(SUBSTITUTE(W1479,"、",""))+1))</f>
        <v/>
      </c>
      <c r="N1479" s="85">
        <f>IF(OR(Y1479="估算法",Y1479="算法类",Y1479="无法识别"),"",IF(X1479="",IF(OR(J1479="ILF",J1479="EIF"),0,""),LEN(X1479)-LEN(SUBSTITUTE(X1479,"、",""))+1))</f>
        <v/>
      </c>
      <c r="O1479" s="85">
        <f>IF(OR(Y1479="估算法",Y1479="算法类",Y1479="无法识别"),"",IF(Y1479="",IF(OR(J1479="ILF",J1479="EIF",J1479="EI",J1479="EO",J1479="EQ"),0,""),LEN(Y1479)-LEN(SUBSTITUTE(SUBSTITUTE(SUBSTITUTE(SUBSTITUTE(SUBSTITUTE(Y1479,"|}","--"),"{|","--"),CHAR(10),""),"、",""),"|",""))+IF(AND(OR(J1479="EI",J1479="EO",J1479="EQ"),$AE$1="NESMA"),2,1)))</f>
        <v/>
      </c>
      <c r="P1479" s="86">
        <f>IF(J1479="EI",IF(OR(Y1479="估算法",Y1479="算法类"),"中",IF(Y1479="无法识别","低",IF(M1479&lt;2,IF(O1479&lt;16,"低","中"),IF(M1479&lt;3,IF(O1479&lt;5,"低",IF(O1479&lt;16,"中","高")),IF(O1479&lt;5,"中","高"))))),IF(OR(J1479="EO",J1479="EQ"),IF(OR(Y1479="估算法",Y1479="算法类"),"中",IF(Y1479="无法识别","低",IF(M1479&lt;2,IF(O1479&lt;20,"低","中"),IF(M1479&lt;4,IF(O1479&lt;6,"低",IF(O1479&lt;20,"中","高")),IF(O1479&lt;6,"中","高"))))),IF(OR(J1479="ILF",J1479="EIF"),IF(OR(Y1479="估算法",Y1479="算法类",Y1479="无法识别"),"低",IF(N1479&lt;2,IF(O1479&lt;51,"低","中"),IF(N1479&lt;6,IF(O1479&lt;20,"低",IF(O1479&lt;51,"中","高")),IF(O1479&lt;20,"中","高")))),"不计算")))</f>
        <v/>
      </c>
      <c r="Q1479" s="172">
        <f>IFERROR(IF(J1479="EI",IF(P1479="低",3,IF(P1479="中",4,6)),IF(J1479="EO",IF(P1479="低",4,IF(P1479="中",5,7)),IF(J1479="EQ",IF(P1479="低",3,IF(P1479="中",4,6)),IF(J1479="ILF",IF(P1479="低",7,IF(P1479="中",10,15)),IF(J1479="EIF",IF(P1479="低",5,IF(P1479="中",7,10)),"不计算")))))*R1479,"不计算")</f>
        <v/>
      </c>
      <c r="R1479" s="172" t="n">
        <v>1</v>
      </c>
      <c r="S1479" s="173">
        <f>调整因子!$F$13</f>
        <v/>
      </c>
      <c r="T1479" s="92" t="n">
        <v>1</v>
      </c>
      <c r="U1479" s="174">
        <f>IFERROR(Q1479*S1479,0)</f>
        <v/>
      </c>
      <c r="V1479" s="178">
        <f>U1479*T1479</f>
        <v/>
      </c>
      <c r="W1479" s="103" t="inlineStr">
        <is>
          <t>推送任务表、报告导入记录表</t>
        </is>
      </c>
      <c r="X1479" s="103" t="inlineStr"/>
      <c r="Y1479" s="97" t="inlineStr">
        <is>
          <t>推送任务表{任务ID、任务名称|任务ID、任务名称、任务类型、任务状态、创建时间、执行时间}
报告导入记录表{ID、名称|ID、名称、类型、状态、创建时间、更新时间}</t>
        </is>
      </c>
      <c r="Z1479" s="90" t="n"/>
      <c r="AA1479" s="90" t="n"/>
    </row>
    <row r="1480" s="112">
      <c r="A1480" s="72">
        <f>ROW()-1</f>
        <v/>
      </c>
      <c r="B1480" s="175" t="n"/>
      <c r="C1480" s="124" t="n">
        <v>2026</v>
      </c>
      <c r="E1480" s="103" t="n"/>
      <c r="F1480" s="176" t="n"/>
      <c r="G1480" s="176" t="n"/>
      <c r="H1480" s="176" t="n"/>
      <c r="I1480" s="103" t="inlineStr">
        <is>
          <t>查看报告详情</t>
        </is>
      </c>
      <c r="J1480" s="93" t="inlineStr">
        <is>
          <t>EQ</t>
        </is>
      </c>
      <c r="K1480" s="102" t="n"/>
      <c r="L1480" s="102" t="n"/>
      <c r="M1480" s="85">
        <f>IF(OR(Y1480="估算法",Y1480="算法类",Y1480="无法识别"),"",IF(W1480="",IF(OR(J1480="EI",J1480="EO",J1480="EQ"),0,""),LEN(W1480)-LEN(SUBSTITUTE(W1480,"、",""))+1))</f>
        <v/>
      </c>
      <c r="N1480" s="85">
        <f>IF(OR(Y1480="估算法",Y1480="算法类",Y1480="无法识别"),"",IF(X1480="",IF(OR(J1480="ILF",J1480="EIF"),0,""),LEN(X1480)-LEN(SUBSTITUTE(X1480,"、",""))+1))</f>
        <v/>
      </c>
      <c r="O1480" s="85">
        <f>IF(OR(Y1480="估算法",Y1480="算法类",Y1480="无法识别"),"",IF(Y1480="",IF(OR(J1480="ILF",J1480="EIF",J1480="EI",J1480="EO",J1480="EQ"),0,""),LEN(Y1480)-LEN(SUBSTITUTE(SUBSTITUTE(SUBSTITUTE(SUBSTITUTE(SUBSTITUTE(Y1480,"|}","--"),"{|","--"),CHAR(10),""),"、",""),"|",""))+IF(AND(OR(J1480="EI",J1480="EO",J1480="EQ"),$AE$1="NESMA"),2,1)))</f>
        <v/>
      </c>
      <c r="P1480" s="86">
        <f>IF(J1480="EI",IF(OR(Y1480="估算法",Y1480="算法类"),"中",IF(Y1480="无法识别","低",IF(M1480&lt;2,IF(O1480&lt;16,"低","中"),IF(M1480&lt;3,IF(O1480&lt;5,"低",IF(O1480&lt;16,"中","高")),IF(O1480&lt;5,"中","高"))))),IF(OR(J1480="EO",J1480="EQ"),IF(OR(Y1480="估算法",Y1480="算法类"),"中",IF(Y1480="无法识别","低",IF(M1480&lt;2,IF(O1480&lt;20,"低","中"),IF(M1480&lt;4,IF(O1480&lt;6,"低",IF(O1480&lt;20,"中","高")),IF(O1480&lt;6,"中","高"))))),IF(OR(J1480="ILF",J1480="EIF"),IF(OR(Y1480="估算法",Y1480="算法类",Y1480="无法识别"),"低",IF(N1480&lt;2,IF(O1480&lt;51,"低","中"),IF(N1480&lt;6,IF(O1480&lt;20,"低",IF(O1480&lt;51,"中","高")),IF(O1480&lt;20,"中","高")))),"不计算")))</f>
        <v/>
      </c>
      <c r="Q1480" s="172">
        <f>IFERROR(IF(J1480="EI",IF(P1480="低",3,IF(P1480="中",4,6)),IF(J1480="EO",IF(P1480="低",4,IF(P1480="中",5,7)),IF(J1480="EQ",IF(P1480="低",3,IF(P1480="中",4,6)),IF(J1480="ILF",IF(P1480="低",7,IF(P1480="中",10,15)),IF(J1480="EIF",IF(P1480="低",5,IF(P1480="中",7,10)),"不计算")))))*R1480,"不计算")</f>
        <v/>
      </c>
      <c r="R1480" s="172" t="n">
        <v>1</v>
      </c>
      <c r="S1480" s="173">
        <f>调整因子!$F$13</f>
        <v/>
      </c>
      <c r="T1480" s="92" t="n">
        <v>1</v>
      </c>
      <c r="U1480" s="174">
        <f>IFERROR(Q1480*S1480,0)</f>
        <v/>
      </c>
      <c r="V1480" s="178">
        <f>U1480*T1480</f>
        <v/>
      </c>
      <c r="W1480" s="103" t="inlineStr">
        <is>
          <t>通报配置表、漏洞查询接口配置表</t>
        </is>
      </c>
      <c r="X1480" s="103" t="inlineStr"/>
      <c r="Y1480" s="97" t="inlineStr">
        <is>
          <t>通报配置表{配置ID、配置名称|配置ID、配置名称、配置类型、配置值、创建时间}
漏洞查询接口配置表{漏洞ID、漏洞名称|漏洞ID、漏洞名称、漏洞等级、漏洞类型、CVE编号}</t>
        </is>
      </c>
      <c r="Z1480" s="90" t="n"/>
      <c r="AA1480" s="90" t="n"/>
    </row>
    <row r="1481" s="112">
      <c r="A1481" s="72">
        <f>ROW()-1</f>
        <v/>
      </c>
      <c r="B1481" s="175" t="n"/>
      <c r="C1481" s="124" t="n">
        <v>2026</v>
      </c>
      <c r="E1481" s="103" t="n"/>
      <c r="F1481" s="97" t="inlineStr">
        <is>
          <t>对外接口服务</t>
        </is>
      </c>
      <c r="G1481" s="97" t="inlineStr">
        <is>
          <t>扫描任务创建API</t>
        </is>
      </c>
      <c r="H1481" s="97" t="inlineStr">
        <is>
          <t>资产查询接口管理</t>
        </is>
      </c>
      <c r="I1481" s="103" t="inlineStr">
        <is>
          <t>资产查询接口配置表</t>
        </is>
      </c>
      <c r="J1481" s="93" t="inlineStr">
        <is>
          <t>ILF</t>
        </is>
      </c>
      <c r="K1481" s="102" t="n"/>
      <c r="L1481" s="102" t="n"/>
      <c r="M1481" s="85">
        <f>IF(OR(Y1481="估算法",Y1481="算法类",Y1481="无法识别"),"",IF(W1481="",IF(OR(J1481="EI",J1481="EO",J1481="EQ"),0,""),LEN(W1481)-LEN(SUBSTITUTE(W1481,"、",""))+1))</f>
        <v/>
      </c>
      <c r="N1481" s="85">
        <f>IF(OR(Y1481="估算法",Y1481="算法类",Y1481="无法识别"),"",IF(X1481="",IF(OR(J1481="ILF",J1481="EIF"),0,""),LEN(X1481)-LEN(SUBSTITUTE(X1481,"、",""))+1))</f>
        <v/>
      </c>
      <c r="O1481" s="85">
        <f>IF(OR(Y1481="估算法",Y1481="算法类",Y1481="无法识别"),"",IF(Y1481="",IF(OR(J1481="ILF",J1481="EIF",J1481="EI",J1481="EO",J1481="EQ"),0,""),LEN(Y1481)-LEN(SUBSTITUTE(SUBSTITUTE(SUBSTITUTE(SUBSTITUTE(SUBSTITUTE(Y1481,"|}","--"),"{|","--"),CHAR(10),""),"、",""),"|",""))+IF(AND(OR(J1481="EI",J1481="EO",J1481="EQ"),$AE$1="NESMA"),2,1)))</f>
        <v/>
      </c>
      <c r="P1481" s="86">
        <f>IF(J1481="EI",IF(OR(Y1481="估算法",Y1481="算法类"),"中",IF(Y1481="无法识别","低",IF(M1481&lt;2,IF(O1481&lt;16,"低","中"),IF(M1481&lt;3,IF(O1481&lt;5,"低",IF(O1481&lt;16,"中","高")),IF(O1481&lt;5,"中","高"))))),IF(OR(J1481="EO",J1481="EQ"),IF(OR(Y1481="估算法",Y1481="算法类"),"中",IF(Y1481="无法识别","低",IF(M1481&lt;2,IF(O1481&lt;20,"低","中"),IF(M1481&lt;4,IF(O1481&lt;6,"低",IF(O1481&lt;20,"中","高")),IF(O1481&lt;6,"中","高"))))),IF(OR(J1481="ILF",J1481="EIF"),IF(OR(Y1481="估算法",Y1481="算法类",Y1481="无法识别"),"低",IF(N1481&lt;2,IF(O1481&lt;51,"低","中"),IF(N1481&lt;6,IF(O1481&lt;20,"低",IF(O1481&lt;51,"中","高")),IF(O1481&lt;20,"中","高")))),"不计算")))</f>
        <v/>
      </c>
      <c r="Q1481" s="172">
        <f>IFERROR(IF(J1481="EI",IF(P1481="低",3,IF(P1481="中",4,6)),IF(J1481="EO",IF(P1481="低",4,IF(P1481="中",5,7)),IF(J1481="EQ",IF(P1481="低",3,IF(P1481="中",4,6)),IF(J1481="ILF",IF(P1481="低",7,IF(P1481="中",10,15)),IF(J1481="EIF",IF(P1481="低",5,IF(P1481="中",7,10)),"不计算")))))*R1481,"不计算")</f>
        <v/>
      </c>
      <c r="R1481" s="172" t="n">
        <v>1</v>
      </c>
      <c r="S1481" s="173">
        <f>调整因子!$F$13</f>
        <v/>
      </c>
      <c r="T1481" s="93" t="n">
        <v>1</v>
      </c>
      <c r="U1481" s="174">
        <f>IFERROR(Q1481*S1481,0)</f>
        <v/>
      </c>
      <c r="V1481" s="178">
        <f>U1481*T1481</f>
        <v/>
      </c>
      <c r="W1481" s="103" t="inlineStr"/>
      <c r="X1481" s="103" t="inlineStr">
        <is>
          <t>主机资产</t>
        </is>
      </c>
      <c r="Y1481" s="97" t="inlineStr">
        <is>
          <t>资产查询接口配置表{资产ID、资产名称、IP地址|资产ID、资产名称、IP地址、资产类型、资产状态、创建时间、更新时间}</t>
        </is>
      </c>
      <c r="Z1481" s="90">
        <f>IF(COUNTIFS(W:W,"*"&amp;I1481&amp;"*")&gt;0,"存在","不存在")</f>
        <v/>
      </c>
      <c r="AA1481" s="90">
        <f>IF(COUNTIFS(AB:AB,"*"&amp;I1481&amp;"*")&gt;0,"存在","不存在")</f>
        <v/>
      </c>
    </row>
    <row r="1482" s="112">
      <c r="A1482" s="72">
        <f>ROW()-1</f>
        <v/>
      </c>
      <c r="B1482" s="175" t="n"/>
      <c r="C1482" s="124" t="n">
        <v>2026</v>
      </c>
      <c r="E1482" s="103" t="n"/>
      <c r="F1482" s="175" t="n"/>
      <c r="G1482" s="175" t="n"/>
      <c r="H1482" s="175" t="n"/>
      <c r="I1482" s="103" t="inlineStr">
        <is>
          <t>接口参数配置表</t>
        </is>
      </c>
      <c r="J1482" s="93" t="inlineStr">
        <is>
          <t>ILF</t>
        </is>
      </c>
      <c r="K1482" s="102" t="n"/>
      <c r="L1482" s="102" t="n"/>
      <c r="M1482" s="85">
        <f>IF(OR(Y1482="估算法",Y1482="算法类",Y1482="无法识别"),"",IF(W1482="",IF(OR(J1482="EI",J1482="EO",J1482="EQ"),0,""),LEN(W1482)-LEN(SUBSTITUTE(W1482,"、",""))+1))</f>
        <v/>
      </c>
      <c r="N1482" s="85">
        <f>IF(OR(Y1482="估算法",Y1482="算法类",Y1482="无法识别"),"",IF(X1482="",IF(OR(J1482="ILF",J1482="EIF"),0,""),LEN(X1482)-LEN(SUBSTITUTE(X1482,"、",""))+1))</f>
        <v/>
      </c>
      <c r="O1482" s="85">
        <f>IF(OR(Y1482="估算法",Y1482="算法类",Y1482="无法识别"),"",IF(Y1482="",IF(OR(J1482="ILF",J1482="EIF",J1482="EI",J1482="EO",J1482="EQ"),0,""),LEN(Y1482)-LEN(SUBSTITUTE(SUBSTITUTE(SUBSTITUTE(SUBSTITUTE(SUBSTITUTE(Y1482,"|}","--"),"{|","--"),CHAR(10),""),"、",""),"|",""))+IF(AND(OR(J1482="EI",J1482="EO",J1482="EQ"),$AE$1="NESMA"),2,1)))</f>
        <v/>
      </c>
      <c r="P1482" s="86">
        <f>IF(J1482="EI",IF(OR(Y1482="估算法",Y1482="算法类"),"中",IF(Y1482="无法识别","低",IF(M1482&lt;2,IF(O1482&lt;16,"低","中"),IF(M1482&lt;3,IF(O1482&lt;5,"低",IF(O1482&lt;16,"中","高")),IF(O1482&lt;5,"中","高"))))),IF(OR(J1482="EO",J1482="EQ"),IF(OR(Y1482="估算法",Y1482="算法类"),"中",IF(Y1482="无法识别","低",IF(M1482&lt;2,IF(O1482&lt;20,"低","中"),IF(M1482&lt;4,IF(O1482&lt;6,"低",IF(O1482&lt;20,"中","高")),IF(O1482&lt;6,"中","高"))))),IF(OR(J1482="ILF",J1482="EIF"),IF(OR(Y1482="估算法",Y1482="算法类",Y1482="无法识别"),"低",IF(N1482&lt;2,IF(O1482&lt;51,"低","中"),IF(N1482&lt;6,IF(O1482&lt;20,"低",IF(O1482&lt;51,"中","高")),IF(O1482&lt;20,"中","高")))),"不计算")))</f>
        <v/>
      </c>
      <c r="Q1482" s="172">
        <f>IFERROR(IF(J1482="EI",IF(P1482="低",3,IF(P1482="中",4,6)),IF(J1482="EO",IF(P1482="低",4,IF(P1482="中",5,7)),IF(J1482="EQ",IF(P1482="低",3,IF(P1482="中",4,6)),IF(J1482="ILF",IF(P1482="低",7,IF(P1482="中",10,15)),IF(J1482="EIF",IF(P1482="低",5,IF(P1482="中",7,10)),"不计算")))))*R1482,"不计算")</f>
        <v/>
      </c>
      <c r="R1482" s="172" t="n">
        <v>1</v>
      </c>
      <c r="S1482" s="173">
        <f>调整因子!$F$13</f>
        <v/>
      </c>
      <c r="T1482" s="93" t="n">
        <v>1</v>
      </c>
      <c r="U1482" s="174">
        <f>IFERROR(Q1482*S1482,0)</f>
        <v/>
      </c>
      <c r="V1482" s="178">
        <f>U1482*T1482</f>
        <v/>
      </c>
      <c r="W1482" s="103" t="inlineStr"/>
      <c r="X1482" s="103" t="inlineStr">
        <is>
          <t>配置项</t>
        </is>
      </c>
      <c r="Y1482" s="97" t="inlineStr">
        <is>
          <t>接口参数配置表{配置ID、配置名称、配置类型|配置ID、配置名称、配置类型、配置值、创建时间}</t>
        </is>
      </c>
      <c r="Z1482" s="90">
        <f>IF(COUNTIFS(W:W,"*"&amp;I1482&amp;"*")&gt;0,"存在","不存在")</f>
        <v/>
      </c>
      <c r="AA1482" s="90">
        <f>IF(COUNTIFS(AB:AB,"*"&amp;I1482&amp;"*")&gt;0,"存在","不存在")</f>
        <v/>
      </c>
    </row>
    <row r="1483" s="112">
      <c r="A1483" s="72">
        <f>ROW()-1</f>
        <v/>
      </c>
      <c r="B1483" s="175" t="n"/>
      <c r="C1483" s="124" t="n">
        <v>2026</v>
      </c>
      <c r="E1483" s="103" t="n"/>
      <c r="F1483" s="175" t="n"/>
      <c r="G1483" s="175" t="n"/>
      <c r="H1483" s="175" t="n"/>
      <c r="I1483" s="103" t="inlineStr">
        <is>
          <t>资产查询接口</t>
        </is>
      </c>
      <c r="J1483" s="93" t="inlineStr">
        <is>
          <t>EIF</t>
        </is>
      </c>
      <c r="K1483" s="102" t="n"/>
      <c r="L1483" s="102" t="n"/>
      <c r="M1483" s="85">
        <f>IF(OR(Y1483="估算法",Y1483="算法类",Y1483="无法识别"),"",IF(W1483="",IF(OR(J1483="EI",J1483="EO",J1483="EQ"),0,""),LEN(W1483)-LEN(SUBSTITUTE(W1483,"、",""))+1))</f>
        <v/>
      </c>
      <c r="N1483" s="85">
        <f>IF(OR(Y1483="估算法",Y1483="算法类",Y1483="无法识别"),"",IF(X1483="",IF(OR(J1483="ILF",J1483="EIF"),0,""),LEN(X1483)-LEN(SUBSTITUTE(X1483,"、",""))+1))</f>
        <v/>
      </c>
      <c r="O1483" s="85">
        <f>IF(OR(Y1483="估算法",Y1483="算法类",Y1483="无法识别"),"",IF(Y1483="",IF(OR(J1483="ILF",J1483="EIF",J1483="EI",J1483="EO",J1483="EQ"),0,""),LEN(Y1483)-LEN(SUBSTITUTE(SUBSTITUTE(SUBSTITUTE(SUBSTITUTE(SUBSTITUTE(Y1483,"|}","--"),"{|","--"),CHAR(10),""),"、",""),"|",""))+IF(AND(OR(J1483="EI",J1483="EO",J1483="EQ"),$AE$1="NESMA"),2,1)))</f>
        <v/>
      </c>
      <c r="P1483" s="86">
        <f>IF(J1483="EI",IF(OR(Y1483="估算法",Y1483="算法类"),"中",IF(Y1483="无法识别","低",IF(M1483&lt;2,IF(O1483&lt;16,"低","中"),IF(M1483&lt;3,IF(O1483&lt;5,"低",IF(O1483&lt;16,"中","高")),IF(O1483&lt;5,"中","高"))))),IF(OR(J1483="EO",J1483="EQ"),IF(OR(Y1483="估算法",Y1483="算法类"),"中",IF(Y1483="无法识别","低",IF(M1483&lt;2,IF(O1483&lt;20,"低","中"),IF(M1483&lt;4,IF(O1483&lt;6,"低",IF(O1483&lt;20,"中","高")),IF(O1483&lt;6,"中","高"))))),IF(OR(J1483="ILF",J1483="EIF"),IF(OR(Y1483="估算法",Y1483="算法类",Y1483="无法识别"),"低",IF(N1483&lt;2,IF(O1483&lt;51,"低","中"),IF(N1483&lt;6,IF(O1483&lt;20,"低",IF(O1483&lt;51,"中","高")),IF(O1483&lt;20,"中","高")))),"不计算")))</f>
        <v/>
      </c>
      <c r="Q1483" s="172">
        <f>IFERROR(IF(J1483="EI",IF(P1483="低",3,IF(P1483="中",4,6)),IF(J1483="EO",IF(P1483="低",4,IF(P1483="中",5,7)),IF(J1483="EQ",IF(P1483="低",3,IF(P1483="中",4,6)),IF(J1483="ILF",IF(P1483="低",7,IF(P1483="中",10,15)),IF(J1483="EIF",IF(P1483="低",5,IF(P1483="中",7,10)),"不计算")))))*R1483,"不计算")</f>
        <v/>
      </c>
      <c r="R1483" s="172" t="n">
        <v>1</v>
      </c>
      <c r="S1483" s="173">
        <f>调整因子!$F$13</f>
        <v/>
      </c>
      <c r="T1483" s="92" t="n">
        <v>1</v>
      </c>
      <c r="U1483" s="174">
        <f>IFERROR(Q1483*S1483,0)</f>
        <v/>
      </c>
      <c r="V1483" s="178">
        <f>U1483*T1483</f>
        <v/>
      </c>
      <c r="W1483" s="103" t="inlineStr"/>
      <c r="X1483" s="103" t="inlineStr">
        <is>
          <t>接口数据</t>
        </is>
      </c>
      <c r="Y1483" s="97" t="inlineStr">
        <is>
          <t>资产查询接口{资产ID、资产名称|资产ID、资产名称、IP地址、资产类型、资产状态、创建时间、更新时间}</t>
        </is>
      </c>
      <c r="Z1483" s="90">
        <f>IF(COUNTIFS(W:W,"*"&amp;I1483&amp;"*")&gt;0,"存在","不存在")</f>
        <v/>
      </c>
      <c r="AA1483" s="90">
        <f>IF(COUNTIFS(AB:AB,"*"&amp;I1483&amp;"*")&gt;0,"存在","不存在")</f>
        <v/>
      </c>
    </row>
    <row r="1484" s="112">
      <c r="A1484" s="72">
        <f>ROW()-1</f>
        <v/>
      </c>
      <c r="B1484" s="175" t="n"/>
      <c r="C1484" s="124" t="n">
        <v>2026</v>
      </c>
      <c r="E1484" s="103" t="n"/>
      <c r="F1484" s="175" t="n"/>
      <c r="G1484" s="175" t="n"/>
      <c r="H1484" s="175" t="n"/>
      <c r="I1484" s="103" t="inlineStr">
        <is>
          <t>配置资产查询接口</t>
        </is>
      </c>
      <c r="J1484" s="93" t="inlineStr">
        <is>
          <t>EQ</t>
        </is>
      </c>
      <c r="K1484" s="102" t="n"/>
      <c r="L1484" s="102" t="inlineStr">
        <is>
          <t>查询</t>
        </is>
      </c>
      <c r="M1484" s="85">
        <f>IF(OR(Y1484="估算法",Y1484="算法类",Y1484="无法识别"),"",IF(W1484="",IF(OR(J1484="EI",J1484="EO",J1484="EQ"),0,""),LEN(W1484)-LEN(SUBSTITUTE(W1484,"、",""))+1))</f>
        <v/>
      </c>
      <c r="N1484" s="85">
        <f>IF(OR(Y1484="估算法",Y1484="算法类",Y1484="无法识别"),"",IF(X1484="",IF(OR(J1484="ILF",J1484="EIF"),0,""),LEN(X1484)-LEN(SUBSTITUTE(X1484,"、",""))+1))</f>
        <v/>
      </c>
      <c r="O1484" s="85">
        <f>IF(OR(Y1484="估算法",Y1484="算法类",Y1484="无法识别"),"",IF(Y1484="",IF(OR(J1484="ILF",J1484="EIF",J1484="EI",J1484="EO",J1484="EQ"),0,""),LEN(Y1484)-LEN(SUBSTITUTE(SUBSTITUTE(SUBSTITUTE(SUBSTITUTE(SUBSTITUTE(Y1484,"|}","--"),"{|","--"),CHAR(10),""),"、",""),"|",""))+IF(AND(OR(J1484="EI",J1484="EO",J1484="EQ"),$AE$1="NESMA"),2,1)))</f>
        <v/>
      </c>
      <c r="P1484" s="86">
        <f>IF(J1484="EI",IF(OR(Y1484="估算法",Y1484="算法类"),"中",IF(Y1484="无法识别","低",IF(M1484&lt;2,IF(O1484&lt;16,"低","中"),IF(M1484&lt;3,IF(O1484&lt;5,"低",IF(O1484&lt;16,"中","高")),IF(O1484&lt;5,"中","高"))))),IF(OR(J1484="EO",J1484="EQ"),IF(OR(Y1484="估算法",Y1484="算法类"),"中",IF(Y1484="无法识别","低",IF(M1484&lt;2,IF(O1484&lt;20,"低","中"),IF(M1484&lt;4,IF(O1484&lt;6,"低",IF(O1484&lt;20,"中","高")),IF(O1484&lt;6,"中","高"))))),IF(OR(J1484="ILF",J1484="EIF"),IF(OR(Y1484="估算法",Y1484="算法类",Y1484="无法识别"),"低",IF(N1484&lt;2,IF(O1484&lt;51,"低","中"),IF(N1484&lt;6,IF(O1484&lt;20,"低",IF(O1484&lt;51,"中","高")),IF(O1484&lt;20,"中","高")))),"不计算")))</f>
        <v/>
      </c>
      <c r="Q1484" s="172">
        <f>IFERROR(IF(J1484="EI",IF(P1484="低",3,IF(P1484="中",4,6)),IF(J1484="EO",IF(P1484="低",4,IF(P1484="中",5,7)),IF(J1484="EQ",IF(P1484="低",3,IF(P1484="中",4,6)),IF(J1484="ILF",IF(P1484="低",7,IF(P1484="中",10,15)),IF(J1484="EIF",IF(P1484="低",5,IF(P1484="中",7,10)),"不计算")))))*R1484,"不计算")</f>
        <v/>
      </c>
      <c r="R1484" s="172" t="n">
        <v>1</v>
      </c>
      <c r="S1484" s="173">
        <f>调整因子!$F$13</f>
        <v/>
      </c>
      <c r="T1484" s="92" t="n">
        <v>1</v>
      </c>
      <c r="U1484" s="174">
        <f>IFERROR(Q1484*S1484,0)</f>
        <v/>
      </c>
      <c r="V1484" s="178">
        <f>U1484*T1484</f>
        <v/>
      </c>
      <c r="W1484" s="103" t="inlineStr">
        <is>
          <t>资产同步任务表</t>
        </is>
      </c>
      <c r="X1484" s="103" t="inlineStr"/>
      <c r="Y1484" s="97" t="inlineStr">
        <is>
          <t>资产同步任务表{资产ID、资产名称、IP地址、资产类型、资产状态、创建时间、更新时间|资产ID、资产名称、IP地址}</t>
        </is>
      </c>
      <c r="Z1484" s="90" t="n"/>
      <c r="AA1484" s="90" t="n"/>
    </row>
    <row r="1485" s="112">
      <c r="A1485" s="72">
        <f>ROW()-1</f>
        <v/>
      </c>
      <c r="B1485" s="175" t="n"/>
      <c r="C1485" s="124" t="n">
        <v>2026</v>
      </c>
      <c r="E1485" s="103" t="n"/>
      <c r="F1485" s="175" t="n"/>
      <c r="G1485" s="175" t="n"/>
      <c r="H1485" s="175" t="n"/>
      <c r="I1485" s="103" t="inlineStr">
        <is>
          <t>编辑资产查询接口</t>
        </is>
      </c>
      <c r="J1485" s="93" t="n"/>
      <c r="K1485" s="102" t="n"/>
      <c r="L1485" s="102" t="inlineStr">
        <is>
          <t>功能描述为相同查询接口信息</t>
        </is>
      </c>
      <c r="M1485" s="85">
        <f>IF(OR(Y1485="估算法",Y1485="算法类",Y1485="无法识别"),"",IF(W1485="",IF(OR(J1485="EI",J1485="EO",J1485="EQ"),0,""),LEN(W1485)-LEN(SUBSTITUTE(W1485,"、",""))+1))</f>
        <v/>
      </c>
      <c r="N1485" s="85">
        <f>IF(OR(Y1485="估算法",Y1485="算法类",Y1485="无法识别"),"",IF(X1485="",IF(OR(J1485="ILF",J1485="EIF"),0,""),LEN(X1485)-LEN(SUBSTITUTE(X1485,"、",""))+1))</f>
        <v/>
      </c>
      <c r="O1485" s="85">
        <f>IF(OR(Y1485="估算法",Y1485="算法类",Y1485="无法识别"),"",IF(Y1485="",IF(OR(J1485="ILF",J1485="EIF",J1485="EI",J1485="EO",J1485="EQ"),0,""),LEN(Y1485)-LEN(SUBSTITUTE(SUBSTITUTE(SUBSTITUTE(SUBSTITUTE(SUBSTITUTE(Y1485,"|}","--"),"{|","--"),CHAR(10),""),"、",""),"|",""))+IF(AND(OR(J1485="EI",J1485="EO",J1485="EQ"),$AE$1="NESMA"),2,1)))</f>
        <v/>
      </c>
      <c r="P1485" s="86">
        <f>IF(J1485="EI",IF(OR(Y1485="估算法",Y1485="算法类"),"中",IF(Y1485="无法识别","低",IF(M1485&lt;2,IF(O1485&lt;16,"低","中"),IF(M1485&lt;3,IF(O1485&lt;5,"低",IF(O1485&lt;16,"中","高")),IF(O1485&lt;5,"中","高"))))),IF(OR(J1485="EO",J1485="EQ"),IF(OR(Y1485="估算法",Y1485="算法类"),"中",IF(Y1485="无法识别","低",IF(M1485&lt;2,IF(O1485&lt;20,"低","中"),IF(M1485&lt;4,IF(O1485&lt;6,"低",IF(O1485&lt;20,"中","高")),IF(O1485&lt;6,"中","高"))))),IF(OR(J1485="ILF",J1485="EIF"),IF(OR(Y1485="估算法",Y1485="算法类",Y1485="无法识别"),"低",IF(N1485&lt;2,IF(O1485&lt;51,"低","中"),IF(N1485&lt;6,IF(O1485&lt;20,"低",IF(O1485&lt;51,"中","高")),IF(O1485&lt;20,"中","高")))),"不计算")))</f>
        <v/>
      </c>
      <c r="Q1485" s="172">
        <f>IFERROR(IF(J1485="EI",IF(P1485="低",3,IF(P1485="中",4,6)),IF(J1485="EO",IF(P1485="低",4,IF(P1485="中",5,7)),IF(J1485="EQ",IF(P1485="低",3,IF(P1485="中",4,6)),IF(J1485="ILF",IF(P1485="低",7,IF(P1485="中",10,15)),IF(J1485="EIF",IF(P1485="低",5,IF(P1485="中",7,10)),"不计算")))))*R1485,"不计算")</f>
        <v/>
      </c>
      <c r="R1485" s="172" t="n">
        <v>1</v>
      </c>
      <c r="S1485" s="173">
        <f>调整因子!$F$13</f>
        <v/>
      </c>
      <c r="T1485" s="93" t="n">
        <v>1</v>
      </c>
      <c r="U1485" s="174">
        <f>IFERROR(Q1485*S1485,0)</f>
        <v/>
      </c>
      <c r="V1485" s="178">
        <f>U1485*T1485</f>
        <v/>
      </c>
      <c r="W1485" s="103" t="inlineStr">
        <is>
          <t>资产同步任务表、资产扫描覆盖表</t>
        </is>
      </c>
      <c r="X1485" s="103" t="inlineStr"/>
      <c r="Y1485"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5" s="90" t="n"/>
      <c r="AA1485" s="90" t="n"/>
    </row>
    <row r="1486" s="112">
      <c r="A1486" s="72">
        <f>ROW()-1</f>
        <v/>
      </c>
      <c r="B1486" s="175" t="n"/>
      <c r="C1486" s="124" t="n">
        <v>2026</v>
      </c>
      <c r="E1486" s="103" t="n"/>
      <c r="F1486" s="175" t="n"/>
      <c r="G1486" s="175" t="n"/>
      <c r="H1486" s="175" t="n"/>
      <c r="I1486" s="103" t="inlineStr">
        <is>
          <t>删除资产查询接口</t>
        </is>
      </c>
      <c r="J1486" s="93" t="n"/>
      <c r="K1486" s="102" t="n"/>
      <c r="L1486" s="102" t="inlineStr">
        <is>
          <t>功能描述为相同查询接口信息</t>
        </is>
      </c>
      <c r="M1486" s="85">
        <f>IF(OR(Y1486="估算法",Y1486="算法类",Y1486="无法识别"),"",IF(W1486="",IF(OR(J1486="EI",J1486="EO",J1486="EQ"),0,""),LEN(W1486)-LEN(SUBSTITUTE(W1486,"、",""))+1))</f>
        <v/>
      </c>
      <c r="N1486" s="85">
        <f>IF(OR(Y1486="估算法",Y1486="算法类",Y1486="无法识别"),"",IF(X1486="",IF(OR(J1486="ILF",J1486="EIF"),0,""),LEN(X1486)-LEN(SUBSTITUTE(X1486,"、",""))+1))</f>
        <v/>
      </c>
      <c r="O1486" s="85">
        <f>IF(OR(Y1486="估算法",Y1486="算法类",Y1486="无法识别"),"",IF(Y1486="",IF(OR(J1486="ILF",J1486="EIF",J1486="EI",J1486="EO",J1486="EQ"),0,""),LEN(Y1486)-LEN(SUBSTITUTE(SUBSTITUTE(SUBSTITUTE(SUBSTITUTE(SUBSTITUTE(Y1486,"|}","--"),"{|","--"),CHAR(10),""),"、",""),"|",""))+IF(AND(OR(J1486="EI",J1486="EO",J1486="EQ"),$AE$1="NESMA"),2,1)))</f>
        <v/>
      </c>
      <c r="P1486" s="86">
        <f>IF(J1486="EI",IF(OR(Y1486="估算法",Y1486="算法类"),"中",IF(Y1486="无法识别","低",IF(M1486&lt;2,IF(O1486&lt;16,"低","中"),IF(M1486&lt;3,IF(O1486&lt;5,"低",IF(O1486&lt;16,"中","高")),IF(O1486&lt;5,"中","高"))))),IF(OR(J1486="EO",J1486="EQ"),IF(OR(Y1486="估算法",Y1486="算法类"),"中",IF(Y1486="无法识别","低",IF(M1486&lt;2,IF(O1486&lt;20,"低","中"),IF(M1486&lt;4,IF(O1486&lt;6,"低",IF(O1486&lt;20,"中","高")),IF(O1486&lt;6,"中","高"))))),IF(OR(J1486="ILF",J1486="EIF"),IF(OR(Y1486="估算法",Y1486="算法类",Y1486="无法识别"),"低",IF(N1486&lt;2,IF(O1486&lt;51,"低","中"),IF(N1486&lt;6,IF(O1486&lt;20,"低",IF(O1486&lt;51,"中","高")),IF(O1486&lt;20,"中","高")))),"不计算")))</f>
        <v/>
      </c>
      <c r="Q1486" s="172">
        <f>IFERROR(IF(J1486="EI",IF(P1486="低",3,IF(P1486="中",4,6)),IF(J1486="EO",IF(P1486="低",4,IF(P1486="中",5,7)),IF(J1486="EQ",IF(P1486="低",3,IF(P1486="中",4,6)),IF(J1486="ILF",IF(P1486="低",7,IF(P1486="中",10,15)),IF(J1486="EIF",IF(P1486="低",5,IF(P1486="中",7,10)),"不计算")))))*R1486,"不计算")</f>
        <v/>
      </c>
      <c r="R1486" s="172" t="n">
        <v>0.333333333333333</v>
      </c>
      <c r="S1486" s="173">
        <f>调整因子!$F$13</f>
        <v/>
      </c>
      <c r="T1486" s="92" t="n">
        <v>1</v>
      </c>
      <c r="U1486" s="174">
        <f>IFERROR(Q1486*S1486,0)</f>
        <v/>
      </c>
      <c r="V1486" s="178">
        <f>U1486*T1486</f>
        <v/>
      </c>
      <c r="W1486" s="103" t="inlineStr">
        <is>
          <t>资产同步任务表、资产扫描覆盖表</t>
        </is>
      </c>
      <c r="X1486" s="103" t="inlineStr"/>
      <c r="Y1486"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6" s="90" t="n"/>
      <c r="AA1486" s="90" t="n"/>
    </row>
    <row r="1487" s="112">
      <c r="A1487" s="72">
        <f>ROW()-1</f>
        <v/>
      </c>
      <c r="B1487" s="175" t="n"/>
      <c r="C1487" s="124" t="n">
        <v>2026</v>
      </c>
      <c r="E1487" s="103" t="n"/>
      <c r="F1487" s="175" t="n"/>
      <c r="G1487" s="175" t="n"/>
      <c r="H1487" s="175" t="n"/>
      <c r="I1487" s="103" t="inlineStr">
        <is>
          <t>启用资产查询接口</t>
        </is>
      </c>
      <c r="J1487" s="93" t="n"/>
      <c r="K1487" s="102" t="n"/>
      <c r="L1487" s="102" t="inlineStr">
        <is>
          <t>功能描述为相同查询接口信息</t>
        </is>
      </c>
      <c r="M1487" s="85">
        <f>IF(OR(Y1487="估算法",Y1487="算法类",Y1487="无法识别"),"",IF(W1487="",IF(OR(J1487="EI",J1487="EO",J1487="EQ"),0,""),LEN(W1487)-LEN(SUBSTITUTE(W1487,"、",""))+1))</f>
        <v/>
      </c>
      <c r="N1487" s="85">
        <f>IF(OR(Y1487="估算法",Y1487="算法类",Y1487="无法识别"),"",IF(X1487="",IF(OR(J1487="ILF",J1487="EIF"),0,""),LEN(X1487)-LEN(SUBSTITUTE(X1487,"、",""))+1))</f>
        <v/>
      </c>
      <c r="O1487" s="85">
        <f>IF(OR(Y1487="估算法",Y1487="算法类",Y1487="无法识别"),"",IF(Y1487="",IF(OR(J1487="ILF",J1487="EIF",J1487="EI",J1487="EO",J1487="EQ"),0,""),LEN(Y1487)-LEN(SUBSTITUTE(SUBSTITUTE(SUBSTITUTE(SUBSTITUTE(SUBSTITUTE(Y1487,"|}","--"),"{|","--"),CHAR(10),""),"、",""),"|",""))+IF(AND(OR(J1487="EI",J1487="EO",J1487="EQ"),$AE$1="NESMA"),2,1)))</f>
        <v/>
      </c>
      <c r="P1487" s="86">
        <f>IF(J1487="EI",IF(OR(Y1487="估算法",Y1487="算法类"),"中",IF(Y1487="无法识别","低",IF(M1487&lt;2,IF(O1487&lt;16,"低","中"),IF(M1487&lt;3,IF(O1487&lt;5,"低",IF(O1487&lt;16,"中","高")),IF(O1487&lt;5,"中","高"))))),IF(OR(J1487="EO",J1487="EQ"),IF(OR(Y1487="估算法",Y1487="算法类"),"中",IF(Y1487="无法识别","低",IF(M1487&lt;2,IF(O1487&lt;20,"低","中"),IF(M1487&lt;4,IF(O1487&lt;6,"低",IF(O1487&lt;20,"中","高")),IF(O1487&lt;6,"中","高"))))),IF(OR(J1487="ILF",J1487="EIF"),IF(OR(Y1487="估算法",Y1487="算法类",Y1487="无法识别"),"低",IF(N1487&lt;2,IF(O1487&lt;51,"低","中"),IF(N1487&lt;6,IF(O1487&lt;20,"低",IF(O1487&lt;51,"中","高")),IF(O1487&lt;20,"中","高")))),"不计算")))</f>
        <v/>
      </c>
      <c r="Q1487" s="172">
        <f>IFERROR(IF(J1487="EI",IF(P1487="低",3,IF(P1487="中",4,6)),IF(J1487="EO",IF(P1487="低",4,IF(P1487="中",5,7)),IF(J1487="EQ",IF(P1487="低",3,IF(P1487="中",4,6)),IF(J1487="ILF",IF(P1487="低",7,IF(P1487="中",10,15)),IF(J1487="EIF",IF(P1487="低",5,IF(P1487="中",7,10)),"不计算")))))*R1487,"不计算")</f>
        <v/>
      </c>
      <c r="R1487" s="172" t="n">
        <v>1</v>
      </c>
      <c r="S1487" s="173">
        <f>调整因子!$F$13</f>
        <v/>
      </c>
      <c r="T1487" s="92" t="n">
        <v>1</v>
      </c>
      <c r="U1487" s="174">
        <f>IFERROR(Q1487*S1487,0)</f>
        <v/>
      </c>
      <c r="V1487" s="178">
        <f>U1487*T1487</f>
        <v/>
      </c>
      <c r="W1487" s="103" t="inlineStr">
        <is>
          <t>资产同步任务表</t>
        </is>
      </c>
      <c r="X1487" s="103" t="inlineStr"/>
      <c r="Y1487" s="97" t="inlineStr">
        <is>
          <t>资产同步任务表{资产ID、资产名称、IP地址、资产类型、资产状态、创建时间、更新时间|资产ID、资产名称、IP地址}</t>
        </is>
      </c>
      <c r="Z1487" s="90" t="n"/>
      <c r="AA1487" s="90" t="n"/>
    </row>
    <row r="1488" s="112">
      <c r="A1488" s="72">
        <f>ROW()-1</f>
        <v/>
      </c>
      <c r="B1488" s="175" t="n"/>
      <c r="C1488" s="124" t="n">
        <v>2026</v>
      </c>
      <c r="E1488" s="103" t="n"/>
      <c r="F1488" s="175" t="n"/>
      <c r="G1488" s="175" t="n"/>
      <c r="H1488" s="176" t="n"/>
      <c r="I1488" s="103" t="inlineStr">
        <is>
          <t>停用资产查询接口</t>
        </is>
      </c>
      <c r="J1488" s="93" t="n"/>
      <c r="K1488" s="102" t="n"/>
      <c r="L1488" s="102" t="inlineStr">
        <is>
          <t>功能描述为相同查询接口信息</t>
        </is>
      </c>
      <c r="M1488" s="85">
        <f>IF(OR(Y1488="估算法",Y1488="算法类",Y1488="无法识别"),"",IF(W1488="",IF(OR(J1488="EI",J1488="EO",J1488="EQ"),0,""),LEN(W1488)-LEN(SUBSTITUTE(W1488,"、",""))+1))</f>
        <v/>
      </c>
      <c r="N1488" s="85">
        <f>IF(OR(Y1488="估算法",Y1488="算法类",Y1488="无法识别"),"",IF(X1488="",IF(OR(J1488="ILF",J1488="EIF"),0,""),LEN(X1488)-LEN(SUBSTITUTE(X1488,"、",""))+1))</f>
        <v/>
      </c>
      <c r="O1488" s="85">
        <f>IF(OR(Y1488="估算法",Y1488="算法类",Y1488="无法识别"),"",IF(Y1488="",IF(OR(J1488="ILF",J1488="EIF",J1488="EI",J1488="EO",J1488="EQ"),0,""),LEN(Y1488)-LEN(SUBSTITUTE(SUBSTITUTE(SUBSTITUTE(SUBSTITUTE(SUBSTITUTE(Y1488,"|}","--"),"{|","--"),CHAR(10),""),"、",""),"|",""))+IF(AND(OR(J1488="EI",J1488="EO",J1488="EQ"),$AE$1="NESMA"),2,1)))</f>
        <v/>
      </c>
      <c r="P1488" s="86">
        <f>IF(J1488="EI",IF(OR(Y1488="估算法",Y1488="算法类"),"中",IF(Y1488="无法识别","低",IF(M1488&lt;2,IF(O1488&lt;16,"低","中"),IF(M1488&lt;3,IF(O1488&lt;5,"低",IF(O1488&lt;16,"中","高")),IF(O1488&lt;5,"中","高"))))),IF(OR(J1488="EO",J1488="EQ"),IF(OR(Y1488="估算法",Y1488="算法类"),"中",IF(Y1488="无法识别","低",IF(M1488&lt;2,IF(O1488&lt;20,"低","中"),IF(M1488&lt;4,IF(O1488&lt;6,"低",IF(O1488&lt;20,"中","高")),IF(O1488&lt;6,"中","高"))))),IF(OR(J1488="ILF",J1488="EIF"),IF(OR(Y1488="估算法",Y1488="算法类",Y1488="无法识别"),"低",IF(N1488&lt;2,IF(O1488&lt;51,"低","中"),IF(N1488&lt;6,IF(O1488&lt;20,"低",IF(O1488&lt;51,"中","高")),IF(O1488&lt;20,"中","高")))),"不计算")))</f>
        <v/>
      </c>
      <c r="Q1488" s="172">
        <f>IFERROR(IF(J1488="EI",IF(P1488="低",3,IF(P1488="中",4,6)),IF(J1488="EO",IF(P1488="低",4,IF(P1488="中",5,7)),IF(J1488="EQ",IF(P1488="低",3,IF(P1488="中",4,6)),IF(J1488="ILF",IF(P1488="低",7,IF(P1488="中",10,15)),IF(J1488="EIF",IF(P1488="低",5,IF(P1488="中",7,10)),"不计算")))))*R1488,"不计算")</f>
        <v/>
      </c>
      <c r="R1488" s="172" t="n">
        <v>1</v>
      </c>
      <c r="S1488" s="173">
        <f>调整因子!$F$13</f>
        <v/>
      </c>
      <c r="T1488" s="93" t="n">
        <v>1</v>
      </c>
      <c r="U1488" s="174">
        <f>IFERROR(Q1488*S1488,0)</f>
        <v/>
      </c>
      <c r="V1488" s="178">
        <f>U1488*T1488</f>
        <v/>
      </c>
      <c r="W1488" s="103" t="inlineStr">
        <is>
          <t>资产同步任务表、资产扫描覆盖表</t>
        </is>
      </c>
      <c r="X1488" s="103" t="inlineStr"/>
      <c r="Y1488"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88" s="90" t="n"/>
      <c r="AA1488" s="90" t="n"/>
    </row>
    <row r="1489" s="112">
      <c r="A1489" s="72">
        <f>ROW()-1</f>
        <v/>
      </c>
      <c r="B1489" s="175" t="n"/>
      <c r="C1489" s="124" t="n">
        <v>2026</v>
      </c>
      <c r="E1489" s="103" t="n"/>
      <c r="F1489" s="175" t="n"/>
      <c r="G1489" s="175" t="n"/>
      <c r="H1489" s="97" t="inlineStr">
        <is>
          <t>资产创建更新接口管理</t>
        </is>
      </c>
      <c r="I1489" s="103" t="inlineStr">
        <is>
          <t>资产删除接口</t>
        </is>
      </c>
      <c r="J1489" s="93" t="inlineStr">
        <is>
          <t>EIF</t>
        </is>
      </c>
      <c r="K1489" s="84" t="n"/>
      <c r="L1489" s="84" t="inlineStr">
        <is>
          <t>此外部接口文件未被本系统所使用</t>
        </is>
      </c>
      <c r="M1489" s="85">
        <f>IF(OR(Y1489="估算法",Y1489="算法类",Y1489="无法识别"),"",IF(W1489="",IF(OR(J1489="EI",J1489="EO",J1489="EQ"),0,""),LEN(W1489)-LEN(SUBSTITUTE(W1489,"、",""))+1))</f>
        <v/>
      </c>
      <c r="N1489" s="85">
        <f>IF(OR(Y1489="估算法",Y1489="算法类",Y1489="无法识别"),"",IF(X1489="",IF(OR(J1489="ILF",J1489="EIF"),0,""),LEN(X1489)-LEN(SUBSTITUTE(X1489,"、",""))+1))</f>
        <v/>
      </c>
      <c r="O1489" s="85">
        <f>IF(OR(Y1489="估算法",Y1489="算法类",Y1489="无法识别"),"",IF(Y1489="",IF(OR(J1489="ILF",J1489="EIF",J1489="EI",J1489="EO",J1489="EQ"),0,""),LEN(Y1489)-LEN(SUBSTITUTE(SUBSTITUTE(SUBSTITUTE(SUBSTITUTE(SUBSTITUTE(Y1489,"|}","--"),"{|","--"),CHAR(10),""),"、",""),"|",""))+IF(AND(OR(J1489="EI",J1489="EO",J1489="EQ"),$AE$1="NESMA"),2,1)))</f>
        <v/>
      </c>
      <c r="P1489" s="86">
        <f>IF(J1489="EI",IF(OR(Y1489="估算法",Y1489="算法类"),"中",IF(Y1489="无法识别","低",IF(M1489&lt;2,IF(O1489&lt;16,"低","中"),IF(M1489&lt;3,IF(O1489&lt;5,"低",IF(O1489&lt;16,"中","高")),IF(O1489&lt;5,"中","高"))))),IF(OR(J1489="EO",J1489="EQ"),IF(OR(Y1489="估算法",Y1489="算法类"),"中",IF(Y1489="无法识别","低",IF(M1489&lt;2,IF(O1489&lt;20,"低","中"),IF(M1489&lt;4,IF(O1489&lt;6,"低",IF(O1489&lt;20,"中","高")),IF(O1489&lt;6,"中","高"))))),IF(OR(J1489="ILF",J1489="EIF"),IF(OR(Y1489="估算法",Y1489="算法类",Y1489="无法识别"),"低",IF(N1489&lt;2,IF(O1489&lt;51,"低","中"),IF(N1489&lt;6,IF(O1489&lt;20,"低",IF(O1489&lt;51,"中","高")),IF(O1489&lt;20,"中","高")))),"不计算")))</f>
        <v/>
      </c>
      <c r="Q1489" s="172">
        <f>IFERROR(IF(J1489="EI",IF(P1489="低",3,IF(P1489="中",4,6)),IF(J1489="EO",IF(P1489="低",4,IF(P1489="中",5,7)),IF(J1489="EQ",IF(P1489="低",3,IF(P1489="中",4,6)),IF(J1489="ILF",IF(P1489="低",7,IF(P1489="中",10,15)),IF(J1489="EIF",IF(P1489="低",5,IF(P1489="中",7,10)),"不计算")))))*R1489,"不计算")</f>
        <v/>
      </c>
      <c r="R1489" s="172" t="n">
        <v>0.333333333333333</v>
      </c>
      <c r="S1489" s="173">
        <f>调整因子!$F$13</f>
        <v/>
      </c>
      <c r="T1489" s="93" t="n">
        <v>1</v>
      </c>
      <c r="U1489" s="174">
        <f>IFERROR(Q1489*S1489,0)</f>
        <v/>
      </c>
      <c r="V1489" s="178">
        <f>U1489*T1489</f>
        <v/>
      </c>
      <c r="W1489" s="103" t="inlineStr"/>
      <c r="X1489" s="103" t="inlineStr">
        <is>
          <t>接口数据</t>
        </is>
      </c>
      <c r="Y1489" s="97" t="inlineStr">
        <is>
          <t>资产删除接口{资产ID、资产名称|资产ID、资产名称、IP地址、资产类型、资产状态、创建时间、更新时间}</t>
        </is>
      </c>
      <c r="Z1489" s="90">
        <f>IF(COUNTIFS(W:W,"*"&amp;I1489&amp;"*")&gt;0,"存在","不存在")</f>
        <v/>
      </c>
      <c r="AA1489" s="90">
        <f>IF(COUNTIFS(AB:AB,"*"&amp;I1489&amp;"*")&gt;0,"存在","不存在")</f>
        <v/>
      </c>
      <c r="AB1489" s="93" t="inlineStr">
        <is>
          <t>EIF</t>
        </is>
      </c>
    </row>
    <row r="1490" s="112">
      <c r="A1490" s="72">
        <f>ROW()-1</f>
        <v/>
      </c>
      <c r="B1490" s="175" t="n"/>
      <c r="C1490" s="124" t="n">
        <v>2026</v>
      </c>
      <c r="E1490" s="103" t="n"/>
      <c r="F1490" s="175" t="n"/>
      <c r="G1490" s="175" t="n"/>
      <c r="H1490" s="175" t="n"/>
      <c r="I1490" s="103" t="inlineStr">
        <is>
          <t>删除创建更新接口</t>
        </is>
      </c>
      <c r="J1490" s="93" t="inlineStr">
        <is>
          <t>EI</t>
        </is>
      </c>
      <c r="K1490" s="102" t="n"/>
      <c r="L1490" s="102" t="n"/>
      <c r="M1490" s="85">
        <f>IF(OR(Y1490="估算法",Y1490="算法类",Y1490="无法识别"),"",IF(W1490="",IF(OR(J1490="EI",J1490="EO",J1490="EQ"),0,""),LEN(W1490)-LEN(SUBSTITUTE(W1490,"、",""))+1))</f>
        <v/>
      </c>
      <c r="N1490" s="85">
        <f>IF(OR(Y1490="估算法",Y1490="算法类",Y1490="无法识别"),"",IF(X1490="",IF(OR(J1490="ILF",J1490="EIF"),0,""),LEN(X1490)-LEN(SUBSTITUTE(X1490,"、",""))+1))</f>
        <v/>
      </c>
      <c r="O1490" s="85">
        <f>IF(OR(Y1490="估算法",Y1490="算法类",Y1490="无法识别"),"",IF(Y1490="",IF(OR(J1490="ILF",J1490="EIF",J1490="EI",J1490="EO",J1490="EQ"),0,""),LEN(Y1490)-LEN(SUBSTITUTE(SUBSTITUTE(SUBSTITUTE(SUBSTITUTE(SUBSTITUTE(Y1490,"|}","--"),"{|","--"),CHAR(10),""),"、",""),"|",""))+IF(AND(OR(J1490="EI",J1490="EO",J1490="EQ"),$AE$1="NESMA"),2,1)))</f>
        <v/>
      </c>
      <c r="P1490" s="86">
        <f>IF(J1490="EI",IF(OR(Y1490="估算法",Y1490="算法类"),"中",IF(Y1490="无法识别","低",IF(M1490&lt;2,IF(O1490&lt;16,"低","中"),IF(M1490&lt;3,IF(O1490&lt;5,"低",IF(O1490&lt;16,"中","高")),IF(O1490&lt;5,"中","高"))))),IF(OR(J1490="EO",J1490="EQ"),IF(OR(Y1490="估算法",Y1490="算法类"),"中",IF(Y1490="无法识别","低",IF(M1490&lt;2,IF(O1490&lt;20,"低","中"),IF(M1490&lt;4,IF(O1490&lt;6,"低",IF(O1490&lt;20,"中","高")),IF(O1490&lt;6,"中","高"))))),IF(OR(J1490="ILF",J1490="EIF"),IF(OR(Y1490="估算法",Y1490="算法类",Y1490="无法识别"),"低",IF(N1490&lt;2,IF(O1490&lt;51,"低","中"),IF(N1490&lt;6,IF(O1490&lt;20,"低",IF(O1490&lt;51,"中","高")),IF(O1490&lt;20,"中","高")))),"不计算")))</f>
        <v/>
      </c>
      <c r="Q1490" s="172">
        <f>IFERROR(IF(J1490="EI",IF(P1490="低",3,IF(P1490="中",4,6)),IF(J1490="EO",IF(P1490="低",4,IF(P1490="中",5,7)),IF(J1490="EQ",IF(P1490="低",3,IF(P1490="中",4,6)),IF(J1490="ILF",IF(P1490="低",7,IF(P1490="中",10,15)),IF(J1490="EIF",IF(P1490="低",5,IF(P1490="中",7,10)),"不计算")))))*R1490,"不计算")</f>
        <v/>
      </c>
      <c r="R1490" s="172" t="n">
        <v>0.333333333333333</v>
      </c>
      <c r="S1490" s="173">
        <f>调整因子!$F$13</f>
        <v/>
      </c>
      <c r="T1490" s="92" t="n">
        <v>1</v>
      </c>
      <c r="U1490" s="174">
        <f>IFERROR(Q1490*S1490,0)</f>
        <v/>
      </c>
      <c r="V1490" s="178">
        <f>U1490*T1490</f>
        <v/>
      </c>
      <c r="W1490" s="103" t="inlineStr">
        <is>
          <t>推送规则表</t>
        </is>
      </c>
      <c r="X1490" s="103" t="inlineStr"/>
      <c r="Y1490" s="97" t="inlineStr">
        <is>
          <t>推送规则表{规则ID、规则名称、规则类型、规则条件、创建时间|规则ID、规则名称、规则类型}</t>
        </is>
      </c>
      <c r="Z1490" s="90" t="n"/>
      <c r="AA1490" s="90" t="n"/>
    </row>
    <row r="1491" s="112">
      <c r="A1491" s="72">
        <f>ROW()-1</f>
        <v/>
      </c>
      <c r="B1491" s="175" t="n"/>
      <c r="C1491" s="124" t="n">
        <v>2026</v>
      </c>
      <c r="E1491" s="103" t="n"/>
      <c r="F1491" s="175" t="n"/>
      <c r="G1491" s="175" t="n"/>
      <c r="H1491" s="175" t="n"/>
      <c r="I1491" s="103" t="inlineStr">
        <is>
          <t>启用创建更新接口</t>
        </is>
      </c>
      <c r="J1491" s="93" t="inlineStr">
        <is>
          <t>EI</t>
        </is>
      </c>
      <c r="K1491" s="102" t="n"/>
      <c r="L1491" s="102" t="n"/>
      <c r="M1491" s="85">
        <f>IF(OR(Y1491="估算法",Y1491="算法类",Y1491="无法识别"),"",IF(W1491="",IF(OR(J1491="EI",J1491="EO",J1491="EQ"),0,""),LEN(W1491)-LEN(SUBSTITUTE(W1491,"、",""))+1))</f>
        <v/>
      </c>
      <c r="N1491" s="85">
        <f>IF(OR(Y1491="估算法",Y1491="算法类",Y1491="无法识别"),"",IF(X1491="",IF(OR(J1491="ILF",J1491="EIF"),0,""),LEN(X1491)-LEN(SUBSTITUTE(X1491,"、",""))+1))</f>
        <v/>
      </c>
      <c r="O1491" s="85">
        <f>IF(OR(Y1491="估算法",Y1491="算法类",Y1491="无法识别"),"",IF(Y1491="",IF(OR(J1491="ILF",J1491="EIF",J1491="EI",J1491="EO",J1491="EQ"),0,""),LEN(Y1491)-LEN(SUBSTITUTE(SUBSTITUTE(SUBSTITUTE(SUBSTITUTE(SUBSTITUTE(Y1491,"|}","--"),"{|","--"),CHAR(10),""),"、",""),"|",""))+IF(AND(OR(J1491="EI",J1491="EO",J1491="EQ"),$AE$1="NESMA"),2,1)))</f>
        <v/>
      </c>
      <c r="P1491" s="86">
        <f>IF(J1491="EI",IF(OR(Y1491="估算法",Y1491="算法类"),"中",IF(Y1491="无法识别","低",IF(M1491&lt;2,IF(O1491&lt;16,"低","中"),IF(M1491&lt;3,IF(O1491&lt;5,"低",IF(O1491&lt;16,"中","高")),IF(O1491&lt;5,"中","高"))))),IF(OR(J1491="EO",J1491="EQ"),IF(OR(Y1491="估算法",Y1491="算法类"),"中",IF(Y1491="无法识别","低",IF(M1491&lt;2,IF(O1491&lt;20,"低","中"),IF(M1491&lt;4,IF(O1491&lt;6,"低",IF(O1491&lt;20,"中","高")),IF(O1491&lt;6,"中","高"))))),IF(OR(J1491="ILF",J1491="EIF"),IF(OR(Y1491="估算法",Y1491="算法类",Y1491="无法识别"),"低",IF(N1491&lt;2,IF(O1491&lt;51,"低","中"),IF(N1491&lt;6,IF(O1491&lt;20,"低",IF(O1491&lt;51,"中","高")),IF(O1491&lt;20,"中","高")))),"不计算")))</f>
        <v/>
      </c>
      <c r="Q1491" s="172">
        <f>IFERROR(IF(J1491="EI",IF(P1491="低",3,IF(P1491="中",4,6)),IF(J1491="EO",IF(P1491="低",4,IF(P1491="中",5,7)),IF(J1491="EQ",IF(P1491="低",3,IF(P1491="中",4,6)),IF(J1491="ILF",IF(P1491="低",7,IF(P1491="中",10,15)),IF(J1491="EIF",IF(P1491="低",5,IF(P1491="中",7,10)),"不计算")))))*R1491,"不计算")</f>
        <v/>
      </c>
      <c r="R1491" s="172" t="n">
        <v>1</v>
      </c>
      <c r="S1491" s="173">
        <f>调整因子!$F$13</f>
        <v/>
      </c>
      <c r="T1491" s="92" t="n">
        <v>1</v>
      </c>
      <c r="U1491" s="174">
        <f>IFERROR(Q1491*S1491,0)</f>
        <v/>
      </c>
      <c r="V1491" s="178">
        <f>U1491*T1491</f>
        <v/>
      </c>
      <c r="W1491" s="103" t="inlineStr">
        <is>
          <t>处置单关联表、修复方案表</t>
        </is>
      </c>
      <c r="X1491" s="103" t="inlineStr"/>
      <c r="Y1491" s="97" t="inlineStr">
        <is>
          <t>处置单关联表{ID、名称、类型、状态、创建时间、更新时间|ID、名称、类型}
修复方案表{ID、名称、类型、状态、创建时间、更新时间|ID、名称、类型}</t>
        </is>
      </c>
      <c r="Z1491" s="90" t="n"/>
      <c r="AA1491" s="90" t="n"/>
    </row>
    <row r="1492" s="112">
      <c r="A1492" s="72">
        <f>ROW()-1</f>
        <v/>
      </c>
      <c r="B1492" s="175" t="n"/>
      <c r="C1492" s="124" t="n">
        <v>2026</v>
      </c>
      <c r="E1492" s="103" t="n"/>
      <c r="F1492" s="175" t="n"/>
      <c r="G1492" s="175" t="n"/>
      <c r="H1492" s="175" t="n"/>
      <c r="I1492" s="103" t="inlineStr">
        <is>
          <t>停用创建更新接口</t>
        </is>
      </c>
      <c r="J1492" s="93" t="n"/>
      <c r="K1492" s="102" t="n"/>
      <c r="L1492" s="102" t="inlineStr">
        <is>
          <t>和上行合并，启停为相同功能</t>
        </is>
      </c>
      <c r="M1492" s="85">
        <f>IF(OR(Y1492="估算法",Y1492="算法类",Y1492="无法识别"),"",IF(W1492="",IF(OR(J1492="EI",J1492="EO",J1492="EQ"),0,""),LEN(W1492)-LEN(SUBSTITUTE(W1492,"、",""))+1))</f>
        <v/>
      </c>
      <c r="N1492" s="85">
        <f>IF(OR(Y1492="估算法",Y1492="算法类",Y1492="无法识别"),"",IF(X1492="",IF(OR(J1492="ILF",J1492="EIF"),0,""),LEN(X1492)-LEN(SUBSTITUTE(X1492,"、",""))+1))</f>
        <v/>
      </c>
      <c r="O1492" s="85">
        <f>IF(OR(Y1492="估算法",Y1492="算法类",Y1492="无法识别"),"",IF(Y1492="",IF(OR(J1492="ILF",J1492="EIF",J1492="EI",J1492="EO",J1492="EQ"),0,""),LEN(Y1492)-LEN(SUBSTITUTE(SUBSTITUTE(SUBSTITUTE(SUBSTITUTE(SUBSTITUTE(Y1492,"|}","--"),"{|","--"),CHAR(10),""),"、",""),"|",""))+IF(AND(OR(J1492="EI",J1492="EO",J1492="EQ"),$AE$1="NESMA"),2,1)))</f>
        <v/>
      </c>
      <c r="P1492" s="86">
        <f>IF(J1492="EI",IF(OR(Y1492="估算法",Y1492="算法类"),"中",IF(Y1492="无法识别","低",IF(M1492&lt;2,IF(O1492&lt;16,"低","中"),IF(M1492&lt;3,IF(O1492&lt;5,"低",IF(O1492&lt;16,"中","高")),IF(O1492&lt;5,"中","高"))))),IF(OR(J1492="EO",J1492="EQ"),IF(OR(Y1492="估算法",Y1492="算法类"),"中",IF(Y1492="无法识别","低",IF(M1492&lt;2,IF(O1492&lt;20,"低","中"),IF(M1492&lt;4,IF(O1492&lt;6,"低",IF(O1492&lt;20,"中","高")),IF(O1492&lt;6,"中","高"))))),IF(OR(J1492="ILF",J1492="EIF"),IF(OR(Y1492="估算法",Y1492="算法类",Y1492="无法识别"),"低",IF(N1492&lt;2,IF(O1492&lt;51,"低","中"),IF(N1492&lt;6,IF(O1492&lt;20,"低",IF(O1492&lt;51,"中","高")),IF(O1492&lt;20,"中","高")))),"不计算")))</f>
        <v/>
      </c>
      <c r="Q1492" s="172">
        <f>IFERROR(IF(J1492="EI",IF(P1492="低",3,IF(P1492="中",4,6)),IF(J1492="EO",IF(P1492="低",4,IF(P1492="中",5,7)),IF(J1492="EQ",IF(P1492="低",3,IF(P1492="中",4,6)),IF(J1492="ILF",IF(P1492="低",7,IF(P1492="中",10,15)),IF(J1492="EIF",IF(P1492="低",5,IF(P1492="中",7,10)),"不计算")))))*R1492,"不计算")</f>
        <v/>
      </c>
      <c r="R1492" s="172" t="n">
        <v>1</v>
      </c>
      <c r="S1492" s="173">
        <f>调整因子!$F$13</f>
        <v/>
      </c>
      <c r="T1492" s="93" t="n">
        <v>1</v>
      </c>
      <c r="U1492" s="174">
        <f>IFERROR(Q1492*S1492,0)</f>
        <v/>
      </c>
      <c r="V1492" s="178">
        <f>U1492*T1492</f>
        <v/>
      </c>
      <c r="W1492" s="103" t="inlineStr">
        <is>
          <t>调用统计表</t>
        </is>
      </c>
      <c r="X1492" s="103" t="inlineStr"/>
      <c r="Y1492" s="97" t="inlineStr">
        <is>
          <t>调用统计表{ID、名称、类型、状态、创建时间、更新时间|ID、名称、类型}</t>
        </is>
      </c>
      <c r="Z1492" s="90" t="n"/>
      <c r="AA1492" s="90" t="n"/>
    </row>
    <row r="1493" s="112">
      <c r="A1493" s="72">
        <f>ROW()-1</f>
        <v/>
      </c>
      <c r="B1493" s="175" t="n"/>
      <c r="C1493" s="124" t="n">
        <v>2026</v>
      </c>
      <c r="E1493" s="103" t="n"/>
      <c r="F1493" s="175" t="n"/>
      <c r="G1493" s="175" t="n"/>
      <c r="H1493" s="175" t="n"/>
      <c r="I1493" s="103" t="inlineStr">
        <is>
          <t>删除资产数据</t>
        </is>
      </c>
      <c r="J1493" s="93" t="inlineStr">
        <is>
          <t>EI</t>
        </is>
      </c>
      <c r="K1493" s="102" t="n"/>
      <c r="L1493" s="102" t="n"/>
      <c r="M1493" s="85">
        <f>IF(OR(Y1493="估算法",Y1493="算法类",Y1493="无法识别"),"",IF(W1493="",IF(OR(J1493="EI",J1493="EO",J1493="EQ"),0,""),LEN(W1493)-LEN(SUBSTITUTE(W1493,"、",""))+1))</f>
        <v/>
      </c>
      <c r="N1493" s="85">
        <f>IF(OR(Y1493="估算法",Y1493="算法类",Y1493="无法识别"),"",IF(X1493="",IF(OR(J1493="ILF",J1493="EIF"),0,""),LEN(X1493)-LEN(SUBSTITUTE(X1493,"、",""))+1))</f>
        <v/>
      </c>
      <c r="O1493" s="85">
        <f>IF(OR(Y1493="估算法",Y1493="算法类",Y1493="无法识别"),"",IF(Y1493="",IF(OR(J1493="ILF",J1493="EIF",J1493="EI",J1493="EO",J1493="EQ"),0,""),LEN(Y1493)-LEN(SUBSTITUTE(SUBSTITUTE(SUBSTITUTE(SUBSTITUTE(SUBSTITUTE(Y1493,"|}","--"),"{|","--"),CHAR(10),""),"、",""),"|",""))+IF(AND(OR(J1493="EI",J1493="EO",J1493="EQ"),$AE$1="NESMA"),2,1)))</f>
        <v/>
      </c>
      <c r="P1493" s="86">
        <f>IF(J1493="EI",IF(OR(Y1493="估算法",Y1493="算法类"),"中",IF(Y1493="无法识别","低",IF(M1493&lt;2,IF(O1493&lt;16,"低","中"),IF(M1493&lt;3,IF(O1493&lt;5,"低",IF(O1493&lt;16,"中","高")),IF(O1493&lt;5,"中","高"))))),IF(OR(J1493="EO",J1493="EQ"),IF(OR(Y1493="估算法",Y1493="算法类"),"中",IF(Y1493="无法识别","低",IF(M1493&lt;2,IF(O1493&lt;20,"低","中"),IF(M1493&lt;4,IF(O1493&lt;6,"低",IF(O1493&lt;20,"中","高")),IF(O1493&lt;6,"中","高"))))),IF(OR(J1493="ILF",J1493="EIF"),IF(OR(Y1493="估算法",Y1493="算法类",Y1493="无法识别"),"低",IF(N1493&lt;2,IF(O1493&lt;51,"低","中"),IF(N1493&lt;6,IF(O1493&lt;20,"低",IF(O1493&lt;51,"中","高")),IF(O1493&lt;20,"中","高")))),"不计算")))</f>
        <v/>
      </c>
      <c r="Q1493" s="172">
        <f>IFERROR(IF(J1493="EI",IF(P1493="低",3,IF(P1493="中",4,6)),IF(J1493="EO",IF(P1493="低",4,IF(P1493="中",5,7)),IF(J1493="EQ",IF(P1493="低",3,IF(P1493="中",4,6)),IF(J1493="ILF",IF(P1493="低",7,IF(P1493="中",10,15)),IF(J1493="EIF",IF(P1493="低",5,IF(P1493="中",7,10)),"不计算")))))*R1493,"不计算")</f>
        <v/>
      </c>
      <c r="R1493" s="172" t="n">
        <v>0.333333333333333</v>
      </c>
      <c r="S1493" s="173">
        <f>调整因子!$F$13</f>
        <v/>
      </c>
      <c r="T1493" s="92" t="n">
        <v>1</v>
      </c>
      <c r="U1493" s="174">
        <f>IFERROR(Q1493*S1493,0)</f>
        <v/>
      </c>
      <c r="V1493" s="178">
        <f>U1493*T1493</f>
        <v/>
      </c>
      <c r="W1493" s="103" t="inlineStr">
        <is>
          <t>资产同步任务表、资产扫描覆盖表</t>
        </is>
      </c>
      <c r="X1493" s="103" t="inlineStr"/>
      <c r="Y1493" s="97" t="inlineStr">
        <is>
          <t>资产同步任务表{资产ID、资产名称、IP地址、资产类型、资产状态、创建时间、更新时间|资产ID、资产名称、IP地址}
资产扫描覆盖表{资产ID、资产名称、IP地址、资产类型、资产状态、创建时间、更新时间|资产ID、资产名称、IP地址}</t>
        </is>
      </c>
      <c r="Z1493" s="90" t="n"/>
      <c r="AA1493" s="90" t="n"/>
    </row>
    <row r="1494" s="112">
      <c r="A1494" s="72">
        <f>ROW()-1</f>
        <v/>
      </c>
      <c r="B1494" s="175" t="n"/>
      <c r="C1494" s="124" t="n">
        <v>2026</v>
      </c>
      <c r="E1494" s="103" t="n"/>
      <c r="F1494" s="175" t="n"/>
      <c r="G1494" s="175" t="n"/>
      <c r="H1494" s="175" t="n"/>
      <c r="I1494" s="103" t="inlineStr">
        <is>
          <t>推送操作通知</t>
        </is>
      </c>
      <c r="J1494" s="93" t="inlineStr">
        <is>
          <t>EO</t>
        </is>
      </c>
      <c r="K1494" s="102" t="n"/>
      <c r="L1494" s="102" t="n"/>
      <c r="M1494" s="85">
        <f>IF(OR(Y1494="估算法",Y1494="算法类",Y1494="无法识别"),"",IF(W1494="",IF(OR(J1494="EI",J1494="EO",J1494="EQ"),0,""),LEN(W1494)-LEN(SUBSTITUTE(W1494,"、",""))+1))</f>
        <v/>
      </c>
      <c r="N1494" s="85">
        <f>IF(OR(Y1494="估算法",Y1494="算法类",Y1494="无法识别"),"",IF(X1494="",IF(OR(J1494="ILF",J1494="EIF"),0,""),LEN(X1494)-LEN(SUBSTITUTE(X1494,"、",""))+1))</f>
        <v/>
      </c>
      <c r="O1494" s="85">
        <f>IF(OR(Y1494="估算法",Y1494="算法类",Y1494="无法识别"),"",IF(Y1494="",IF(OR(J1494="ILF",J1494="EIF",J1494="EI",J1494="EO",J1494="EQ"),0,""),LEN(Y1494)-LEN(SUBSTITUTE(SUBSTITUTE(SUBSTITUTE(SUBSTITUTE(SUBSTITUTE(Y1494,"|}","--"),"{|","--"),CHAR(10),""),"、",""),"|",""))+IF(AND(OR(J1494="EI",J1494="EO",J1494="EQ"),$AE$1="NESMA"),2,1)))</f>
        <v/>
      </c>
      <c r="P1494" s="86">
        <f>IF(J1494="EI",IF(OR(Y1494="估算法",Y1494="算法类"),"中",IF(Y1494="无法识别","低",IF(M1494&lt;2,IF(O1494&lt;16,"低","中"),IF(M1494&lt;3,IF(O1494&lt;5,"低",IF(O1494&lt;16,"中","高")),IF(O1494&lt;5,"中","高"))))),IF(OR(J1494="EO",J1494="EQ"),IF(OR(Y1494="估算法",Y1494="算法类"),"中",IF(Y1494="无法识别","低",IF(M1494&lt;2,IF(O1494&lt;20,"低","中"),IF(M1494&lt;4,IF(O1494&lt;6,"低",IF(O1494&lt;20,"中","高")),IF(O1494&lt;6,"中","高"))))),IF(OR(J1494="ILF",J1494="EIF"),IF(OR(Y1494="估算法",Y1494="算法类",Y1494="无法识别"),"低",IF(N1494&lt;2,IF(O1494&lt;51,"低","中"),IF(N1494&lt;6,IF(O1494&lt;20,"低",IF(O1494&lt;51,"中","高")),IF(O1494&lt;20,"中","高")))),"不计算")))</f>
        <v/>
      </c>
      <c r="Q1494" s="172">
        <f>IFERROR(IF(J1494="EI",IF(P1494="低",3,IF(P1494="中",4,6)),IF(J1494="EO",IF(P1494="低",4,IF(P1494="中",5,7)),IF(J1494="EQ",IF(P1494="低",3,IF(P1494="中",4,6)),IF(J1494="ILF",IF(P1494="低",7,IF(P1494="中",10,15)),IF(J1494="EIF",IF(P1494="低",5,IF(P1494="中",7,10)),"不计算")))))*R1494,"不计算")</f>
        <v/>
      </c>
      <c r="R1494" s="172" t="n">
        <v>1</v>
      </c>
      <c r="S1494" s="173">
        <f>调整因子!$F$13</f>
        <v/>
      </c>
      <c r="T1494" s="92" t="n">
        <v>1</v>
      </c>
      <c r="U1494" s="174">
        <f>IFERROR(Q1494*S1494,0)</f>
        <v/>
      </c>
      <c r="V1494" s="178">
        <f>U1494*T1494</f>
        <v/>
      </c>
      <c r="W1494" s="103" t="inlineStr">
        <is>
          <t>报告导入记录表、漏洞查询接口配置表</t>
        </is>
      </c>
      <c r="X1494" s="103" t="inlineStr"/>
      <c r="Y1494" s="97" t="inlineStr">
        <is>
          <t>报告导入记录表{ID、名称|ID、名称、类型、状态、创建时间、更新时间}
漏洞查询接口配置表{漏洞ID、漏洞名称|漏洞ID、漏洞名称、漏洞等级、漏洞类型、CVE编号、发现时间、修复状态}</t>
        </is>
      </c>
      <c r="Z1494" s="90" t="n"/>
      <c r="AA1494" s="90" t="n"/>
    </row>
    <row r="1495" s="112">
      <c r="A1495" s="72">
        <f>ROW()-1</f>
        <v/>
      </c>
      <c r="B1495" s="175" t="n"/>
      <c r="C1495" s="124" t="n">
        <v>2026</v>
      </c>
      <c r="E1495" s="103" t="n"/>
      <c r="F1495" s="175" t="n"/>
      <c r="G1495" s="175" t="n"/>
      <c r="H1495" s="175" t="n"/>
      <c r="I1495" s="103" t="inlineStr">
        <is>
          <t>查询接口状态</t>
        </is>
      </c>
      <c r="J1495" s="93" t="inlineStr">
        <is>
          <t>EQ</t>
        </is>
      </c>
      <c r="K1495" s="102" t="n"/>
      <c r="L1495" s="102" t="n"/>
      <c r="M1495" s="85">
        <f>IF(OR(Y1495="估算法",Y1495="算法类",Y1495="无法识别"),"",IF(W1495="",IF(OR(J1495="EI",J1495="EO",J1495="EQ"),0,""),LEN(W1495)-LEN(SUBSTITUTE(W1495,"、",""))+1))</f>
        <v/>
      </c>
      <c r="N1495" s="85">
        <f>IF(OR(Y1495="估算法",Y1495="算法类",Y1495="无法识别"),"",IF(X1495="",IF(OR(J1495="ILF",J1495="EIF"),0,""),LEN(X1495)-LEN(SUBSTITUTE(X1495,"、",""))+1))</f>
        <v/>
      </c>
      <c r="O1495" s="85">
        <f>IF(OR(Y1495="估算法",Y1495="算法类",Y1495="无法识别"),"",IF(Y1495="",IF(OR(J1495="ILF",J1495="EIF",J1495="EI",J1495="EO",J1495="EQ"),0,""),LEN(Y1495)-LEN(SUBSTITUTE(SUBSTITUTE(SUBSTITUTE(SUBSTITUTE(SUBSTITUTE(Y1495,"|}","--"),"{|","--"),CHAR(10),""),"、",""),"|",""))+IF(AND(OR(J1495="EI",J1495="EO",J1495="EQ"),$AE$1="NESMA"),2,1)))</f>
        <v/>
      </c>
      <c r="P1495" s="86">
        <f>IF(J1495="EI",IF(OR(Y1495="估算法",Y1495="算法类"),"中",IF(Y1495="无法识别","低",IF(M1495&lt;2,IF(O1495&lt;16,"低","中"),IF(M1495&lt;3,IF(O1495&lt;5,"低",IF(O1495&lt;16,"中","高")),IF(O1495&lt;5,"中","高"))))),IF(OR(J1495="EO",J1495="EQ"),IF(OR(Y1495="估算法",Y1495="算法类"),"中",IF(Y1495="无法识别","低",IF(M1495&lt;2,IF(O1495&lt;20,"低","中"),IF(M1495&lt;4,IF(O1495&lt;6,"低",IF(O1495&lt;20,"中","高")),IF(O1495&lt;6,"中","高"))))),IF(OR(J1495="ILF",J1495="EIF"),IF(OR(Y1495="估算法",Y1495="算法类",Y1495="无法识别"),"低",IF(N1495&lt;2,IF(O1495&lt;51,"低","中"),IF(N1495&lt;6,IF(O1495&lt;20,"低",IF(O1495&lt;51,"中","高")),IF(O1495&lt;20,"中","高")))),"不计算")))</f>
        <v/>
      </c>
      <c r="Q1495" s="172">
        <f>IFERROR(IF(J1495="EI",IF(P1495="低",3,IF(P1495="中",4,6)),IF(J1495="EO",IF(P1495="低",4,IF(P1495="中",5,7)),IF(J1495="EQ",IF(P1495="低",3,IF(P1495="中",4,6)),IF(J1495="ILF",IF(P1495="低",7,IF(P1495="中",10,15)),IF(J1495="EIF",IF(P1495="低",5,IF(P1495="中",7,10)),"不计算")))))*R1495,"不计算")</f>
        <v/>
      </c>
      <c r="R1495" s="172" t="n">
        <v>1</v>
      </c>
      <c r="S1495" s="173">
        <f>调整因子!$F$13</f>
        <v/>
      </c>
      <c r="T1495" s="93" t="n">
        <v>1</v>
      </c>
      <c r="U1495" s="174">
        <f>IFERROR(Q1495*S1495,0)</f>
        <v/>
      </c>
      <c r="V1495" s="178">
        <f>U1495*T1495</f>
        <v/>
      </c>
      <c r="W1495" s="103" t="inlineStr">
        <is>
          <t>日志采集配置表、审计日志表</t>
        </is>
      </c>
      <c r="X1495" s="103" t="inlineStr"/>
      <c r="Y1495" s="97" t="inlineStr">
        <is>
          <t>日志采集配置表{配置ID、配置名称|配置ID、配置名称、配置类型、配置值、创建时间}
审计日志表{日志ID、操作人|日志ID、操作人、操作类型、操作时间、操作内容}</t>
        </is>
      </c>
      <c r="Z1495" s="90" t="n"/>
      <c r="AA1495" s="90" t="n"/>
    </row>
    <row r="1496" s="112">
      <c r="A1496" s="72">
        <f>ROW()-1</f>
        <v/>
      </c>
      <c r="B1496" s="175" t="n"/>
      <c r="C1496" s="124" t="n">
        <v>2026</v>
      </c>
      <c r="E1496" s="103" t="n"/>
      <c r="F1496" s="175" t="n"/>
      <c r="G1496" s="176" t="n"/>
      <c r="H1496" s="176" t="n"/>
      <c r="I1496" s="103" t="inlineStr">
        <is>
          <t>查看接口详情</t>
        </is>
      </c>
      <c r="J1496" s="93" t="n"/>
      <c r="K1496" s="102" t="n"/>
      <c r="L1496" s="102" t="inlineStr">
        <is>
          <t>重复功能</t>
        </is>
      </c>
      <c r="M1496" s="85">
        <f>IF(OR(Y1496="估算法",Y1496="算法类",Y1496="无法识别"),"",IF(W1496="",IF(OR(J1496="EI",J1496="EO",J1496="EQ"),0,""),LEN(W1496)-LEN(SUBSTITUTE(W1496,"、",""))+1))</f>
        <v/>
      </c>
      <c r="N1496" s="85">
        <f>IF(OR(Y1496="估算法",Y1496="算法类",Y1496="无法识别"),"",IF(X1496="",IF(OR(J1496="ILF",J1496="EIF"),0,""),LEN(X1496)-LEN(SUBSTITUTE(X1496,"、",""))+1))</f>
        <v/>
      </c>
      <c r="O1496" s="85">
        <f>IF(OR(Y1496="估算法",Y1496="算法类",Y1496="无法识别"),"",IF(Y1496="",IF(OR(J1496="ILF",J1496="EIF",J1496="EI",J1496="EO",J1496="EQ"),0,""),LEN(Y1496)-LEN(SUBSTITUTE(SUBSTITUTE(SUBSTITUTE(SUBSTITUTE(SUBSTITUTE(Y1496,"|}","--"),"{|","--"),CHAR(10),""),"、",""),"|",""))+IF(AND(OR(J1496="EI",J1496="EO",J1496="EQ"),$AE$1="NESMA"),2,1)))</f>
        <v/>
      </c>
      <c r="P1496" s="86">
        <f>IF(J1496="EI",IF(OR(Y1496="估算法",Y1496="算法类"),"中",IF(Y1496="无法识别","低",IF(M1496&lt;2,IF(O1496&lt;16,"低","中"),IF(M1496&lt;3,IF(O1496&lt;5,"低",IF(O1496&lt;16,"中","高")),IF(O1496&lt;5,"中","高"))))),IF(OR(J1496="EO",J1496="EQ"),IF(OR(Y1496="估算法",Y1496="算法类"),"中",IF(Y1496="无法识别","低",IF(M1496&lt;2,IF(O1496&lt;20,"低","中"),IF(M1496&lt;4,IF(O1496&lt;6,"低",IF(O1496&lt;20,"中","高")),IF(O1496&lt;6,"中","高"))))),IF(OR(J1496="ILF",J1496="EIF"),IF(OR(Y1496="估算法",Y1496="算法类",Y1496="无法识别"),"低",IF(N1496&lt;2,IF(O1496&lt;51,"低","中"),IF(N1496&lt;6,IF(O1496&lt;20,"低",IF(O1496&lt;51,"中","高")),IF(O1496&lt;20,"中","高")))),"不计算")))</f>
        <v/>
      </c>
      <c r="Q1496" s="172">
        <f>IFERROR(IF(J1496="EI",IF(P1496="低",3,IF(P1496="中",4,6)),IF(J1496="EO",IF(P1496="低",4,IF(P1496="中",5,7)),IF(J1496="EQ",IF(P1496="低",3,IF(P1496="中",4,6)),IF(J1496="ILF",IF(P1496="低",7,IF(P1496="中",10,15)),IF(J1496="EIF",IF(P1496="低",5,IF(P1496="中",7,10)),"不计算")))))*R1496,"不计算")</f>
        <v/>
      </c>
      <c r="R1496" s="172" t="n">
        <v>1</v>
      </c>
      <c r="S1496" s="173">
        <f>调整因子!$F$13</f>
        <v/>
      </c>
      <c r="T1496" s="93" t="n">
        <v>1</v>
      </c>
      <c r="U1496" s="174">
        <f>IFERROR(Q1496*S1496,0)</f>
        <v/>
      </c>
      <c r="V1496" s="178">
        <f>U1496*T1496</f>
        <v/>
      </c>
      <c r="W1496" s="103" t="inlineStr">
        <is>
          <t>指标阈值表、离线扫描报告表</t>
        </is>
      </c>
      <c r="X1496" s="103" t="inlineStr"/>
      <c r="Y1496" s="97" t="inlineStr">
        <is>
          <t>指标阈值表{ID、名称|ID、名称、类型、状态、创建时间、更新时间}
离线扫描报告表{任务ID、任务名称|任务ID、任务名称、任务状态、扫描器类型、开始时间、结束时间、扫描结果}</t>
        </is>
      </c>
      <c r="Z1496" s="90" t="n"/>
      <c r="AA1496" s="90" t="n"/>
    </row>
    <row r="1497" s="112">
      <c r="A1497" s="72">
        <f>ROW()-1</f>
        <v/>
      </c>
      <c r="B1497" s="175" t="n"/>
      <c r="C1497" s="124" t="n">
        <v>2026</v>
      </c>
      <c r="E1497" s="103" t="n"/>
      <c r="F1497" s="175" t="n"/>
      <c r="G1497" s="97" t="inlineStr">
        <is>
          <t>多扫描器结果合并引擎</t>
        </is>
      </c>
      <c r="H1497" s="97" t="inlineStr">
        <is>
          <t>扫描任务接口管理</t>
        </is>
      </c>
      <c r="I1497" s="103" t="inlineStr">
        <is>
          <t>扫描任务接口配置表</t>
        </is>
      </c>
      <c r="J1497" s="93" t="inlineStr">
        <is>
          <t>ILF</t>
        </is>
      </c>
      <c r="K1497" s="102" t="n"/>
      <c r="L1497" s="102" t="n"/>
      <c r="M1497" s="85">
        <f>IF(OR(Y1497="估算法",Y1497="算法类",Y1497="无法识别"),"",IF(W1497="",IF(OR(J1497="EI",J1497="EO",J1497="EQ"),0,""),LEN(W1497)-LEN(SUBSTITUTE(W1497,"、",""))+1))</f>
        <v/>
      </c>
      <c r="N1497" s="85">
        <f>IF(OR(Y1497="估算法",Y1497="算法类",Y1497="无法识别"),"",IF(X1497="",IF(OR(J1497="ILF",J1497="EIF"),0,""),LEN(X1497)-LEN(SUBSTITUTE(X1497,"、",""))+1))</f>
        <v/>
      </c>
      <c r="O1497" s="85">
        <f>IF(OR(Y1497="估算法",Y1497="算法类",Y1497="无法识别"),"",IF(Y1497="",IF(OR(J1497="ILF",J1497="EIF",J1497="EI",J1497="EO",J1497="EQ"),0,""),LEN(Y1497)-LEN(SUBSTITUTE(SUBSTITUTE(SUBSTITUTE(SUBSTITUTE(SUBSTITUTE(Y1497,"|}","--"),"{|","--"),CHAR(10),""),"、",""),"|",""))+IF(AND(OR(J1497="EI",J1497="EO",J1497="EQ"),$AE$1="NESMA"),2,1)))</f>
        <v/>
      </c>
      <c r="P1497" s="86">
        <f>IF(J1497="EI",IF(OR(Y1497="估算法",Y1497="算法类"),"中",IF(Y1497="无法识别","低",IF(M1497&lt;2,IF(O1497&lt;16,"低","中"),IF(M1497&lt;3,IF(O1497&lt;5,"低",IF(O1497&lt;16,"中","高")),IF(O1497&lt;5,"中","高"))))),IF(OR(J1497="EO",J1497="EQ"),IF(OR(Y1497="估算法",Y1497="算法类"),"中",IF(Y1497="无法识别","低",IF(M1497&lt;2,IF(O1497&lt;20,"低","中"),IF(M1497&lt;4,IF(O1497&lt;6,"低",IF(O1497&lt;20,"中","高")),IF(O1497&lt;6,"中","高"))))),IF(OR(J1497="ILF",J1497="EIF"),IF(OR(Y1497="估算法",Y1497="算法类",Y1497="无法识别"),"低",IF(N1497&lt;2,IF(O1497&lt;51,"低","中"),IF(N1497&lt;6,IF(O1497&lt;20,"低",IF(O1497&lt;51,"中","高")),IF(O1497&lt;20,"中","高")))),"不计算")))</f>
        <v/>
      </c>
      <c r="Q1497" s="172">
        <f>IFERROR(IF(J1497="EI",IF(P1497="低",3,IF(P1497="中",4,6)),IF(J1497="EO",IF(P1497="低",4,IF(P1497="中",5,7)),IF(J1497="EQ",IF(P1497="低",3,IF(P1497="中",4,6)),IF(J1497="ILF",IF(P1497="低",7,IF(P1497="中",10,15)),IF(J1497="EIF",IF(P1497="低",5,IF(P1497="中",7,10)),"不计算")))))*R1497,"不计算")</f>
        <v/>
      </c>
      <c r="R1497" s="172" t="n">
        <v>1</v>
      </c>
      <c r="S1497" s="173">
        <f>调整因子!$F$13</f>
        <v/>
      </c>
      <c r="T1497" s="92" t="n">
        <v>1</v>
      </c>
      <c r="U1497" s="174">
        <f>IFERROR(Q1497*S1497,0)</f>
        <v/>
      </c>
      <c r="V1497" s="178">
        <f>U1497*T1497</f>
        <v/>
      </c>
      <c r="W1497" s="103" t="inlineStr"/>
      <c r="X1497" s="103" t="inlineStr">
        <is>
          <t>扫描任务</t>
        </is>
      </c>
      <c r="Y1497" s="97" t="inlineStr">
        <is>
          <t>扫描任务接口配置表{任务ID、任务名称、任务状态|任务ID、任务名称、任务状态、扫描器类型、开始时间、结束时间、扫描结果}</t>
        </is>
      </c>
      <c r="Z1497" s="90">
        <f>IF(COUNTIFS(W:W,"*"&amp;I1497&amp;"*")&gt;0,"存在","不存在")</f>
        <v/>
      </c>
      <c r="AA1497" s="90">
        <f>IF(COUNTIFS(AB:AB,"*"&amp;I1497&amp;"*")&gt;0,"存在","不存在")</f>
        <v/>
      </c>
    </row>
    <row r="1498" s="112">
      <c r="A1498" s="72">
        <f>ROW()-1</f>
        <v/>
      </c>
      <c r="B1498" s="175" t="n"/>
      <c r="C1498" s="124" t="n">
        <v>2026</v>
      </c>
      <c r="E1498" s="103" t="n"/>
      <c r="F1498" s="175" t="n"/>
      <c r="G1498" s="175" t="n"/>
      <c r="H1498" s="175" t="n"/>
      <c r="I1498" s="103" t="inlineStr">
        <is>
          <t>接口参数表</t>
        </is>
      </c>
      <c r="J1498" s="93" t="inlineStr">
        <is>
          <t>ILF</t>
        </is>
      </c>
      <c r="K1498" s="102" t="n"/>
      <c r="L1498" s="102" t="n"/>
      <c r="M1498" s="85">
        <f>IF(OR(Y1498="估算法",Y1498="算法类",Y1498="无法识别"),"",IF(W1498="",IF(OR(J1498="EI",J1498="EO",J1498="EQ"),0,""),LEN(W1498)-LEN(SUBSTITUTE(W1498,"、",""))+1))</f>
        <v/>
      </c>
      <c r="N1498" s="85">
        <f>IF(OR(Y1498="估算法",Y1498="算法类",Y1498="无法识别"),"",IF(X1498="",IF(OR(J1498="ILF",J1498="EIF"),0,""),LEN(X1498)-LEN(SUBSTITUTE(X1498,"、",""))+1))</f>
        <v/>
      </c>
      <c r="O1498" s="85">
        <f>IF(OR(Y1498="估算法",Y1498="算法类",Y1498="无法识别"),"",IF(Y1498="",IF(OR(J1498="ILF",J1498="EIF",J1498="EI",J1498="EO",J1498="EQ"),0,""),LEN(Y1498)-LEN(SUBSTITUTE(SUBSTITUTE(SUBSTITUTE(SUBSTITUTE(SUBSTITUTE(Y1498,"|}","--"),"{|","--"),CHAR(10),""),"、",""),"|",""))+IF(AND(OR(J1498="EI",J1498="EO",J1498="EQ"),$AE$1="NESMA"),2,1)))</f>
        <v/>
      </c>
      <c r="P1498" s="86">
        <f>IF(J1498="EI",IF(OR(Y1498="估算法",Y1498="算法类"),"中",IF(Y1498="无法识别","低",IF(M1498&lt;2,IF(O1498&lt;16,"低","中"),IF(M1498&lt;3,IF(O1498&lt;5,"低",IF(O1498&lt;16,"中","高")),IF(O1498&lt;5,"中","高"))))),IF(OR(J1498="EO",J1498="EQ"),IF(OR(Y1498="估算法",Y1498="算法类"),"中",IF(Y1498="无法识别","低",IF(M1498&lt;2,IF(O1498&lt;20,"低","中"),IF(M1498&lt;4,IF(O1498&lt;6,"低",IF(O1498&lt;20,"中","高")),IF(O1498&lt;6,"中","高"))))),IF(OR(J1498="ILF",J1498="EIF"),IF(OR(Y1498="估算法",Y1498="算法类",Y1498="无法识别"),"低",IF(N1498&lt;2,IF(O1498&lt;51,"低","中"),IF(N1498&lt;6,IF(O1498&lt;20,"低",IF(O1498&lt;51,"中","高")),IF(O1498&lt;20,"中","高")))),"不计算")))</f>
        <v/>
      </c>
      <c r="Q1498" s="172">
        <f>IFERROR(IF(J1498="EI",IF(P1498="低",3,IF(P1498="中",4,6)),IF(J1498="EO",IF(P1498="低",4,IF(P1498="中",5,7)),IF(J1498="EQ",IF(P1498="低",3,IF(P1498="中",4,6)),IF(J1498="ILF",IF(P1498="低",7,IF(P1498="中",10,15)),IF(J1498="EIF",IF(P1498="低",5,IF(P1498="中",7,10)),"不计算")))))*R1498,"不计算")</f>
        <v/>
      </c>
      <c r="R1498" s="172" t="n">
        <v>1</v>
      </c>
      <c r="S1498" s="173">
        <f>调整因子!$F$13</f>
        <v/>
      </c>
      <c r="T1498" s="92" t="n">
        <v>1</v>
      </c>
      <c r="U1498" s="174">
        <f>IFERROR(Q1498*S1498,0)</f>
        <v/>
      </c>
      <c r="V1498" s="178">
        <f>U1498*T1498</f>
        <v/>
      </c>
      <c r="W1498" s="103" t="inlineStr"/>
      <c r="X1498" s="103" t="inlineStr">
        <is>
          <t>数据记录</t>
        </is>
      </c>
      <c r="Y1498" s="97" t="inlineStr">
        <is>
          <t>接口参数表{接口ID、接口名称、接口类型|接口ID、接口名称、接口类型、接口地址、调用时间}</t>
        </is>
      </c>
      <c r="Z1498" s="90">
        <f>IF(COUNTIFS(W:W,"*"&amp;I1498&amp;"*")&gt;0,"存在","不存在")</f>
        <v/>
      </c>
      <c r="AA1498" s="90">
        <f>IF(COUNTIFS(AB:AB,"*"&amp;I1498&amp;"*")&gt;0,"存在","不存在")</f>
        <v/>
      </c>
    </row>
    <row r="1499" s="112">
      <c r="A1499" s="72">
        <f>ROW()-1</f>
        <v/>
      </c>
      <c r="B1499" s="175" t="n"/>
      <c r="C1499" s="124" t="n">
        <v>2026</v>
      </c>
      <c r="E1499" s="103" t="n"/>
      <c r="F1499" s="175" t="n"/>
      <c r="G1499" s="175" t="n"/>
      <c r="H1499" s="175" t="n"/>
      <c r="I1499" s="103" t="inlineStr">
        <is>
          <t>编辑扫描任务接口</t>
        </is>
      </c>
      <c r="J1499" s="93" t="inlineStr">
        <is>
          <t>EI</t>
        </is>
      </c>
      <c r="K1499" s="102" t="n"/>
      <c r="L1499" s="102" t="n"/>
      <c r="M1499" s="85">
        <f>IF(OR(Y1499="估算法",Y1499="算法类",Y1499="无法识别"),"",IF(W1499="",IF(OR(J1499="EI",J1499="EO",J1499="EQ"),0,""),LEN(W1499)-LEN(SUBSTITUTE(W1499,"、",""))+1))</f>
        <v/>
      </c>
      <c r="N1499" s="85">
        <f>IF(OR(Y1499="估算法",Y1499="算法类",Y1499="无法识别"),"",IF(X1499="",IF(OR(J1499="ILF",J1499="EIF"),0,""),LEN(X1499)-LEN(SUBSTITUTE(X1499,"、",""))+1))</f>
        <v/>
      </c>
      <c r="O1499" s="85">
        <f>IF(OR(Y1499="估算法",Y1499="算法类",Y1499="无法识别"),"",IF(Y1499="",IF(OR(J1499="ILF",J1499="EIF",J1499="EI",J1499="EO",J1499="EQ"),0,""),LEN(Y1499)-LEN(SUBSTITUTE(SUBSTITUTE(SUBSTITUTE(SUBSTITUTE(SUBSTITUTE(Y1499,"|}","--"),"{|","--"),CHAR(10),""),"、",""),"|",""))+IF(AND(OR(J1499="EI",J1499="EO",J1499="EQ"),$AE$1="NESMA"),2,1)))</f>
        <v/>
      </c>
      <c r="P1499" s="86">
        <f>IF(J1499="EI",IF(OR(Y1499="估算法",Y1499="算法类"),"中",IF(Y1499="无法识别","低",IF(M1499&lt;2,IF(O1499&lt;16,"低","中"),IF(M1499&lt;3,IF(O1499&lt;5,"低",IF(O1499&lt;16,"中","高")),IF(O1499&lt;5,"中","高"))))),IF(OR(J1499="EO",J1499="EQ"),IF(OR(Y1499="估算法",Y1499="算法类"),"中",IF(Y1499="无法识别","低",IF(M1499&lt;2,IF(O1499&lt;20,"低","中"),IF(M1499&lt;4,IF(O1499&lt;6,"低",IF(O1499&lt;20,"中","高")),IF(O1499&lt;6,"中","高"))))),IF(OR(J1499="ILF",J1499="EIF"),IF(OR(Y1499="估算法",Y1499="算法类",Y1499="无法识别"),"低",IF(N1499&lt;2,IF(O1499&lt;51,"低","中"),IF(N1499&lt;6,IF(O1499&lt;20,"低",IF(O1499&lt;51,"中","高")),IF(O1499&lt;20,"中","高")))),"不计算")))</f>
        <v/>
      </c>
      <c r="Q1499" s="172">
        <f>IFERROR(IF(J1499="EI",IF(P1499="低",3,IF(P1499="中",4,6)),IF(J1499="EO",IF(P1499="低",4,IF(P1499="中",5,7)),IF(J1499="EQ",IF(P1499="低",3,IF(P1499="中",4,6)),IF(J1499="ILF",IF(P1499="低",7,IF(P1499="中",10,15)),IF(J1499="EIF",IF(P1499="低",5,IF(P1499="中",7,10)),"不计算")))))*R1499,"不计算")</f>
        <v/>
      </c>
      <c r="R1499" s="172" t="n">
        <v>1</v>
      </c>
      <c r="S1499" s="173">
        <f>调整因子!$F$13</f>
        <v/>
      </c>
      <c r="T1499" s="93" t="n">
        <v>1</v>
      </c>
      <c r="U1499" s="174">
        <f>IFERROR(Q1499*S1499,0)</f>
        <v/>
      </c>
      <c r="V1499" s="178">
        <f>U1499*T1499</f>
        <v/>
      </c>
      <c r="W1499" s="103" t="inlineStr">
        <is>
          <t>数据清洗任务表、资产同步任务表</t>
        </is>
      </c>
      <c r="X1499" s="103" t="inlineStr"/>
      <c r="Y1499" s="97" t="inlineStr">
        <is>
          <t>数据清洗任务表{任务ID、任务名称、任务类型、任务状态、创建时间、执行时间|任务ID、任务名称、任务类型}
资产同步任务表{资产ID、资产名称、IP地址、资产类型、资产状态、创建时间、更新时间|资产ID、资产名称、IP地址}</t>
        </is>
      </c>
      <c r="Z1499" s="90" t="n"/>
      <c r="AA1499" s="90" t="n"/>
    </row>
    <row r="1500" s="112">
      <c r="A1500" s="72">
        <f>ROW()-1</f>
        <v/>
      </c>
      <c r="B1500" s="175" t="n"/>
      <c r="C1500" s="124" t="n">
        <v>2026</v>
      </c>
      <c r="E1500" s="103" t="n"/>
      <c r="F1500" s="175" t="n"/>
      <c r="G1500" s="175" t="n"/>
      <c r="H1500" s="175" t="n"/>
      <c r="I1500" s="103" t="inlineStr">
        <is>
          <t>删除扫描任务接口</t>
        </is>
      </c>
      <c r="J1500" s="93" t="inlineStr">
        <is>
          <t>EI</t>
        </is>
      </c>
      <c r="K1500" s="102" t="n"/>
      <c r="L1500" s="102" t="n"/>
      <c r="M1500" s="85">
        <f>IF(OR(Y1500="估算法",Y1500="算法类",Y1500="无法识别"),"",IF(W1500="",IF(OR(J1500="EI",J1500="EO",J1500="EQ"),0,""),LEN(W1500)-LEN(SUBSTITUTE(W1500,"、",""))+1))</f>
        <v/>
      </c>
      <c r="N1500" s="85">
        <f>IF(OR(Y1500="估算法",Y1500="算法类",Y1500="无法识别"),"",IF(X1500="",IF(OR(J1500="ILF",J1500="EIF"),0,""),LEN(X1500)-LEN(SUBSTITUTE(X1500,"、",""))+1))</f>
        <v/>
      </c>
      <c r="O1500" s="85">
        <f>IF(OR(Y1500="估算法",Y1500="算法类",Y1500="无法识别"),"",IF(Y1500="",IF(OR(J1500="ILF",J1500="EIF",J1500="EI",J1500="EO",J1500="EQ"),0,""),LEN(Y1500)-LEN(SUBSTITUTE(SUBSTITUTE(SUBSTITUTE(SUBSTITUTE(SUBSTITUTE(Y1500,"|}","--"),"{|","--"),CHAR(10),""),"、",""),"|",""))+IF(AND(OR(J1500="EI",J1500="EO",J1500="EQ"),$AE$1="NESMA"),2,1)))</f>
        <v/>
      </c>
      <c r="P1500" s="86">
        <f>IF(J1500="EI",IF(OR(Y1500="估算法",Y1500="算法类"),"中",IF(Y1500="无法识别","低",IF(M1500&lt;2,IF(O1500&lt;16,"低","中"),IF(M1500&lt;3,IF(O1500&lt;5,"低",IF(O1500&lt;16,"中","高")),IF(O1500&lt;5,"中","高"))))),IF(OR(J1500="EO",J1500="EQ"),IF(OR(Y1500="估算法",Y1500="算法类"),"中",IF(Y1500="无法识别","低",IF(M1500&lt;2,IF(O1500&lt;20,"低","中"),IF(M1500&lt;4,IF(O1500&lt;6,"低",IF(O1500&lt;20,"中","高")),IF(O1500&lt;6,"中","高"))))),IF(OR(J1500="ILF",J1500="EIF"),IF(OR(Y1500="估算法",Y1500="算法类",Y1500="无法识别"),"低",IF(N1500&lt;2,IF(O1500&lt;51,"低","中"),IF(N1500&lt;6,IF(O1500&lt;20,"低",IF(O1500&lt;51,"中","高")),IF(O1500&lt;20,"中","高")))),"不计算")))</f>
        <v/>
      </c>
      <c r="Q1500" s="172">
        <f>IFERROR(IF(J1500="EI",IF(P1500="低",3,IF(P1500="中",4,6)),IF(J1500="EO",IF(P1500="低",4,IF(P1500="中",5,7)),IF(J1500="EQ",IF(P1500="低",3,IF(P1500="中",4,6)),IF(J1500="ILF",IF(P1500="低",7,IF(P1500="中",10,15)),IF(J1500="EIF",IF(P1500="低",5,IF(P1500="中",7,10)),"不计算")))))*R1500,"不计算")</f>
        <v/>
      </c>
      <c r="R1500" s="172" t="n">
        <v>0.333333333333333</v>
      </c>
      <c r="S1500" s="173">
        <f>调整因子!$F$13</f>
        <v/>
      </c>
      <c r="T1500" s="92" t="n">
        <v>1</v>
      </c>
      <c r="U1500" s="174">
        <f>IFERROR(Q1500*S1500,0)</f>
        <v/>
      </c>
      <c r="V1500" s="178">
        <f>U1500*T1500</f>
        <v/>
      </c>
      <c r="W1500" s="103" t="inlineStr">
        <is>
          <t>数据清洗任务表</t>
        </is>
      </c>
      <c r="X1500" s="103" t="inlineStr"/>
      <c r="Y1500" s="97" t="inlineStr">
        <is>
          <t>数据清洗任务表{任务ID、任务名称、任务类型、任务状态、创建时间、执行时间|任务ID、任务名称、任务类型}</t>
        </is>
      </c>
      <c r="Z1500" s="90" t="n"/>
      <c r="AA1500" s="90" t="n"/>
    </row>
    <row r="1501" s="112">
      <c r="A1501" s="72">
        <f>ROW()-1</f>
        <v/>
      </c>
      <c r="B1501" s="175" t="n"/>
      <c r="C1501" s="124" t="n">
        <v>2026</v>
      </c>
      <c r="E1501" s="103" t="n"/>
      <c r="F1501" s="175" t="n"/>
      <c r="G1501" s="175" t="n"/>
      <c r="H1501" s="175" t="n"/>
      <c r="I1501" s="103" t="inlineStr">
        <is>
          <t>启用扫描任务接口</t>
        </is>
      </c>
      <c r="J1501" s="93" t="inlineStr">
        <is>
          <t>EI</t>
        </is>
      </c>
      <c r="K1501" s="102" t="n"/>
      <c r="L1501" s="102" t="n"/>
      <c r="M1501" s="85">
        <f>IF(OR(Y1501="估算法",Y1501="算法类",Y1501="无法识别"),"",IF(W1501="",IF(OR(J1501="EI",J1501="EO",J1501="EQ"),0,""),LEN(W1501)-LEN(SUBSTITUTE(W1501,"、",""))+1))</f>
        <v/>
      </c>
      <c r="N1501" s="85">
        <f>IF(OR(Y1501="估算法",Y1501="算法类",Y1501="无法识别"),"",IF(X1501="",IF(OR(J1501="ILF",J1501="EIF"),0,""),LEN(X1501)-LEN(SUBSTITUTE(X1501,"、",""))+1))</f>
        <v/>
      </c>
      <c r="O1501" s="85">
        <f>IF(OR(Y1501="估算法",Y1501="算法类",Y1501="无法识别"),"",IF(Y1501="",IF(OR(J1501="ILF",J1501="EIF",J1501="EI",J1501="EO",J1501="EQ"),0,""),LEN(Y1501)-LEN(SUBSTITUTE(SUBSTITUTE(SUBSTITUTE(SUBSTITUTE(SUBSTITUTE(Y1501,"|}","--"),"{|","--"),CHAR(10),""),"、",""),"|",""))+IF(AND(OR(J1501="EI",J1501="EO",J1501="EQ"),$AE$1="NESMA"),2,1)))</f>
        <v/>
      </c>
      <c r="P1501" s="86">
        <f>IF(J1501="EI",IF(OR(Y1501="估算法",Y1501="算法类"),"中",IF(Y1501="无法识别","低",IF(M1501&lt;2,IF(O1501&lt;16,"低","中"),IF(M1501&lt;3,IF(O1501&lt;5,"低",IF(O1501&lt;16,"中","高")),IF(O1501&lt;5,"中","高"))))),IF(OR(J1501="EO",J1501="EQ"),IF(OR(Y1501="估算法",Y1501="算法类"),"中",IF(Y1501="无法识别","低",IF(M1501&lt;2,IF(O1501&lt;20,"低","中"),IF(M1501&lt;4,IF(O1501&lt;6,"低",IF(O1501&lt;20,"中","高")),IF(O1501&lt;6,"中","高"))))),IF(OR(J1501="ILF",J1501="EIF"),IF(OR(Y1501="估算法",Y1501="算法类",Y1501="无法识别"),"低",IF(N1501&lt;2,IF(O1501&lt;51,"低","中"),IF(N1501&lt;6,IF(O1501&lt;20,"低",IF(O1501&lt;51,"中","高")),IF(O1501&lt;20,"中","高")))),"不计算")))</f>
        <v/>
      </c>
      <c r="Q1501" s="172">
        <f>IFERROR(IF(J1501="EI",IF(P1501="低",3,IF(P1501="中",4,6)),IF(J1501="EO",IF(P1501="低",4,IF(P1501="中",5,7)),IF(J1501="EQ",IF(P1501="低",3,IF(P1501="中",4,6)),IF(J1501="ILF",IF(P1501="低",7,IF(P1501="中",10,15)),IF(J1501="EIF",IF(P1501="低",5,IF(P1501="中",7,10)),"不计算")))))*R1501,"不计算")</f>
        <v/>
      </c>
      <c r="R1501" s="172" t="n">
        <v>1</v>
      </c>
      <c r="S1501" s="173">
        <f>调整因子!$F$13</f>
        <v/>
      </c>
      <c r="T1501" s="92" t="n">
        <v>1</v>
      </c>
      <c r="U1501" s="174">
        <f>IFERROR(Q1501*S1501,0)</f>
        <v/>
      </c>
      <c r="V1501" s="178">
        <f>U1501*T1501</f>
        <v/>
      </c>
      <c r="W1501" s="103" t="inlineStr">
        <is>
          <t>数据清洗任务表、资产同步任务表</t>
        </is>
      </c>
      <c r="X1501" s="103" t="inlineStr"/>
      <c r="Y1501"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01" s="90" t="n"/>
      <c r="AA1501" s="90" t="n"/>
    </row>
    <row r="1502" s="112">
      <c r="A1502" s="72">
        <f>ROW()-1</f>
        <v/>
      </c>
      <c r="B1502" s="175" t="n"/>
      <c r="C1502" s="124" t="n">
        <v>2026</v>
      </c>
      <c r="E1502" s="103" t="n"/>
      <c r="F1502" s="175" t="n"/>
      <c r="G1502" s="175" t="n"/>
      <c r="H1502" s="175" t="n"/>
      <c r="I1502" s="103" t="inlineStr">
        <is>
          <t>停用扫描任务接口</t>
        </is>
      </c>
      <c r="J1502" s="93" t="n"/>
      <c r="K1502" s="102" t="n"/>
      <c r="L1502" s="102" t="inlineStr">
        <is>
          <t>和上行合并，启停为相同功能</t>
        </is>
      </c>
      <c r="M1502" s="85">
        <f>IF(OR(Y1502="估算法",Y1502="算法类",Y1502="无法识别"),"",IF(W1502="",IF(OR(J1502="EI",J1502="EO",J1502="EQ"),0,""),LEN(W1502)-LEN(SUBSTITUTE(W1502,"、",""))+1))</f>
        <v/>
      </c>
      <c r="N1502" s="85">
        <f>IF(OR(Y1502="估算法",Y1502="算法类",Y1502="无法识别"),"",IF(X1502="",IF(OR(J1502="ILF",J1502="EIF"),0,""),LEN(X1502)-LEN(SUBSTITUTE(X1502,"、",""))+1))</f>
        <v/>
      </c>
      <c r="O1502" s="85">
        <f>IF(OR(Y1502="估算法",Y1502="算法类",Y1502="无法识别"),"",IF(Y1502="",IF(OR(J1502="ILF",J1502="EIF",J1502="EI",J1502="EO",J1502="EQ"),0,""),LEN(Y1502)-LEN(SUBSTITUTE(SUBSTITUTE(SUBSTITUTE(SUBSTITUTE(SUBSTITUTE(Y1502,"|}","--"),"{|","--"),CHAR(10),""),"、",""),"|",""))+IF(AND(OR(J1502="EI",J1502="EO",J1502="EQ"),$AE$1="NESMA"),2,1)))</f>
        <v/>
      </c>
      <c r="P1502" s="86">
        <f>IF(J1502="EI",IF(OR(Y1502="估算法",Y1502="算法类"),"中",IF(Y1502="无法识别","低",IF(M1502&lt;2,IF(O1502&lt;16,"低","中"),IF(M1502&lt;3,IF(O1502&lt;5,"低",IF(O1502&lt;16,"中","高")),IF(O1502&lt;5,"中","高"))))),IF(OR(J1502="EO",J1502="EQ"),IF(OR(Y1502="估算法",Y1502="算法类"),"中",IF(Y1502="无法识别","低",IF(M1502&lt;2,IF(O1502&lt;20,"低","中"),IF(M1502&lt;4,IF(O1502&lt;6,"低",IF(O1502&lt;20,"中","高")),IF(O1502&lt;6,"中","高"))))),IF(OR(J1502="ILF",J1502="EIF"),IF(OR(Y1502="估算法",Y1502="算法类",Y1502="无法识别"),"低",IF(N1502&lt;2,IF(O1502&lt;51,"低","中"),IF(N1502&lt;6,IF(O1502&lt;20,"低",IF(O1502&lt;51,"中","高")),IF(O1502&lt;20,"中","高")))),"不计算")))</f>
        <v/>
      </c>
      <c r="Q1502" s="172">
        <f>IFERROR(IF(J1502="EI",IF(P1502="低",3,IF(P1502="中",4,6)),IF(J1502="EO",IF(P1502="低",4,IF(P1502="中",5,7)),IF(J1502="EQ",IF(P1502="低",3,IF(P1502="中",4,6)),IF(J1502="ILF",IF(P1502="低",7,IF(P1502="中",10,15)),IF(J1502="EIF",IF(P1502="低",5,IF(P1502="中",7,10)),"不计算")))))*R1502,"不计算")</f>
        <v/>
      </c>
      <c r="R1502" s="172" t="n">
        <v>1</v>
      </c>
      <c r="S1502" s="173">
        <f>调整因子!$F$13</f>
        <v/>
      </c>
      <c r="T1502" s="93" t="n">
        <v>1</v>
      </c>
      <c r="U1502" s="174">
        <f>IFERROR(Q1502*S1502,0)</f>
        <v/>
      </c>
      <c r="V1502" s="178">
        <f>U1502*T1502</f>
        <v/>
      </c>
      <c r="W1502" s="103" t="inlineStr">
        <is>
          <t>数据清洗任务表、资产同步任务表</t>
        </is>
      </c>
      <c r="X1502" s="103" t="inlineStr"/>
      <c r="Y1502"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02" s="90" t="n"/>
      <c r="AA1502" s="90" t="n"/>
    </row>
    <row r="1503" s="112">
      <c r="A1503" s="72">
        <f>ROW()-1</f>
        <v/>
      </c>
      <c r="B1503" s="175" t="n"/>
      <c r="C1503" s="124" t="n">
        <v>2026</v>
      </c>
      <c r="E1503" s="103" t="n"/>
      <c r="F1503" s="175" t="n"/>
      <c r="G1503" s="175" t="n"/>
      <c r="H1503" s="175" t="n"/>
      <c r="I1503" s="103" t="inlineStr">
        <is>
          <t>推送任务通知</t>
        </is>
      </c>
      <c r="J1503" s="93" t="inlineStr">
        <is>
          <t>EO</t>
        </is>
      </c>
      <c r="K1503" s="102" t="n"/>
      <c r="L1503" s="102" t="n"/>
      <c r="M1503" s="85">
        <f>IF(OR(Y1503="估算法",Y1503="算法类",Y1503="无法识别"),"",IF(W1503="",IF(OR(J1503="EI",J1503="EO",J1503="EQ"),0,""),LEN(W1503)-LEN(SUBSTITUTE(W1503,"、",""))+1))</f>
        <v/>
      </c>
      <c r="N1503" s="85">
        <f>IF(OR(Y1503="估算法",Y1503="算法类",Y1503="无法识别"),"",IF(X1503="",IF(OR(J1503="ILF",J1503="EIF"),0,""),LEN(X1503)-LEN(SUBSTITUTE(X1503,"、",""))+1))</f>
        <v/>
      </c>
      <c r="O1503" s="85">
        <f>IF(OR(Y1503="估算法",Y1503="算法类",Y1503="无法识别"),"",IF(Y1503="",IF(OR(J1503="ILF",J1503="EIF",J1503="EI",J1503="EO",J1503="EQ"),0,""),LEN(Y1503)-LEN(SUBSTITUTE(SUBSTITUTE(SUBSTITUTE(SUBSTITUTE(SUBSTITUTE(Y1503,"|}","--"),"{|","--"),CHAR(10),""),"、",""),"|",""))+IF(AND(OR(J1503="EI",J1503="EO",J1503="EQ"),$AE$1="NESMA"),2,1)))</f>
        <v/>
      </c>
      <c r="P1503" s="86">
        <f>IF(J1503="EI",IF(OR(Y1503="估算法",Y1503="算法类"),"中",IF(Y1503="无法识别","低",IF(M1503&lt;2,IF(O1503&lt;16,"低","中"),IF(M1503&lt;3,IF(O1503&lt;5,"低",IF(O1503&lt;16,"中","高")),IF(O1503&lt;5,"中","高"))))),IF(OR(J1503="EO",J1503="EQ"),IF(OR(Y1503="估算法",Y1503="算法类"),"中",IF(Y1503="无法识别","低",IF(M1503&lt;2,IF(O1503&lt;20,"低","中"),IF(M1503&lt;4,IF(O1503&lt;6,"低",IF(O1503&lt;20,"中","高")),IF(O1503&lt;6,"中","高"))))),IF(OR(J1503="ILF",J1503="EIF"),IF(OR(Y1503="估算法",Y1503="算法类",Y1503="无法识别"),"低",IF(N1503&lt;2,IF(O1503&lt;51,"低","中"),IF(N1503&lt;6,IF(O1503&lt;20,"低",IF(O1503&lt;51,"中","高")),IF(O1503&lt;20,"中","高")))),"不计算")))</f>
        <v/>
      </c>
      <c r="Q1503" s="172">
        <f>IFERROR(IF(J1503="EI",IF(P1503="低",3,IF(P1503="中",4,6)),IF(J1503="EO",IF(P1503="低",4,IF(P1503="中",5,7)),IF(J1503="EQ",IF(P1503="低",3,IF(P1503="中",4,6)),IF(J1503="ILF",IF(P1503="低",7,IF(P1503="中",10,15)),IF(J1503="EIF",IF(P1503="低",5,IF(P1503="中",7,10)),"不计算")))))*R1503,"不计算")</f>
        <v/>
      </c>
      <c r="R1503" s="172" t="n">
        <v>1</v>
      </c>
      <c r="S1503" s="173">
        <f>调整因子!$F$13</f>
        <v/>
      </c>
      <c r="T1503" s="93" t="n">
        <v>1</v>
      </c>
      <c r="U1503" s="174">
        <f>IFERROR(Q1503*S1503,0)</f>
        <v/>
      </c>
      <c r="V1503" s="178">
        <f>U1503*T1503</f>
        <v/>
      </c>
      <c r="W1503" s="103" t="inlineStr">
        <is>
          <t>数据清洗任务表</t>
        </is>
      </c>
      <c r="X1503" s="103" t="inlineStr"/>
      <c r="Y1503" s="97" t="inlineStr">
        <is>
          <t>数据清洗任务表{任务ID、任务名称|任务ID、任务名称、任务类型、任务状态、创建时间、执行时间}</t>
        </is>
      </c>
      <c r="Z1503" s="90" t="n"/>
      <c r="AA1503" s="90" t="n"/>
    </row>
    <row r="1504" s="112">
      <c r="A1504" s="72">
        <f>ROW()-1</f>
        <v/>
      </c>
      <c r="B1504" s="175" t="n"/>
      <c r="C1504" s="124" t="n">
        <v>2026</v>
      </c>
      <c r="E1504" s="103" t="n"/>
      <c r="F1504" s="175" t="n"/>
      <c r="G1504" s="175" t="n"/>
      <c r="H1504" s="175" t="n"/>
      <c r="I1504" s="103" t="inlineStr">
        <is>
          <t>查询接口状态</t>
        </is>
      </c>
      <c r="J1504" s="93" t="inlineStr">
        <is>
          <t>EQ</t>
        </is>
      </c>
      <c r="K1504" s="102" t="n"/>
      <c r="L1504" s="102" t="n"/>
      <c r="M1504" s="85">
        <f>IF(OR(Y1504="估算法",Y1504="算法类",Y1504="无法识别"),"",IF(W1504="",IF(OR(J1504="EI",J1504="EO",J1504="EQ"),0,""),LEN(W1504)-LEN(SUBSTITUTE(W1504,"、",""))+1))</f>
        <v/>
      </c>
      <c r="N1504" s="85">
        <f>IF(OR(Y1504="估算法",Y1504="算法类",Y1504="无法识别"),"",IF(X1504="",IF(OR(J1504="ILF",J1504="EIF"),0,""),LEN(X1504)-LEN(SUBSTITUTE(X1504,"、",""))+1))</f>
        <v/>
      </c>
      <c r="O1504" s="85">
        <f>IF(OR(Y1504="估算法",Y1504="算法类",Y1504="无法识别"),"",IF(Y1504="",IF(OR(J1504="ILF",J1504="EIF",J1504="EI",J1504="EO",J1504="EQ"),0,""),LEN(Y1504)-LEN(SUBSTITUTE(SUBSTITUTE(SUBSTITUTE(SUBSTITUTE(SUBSTITUTE(Y1504,"|}","--"),"{|","--"),CHAR(10),""),"、",""),"|",""))+IF(AND(OR(J1504="EI",J1504="EO",J1504="EQ"),$AE$1="NESMA"),2,1)))</f>
        <v/>
      </c>
      <c r="P1504" s="86">
        <f>IF(J1504="EI",IF(OR(Y1504="估算法",Y1504="算法类"),"中",IF(Y1504="无法识别","低",IF(M1504&lt;2,IF(O1504&lt;16,"低","中"),IF(M1504&lt;3,IF(O1504&lt;5,"低",IF(O1504&lt;16,"中","高")),IF(O1504&lt;5,"中","高"))))),IF(OR(J1504="EO",J1504="EQ"),IF(OR(Y1504="估算法",Y1504="算法类"),"中",IF(Y1504="无法识别","低",IF(M1504&lt;2,IF(O1504&lt;20,"低","中"),IF(M1504&lt;4,IF(O1504&lt;6,"低",IF(O1504&lt;20,"中","高")),IF(O1504&lt;6,"中","高"))))),IF(OR(J1504="ILF",J1504="EIF"),IF(OR(Y1504="估算法",Y1504="算法类",Y1504="无法识别"),"低",IF(N1504&lt;2,IF(O1504&lt;51,"低","中"),IF(N1504&lt;6,IF(O1504&lt;20,"低",IF(O1504&lt;51,"中","高")),IF(O1504&lt;20,"中","高")))),"不计算")))</f>
        <v/>
      </c>
      <c r="Q1504" s="172">
        <f>IFERROR(IF(J1504="EI",IF(P1504="低",3,IF(P1504="中",4,6)),IF(J1504="EO",IF(P1504="低",4,IF(P1504="中",5,7)),IF(J1504="EQ",IF(P1504="低",3,IF(P1504="中",4,6)),IF(J1504="ILF",IF(P1504="低",7,IF(P1504="中",10,15)),IF(J1504="EIF",IF(P1504="低",5,IF(P1504="中",7,10)),"不计算")))))*R1504,"不计算")</f>
        <v/>
      </c>
      <c r="R1504" s="172" t="n">
        <v>1</v>
      </c>
      <c r="S1504" s="173">
        <f>调整因子!$F$13</f>
        <v/>
      </c>
      <c r="T1504" s="92" t="n">
        <v>1</v>
      </c>
      <c r="U1504" s="174">
        <f>IFERROR(Q1504*S1504,0)</f>
        <v/>
      </c>
      <c r="V1504" s="178">
        <f>U1504*T1504</f>
        <v/>
      </c>
      <c r="W1504" s="103" t="inlineStr">
        <is>
          <t>验证任务表</t>
        </is>
      </c>
      <c r="X1504" s="103" t="inlineStr"/>
      <c r="Y1504" s="97" t="inlineStr">
        <is>
          <t>验证任务表{任务ID、任务名称|任务ID、任务名称、任务类型、任务状态、创建时间、执行时间}</t>
        </is>
      </c>
      <c r="Z1504" s="90" t="n"/>
      <c r="AA1504" s="90" t="n"/>
    </row>
    <row r="1505" s="112">
      <c r="A1505" s="72">
        <f>ROW()-1</f>
        <v/>
      </c>
      <c r="B1505" s="175" t="n"/>
      <c r="C1505" s="124" t="n">
        <v>2026</v>
      </c>
      <c r="E1505" s="103" t="n"/>
      <c r="F1505" s="175" t="n"/>
      <c r="G1505" s="175" t="n"/>
      <c r="H1505" s="176" t="n"/>
      <c r="I1505" s="103" t="inlineStr">
        <is>
          <t>查看接口详情</t>
        </is>
      </c>
      <c r="J1505" s="93" t="n"/>
      <c r="K1505" s="102" t="n"/>
      <c r="L1505" s="102" t="inlineStr">
        <is>
          <t>和上行合并，无区别</t>
        </is>
      </c>
      <c r="M1505" s="85">
        <f>IF(OR(Y1505="估算法",Y1505="算法类",Y1505="无法识别"),"",IF(W1505="",IF(OR(J1505="EI",J1505="EO",J1505="EQ"),0,""),LEN(W1505)-LEN(SUBSTITUTE(W1505,"、",""))+1))</f>
        <v/>
      </c>
      <c r="N1505" s="85">
        <f>IF(OR(Y1505="估算法",Y1505="算法类",Y1505="无法识别"),"",IF(X1505="",IF(OR(J1505="ILF",J1505="EIF"),0,""),LEN(X1505)-LEN(SUBSTITUTE(X1505,"、",""))+1))</f>
        <v/>
      </c>
      <c r="O1505" s="85">
        <f>IF(OR(Y1505="估算法",Y1505="算法类",Y1505="无法识别"),"",IF(Y1505="",IF(OR(J1505="ILF",J1505="EIF",J1505="EI",J1505="EO",J1505="EQ"),0,""),LEN(Y1505)-LEN(SUBSTITUTE(SUBSTITUTE(SUBSTITUTE(SUBSTITUTE(SUBSTITUTE(Y1505,"|}","--"),"{|","--"),CHAR(10),""),"、",""),"|",""))+IF(AND(OR(J1505="EI",J1505="EO",J1505="EQ"),$AE$1="NESMA"),2,1)))</f>
        <v/>
      </c>
      <c r="P1505" s="86">
        <f>IF(J1505="EI",IF(OR(Y1505="估算法",Y1505="算法类"),"中",IF(Y1505="无法识别","低",IF(M1505&lt;2,IF(O1505&lt;16,"低","中"),IF(M1505&lt;3,IF(O1505&lt;5,"低",IF(O1505&lt;16,"中","高")),IF(O1505&lt;5,"中","高"))))),IF(OR(J1505="EO",J1505="EQ"),IF(OR(Y1505="估算法",Y1505="算法类"),"中",IF(Y1505="无法识别","低",IF(M1505&lt;2,IF(O1505&lt;20,"低","中"),IF(M1505&lt;4,IF(O1505&lt;6,"低",IF(O1505&lt;20,"中","高")),IF(O1505&lt;6,"中","高"))))),IF(OR(J1505="ILF",J1505="EIF"),IF(OR(Y1505="估算法",Y1505="算法类",Y1505="无法识别"),"低",IF(N1505&lt;2,IF(O1505&lt;51,"低","中"),IF(N1505&lt;6,IF(O1505&lt;20,"低",IF(O1505&lt;51,"中","高")),IF(O1505&lt;20,"中","高")))),"不计算")))</f>
        <v/>
      </c>
      <c r="Q1505" s="172">
        <f>IFERROR(IF(J1505="EI",IF(P1505="低",3,IF(P1505="中",4,6)),IF(J1505="EO",IF(P1505="低",4,IF(P1505="中",5,7)),IF(J1505="EQ",IF(P1505="低",3,IF(P1505="中",4,6)),IF(J1505="ILF",IF(P1505="低",7,IF(P1505="中",10,15)),IF(J1505="EIF",IF(P1505="低",5,IF(P1505="中",7,10)),"不计算")))))*R1505,"不计算")</f>
        <v/>
      </c>
      <c r="R1505" s="172" t="n">
        <v>1</v>
      </c>
      <c r="S1505" s="173">
        <f>调整因子!$F$13</f>
        <v/>
      </c>
      <c r="T1505" s="92" t="n">
        <v>1</v>
      </c>
      <c r="U1505" s="174">
        <f>IFERROR(Q1505*S1505,0)</f>
        <v/>
      </c>
      <c r="V1505" s="178">
        <f>U1505*T1505</f>
        <v/>
      </c>
      <c r="W1505" s="103" t="inlineStr">
        <is>
          <t>推送失败重试表、接口参数表</t>
        </is>
      </c>
      <c r="X1505" s="103" t="inlineStr"/>
      <c r="Y1505" s="97" t="inlineStr">
        <is>
          <t>推送失败重试表{ID、名称|ID、名称、类型、状态、创建时间}
接口参数表{接口ID、接口名称|接口ID、接口名称、接口类型、接口地址、调用时间}</t>
        </is>
      </c>
      <c r="Z1505" s="90" t="n"/>
      <c r="AA1505" s="90" t="n"/>
    </row>
    <row r="1506" s="112">
      <c r="A1506" s="72">
        <f>ROW()-1</f>
        <v/>
      </c>
      <c r="B1506" s="175" t="n"/>
      <c r="C1506" s="124" t="n">
        <v>2026</v>
      </c>
      <c r="E1506" s="103" t="n"/>
      <c r="F1506" s="175" t="n"/>
      <c r="G1506" s="175" t="n"/>
      <c r="H1506" s="97" t="inlineStr">
        <is>
          <t>扫描结果接口管理</t>
        </is>
      </c>
      <c r="I1506" s="103" t="inlineStr">
        <is>
          <t>编辑扫描结果接口</t>
        </is>
      </c>
      <c r="J1506" s="93" t="inlineStr">
        <is>
          <t>EI</t>
        </is>
      </c>
      <c r="K1506" s="102" t="n"/>
      <c r="L1506" s="102" t="n"/>
      <c r="M1506" s="85">
        <f>IF(OR(Y1506="估算法",Y1506="算法类",Y1506="无法识别"),"",IF(W1506="",IF(OR(J1506="EI",J1506="EO",J1506="EQ"),0,""),LEN(W1506)-LEN(SUBSTITUTE(W1506,"、",""))+1))</f>
        <v/>
      </c>
      <c r="N1506" s="85">
        <f>IF(OR(Y1506="估算法",Y1506="算法类",Y1506="无法识别"),"",IF(X1506="",IF(OR(J1506="ILF",J1506="EIF"),0,""),LEN(X1506)-LEN(SUBSTITUTE(X1506,"、",""))+1))</f>
        <v/>
      </c>
      <c r="O1506" s="85">
        <f>IF(OR(Y1506="估算法",Y1506="算法类",Y1506="无法识别"),"",IF(Y1506="",IF(OR(J1506="ILF",J1506="EIF",J1506="EI",J1506="EO",J1506="EQ"),0,""),LEN(Y1506)-LEN(SUBSTITUTE(SUBSTITUTE(SUBSTITUTE(SUBSTITUTE(SUBSTITUTE(Y1506,"|}","--"),"{|","--"),CHAR(10),""),"、",""),"|",""))+IF(AND(OR(J1506="EI",J1506="EO",J1506="EQ"),$AE$1="NESMA"),2,1)))</f>
        <v/>
      </c>
      <c r="P1506" s="86">
        <f>IF(J1506="EI",IF(OR(Y1506="估算法",Y1506="算法类"),"中",IF(Y1506="无法识别","低",IF(M1506&lt;2,IF(O1506&lt;16,"低","中"),IF(M1506&lt;3,IF(O1506&lt;5,"低",IF(O1506&lt;16,"中","高")),IF(O1506&lt;5,"中","高"))))),IF(OR(J1506="EO",J1506="EQ"),IF(OR(Y1506="估算法",Y1506="算法类"),"中",IF(Y1506="无法识别","低",IF(M1506&lt;2,IF(O1506&lt;20,"低","中"),IF(M1506&lt;4,IF(O1506&lt;6,"低",IF(O1506&lt;20,"中","高")),IF(O1506&lt;6,"中","高"))))),IF(OR(J1506="ILF",J1506="EIF"),IF(OR(Y1506="估算法",Y1506="算法类",Y1506="无法识别"),"低",IF(N1506&lt;2,IF(O1506&lt;51,"低","中"),IF(N1506&lt;6,IF(O1506&lt;20,"低",IF(O1506&lt;51,"中","高")),IF(O1506&lt;20,"中","高")))),"不计算")))</f>
        <v/>
      </c>
      <c r="Q1506" s="172">
        <f>IFERROR(IF(J1506="EI",IF(P1506="低",3,IF(P1506="中",4,6)),IF(J1506="EO",IF(P1506="低",4,IF(P1506="中",5,7)),IF(J1506="EQ",IF(P1506="低",3,IF(P1506="中",4,6)),IF(J1506="ILF",IF(P1506="低",7,IF(P1506="中",10,15)),IF(J1506="EIF",IF(P1506="低",5,IF(P1506="中",7,10)),"不计算")))))*R1506,"不计算")</f>
        <v/>
      </c>
      <c r="R1506" s="172" t="n">
        <v>0.333333333333333</v>
      </c>
      <c r="S1506" s="173">
        <f>调整因子!$F$13</f>
        <v/>
      </c>
      <c r="T1506" s="93" t="n">
        <v>1</v>
      </c>
      <c r="U1506" s="174">
        <f>IFERROR(Q1506*S1506,0)</f>
        <v/>
      </c>
      <c r="V1506" s="178">
        <f>U1506*T1506</f>
        <v/>
      </c>
      <c r="W1506" s="103" t="inlineStr">
        <is>
          <t>资产扫描覆盖表</t>
        </is>
      </c>
      <c r="X1506" s="103" t="inlineStr"/>
      <c r="Y1506" s="97" t="inlineStr">
        <is>
          <t>资产扫描覆盖表{资产ID、资产名称、IP地址、资产类型、资产状态、创建时间、更新时间|资产ID、资产名称、IP地址}</t>
        </is>
      </c>
      <c r="Z1506" s="90" t="n"/>
      <c r="AA1506" s="90" t="n"/>
    </row>
    <row r="1507" s="112">
      <c r="A1507" s="72">
        <f>ROW()-1</f>
        <v/>
      </c>
      <c r="B1507" s="175" t="n"/>
      <c r="C1507" s="124" t="n">
        <v>2026</v>
      </c>
      <c r="E1507" s="103" t="n"/>
      <c r="F1507" s="175" t="n"/>
      <c r="G1507" s="175" t="n"/>
      <c r="H1507" s="175" t="n"/>
      <c r="I1507" s="103" t="inlineStr">
        <is>
          <t>删除扫描结果接口</t>
        </is>
      </c>
      <c r="J1507" s="93" t="inlineStr">
        <is>
          <t>EI</t>
        </is>
      </c>
      <c r="K1507" s="102" t="n"/>
      <c r="L1507" s="102" t="n"/>
      <c r="M1507" s="85">
        <f>IF(OR(Y1507="估算法",Y1507="算法类",Y1507="无法识别"),"",IF(W1507="",IF(OR(J1507="EI",J1507="EO",J1507="EQ"),0,""),LEN(W1507)-LEN(SUBSTITUTE(W1507,"、",""))+1))</f>
        <v/>
      </c>
      <c r="N1507" s="85">
        <f>IF(OR(Y1507="估算法",Y1507="算法类",Y1507="无法识别"),"",IF(X1507="",IF(OR(J1507="ILF",J1507="EIF"),0,""),LEN(X1507)-LEN(SUBSTITUTE(X1507,"、",""))+1))</f>
        <v/>
      </c>
      <c r="O1507" s="85">
        <f>IF(OR(Y1507="估算法",Y1507="算法类",Y1507="无法识别"),"",IF(Y1507="",IF(OR(J1507="ILF",J1507="EIF",J1507="EI",J1507="EO",J1507="EQ"),0,""),LEN(Y1507)-LEN(SUBSTITUTE(SUBSTITUTE(SUBSTITUTE(SUBSTITUTE(SUBSTITUTE(Y1507,"|}","--"),"{|","--"),CHAR(10),""),"、",""),"|",""))+IF(AND(OR(J1507="EI",J1507="EO",J1507="EQ"),$AE$1="NESMA"),2,1)))</f>
        <v/>
      </c>
      <c r="P1507" s="86">
        <f>IF(J1507="EI",IF(OR(Y1507="估算法",Y1507="算法类"),"中",IF(Y1507="无法识别","低",IF(M1507&lt;2,IF(O1507&lt;16,"低","中"),IF(M1507&lt;3,IF(O1507&lt;5,"低",IF(O1507&lt;16,"中","高")),IF(O1507&lt;5,"中","高"))))),IF(OR(J1507="EO",J1507="EQ"),IF(OR(Y1507="估算法",Y1507="算法类"),"中",IF(Y1507="无法识别","低",IF(M1507&lt;2,IF(O1507&lt;20,"低","中"),IF(M1507&lt;4,IF(O1507&lt;6,"低",IF(O1507&lt;20,"中","高")),IF(O1507&lt;6,"中","高"))))),IF(OR(J1507="ILF",J1507="EIF"),IF(OR(Y1507="估算法",Y1507="算法类",Y1507="无法识别"),"低",IF(N1507&lt;2,IF(O1507&lt;51,"低","中"),IF(N1507&lt;6,IF(O1507&lt;20,"低",IF(O1507&lt;51,"中","高")),IF(O1507&lt;20,"中","高")))),"不计算")))</f>
        <v/>
      </c>
      <c r="Q1507" s="172">
        <f>IFERROR(IF(J1507="EI",IF(P1507="低",3,IF(P1507="中",4,6)),IF(J1507="EO",IF(P1507="低",4,IF(P1507="中",5,7)),IF(J1507="EQ",IF(P1507="低",3,IF(P1507="中",4,6)),IF(J1507="ILF",IF(P1507="低",7,IF(P1507="中",10,15)),IF(J1507="EIF",IF(P1507="低",5,IF(P1507="中",7,10)),"不计算")))))*R1507,"不计算")</f>
        <v/>
      </c>
      <c r="R1507" s="172" t="n">
        <v>0.333333333333333</v>
      </c>
      <c r="S1507" s="173">
        <f>调整因子!$F$13</f>
        <v/>
      </c>
      <c r="T1507" s="92" t="n">
        <v>1</v>
      </c>
      <c r="U1507" s="174">
        <f>IFERROR(Q1507*S1507,0)</f>
        <v/>
      </c>
      <c r="V1507" s="178">
        <f>U1507*T1507</f>
        <v/>
      </c>
      <c r="W1507" s="103" t="inlineStr">
        <is>
          <t>资产扫描覆盖表</t>
        </is>
      </c>
      <c r="X1507" s="103" t="inlineStr"/>
      <c r="Y1507" s="97" t="inlineStr">
        <is>
          <t>资产扫描覆盖表{资产ID、资产名称、IP地址、资产类型、资产状态、创建时间、更新时间|资产ID、资产名称、IP地址}</t>
        </is>
      </c>
      <c r="Z1507" s="90" t="n"/>
      <c r="AA1507" s="90" t="n"/>
    </row>
    <row r="1508" s="112">
      <c r="A1508" s="72">
        <f>ROW()-1</f>
        <v/>
      </c>
      <c r="B1508" s="175" t="n"/>
      <c r="C1508" s="124" t="n">
        <v>2026</v>
      </c>
      <c r="E1508" s="103" t="n"/>
      <c r="F1508" s="175" t="n"/>
      <c r="G1508" s="175" t="n"/>
      <c r="H1508" s="175" t="n"/>
      <c r="I1508" s="103" t="inlineStr">
        <is>
          <t>启用扫描结果接口</t>
        </is>
      </c>
      <c r="J1508" s="93" t="inlineStr">
        <is>
          <t>EI</t>
        </is>
      </c>
      <c r="K1508" s="102" t="n"/>
      <c r="L1508" s="102" t="n"/>
      <c r="M1508" s="85">
        <f>IF(OR(Y1508="估算法",Y1508="算法类",Y1508="无法识别"),"",IF(W1508="",IF(OR(J1508="EI",J1508="EO",J1508="EQ"),0,""),LEN(W1508)-LEN(SUBSTITUTE(W1508,"、",""))+1))</f>
        <v/>
      </c>
      <c r="N1508" s="85">
        <f>IF(OR(Y1508="估算法",Y1508="算法类",Y1508="无法识别"),"",IF(X1508="",IF(OR(J1508="ILF",J1508="EIF"),0,""),LEN(X1508)-LEN(SUBSTITUTE(X1508,"、",""))+1))</f>
        <v/>
      </c>
      <c r="O1508" s="85">
        <f>IF(OR(Y1508="估算法",Y1508="算法类",Y1508="无法识别"),"",IF(Y1508="",IF(OR(J1508="ILF",J1508="EIF",J1508="EI",J1508="EO",J1508="EQ"),0,""),LEN(Y1508)-LEN(SUBSTITUTE(SUBSTITUTE(SUBSTITUTE(SUBSTITUTE(SUBSTITUTE(Y1508,"|}","--"),"{|","--"),CHAR(10),""),"、",""),"|",""))+IF(AND(OR(J1508="EI",J1508="EO",J1508="EQ"),$AE$1="NESMA"),2,1)))</f>
        <v/>
      </c>
      <c r="P1508" s="86">
        <f>IF(J1508="EI",IF(OR(Y1508="估算法",Y1508="算法类"),"中",IF(Y1508="无法识别","低",IF(M1508&lt;2,IF(O1508&lt;16,"低","中"),IF(M1508&lt;3,IF(O1508&lt;5,"低",IF(O1508&lt;16,"中","高")),IF(O1508&lt;5,"中","高"))))),IF(OR(J1508="EO",J1508="EQ"),IF(OR(Y1508="估算法",Y1508="算法类"),"中",IF(Y1508="无法识别","低",IF(M1508&lt;2,IF(O1508&lt;20,"低","中"),IF(M1508&lt;4,IF(O1508&lt;6,"低",IF(O1508&lt;20,"中","高")),IF(O1508&lt;6,"中","高"))))),IF(OR(J1508="ILF",J1508="EIF"),IF(OR(Y1508="估算法",Y1508="算法类",Y1508="无法识别"),"低",IF(N1508&lt;2,IF(O1508&lt;51,"低","中"),IF(N1508&lt;6,IF(O1508&lt;20,"低",IF(O1508&lt;51,"中","高")),IF(O1508&lt;20,"中","高")))),"不计算")))</f>
        <v/>
      </c>
      <c r="Q1508" s="172">
        <f>IFERROR(IF(J1508="EI",IF(P1508="低",3,IF(P1508="中",4,6)),IF(J1508="EO",IF(P1508="低",4,IF(P1508="中",5,7)),IF(J1508="EQ",IF(P1508="低",3,IF(P1508="中",4,6)),IF(J1508="ILF",IF(P1508="低",7,IF(P1508="中",10,15)),IF(J1508="EIF",IF(P1508="低",5,IF(P1508="中",7,10)),"不计算")))))*R1508,"不计算")</f>
        <v/>
      </c>
      <c r="R1508" s="172" t="n">
        <v>0.333333333333333</v>
      </c>
      <c r="S1508" s="173">
        <f>调整因子!$F$13</f>
        <v/>
      </c>
      <c r="T1508" s="92" t="n">
        <v>1</v>
      </c>
      <c r="U1508" s="174">
        <f>IFERROR(Q1508*S1508,0)</f>
        <v/>
      </c>
      <c r="V1508" s="178">
        <f>U1508*T1508</f>
        <v/>
      </c>
      <c r="W1508" s="103" t="inlineStr">
        <is>
          <t>资产扫描覆盖表</t>
        </is>
      </c>
      <c r="X1508" s="103" t="inlineStr"/>
      <c r="Y1508" s="97" t="inlineStr">
        <is>
          <t>资产扫描覆盖表{资产ID、资产名称、IP地址、资产类型、资产状态、创建时间、更新时间|资产ID、资产名称、IP地址}</t>
        </is>
      </c>
      <c r="Z1508" s="90" t="n"/>
      <c r="AA1508" s="90" t="n"/>
    </row>
    <row r="1509" s="112">
      <c r="A1509" s="72">
        <f>ROW()-1</f>
        <v/>
      </c>
      <c r="B1509" s="175" t="n"/>
      <c r="C1509" s="124" t="n">
        <v>2026</v>
      </c>
      <c r="E1509" s="103" t="n"/>
      <c r="F1509" s="175" t="n"/>
      <c r="G1509" s="175" t="n"/>
      <c r="H1509" s="175" t="n"/>
      <c r="I1509" s="103" t="inlineStr">
        <is>
          <t>停用扫描结果接口</t>
        </is>
      </c>
      <c r="J1509" s="93" t="n"/>
      <c r="K1509" s="102" t="n"/>
      <c r="L1509" s="102" t="inlineStr">
        <is>
          <t>和上行合并，启停为相同功能</t>
        </is>
      </c>
      <c r="M1509" s="85">
        <f>IF(OR(Y1509="估算法",Y1509="算法类",Y1509="无法识别"),"",IF(W1509="",IF(OR(J1509="EI",J1509="EO",J1509="EQ"),0,""),LEN(W1509)-LEN(SUBSTITUTE(W1509,"、",""))+1))</f>
        <v/>
      </c>
      <c r="N1509" s="85">
        <f>IF(OR(Y1509="估算法",Y1509="算法类",Y1509="无法识别"),"",IF(X1509="",IF(OR(J1509="ILF",J1509="EIF"),0,""),LEN(X1509)-LEN(SUBSTITUTE(X1509,"、",""))+1))</f>
        <v/>
      </c>
      <c r="O1509" s="85">
        <f>IF(OR(Y1509="估算法",Y1509="算法类",Y1509="无法识别"),"",IF(Y1509="",IF(OR(J1509="ILF",J1509="EIF",J1509="EI",J1509="EO",J1509="EQ"),0,""),LEN(Y1509)-LEN(SUBSTITUTE(SUBSTITUTE(SUBSTITUTE(SUBSTITUTE(SUBSTITUTE(Y1509,"|}","--"),"{|","--"),CHAR(10),""),"、",""),"|",""))+IF(AND(OR(J1509="EI",J1509="EO",J1509="EQ"),$AE$1="NESMA"),2,1)))</f>
        <v/>
      </c>
      <c r="P1509" s="86">
        <f>IF(J1509="EI",IF(OR(Y1509="估算法",Y1509="算法类"),"中",IF(Y1509="无法识别","低",IF(M1509&lt;2,IF(O1509&lt;16,"低","中"),IF(M1509&lt;3,IF(O1509&lt;5,"低",IF(O1509&lt;16,"中","高")),IF(O1509&lt;5,"中","高"))))),IF(OR(J1509="EO",J1509="EQ"),IF(OR(Y1509="估算法",Y1509="算法类"),"中",IF(Y1509="无法识别","低",IF(M1509&lt;2,IF(O1509&lt;20,"低","中"),IF(M1509&lt;4,IF(O1509&lt;6,"低",IF(O1509&lt;20,"中","高")),IF(O1509&lt;6,"中","高"))))),IF(OR(J1509="ILF",J1509="EIF"),IF(OR(Y1509="估算法",Y1509="算法类",Y1509="无法识别"),"低",IF(N1509&lt;2,IF(O1509&lt;51,"低","中"),IF(N1509&lt;6,IF(O1509&lt;20,"低",IF(O1509&lt;51,"中","高")),IF(O1509&lt;20,"中","高")))),"不计算")))</f>
        <v/>
      </c>
      <c r="Q1509" s="172">
        <f>IFERROR(IF(J1509="EI",IF(P1509="低",3,IF(P1509="中",4,6)),IF(J1509="EO",IF(P1509="低",4,IF(P1509="中",5,7)),IF(J1509="EQ",IF(P1509="低",3,IF(P1509="中",4,6)),IF(J1509="ILF",IF(P1509="低",7,IF(P1509="中",10,15)),IF(J1509="EIF",IF(P1509="低",5,IF(P1509="中",7,10)),"不计算")))))*R1509,"不计算")</f>
        <v/>
      </c>
      <c r="R1509" s="172" t="n">
        <v>0.333333333333333</v>
      </c>
      <c r="S1509" s="173">
        <f>调整因子!$F$13</f>
        <v/>
      </c>
      <c r="T1509" s="93" t="n">
        <v>1</v>
      </c>
      <c r="U1509" s="174">
        <f>IFERROR(Q1509*S1509,0)</f>
        <v/>
      </c>
      <c r="V1509" s="178">
        <f>U1509*T1509</f>
        <v/>
      </c>
      <c r="W1509" s="103" t="inlineStr">
        <is>
          <t>资产扫描覆盖表</t>
        </is>
      </c>
      <c r="X1509" s="103" t="inlineStr"/>
      <c r="Y1509" s="97" t="inlineStr">
        <is>
          <t>资产扫描覆盖表{资产ID、资产名称、IP地址、资产类型、资产状态、创建时间、更新时间|资产ID、资产名称、IP地址}</t>
        </is>
      </c>
      <c r="Z1509" s="90" t="n"/>
      <c r="AA1509" s="90" t="n"/>
    </row>
    <row r="1510" s="112">
      <c r="A1510" s="72">
        <f>ROW()-1</f>
        <v/>
      </c>
      <c r="B1510" s="175" t="n"/>
      <c r="C1510" s="124" t="n">
        <v>2026</v>
      </c>
      <c r="E1510" s="103" t="n"/>
      <c r="F1510" s="175" t="n"/>
      <c r="G1510" s="175" t="n"/>
      <c r="H1510" s="175" t="n"/>
      <c r="I1510" s="103" t="inlineStr">
        <is>
          <t>推送结果通知</t>
        </is>
      </c>
      <c r="J1510" s="93" t="inlineStr">
        <is>
          <t>EO</t>
        </is>
      </c>
      <c r="K1510" s="102" t="n"/>
      <c r="L1510" s="102" t="n"/>
      <c r="M1510" s="85">
        <f>IF(OR(Y1510="估算法",Y1510="算法类",Y1510="无法识别"),"",IF(W1510="",IF(OR(J1510="EI",J1510="EO",J1510="EQ"),0,""),LEN(W1510)-LEN(SUBSTITUTE(W1510,"、",""))+1))</f>
        <v/>
      </c>
      <c r="N1510" s="85">
        <f>IF(OR(Y1510="估算法",Y1510="算法类",Y1510="无法识别"),"",IF(X1510="",IF(OR(J1510="ILF",J1510="EIF"),0,""),LEN(X1510)-LEN(SUBSTITUTE(X1510,"、",""))+1))</f>
        <v/>
      </c>
      <c r="O1510" s="85">
        <f>IF(OR(Y1510="估算法",Y1510="算法类",Y1510="无法识别"),"",IF(Y1510="",IF(OR(J1510="ILF",J1510="EIF",J1510="EI",J1510="EO",J1510="EQ"),0,""),LEN(Y1510)-LEN(SUBSTITUTE(SUBSTITUTE(SUBSTITUTE(SUBSTITUTE(SUBSTITUTE(Y1510,"|}","--"),"{|","--"),CHAR(10),""),"、",""),"|",""))+IF(AND(OR(J1510="EI",J1510="EO",J1510="EQ"),$AE$1="NESMA"),2,1)))</f>
        <v/>
      </c>
      <c r="P1510" s="86">
        <f>IF(J1510="EI",IF(OR(Y1510="估算法",Y1510="算法类"),"中",IF(Y1510="无法识别","低",IF(M1510&lt;2,IF(O1510&lt;16,"低","中"),IF(M1510&lt;3,IF(O1510&lt;5,"低",IF(O1510&lt;16,"中","高")),IF(O1510&lt;5,"中","高"))))),IF(OR(J1510="EO",J1510="EQ"),IF(OR(Y1510="估算法",Y1510="算法类"),"中",IF(Y1510="无法识别","低",IF(M1510&lt;2,IF(O1510&lt;20,"低","中"),IF(M1510&lt;4,IF(O1510&lt;6,"低",IF(O1510&lt;20,"中","高")),IF(O1510&lt;6,"中","高"))))),IF(OR(J1510="ILF",J1510="EIF"),IF(OR(Y1510="估算法",Y1510="算法类",Y1510="无法识别"),"低",IF(N1510&lt;2,IF(O1510&lt;51,"低","中"),IF(N1510&lt;6,IF(O1510&lt;20,"低",IF(O1510&lt;51,"中","高")),IF(O1510&lt;20,"中","高")))),"不计算")))</f>
        <v/>
      </c>
      <c r="Q1510" s="172">
        <f>IFERROR(IF(J1510="EI",IF(P1510="低",3,IF(P1510="中",4,6)),IF(J1510="EO",IF(P1510="低",4,IF(P1510="中",5,7)),IF(J1510="EQ",IF(P1510="低",3,IF(P1510="中",4,6)),IF(J1510="ILF",IF(P1510="低",7,IF(P1510="中",10,15)),IF(J1510="EIF",IF(P1510="低",5,IF(P1510="中",7,10)),"不计算")))))*R1510,"不计算")</f>
        <v/>
      </c>
      <c r="R1510" s="172" t="n">
        <v>0.333333333333333</v>
      </c>
      <c r="S1510" s="173">
        <f>调整因子!$F$13</f>
        <v/>
      </c>
      <c r="T1510" s="93" t="n">
        <v>1</v>
      </c>
      <c r="U1510" s="174">
        <f>IFERROR(Q1510*S1510,0)</f>
        <v/>
      </c>
      <c r="V1510" s="178">
        <f>U1510*T1510</f>
        <v/>
      </c>
      <c r="W1510" s="103" t="inlineStr">
        <is>
          <t>性能数据表、处置流程定义表</t>
        </is>
      </c>
      <c r="X1510" s="103" t="inlineStr"/>
      <c r="Y1510" s="97" t="inlineStr">
        <is>
          <t>性能数据表{ID、名称|ID、名称、类型、状态、创建时间、更新时间}
处置流程定义表{ID、名称|ID、名称、类型、状态、创建时间、更新时间}</t>
        </is>
      </c>
      <c r="Z1510" s="90" t="n"/>
      <c r="AA1510" s="90" t="n"/>
    </row>
    <row r="1511" s="112">
      <c r="A1511" s="72">
        <f>ROW()-1</f>
        <v/>
      </c>
      <c r="B1511" s="175" t="n"/>
      <c r="C1511" s="124" t="n">
        <v>2026</v>
      </c>
      <c r="E1511" s="103" t="n"/>
      <c r="F1511" s="175" t="n"/>
      <c r="G1511" s="175" t="n"/>
      <c r="H1511" s="175" t="n"/>
      <c r="I1511" s="103" t="inlineStr">
        <is>
          <t>查询接口状态</t>
        </is>
      </c>
      <c r="J1511" s="93" t="inlineStr">
        <is>
          <t>EQ</t>
        </is>
      </c>
      <c r="K1511" s="102" t="n"/>
      <c r="L1511" s="102" t="n"/>
      <c r="M1511" s="85">
        <f>IF(OR(Y1511="估算法",Y1511="算法类",Y1511="无法识别"),"",IF(W1511="",IF(OR(J1511="EI",J1511="EO",J1511="EQ"),0,""),LEN(W1511)-LEN(SUBSTITUTE(W1511,"、",""))+1))</f>
        <v/>
      </c>
      <c r="N1511" s="85">
        <f>IF(OR(Y1511="估算法",Y1511="算法类",Y1511="无法识别"),"",IF(X1511="",IF(OR(J1511="ILF",J1511="EIF"),0,""),LEN(X1511)-LEN(SUBSTITUTE(X1511,"、",""))+1))</f>
        <v/>
      </c>
      <c r="O1511" s="85">
        <f>IF(OR(Y1511="估算法",Y1511="算法类",Y1511="无法识别"),"",IF(Y1511="",IF(OR(J1511="ILF",J1511="EIF",J1511="EI",J1511="EO",J1511="EQ"),0,""),LEN(Y1511)-LEN(SUBSTITUTE(SUBSTITUTE(SUBSTITUTE(SUBSTITUTE(SUBSTITUTE(Y1511,"|}","--"),"{|","--"),CHAR(10),""),"、",""),"|",""))+IF(AND(OR(J1511="EI",J1511="EO",J1511="EQ"),$AE$1="NESMA"),2,1)))</f>
        <v/>
      </c>
      <c r="P1511" s="86">
        <f>IF(J1511="EI",IF(OR(Y1511="估算法",Y1511="算法类"),"中",IF(Y1511="无法识别","低",IF(M1511&lt;2,IF(O1511&lt;16,"低","中"),IF(M1511&lt;3,IF(O1511&lt;5,"低",IF(O1511&lt;16,"中","高")),IF(O1511&lt;5,"中","高"))))),IF(OR(J1511="EO",J1511="EQ"),IF(OR(Y1511="估算法",Y1511="算法类"),"中",IF(Y1511="无法识别","低",IF(M1511&lt;2,IF(O1511&lt;20,"低","中"),IF(M1511&lt;4,IF(O1511&lt;6,"低",IF(O1511&lt;20,"中","高")),IF(O1511&lt;6,"中","高"))))),IF(OR(J1511="ILF",J1511="EIF"),IF(OR(Y1511="估算法",Y1511="算法类",Y1511="无法识别"),"低",IF(N1511&lt;2,IF(O1511&lt;51,"低","中"),IF(N1511&lt;6,IF(O1511&lt;20,"低",IF(O1511&lt;51,"中","高")),IF(O1511&lt;20,"中","高")))),"不计算")))</f>
        <v/>
      </c>
      <c r="Q1511" s="172">
        <f>IFERROR(IF(J1511="EI",IF(P1511="低",3,IF(P1511="中",4,6)),IF(J1511="EO",IF(P1511="低",4,IF(P1511="中",5,7)),IF(J1511="EQ",IF(P1511="低",3,IF(P1511="中",4,6)),IF(J1511="ILF",IF(P1511="低",7,IF(P1511="中",10,15)),IF(J1511="EIF",IF(P1511="低",5,IF(P1511="中",7,10)),"不计算")))))*R1511,"不计算")</f>
        <v/>
      </c>
      <c r="R1511" s="172" t="n">
        <v>0.333333333333333</v>
      </c>
      <c r="S1511" s="173">
        <f>调整因子!$F$13</f>
        <v/>
      </c>
      <c r="T1511" s="92" t="n">
        <v>1</v>
      </c>
      <c r="U1511" s="174">
        <f>IFERROR(Q1511*S1511,0)</f>
        <v/>
      </c>
      <c r="V1511" s="178">
        <f>U1511*T1511</f>
        <v/>
      </c>
      <c r="W1511" s="103" t="inlineStr">
        <is>
          <t>资产查询接口配置表</t>
        </is>
      </c>
      <c r="X1511" s="103" t="inlineStr"/>
      <c r="Y1511" s="97" t="inlineStr">
        <is>
          <t>资产查询接口配置表{资产ID、资产名称|资产ID、资产名称、IP地址、资产类型、资产状态、创建时间、更新时间}</t>
        </is>
      </c>
      <c r="Z1511" s="90" t="n"/>
      <c r="AA1511" s="90" t="n"/>
    </row>
    <row r="1512" s="112">
      <c r="A1512" s="72">
        <f>ROW()-1</f>
        <v/>
      </c>
      <c r="B1512" s="175" t="n"/>
      <c r="C1512" s="124" t="n">
        <v>2026</v>
      </c>
      <c r="E1512" s="103" t="n"/>
      <c r="F1512" s="175" t="n"/>
      <c r="G1512" s="176" t="n"/>
      <c r="H1512" s="176" t="n"/>
      <c r="I1512" s="103" t="inlineStr">
        <is>
          <t>查看接口详情</t>
        </is>
      </c>
      <c r="J1512" s="93" t="n"/>
      <c r="K1512" s="102" t="n"/>
      <c r="L1512" s="102" t="inlineStr">
        <is>
          <t>和上行合并，无区别</t>
        </is>
      </c>
      <c r="M1512" s="85">
        <f>IF(OR(Y1512="估算法",Y1512="算法类",Y1512="无法识别"),"",IF(W1512="",IF(OR(J1512="EI",J1512="EO",J1512="EQ"),0,""),LEN(W1512)-LEN(SUBSTITUTE(W1512,"、",""))+1))</f>
        <v/>
      </c>
      <c r="N1512" s="85">
        <f>IF(OR(Y1512="估算法",Y1512="算法类",Y1512="无法识别"),"",IF(X1512="",IF(OR(J1512="ILF",J1512="EIF"),0,""),LEN(X1512)-LEN(SUBSTITUTE(X1512,"、",""))+1))</f>
        <v/>
      </c>
      <c r="O1512" s="85">
        <f>IF(OR(Y1512="估算法",Y1512="算法类",Y1512="无法识别"),"",IF(Y1512="",IF(OR(J1512="ILF",J1512="EIF",J1512="EI",J1512="EO",J1512="EQ"),0,""),LEN(Y1512)-LEN(SUBSTITUTE(SUBSTITUTE(SUBSTITUTE(SUBSTITUTE(SUBSTITUTE(Y1512,"|}","--"),"{|","--"),CHAR(10),""),"、",""),"|",""))+IF(AND(OR(J1512="EI",J1512="EO",J1512="EQ"),$AE$1="NESMA"),2,1)))</f>
        <v/>
      </c>
      <c r="P1512" s="86">
        <f>IF(J1512="EI",IF(OR(Y1512="估算法",Y1512="算法类"),"中",IF(Y1512="无法识别","低",IF(M1512&lt;2,IF(O1512&lt;16,"低","中"),IF(M1512&lt;3,IF(O1512&lt;5,"低",IF(O1512&lt;16,"中","高")),IF(O1512&lt;5,"中","高"))))),IF(OR(J1512="EO",J1512="EQ"),IF(OR(Y1512="估算法",Y1512="算法类"),"中",IF(Y1512="无法识别","低",IF(M1512&lt;2,IF(O1512&lt;20,"低","中"),IF(M1512&lt;4,IF(O1512&lt;6,"低",IF(O1512&lt;20,"中","高")),IF(O1512&lt;6,"中","高"))))),IF(OR(J1512="ILF",J1512="EIF"),IF(OR(Y1512="估算法",Y1512="算法类",Y1512="无法识别"),"低",IF(N1512&lt;2,IF(O1512&lt;51,"低","中"),IF(N1512&lt;6,IF(O1512&lt;20,"低",IF(O1512&lt;51,"中","高")),IF(O1512&lt;20,"中","高")))),"不计算")))</f>
        <v/>
      </c>
      <c r="Q1512" s="172">
        <f>IFERROR(IF(J1512="EI",IF(P1512="低",3,IF(P1512="中",4,6)),IF(J1512="EO",IF(P1512="低",4,IF(P1512="中",5,7)),IF(J1512="EQ",IF(P1512="低",3,IF(P1512="中",4,6)),IF(J1512="ILF",IF(P1512="低",7,IF(P1512="中",10,15)),IF(J1512="EIF",IF(P1512="低",5,IF(P1512="中",7,10)),"不计算")))))*R1512,"不计算")</f>
        <v/>
      </c>
      <c r="R1512" s="172" t="n">
        <v>0.333333333333333</v>
      </c>
      <c r="S1512" s="173">
        <f>调整因子!$F$13</f>
        <v/>
      </c>
      <c r="T1512" s="92" t="n">
        <v>1</v>
      </c>
      <c r="U1512" s="174">
        <f>IFERROR(Q1512*S1512,0)</f>
        <v/>
      </c>
      <c r="V1512" s="178">
        <f>U1512*T1512</f>
        <v/>
      </c>
      <c r="W1512" s="103" t="inlineStr">
        <is>
          <t>漏洞统计数据表、报告模板表</t>
        </is>
      </c>
      <c r="X1512" s="103" t="inlineStr"/>
      <c r="Y1512" s="97" t="inlineStr">
        <is>
          <t>漏洞统计数据表{漏洞ID、漏洞名称|漏洞ID、漏洞名称、漏洞等级、漏洞类型、CVE编号、发现时间、修复状态}
报告模板表{ID、名称|ID、名称、类型、状态、创建时间、更新时间}</t>
        </is>
      </c>
      <c r="Z1512" s="90" t="n"/>
      <c r="AA1512" s="90" t="n"/>
    </row>
    <row r="1513" s="112">
      <c r="A1513" s="72">
        <f>ROW()-1</f>
        <v/>
      </c>
      <c r="B1513" s="175" t="n"/>
      <c r="C1513" s="124" t="n">
        <v>2026</v>
      </c>
      <c r="E1513" s="103" t="n"/>
      <c r="F1513" s="175" t="n"/>
      <c r="G1513" s="97" t="inlineStr">
        <is>
          <t>修复状态接收与同步</t>
        </is>
      </c>
      <c r="H1513" s="97" t="inlineStr">
        <is>
          <t>漏洞查询接口管理</t>
        </is>
      </c>
      <c r="I1513" s="103" t="inlineStr">
        <is>
          <t>漏洞查询接口配置表</t>
        </is>
      </c>
      <c r="J1513" s="93" t="inlineStr">
        <is>
          <t>ILF</t>
        </is>
      </c>
      <c r="K1513" s="102" t="n"/>
      <c r="L1513" s="102" t="n"/>
      <c r="M1513" s="85">
        <f>IF(OR(Y1513="估算法",Y1513="算法类",Y1513="无法识别"),"",IF(W1513="",IF(OR(J1513="EI",J1513="EO",J1513="EQ"),0,""),LEN(W1513)-LEN(SUBSTITUTE(W1513,"、",""))+1))</f>
        <v/>
      </c>
      <c r="N1513" s="85">
        <f>IF(OR(Y1513="估算法",Y1513="算法类",Y1513="无法识别"),"",IF(X1513="",IF(OR(J1513="ILF",J1513="EIF"),0,""),LEN(X1513)-LEN(SUBSTITUTE(X1513,"、",""))+1))</f>
        <v/>
      </c>
      <c r="O1513" s="85">
        <f>IF(OR(Y1513="估算法",Y1513="算法类",Y1513="无法识别"),"",IF(Y1513="",IF(OR(J1513="ILF",J1513="EIF",J1513="EI",J1513="EO",J1513="EQ"),0,""),LEN(Y1513)-LEN(SUBSTITUTE(SUBSTITUTE(SUBSTITUTE(SUBSTITUTE(SUBSTITUTE(Y1513,"|}","--"),"{|","--"),CHAR(10),""),"、",""),"|",""))+IF(AND(OR(J1513="EI",J1513="EO",J1513="EQ"),$AE$1="NESMA"),2,1)))</f>
        <v/>
      </c>
      <c r="P1513" s="86">
        <f>IF(J1513="EI",IF(OR(Y1513="估算法",Y1513="算法类"),"中",IF(Y1513="无法识别","低",IF(M1513&lt;2,IF(O1513&lt;16,"低","中"),IF(M1513&lt;3,IF(O1513&lt;5,"低",IF(O1513&lt;16,"中","高")),IF(O1513&lt;5,"中","高"))))),IF(OR(J1513="EO",J1513="EQ"),IF(OR(Y1513="估算法",Y1513="算法类"),"中",IF(Y1513="无法识别","低",IF(M1513&lt;2,IF(O1513&lt;20,"低","中"),IF(M1513&lt;4,IF(O1513&lt;6,"低",IF(O1513&lt;20,"中","高")),IF(O1513&lt;6,"中","高"))))),IF(OR(J1513="ILF",J1513="EIF"),IF(OR(Y1513="估算法",Y1513="算法类",Y1513="无法识别"),"低",IF(N1513&lt;2,IF(O1513&lt;51,"低","中"),IF(N1513&lt;6,IF(O1513&lt;20,"低",IF(O1513&lt;51,"中","高")),IF(O1513&lt;20,"中","高")))),"不计算")))</f>
        <v/>
      </c>
      <c r="Q1513" s="172">
        <f>IFERROR(IF(J1513="EI",IF(P1513="低",3,IF(P1513="中",4,6)),IF(J1513="EO",IF(P1513="低",4,IF(P1513="中",5,7)),IF(J1513="EQ",IF(P1513="低",3,IF(P1513="中",4,6)),IF(J1513="ILF",IF(P1513="低",7,IF(P1513="中",10,15)),IF(J1513="EIF",IF(P1513="低",5,IF(P1513="中",7,10)),"不计算")))))*R1513,"不计算")</f>
        <v/>
      </c>
      <c r="R1513" s="172" t="n">
        <v>1</v>
      </c>
      <c r="S1513" s="173">
        <f>调整因子!$F$13</f>
        <v/>
      </c>
      <c r="T1513" s="93" t="n">
        <v>1</v>
      </c>
      <c r="U1513" s="174">
        <f>IFERROR(Q1513*S1513,0)</f>
        <v/>
      </c>
      <c r="V1513" s="178">
        <f>U1513*T1513</f>
        <v/>
      </c>
      <c r="W1513" s="103" t="inlineStr"/>
      <c r="X1513" s="103" t="inlineStr">
        <is>
          <t>系统漏洞、Web漏洞、弱口令</t>
        </is>
      </c>
      <c r="Y1513" s="97" t="inlineStr">
        <is>
          <t>漏洞查询接口配置表{漏洞ID、漏洞名称、漏洞等级|漏洞ID、漏洞名称、漏洞等级、漏洞类型、CVE编号、发现时间、修复状态}</t>
        </is>
      </c>
      <c r="Z1513" s="90">
        <f>IF(COUNTIFS(W:W,"*"&amp;I1513&amp;"*")&gt;0,"存在","不存在")</f>
        <v/>
      </c>
      <c r="AA1513" s="90">
        <f>IF(COUNTIFS(AB:AB,"*"&amp;I1513&amp;"*")&gt;0,"存在","不存在")</f>
        <v/>
      </c>
    </row>
    <row r="1514" s="112">
      <c r="A1514" s="72">
        <f>ROW()-1</f>
        <v/>
      </c>
      <c r="B1514" s="175" t="n"/>
      <c r="C1514" s="124" t="n">
        <v>2026</v>
      </c>
      <c r="E1514" s="103" t="n"/>
      <c r="F1514" s="175" t="n"/>
      <c r="G1514" s="175" t="n"/>
      <c r="H1514" s="175" t="n"/>
      <c r="I1514" s="103" t="inlineStr">
        <is>
          <t>漏洞查询接口</t>
        </is>
      </c>
      <c r="J1514" s="93" t="inlineStr">
        <is>
          <t>EIF</t>
        </is>
      </c>
      <c r="K1514" s="102" t="n"/>
      <c r="L1514" s="102" t="n"/>
      <c r="M1514" s="85">
        <f>IF(OR(Y1514="估算法",Y1514="算法类",Y1514="无法识别"),"",IF(W1514="",IF(OR(J1514="EI",J1514="EO",J1514="EQ"),0,""),LEN(W1514)-LEN(SUBSTITUTE(W1514,"、",""))+1))</f>
        <v/>
      </c>
      <c r="N1514" s="85">
        <f>IF(OR(Y1514="估算法",Y1514="算法类",Y1514="无法识别"),"",IF(X1514="",IF(OR(J1514="ILF",J1514="EIF"),0,""),LEN(X1514)-LEN(SUBSTITUTE(X1514,"、",""))+1))</f>
        <v/>
      </c>
      <c r="O1514" s="85">
        <f>IF(OR(Y1514="估算法",Y1514="算法类",Y1514="无法识别"),"",IF(Y1514="",IF(OR(J1514="ILF",J1514="EIF",J1514="EI",J1514="EO",J1514="EQ"),0,""),LEN(Y1514)-LEN(SUBSTITUTE(SUBSTITUTE(SUBSTITUTE(SUBSTITUTE(SUBSTITUTE(Y1514,"|}","--"),"{|","--"),CHAR(10),""),"、",""),"|",""))+IF(AND(OR(J1514="EI",J1514="EO",J1514="EQ"),$AE$1="NESMA"),2,1)))</f>
        <v/>
      </c>
      <c r="P1514" s="86">
        <f>IF(J1514="EI",IF(OR(Y1514="估算法",Y1514="算法类"),"中",IF(Y1514="无法识别","低",IF(M1514&lt;2,IF(O1514&lt;16,"低","中"),IF(M1514&lt;3,IF(O1514&lt;5,"低",IF(O1514&lt;16,"中","高")),IF(O1514&lt;5,"中","高"))))),IF(OR(J1514="EO",J1514="EQ"),IF(OR(Y1514="估算法",Y1514="算法类"),"中",IF(Y1514="无法识别","低",IF(M1514&lt;2,IF(O1514&lt;20,"低","中"),IF(M1514&lt;4,IF(O1514&lt;6,"低",IF(O1514&lt;20,"中","高")),IF(O1514&lt;6,"中","高"))))),IF(OR(J1514="ILF",J1514="EIF"),IF(OR(Y1514="估算法",Y1514="算法类",Y1514="无法识别"),"低",IF(N1514&lt;2,IF(O1514&lt;51,"低","中"),IF(N1514&lt;6,IF(O1514&lt;20,"低",IF(O1514&lt;51,"中","高")),IF(O1514&lt;20,"中","高")))),"不计算")))</f>
        <v/>
      </c>
      <c r="Q1514" s="172">
        <f>IFERROR(IF(J1514="EI",IF(P1514="低",3,IF(P1514="中",4,6)),IF(J1514="EO",IF(P1514="低",4,IF(P1514="中",5,7)),IF(J1514="EQ",IF(P1514="低",3,IF(P1514="中",4,6)),IF(J1514="ILF",IF(P1514="低",7,IF(P1514="中",10,15)),IF(J1514="EIF",IF(P1514="低",5,IF(P1514="中",7,10)),"不计算")))))*R1514,"不计算")</f>
        <v/>
      </c>
      <c r="R1514" s="172" t="n">
        <v>1</v>
      </c>
      <c r="S1514" s="173">
        <f>调整因子!$F$13</f>
        <v/>
      </c>
      <c r="T1514" s="92" t="n">
        <v>1</v>
      </c>
      <c r="U1514" s="174">
        <f>IFERROR(Q1514*S1514,0)</f>
        <v/>
      </c>
      <c r="V1514" s="178">
        <f>U1514*T1514</f>
        <v/>
      </c>
      <c r="W1514" s="103" t="inlineStr"/>
      <c r="X1514" s="103" t="inlineStr">
        <is>
          <t>接口数据</t>
        </is>
      </c>
      <c r="Y1514" s="97" t="inlineStr">
        <is>
          <t>漏洞查询接口{漏洞ID、漏洞名称|漏洞ID、漏洞名称、漏洞等级、漏洞类型、CVE编号、发现时间、修复状态}</t>
        </is>
      </c>
      <c r="Z1514" s="90">
        <f>IF(COUNTIFS(W:W,"*"&amp;I1514&amp;"*")&gt;0,"存在","不存在")</f>
        <v/>
      </c>
      <c r="AA1514" s="90">
        <f>IF(COUNTIFS(AB:AB,"*"&amp;I1514&amp;"*")&gt;0,"存在","不存在")</f>
        <v/>
      </c>
    </row>
    <row r="1515" s="112">
      <c r="A1515" s="72">
        <f>ROW()-1</f>
        <v/>
      </c>
      <c r="B1515" s="175" t="n"/>
      <c r="C1515" s="124" t="n">
        <v>2026</v>
      </c>
      <c r="E1515" s="103" t="n"/>
      <c r="F1515" s="175" t="n"/>
      <c r="G1515" s="175" t="n"/>
      <c r="H1515" s="175" t="n"/>
      <c r="I1515" s="103" t="inlineStr">
        <is>
          <t>配置漏洞查询接口</t>
        </is>
      </c>
      <c r="J1515" s="93" t="inlineStr">
        <is>
          <t>EI</t>
        </is>
      </c>
      <c r="K1515" s="102" t="n"/>
      <c r="L1515" s="102" t="n"/>
      <c r="M1515" s="85">
        <f>IF(OR(Y1515="估算法",Y1515="算法类",Y1515="无法识别"),"",IF(W1515="",IF(OR(J1515="EI",J1515="EO",J1515="EQ"),0,""),LEN(W1515)-LEN(SUBSTITUTE(W1515,"、",""))+1))</f>
        <v/>
      </c>
      <c r="N1515" s="85">
        <f>IF(OR(Y1515="估算法",Y1515="算法类",Y1515="无法识别"),"",IF(X1515="",IF(OR(J1515="ILF",J1515="EIF"),0,""),LEN(X1515)-LEN(SUBSTITUTE(X1515,"、",""))+1))</f>
        <v/>
      </c>
      <c r="O1515" s="85">
        <f>IF(OR(Y1515="估算法",Y1515="算法类",Y1515="无法识别"),"",IF(Y1515="",IF(OR(J1515="ILF",J1515="EIF",J1515="EI",J1515="EO",J1515="EQ"),0,""),LEN(Y1515)-LEN(SUBSTITUTE(SUBSTITUTE(SUBSTITUTE(SUBSTITUTE(SUBSTITUTE(Y1515,"|}","--"),"{|","--"),CHAR(10),""),"、",""),"|",""))+IF(AND(OR(J1515="EI",J1515="EO",J1515="EQ"),$AE$1="NESMA"),2,1)))</f>
        <v/>
      </c>
      <c r="P1515" s="86">
        <f>IF(J1515="EI",IF(OR(Y1515="估算法",Y1515="算法类"),"中",IF(Y1515="无法识别","低",IF(M1515&lt;2,IF(O1515&lt;16,"低","中"),IF(M1515&lt;3,IF(O1515&lt;5,"低",IF(O1515&lt;16,"中","高")),IF(O1515&lt;5,"中","高"))))),IF(OR(J1515="EO",J1515="EQ"),IF(OR(Y1515="估算法",Y1515="算法类"),"中",IF(Y1515="无法识别","低",IF(M1515&lt;2,IF(O1515&lt;20,"低","中"),IF(M1515&lt;4,IF(O1515&lt;6,"低",IF(O1515&lt;20,"中","高")),IF(O1515&lt;6,"中","高"))))),IF(OR(J1515="ILF",J1515="EIF"),IF(OR(Y1515="估算法",Y1515="算法类",Y1515="无法识别"),"低",IF(N1515&lt;2,IF(O1515&lt;51,"低","中"),IF(N1515&lt;6,IF(O1515&lt;20,"低",IF(O1515&lt;51,"中","高")),IF(O1515&lt;20,"中","高")))),"不计算")))</f>
        <v/>
      </c>
      <c r="Q1515" s="172">
        <f>IFERROR(IF(J1515="EI",IF(P1515="低",3,IF(P1515="中",4,6)),IF(J1515="EO",IF(P1515="低",4,IF(P1515="中",5,7)),IF(J1515="EQ",IF(P1515="低",3,IF(P1515="中",4,6)),IF(J1515="ILF",IF(P1515="低",7,IF(P1515="中",10,15)),IF(J1515="EIF",IF(P1515="低",5,IF(P1515="中",7,10)),"不计算")))))*R1515,"不计算")</f>
        <v/>
      </c>
      <c r="R1515" s="172" t="n">
        <v>0.333333333333333</v>
      </c>
      <c r="S1515" s="173">
        <f>调整因子!$F$13</f>
        <v/>
      </c>
      <c r="T1515" s="92" t="n">
        <v>1</v>
      </c>
      <c r="U1515" s="174">
        <f>IFERROR(Q1515*S1515,0)</f>
        <v/>
      </c>
      <c r="V1515" s="178">
        <f>U1515*T1515</f>
        <v/>
      </c>
      <c r="W1515" s="103" t="inlineStr">
        <is>
          <t>任务优先级配置表</t>
        </is>
      </c>
      <c r="X1515" s="103" t="inlineStr"/>
      <c r="Y1515" s="97" t="inlineStr">
        <is>
          <t>任务优先级配置表{任务ID、任务名称、任务类型、任务状态、创建时间、执行时间|任务ID、任务名称、任务类型}</t>
        </is>
      </c>
      <c r="Z1515" s="90" t="n"/>
      <c r="AA1515" s="90" t="n"/>
    </row>
    <row r="1516" s="112">
      <c r="A1516" s="72">
        <f>ROW()-1</f>
        <v/>
      </c>
      <c r="B1516" s="175" t="n"/>
      <c r="C1516" s="124" t="n">
        <v>2026</v>
      </c>
      <c r="E1516" s="103" t="n"/>
      <c r="F1516" s="175" t="n"/>
      <c r="G1516" s="175" t="n"/>
      <c r="H1516" s="175" t="n"/>
      <c r="I1516" s="103" t="inlineStr">
        <is>
          <t>编辑漏洞查询接口</t>
        </is>
      </c>
      <c r="J1516" s="93" t="inlineStr">
        <is>
          <t>EI</t>
        </is>
      </c>
      <c r="K1516" s="102" t="n"/>
      <c r="L1516" s="102" t="n"/>
      <c r="M1516" s="85">
        <f>IF(OR(Y1516="估算法",Y1516="算法类",Y1516="无法识别"),"",IF(W1516="",IF(OR(J1516="EI",J1516="EO",J1516="EQ"),0,""),LEN(W1516)-LEN(SUBSTITUTE(W1516,"、",""))+1))</f>
        <v/>
      </c>
      <c r="N1516" s="85">
        <f>IF(OR(Y1516="估算法",Y1516="算法类",Y1516="无法识别"),"",IF(X1516="",IF(OR(J1516="ILF",J1516="EIF"),0,""),LEN(X1516)-LEN(SUBSTITUTE(X1516,"、",""))+1))</f>
        <v/>
      </c>
      <c r="O1516" s="85">
        <f>IF(OR(Y1516="估算法",Y1516="算法类",Y1516="无法识别"),"",IF(Y1516="",IF(OR(J1516="ILF",J1516="EIF",J1516="EI",J1516="EO",J1516="EQ"),0,""),LEN(Y1516)-LEN(SUBSTITUTE(SUBSTITUTE(SUBSTITUTE(SUBSTITUTE(SUBSTITUTE(Y1516,"|}","--"),"{|","--"),CHAR(10),""),"、",""),"|",""))+IF(AND(OR(J1516="EI",J1516="EO",J1516="EQ"),$AE$1="NESMA"),2,1)))</f>
        <v/>
      </c>
      <c r="P1516" s="86">
        <f>IF(J1516="EI",IF(OR(Y1516="估算法",Y1516="算法类"),"中",IF(Y1516="无法识别","低",IF(M1516&lt;2,IF(O1516&lt;16,"低","中"),IF(M1516&lt;3,IF(O1516&lt;5,"低",IF(O1516&lt;16,"中","高")),IF(O1516&lt;5,"中","高"))))),IF(OR(J1516="EO",J1516="EQ"),IF(OR(Y1516="估算法",Y1516="算法类"),"中",IF(Y1516="无法识别","低",IF(M1516&lt;2,IF(O1516&lt;20,"低","中"),IF(M1516&lt;4,IF(O1516&lt;6,"低",IF(O1516&lt;20,"中","高")),IF(O1516&lt;6,"中","高"))))),IF(OR(J1516="ILF",J1516="EIF"),IF(OR(Y1516="估算法",Y1516="算法类",Y1516="无法识别"),"低",IF(N1516&lt;2,IF(O1516&lt;51,"低","中"),IF(N1516&lt;6,IF(O1516&lt;20,"低",IF(O1516&lt;51,"中","高")),IF(O1516&lt;20,"中","高")))),"不计算")))</f>
        <v/>
      </c>
      <c r="Q1516" s="172">
        <f>IFERROR(IF(J1516="EI",IF(P1516="低",3,IF(P1516="中",4,6)),IF(J1516="EO",IF(P1516="低",4,IF(P1516="中",5,7)),IF(J1516="EQ",IF(P1516="低",3,IF(P1516="中",4,6)),IF(J1516="ILF",IF(P1516="低",7,IF(P1516="中",10,15)),IF(J1516="EIF",IF(P1516="低",5,IF(P1516="中",7,10)),"不计算")))))*R1516,"不计算")</f>
        <v/>
      </c>
      <c r="R1516" s="172" t="n">
        <v>0.333333333333333</v>
      </c>
      <c r="S1516" s="173">
        <f>调整因子!$F$13</f>
        <v/>
      </c>
      <c r="T1516" s="93" t="n">
        <v>1</v>
      </c>
      <c r="U1516" s="174">
        <f>IFERROR(Q1516*S1516,0)</f>
        <v/>
      </c>
      <c r="V1516" s="178">
        <f>U1516*T1516</f>
        <v/>
      </c>
      <c r="W1516" s="103" t="inlineStr">
        <is>
          <t>漏洞处置单表、漏洞统计数据表</t>
        </is>
      </c>
      <c r="X1516" s="103" t="inlineStr"/>
      <c r="Y1516"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516" s="90" t="n"/>
      <c r="AA1516" s="90" t="n"/>
    </row>
    <row r="1517" s="112">
      <c r="A1517" s="72">
        <f>ROW()-1</f>
        <v/>
      </c>
      <c r="B1517" s="175" t="n"/>
      <c r="C1517" s="124" t="n">
        <v>2026</v>
      </c>
      <c r="E1517" s="103" t="n"/>
      <c r="F1517" s="175" t="n"/>
      <c r="G1517" s="175" t="n"/>
      <c r="H1517" s="175" t="n"/>
      <c r="I1517" s="103" t="inlineStr">
        <is>
          <t>删除漏洞查询接口</t>
        </is>
      </c>
      <c r="J1517" s="93" t="inlineStr">
        <is>
          <t>EI</t>
        </is>
      </c>
      <c r="K1517" s="102" t="n"/>
      <c r="L1517" s="102" t="n"/>
      <c r="M1517" s="85">
        <f>IF(OR(Y1517="估算法",Y1517="算法类",Y1517="无法识别"),"",IF(W1517="",IF(OR(J1517="EI",J1517="EO",J1517="EQ"),0,""),LEN(W1517)-LEN(SUBSTITUTE(W1517,"、",""))+1))</f>
        <v/>
      </c>
      <c r="N1517" s="85">
        <f>IF(OR(Y1517="估算法",Y1517="算法类",Y1517="无法识别"),"",IF(X1517="",IF(OR(J1517="ILF",J1517="EIF"),0,""),LEN(X1517)-LEN(SUBSTITUTE(X1517,"、",""))+1))</f>
        <v/>
      </c>
      <c r="O1517" s="85">
        <f>IF(OR(Y1517="估算法",Y1517="算法类",Y1517="无法识别"),"",IF(Y1517="",IF(OR(J1517="ILF",J1517="EIF",J1517="EI",J1517="EO",J1517="EQ"),0,""),LEN(Y1517)-LEN(SUBSTITUTE(SUBSTITUTE(SUBSTITUTE(SUBSTITUTE(SUBSTITUTE(Y1517,"|}","--"),"{|","--"),CHAR(10),""),"、",""),"|",""))+IF(AND(OR(J1517="EI",J1517="EO",J1517="EQ"),$AE$1="NESMA"),2,1)))</f>
        <v/>
      </c>
      <c r="P1517" s="86">
        <f>IF(J1517="EI",IF(OR(Y1517="估算法",Y1517="算法类"),"中",IF(Y1517="无法识别","低",IF(M1517&lt;2,IF(O1517&lt;16,"低","中"),IF(M1517&lt;3,IF(O1517&lt;5,"低",IF(O1517&lt;16,"中","高")),IF(O1517&lt;5,"中","高"))))),IF(OR(J1517="EO",J1517="EQ"),IF(OR(Y1517="估算法",Y1517="算法类"),"中",IF(Y1517="无法识别","低",IF(M1517&lt;2,IF(O1517&lt;20,"低","中"),IF(M1517&lt;4,IF(O1517&lt;6,"低",IF(O1517&lt;20,"中","高")),IF(O1517&lt;6,"中","高"))))),IF(OR(J1517="ILF",J1517="EIF"),IF(OR(Y1517="估算法",Y1517="算法类",Y1517="无法识别"),"低",IF(N1517&lt;2,IF(O1517&lt;51,"低","中"),IF(N1517&lt;6,IF(O1517&lt;20,"低",IF(O1517&lt;51,"中","高")),IF(O1517&lt;20,"中","高")))),"不计算")))</f>
        <v/>
      </c>
      <c r="Q1517" s="172">
        <f>IFERROR(IF(J1517="EI",IF(P1517="低",3,IF(P1517="中",4,6)),IF(J1517="EO",IF(P1517="低",4,IF(P1517="中",5,7)),IF(J1517="EQ",IF(P1517="低",3,IF(P1517="中",4,6)),IF(J1517="ILF",IF(P1517="低",7,IF(P1517="中",10,15)),IF(J1517="EIF",IF(P1517="低",5,IF(P1517="中",7,10)),"不计算")))))*R1517,"不计算")</f>
        <v/>
      </c>
      <c r="R1517" s="172" t="n">
        <v>0.333333333333333</v>
      </c>
      <c r="S1517" s="173">
        <f>调整因子!$F$13</f>
        <v/>
      </c>
      <c r="T1517" s="93" t="n">
        <v>1</v>
      </c>
      <c r="U1517" s="174">
        <f>IFERROR(Q1517*S1517,0)</f>
        <v/>
      </c>
      <c r="V1517" s="178">
        <f>U1517*T1517</f>
        <v/>
      </c>
      <c r="W1517" s="103" t="inlineStr">
        <is>
          <t>漏洞处置单表</t>
        </is>
      </c>
      <c r="X1517" s="103" t="inlineStr"/>
      <c r="Y1517" s="97" t="inlineStr">
        <is>
          <t>漏洞处置单表{漏洞ID、漏洞名称、漏洞等级、漏洞类型、CVE编号、发现时间、修复状态|漏洞ID、漏洞名称、漏洞等级}</t>
        </is>
      </c>
      <c r="Z1517" s="90" t="n"/>
      <c r="AA1517" s="90" t="n"/>
    </row>
    <row r="1518" s="112">
      <c r="A1518" s="72">
        <f>ROW()-1</f>
        <v/>
      </c>
      <c r="B1518" s="175" t="n"/>
      <c r="C1518" s="124" t="n">
        <v>2026</v>
      </c>
      <c r="E1518" s="103" t="n"/>
      <c r="F1518" s="175" t="n"/>
      <c r="G1518" s="175" t="n"/>
      <c r="H1518" s="175" t="n"/>
      <c r="I1518" s="103" t="inlineStr">
        <is>
          <t>启用漏洞查询接口</t>
        </is>
      </c>
      <c r="J1518" s="93" t="inlineStr">
        <is>
          <t>EI</t>
        </is>
      </c>
      <c r="K1518" s="102" t="n"/>
      <c r="L1518" s="102" t="n"/>
      <c r="M1518" s="85">
        <f>IF(OR(Y1518="估算法",Y1518="算法类",Y1518="无法识别"),"",IF(W1518="",IF(OR(J1518="EI",J1518="EO",J1518="EQ"),0,""),LEN(W1518)-LEN(SUBSTITUTE(W1518,"、",""))+1))</f>
        <v/>
      </c>
      <c r="N1518" s="85">
        <f>IF(OR(Y1518="估算法",Y1518="算法类",Y1518="无法识别"),"",IF(X1518="",IF(OR(J1518="ILF",J1518="EIF"),0,""),LEN(X1518)-LEN(SUBSTITUTE(X1518,"、",""))+1))</f>
        <v/>
      </c>
      <c r="O1518" s="85">
        <f>IF(OR(Y1518="估算法",Y1518="算法类",Y1518="无法识别"),"",IF(Y1518="",IF(OR(J1518="ILF",J1518="EIF",J1518="EI",J1518="EO",J1518="EQ"),0,""),LEN(Y1518)-LEN(SUBSTITUTE(SUBSTITUTE(SUBSTITUTE(SUBSTITUTE(SUBSTITUTE(Y1518,"|}","--"),"{|","--"),CHAR(10),""),"、",""),"|",""))+IF(AND(OR(J1518="EI",J1518="EO",J1518="EQ"),$AE$1="NESMA"),2,1)))</f>
        <v/>
      </c>
      <c r="P1518" s="86">
        <f>IF(J1518="EI",IF(OR(Y1518="估算法",Y1518="算法类"),"中",IF(Y1518="无法识别","低",IF(M1518&lt;2,IF(O1518&lt;16,"低","中"),IF(M1518&lt;3,IF(O1518&lt;5,"低",IF(O1518&lt;16,"中","高")),IF(O1518&lt;5,"中","高"))))),IF(OR(J1518="EO",J1518="EQ"),IF(OR(Y1518="估算法",Y1518="算法类"),"中",IF(Y1518="无法识别","低",IF(M1518&lt;2,IF(O1518&lt;20,"低","中"),IF(M1518&lt;4,IF(O1518&lt;6,"低",IF(O1518&lt;20,"中","高")),IF(O1518&lt;6,"中","高"))))),IF(OR(J1518="ILF",J1518="EIF"),IF(OR(Y1518="估算法",Y1518="算法类",Y1518="无法识别"),"低",IF(N1518&lt;2,IF(O1518&lt;51,"低","中"),IF(N1518&lt;6,IF(O1518&lt;20,"低",IF(O1518&lt;51,"中","高")),IF(O1518&lt;20,"中","高")))),"不计算")))</f>
        <v/>
      </c>
      <c r="Q1518" s="172">
        <f>IFERROR(IF(J1518="EI",IF(P1518="低",3,IF(P1518="中",4,6)),IF(J1518="EO",IF(P1518="低",4,IF(P1518="中",5,7)),IF(J1518="EQ",IF(P1518="低",3,IF(P1518="中",4,6)),IF(J1518="ILF",IF(P1518="低",7,IF(P1518="中",10,15)),IF(J1518="EIF",IF(P1518="低",5,IF(P1518="中",7,10)),"不计算")))))*R1518,"不计算")</f>
        <v/>
      </c>
      <c r="R1518" s="172" t="n">
        <v>0.333333333333333</v>
      </c>
      <c r="S1518" s="173">
        <f>调整因子!$F$13</f>
        <v/>
      </c>
      <c r="T1518" s="92" t="n">
        <v>1</v>
      </c>
      <c r="U1518" s="174">
        <f>IFERROR(Q1518*S1518,0)</f>
        <v/>
      </c>
      <c r="V1518" s="178">
        <f>U1518*T1518</f>
        <v/>
      </c>
      <c r="W1518" s="103" t="inlineStr">
        <is>
          <t>漏洞处置单表、漏洞统计数据表</t>
        </is>
      </c>
      <c r="X1518" s="103" t="inlineStr"/>
      <c r="Y1518" s="97" t="inlineStr">
        <is>
          <t>漏洞处置单表{漏洞ID、漏洞名称、漏洞等级、漏洞类型、CVE编号、发现时间、修复状态|漏洞ID、漏洞名称、漏洞等级}
漏洞统计数据表{漏洞ID、漏洞名称、漏洞等级、漏洞类型、CVE编号、发现时间、修复状态|漏洞ID、漏洞名称、漏洞等级}</t>
        </is>
      </c>
      <c r="Z1518" s="90" t="n"/>
      <c r="AA1518" s="90" t="n"/>
    </row>
    <row r="1519" s="112">
      <c r="A1519" s="72">
        <f>ROW()-1</f>
        <v/>
      </c>
      <c r="B1519" s="175" t="n"/>
      <c r="C1519" s="124" t="n">
        <v>2026</v>
      </c>
      <c r="E1519" s="103" t="n"/>
      <c r="F1519" s="175" t="n"/>
      <c r="G1519" s="175" t="n"/>
      <c r="H1519" s="175" t="n"/>
      <c r="I1519" s="103" t="inlineStr">
        <is>
          <t>停用漏洞查询接口</t>
        </is>
      </c>
      <c r="J1519" s="93" t="n"/>
      <c r="K1519" s="102" t="n"/>
      <c r="L1519" s="102" t="inlineStr">
        <is>
          <t>和上行合并，启停为相同功能</t>
        </is>
      </c>
      <c r="M1519" s="85">
        <f>IF(OR(Y1519="估算法",Y1519="算法类",Y1519="无法识别"),"",IF(W1519="",IF(OR(J1519="EI",J1519="EO",J1519="EQ"),0,""),LEN(W1519)-LEN(SUBSTITUTE(W1519,"、",""))+1))</f>
        <v/>
      </c>
      <c r="N1519" s="85">
        <f>IF(OR(Y1519="估算法",Y1519="算法类",Y1519="无法识别"),"",IF(X1519="",IF(OR(J1519="ILF",J1519="EIF"),0,""),LEN(X1519)-LEN(SUBSTITUTE(X1519,"、",""))+1))</f>
        <v/>
      </c>
      <c r="O1519" s="85">
        <f>IF(OR(Y1519="估算法",Y1519="算法类",Y1519="无法识别"),"",IF(Y1519="",IF(OR(J1519="ILF",J1519="EIF",J1519="EI",J1519="EO",J1519="EQ"),0,""),LEN(Y1519)-LEN(SUBSTITUTE(SUBSTITUTE(SUBSTITUTE(SUBSTITUTE(SUBSTITUTE(Y1519,"|}","--"),"{|","--"),CHAR(10),""),"、",""),"|",""))+IF(AND(OR(J1519="EI",J1519="EO",J1519="EQ"),$AE$1="NESMA"),2,1)))</f>
        <v/>
      </c>
      <c r="P1519" s="86">
        <f>IF(J1519="EI",IF(OR(Y1519="估算法",Y1519="算法类"),"中",IF(Y1519="无法识别","低",IF(M1519&lt;2,IF(O1519&lt;16,"低","中"),IF(M1519&lt;3,IF(O1519&lt;5,"低",IF(O1519&lt;16,"中","高")),IF(O1519&lt;5,"中","高"))))),IF(OR(J1519="EO",J1519="EQ"),IF(OR(Y1519="估算法",Y1519="算法类"),"中",IF(Y1519="无法识别","低",IF(M1519&lt;2,IF(O1519&lt;20,"低","中"),IF(M1519&lt;4,IF(O1519&lt;6,"低",IF(O1519&lt;20,"中","高")),IF(O1519&lt;6,"中","高"))))),IF(OR(J1519="ILF",J1519="EIF"),IF(OR(Y1519="估算法",Y1519="算法类",Y1519="无法识别"),"低",IF(N1519&lt;2,IF(O1519&lt;51,"低","中"),IF(N1519&lt;6,IF(O1519&lt;20,"低",IF(O1519&lt;51,"中","高")),IF(O1519&lt;20,"中","高")))),"不计算")))</f>
        <v/>
      </c>
      <c r="Q1519" s="172">
        <f>IFERROR(IF(J1519="EI",IF(P1519="低",3,IF(P1519="中",4,6)),IF(J1519="EO",IF(P1519="低",4,IF(P1519="中",5,7)),IF(J1519="EQ",IF(P1519="低",3,IF(P1519="中",4,6)),IF(J1519="ILF",IF(P1519="低",7,IF(P1519="中",10,15)),IF(J1519="EIF",IF(P1519="低",5,IF(P1519="中",7,10)),"不计算")))))*R1519,"不计算")</f>
        <v/>
      </c>
      <c r="R1519" s="172" t="n">
        <v>0.333333333333333</v>
      </c>
      <c r="S1519" s="173">
        <f>调整因子!$F$13</f>
        <v/>
      </c>
      <c r="T1519" s="92" t="n">
        <v>1</v>
      </c>
      <c r="U1519" s="174">
        <f>IFERROR(Q1519*S1519,0)</f>
        <v/>
      </c>
      <c r="V1519" s="178">
        <f>U1519*T1519</f>
        <v/>
      </c>
      <c r="W1519" s="103" t="inlineStr">
        <is>
          <t>漏洞处置单表</t>
        </is>
      </c>
      <c r="X1519" s="103" t="inlineStr"/>
      <c r="Y1519" s="97" t="inlineStr">
        <is>
          <t>漏洞处置单表{漏洞ID、漏洞名称、漏洞等级、漏洞类型、CVE编号、发现时间、修复状态|漏洞ID、漏洞名称、漏洞等级}</t>
        </is>
      </c>
      <c r="Z1519" s="90" t="n"/>
      <c r="AA1519" s="90" t="n"/>
    </row>
    <row r="1520" s="112">
      <c r="A1520" s="72">
        <f>ROW()-1</f>
        <v/>
      </c>
      <c r="B1520" s="175" t="n"/>
      <c r="C1520" s="124" t="n">
        <v>2026</v>
      </c>
      <c r="E1520" s="103" t="n"/>
      <c r="F1520" s="175" t="n"/>
      <c r="G1520" s="175" t="n"/>
      <c r="H1520" s="175" t="n"/>
      <c r="I1520" s="103" t="inlineStr">
        <is>
          <t>返回查询结果</t>
        </is>
      </c>
      <c r="J1520" s="93" t="inlineStr">
        <is>
          <t>EO</t>
        </is>
      </c>
      <c r="K1520" s="102" t="n"/>
      <c r="L1520" s="102" t="n"/>
      <c r="M1520" s="85">
        <f>IF(OR(Y1520="估算法",Y1520="算法类",Y1520="无法识别"),"",IF(W1520="",IF(OR(J1520="EI",J1520="EO",J1520="EQ"),0,""),LEN(W1520)-LEN(SUBSTITUTE(W1520,"、",""))+1))</f>
        <v/>
      </c>
      <c r="N1520" s="85">
        <f>IF(OR(Y1520="估算法",Y1520="算法类",Y1520="无法识别"),"",IF(X1520="",IF(OR(J1520="ILF",J1520="EIF"),0,""),LEN(X1520)-LEN(SUBSTITUTE(X1520,"、",""))+1))</f>
        <v/>
      </c>
      <c r="O1520" s="85">
        <f>IF(OR(Y1520="估算法",Y1520="算法类",Y1520="无法识别"),"",IF(Y1520="",IF(OR(J1520="ILF",J1520="EIF",J1520="EI",J1520="EO",J1520="EQ"),0,""),LEN(Y1520)-LEN(SUBSTITUTE(SUBSTITUTE(SUBSTITUTE(SUBSTITUTE(SUBSTITUTE(Y1520,"|}","--"),"{|","--"),CHAR(10),""),"、",""),"|",""))+IF(AND(OR(J1520="EI",J1520="EO",J1520="EQ"),$AE$1="NESMA"),2,1)))</f>
        <v/>
      </c>
      <c r="P1520" s="86">
        <f>IF(J1520="EI",IF(OR(Y1520="估算法",Y1520="算法类"),"中",IF(Y1520="无法识别","低",IF(M1520&lt;2,IF(O1520&lt;16,"低","中"),IF(M1520&lt;3,IF(O1520&lt;5,"低",IF(O1520&lt;16,"中","高")),IF(O1520&lt;5,"中","高"))))),IF(OR(J1520="EO",J1520="EQ"),IF(OR(Y1520="估算法",Y1520="算法类"),"中",IF(Y1520="无法识别","低",IF(M1520&lt;2,IF(O1520&lt;20,"低","中"),IF(M1520&lt;4,IF(O1520&lt;6,"低",IF(O1520&lt;20,"中","高")),IF(O1520&lt;6,"中","高"))))),IF(OR(J1520="ILF",J1520="EIF"),IF(OR(Y1520="估算法",Y1520="算法类",Y1520="无法识别"),"低",IF(N1520&lt;2,IF(O1520&lt;51,"低","中"),IF(N1520&lt;6,IF(O1520&lt;20,"低",IF(O1520&lt;51,"中","高")),IF(O1520&lt;20,"中","高")))),"不计算")))</f>
        <v/>
      </c>
      <c r="Q1520" s="172">
        <f>IFERROR(IF(J1520="EI",IF(P1520="低",3,IF(P1520="中",4,6)),IF(J1520="EO",IF(P1520="低",4,IF(P1520="中",5,7)),IF(J1520="EQ",IF(P1520="低",3,IF(P1520="中",4,6)),IF(J1520="ILF",IF(P1520="低",7,IF(P1520="中",10,15)),IF(J1520="EIF",IF(P1520="低",5,IF(P1520="中",7,10)),"不计算")))))*R1520,"不计算")</f>
        <v/>
      </c>
      <c r="R1520" s="172" t="n">
        <v>0.333333333333333</v>
      </c>
      <c r="S1520" s="173">
        <f>调整因子!$F$13</f>
        <v/>
      </c>
      <c r="T1520" s="93" t="n">
        <v>1</v>
      </c>
      <c r="U1520" s="174">
        <f>IFERROR(Q1520*S1520,0)</f>
        <v/>
      </c>
      <c r="V1520" s="178">
        <f>U1520*T1520</f>
        <v/>
      </c>
      <c r="W1520" s="103" t="inlineStr">
        <is>
          <t>资产扫描覆盖表</t>
        </is>
      </c>
      <c r="X1520" s="103" t="inlineStr"/>
      <c r="Y1520" s="97" t="inlineStr">
        <is>
          <t>资产扫描覆盖表{资产ID、资产名称|资产ID、资产名称、IP地址、资产类型、资产状态、创建时间、更新时间}</t>
        </is>
      </c>
      <c r="Z1520" s="90" t="n"/>
      <c r="AA1520" s="90" t="n"/>
    </row>
    <row r="1521" s="112">
      <c r="A1521" s="72">
        <f>ROW()-1</f>
        <v/>
      </c>
      <c r="B1521" s="175" t="n"/>
      <c r="C1521" s="124" t="n">
        <v>2026</v>
      </c>
      <c r="E1521" s="103" t="n"/>
      <c r="F1521" s="175" t="n"/>
      <c r="G1521" s="175" t="n"/>
      <c r="H1521" s="175" t="n"/>
      <c r="I1521" s="103" t="inlineStr">
        <is>
          <t>推送错误信息</t>
        </is>
      </c>
      <c r="J1521" s="93" t="n"/>
      <c r="K1521" s="102" t="n"/>
      <c r="L1521" s="102" t="inlineStr">
        <is>
          <t>和上行合并，异常分支</t>
        </is>
      </c>
      <c r="M1521" s="85">
        <f>IF(OR(Y1521="估算法",Y1521="算法类",Y1521="无法识别"),"",IF(W1521="",IF(OR(J1521="EI",J1521="EO",J1521="EQ"),0,""),LEN(W1521)-LEN(SUBSTITUTE(W1521,"、",""))+1))</f>
        <v/>
      </c>
      <c r="N1521" s="85">
        <f>IF(OR(Y1521="估算法",Y1521="算法类",Y1521="无法识别"),"",IF(X1521="",IF(OR(J1521="ILF",J1521="EIF"),0,""),LEN(X1521)-LEN(SUBSTITUTE(X1521,"、",""))+1))</f>
        <v/>
      </c>
      <c r="O1521" s="85">
        <f>IF(OR(Y1521="估算法",Y1521="算法类",Y1521="无法识别"),"",IF(Y1521="",IF(OR(J1521="ILF",J1521="EIF",J1521="EI",J1521="EO",J1521="EQ"),0,""),LEN(Y1521)-LEN(SUBSTITUTE(SUBSTITUTE(SUBSTITUTE(SUBSTITUTE(SUBSTITUTE(Y1521,"|}","--"),"{|","--"),CHAR(10),""),"、",""),"|",""))+IF(AND(OR(J1521="EI",J1521="EO",J1521="EQ"),$AE$1="NESMA"),2,1)))</f>
        <v/>
      </c>
      <c r="P1521" s="86">
        <f>IF(J1521="EI",IF(OR(Y1521="估算法",Y1521="算法类"),"中",IF(Y1521="无法识别","低",IF(M1521&lt;2,IF(O1521&lt;16,"低","中"),IF(M1521&lt;3,IF(O1521&lt;5,"低",IF(O1521&lt;16,"中","高")),IF(O1521&lt;5,"中","高"))))),IF(OR(J1521="EO",J1521="EQ"),IF(OR(Y1521="估算法",Y1521="算法类"),"中",IF(Y1521="无法识别","低",IF(M1521&lt;2,IF(O1521&lt;20,"低","中"),IF(M1521&lt;4,IF(O1521&lt;6,"低",IF(O1521&lt;20,"中","高")),IF(O1521&lt;6,"中","高"))))),IF(OR(J1521="ILF",J1521="EIF"),IF(OR(Y1521="估算法",Y1521="算法类",Y1521="无法识别"),"低",IF(N1521&lt;2,IF(O1521&lt;51,"低","中"),IF(N1521&lt;6,IF(O1521&lt;20,"低",IF(O1521&lt;51,"中","高")),IF(O1521&lt;20,"中","高")))),"不计算")))</f>
        <v/>
      </c>
      <c r="Q1521" s="172">
        <f>IFERROR(IF(J1521="EI",IF(P1521="低",3,IF(P1521="中",4,6)),IF(J1521="EO",IF(P1521="低",4,IF(P1521="中",5,7)),IF(J1521="EQ",IF(P1521="低",3,IF(P1521="中",4,6)),IF(J1521="ILF",IF(P1521="低",7,IF(P1521="中",10,15)),IF(J1521="EIF",IF(P1521="低",5,IF(P1521="中",7,10)),"不计算")))))*R1521,"不计算")</f>
        <v/>
      </c>
      <c r="R1521" s="172" t="n">
        <v>0.333333333333333</v>
      </c>
      <c r="S1521" s="173">
        <f>调整因子!$F$13</f>
        <v/>
      </c>
      <c r="T1521" s="92" t="n">
        <v>1</v>
      </c>
      <c r="U1521" s="174">
        <f>IFERROR(Q1521*S1521,0)</f>
        <v/>
      </c>
      <c r="V1521" s="178">
        <f>U1521*T1521</f>
        <v/>
      </c>
      <c r="W1521" s="103" t="inlineStr">
        <is>
          <t>漏洞趋势数据表</t>
        </is>
      </c>
      <c r="X1521" s="103" t="inlineStr"/>
      <c r="Y1521" s="97" t="inlineStr">
        <is>
          <t>漏洞趋势数据表{漏洞ID、漏洞名称|漏洞ID、漏洞名称、漏洞等级、漏洞类型、CVE编号、发现时间、修复状态}</t>
        </is>
      </c>
      <c r="Z1521" s="90" t="n"/>
      <c r="AA1521" s="90" t="n"/>
    </row>
    <row r="1522" s="112">
      <c r="A1522" s="72">
        <f>ROW()-1</f>
        <v/>
      </c>
      <c r="B1522" s="175" t="n"/>
      <c r="C1522" s="124" t="n">
        <v>2026</v>
      </c>
      <c r="E1522" s="103" t="n"/>
      <c r="F1522" s="175" t="n"/>
      <c r="G1522" s="175" t="n"/>
      <c r="H1522" s="175" t="n"/>
      <c r="I1522" s="103" t="inlineStr">
        <is>
          <t>查询接口状态</t>
        </is>
      </c>
      <c r="J1522" s="93" t="inlineStr">
        <is>
          <t>EQ</t>
        </is>
      </c>
      <c r="K1522" s="102" t="n"/>
      <c r="L1522" s="102" t="n"/>
      <c r="M1522" s="85">
        <f>IF(OR(Y1522="估算法",Y1522="算法类",Y1522="无法识别"),"",IF(W1522="",IF(OR(J1522="EI",J1522="EO",J1522="EQ"),0,""),LEN(W1522)-LEN(SUBSTITUTE(W1522,"、",""))+1))</f>
        <v/>
      </c>
      <c r="N1522" s="85">
        <f>IF(OR(Y1522="估算法",Y1522="算法类",Y1522="无法识别"),"",IF(X1522="",IF(OR(J1522="ILF",J1522="EIF"),0,""),LEN(X1522)-LEN(SUBSTITUTE(X1522,"、",""))+1))</f>
        <v/>
      </c>
      <c r="O1522" s="85">
        <f>IF(OR(Y1522="估算法",Y1522="算法类",Y1522="无法识别"),"",IF(Y1522="",IF(OR(J1522="ILF",J1522="EIF",J1522="EI",J1522="EO",J1522="EQ"),0,""),LEN(Y1522)-LEN(SUBSTITUTE(SUBSTITUTE(SUBSTITUTE(SUBSTITUTE(SUBSTITUTE(Y1522,"|}","--"),"{|","--"),CHAR(10),""),"、",""),"|",""))+IF(AND(OR(J1522="EI",J1522="EO",J1522="EQ"),$AE$1="NESMA"),2,1)))</f>
        <v/>
      </c>
      <c r="P1522" s="86">
        <f>IF(J1522="EI",IF(OR(Y1522="估算法",Y1522="算法类"),"中",IF(Y1522="无法识别","低",IF(M1522&lt;2,IF(O1522&lt;16,"低","中"),IF(M1522&lt;3,IF(O1522&lt;5,"低",IF(O1522&lt;16,"中","高")),IF(O1522&lt;5,"中","高"))))),IF(OR(J1522="EO",J1522="EQ"),IF(OR(Y1522="估算法",Y1522="算法类"),"中",IF(Y1522="无法识别","低",IF(M1522&lt;2,IF(O1522&lt;20,"低","中"),IF(M1522&lt;4,IF(O1522&lt;6,"低",IF(O1522&lt;20,"中","高")),IF(O1522&lt;6,"中","高"))))),IF(OR(J1522="ILF",J1522="EIF"),IF(OR(Y1522="估算法",Y1522="算法类",Y1522="无法识别"),"低",IF(N1522&lt;2,IF(O1522&lt;51,"低","中"),IF(N1522&lt;6,IF(O1522&lt;20,"低",IF(O1522&lt;51,"中","高")),IF(O1522&lt;20,"中","高")))),"不计算")))</f>
        <v/>
      </c>
      <c r="Q1522" s="172">
        <f>IFERROR(IF(J1522="EI",IF(P1522="低",3,IF(P1522="中",4,6)),IF(J1522="EO",IF(P1522="低",4,IF(P1522="中",5,7)),IF(J1522="EQ",IF(P1522="低",3,IF(P1522="中",4,6)),IF(J1522="ILF",IF(P1522="低",7,IF(P1522="中",10,15)),IF(J1522="EIF",IF(P1522="低",5,IF(P1522="中",7,10)),"不计算")))))*R1522,"不计算")</f>
        <v/>
      </c>
      <c r="R1522" s="172" t="n">
        <v>0.333333333333333</v>
      </c>
      <c r="S1522" s="173">
        <f>调整因子!$F$13</f>
        <v/>
      </c>
      <c r="T1522" s="92" t="n">
        <v>1</v>
      </c>
      <c r="U1522" s="174">
        <f>IFERROR(Q1522*S1522,0)</f>
        <v/>
      </c>
      <c r="V1522" s="178">
        <f>U1522*T1522</f>
        <v/>
      </c>
      <c r="W1522" s="103" t="inlineStr">
        <is>
          <t>同步任务调度表、任务优先级配置表</t>
        </is>
      </c>
      <c r="X1522" s="103" t="inlineStr"/>
      <c r="Y1522" s="97" t="inlineStr">
        <is>
          <t>同步任务调度表{任务ID、任务名称|任务ID、任务名称、任务类型、任务状态、创建时间、执行时间}
任务优先级配置表{任务ID、任务名称|任务ID、任务名称、任务类型、任务状态、创建时间、执行时间}</t>
        </is>
      </c>
      <c r="Z1522" s="90" t="n"/>
      <c r="AA1522" s="90" t="n"/>
    </row>
    <row r="1523" s="112">
      <c r="A1523" s="72">
        <f>ROW()-1</f>
        <v/>
      </c>
      <c r="B1523" s="175" t="n"/>
      <c r="C1523" s="124" t="n">
        <v>2026</v>
      </c>
      <c r="E1523" s="103" t="n"/>
      <c r="F1523" s="175" t="n"/>
      <c r="G1523" s="175" t="n"/>
      <c r="H1523" s="176" t="n"/>
      <c r="I1523" s="103" t="inlineStr">
        <is>
          <t>查看接口日志</t>
        </is>
      </c>
      <c r="J1523" s="93" t="inlineStr">
        <is>
          <t>EQ</t>
        </is>
      </c>
      <c r="K1523" s="102" t="n"/>
      <c r="L1523" s="102" t="n"/>
      <c r="M1523" s="85">
        <f>IF(OR(Y1523="估算法",Y1523="算法类",Y1523="无法识别"),"",IF(W1523="",IF(OR(J1523="EI",J1523="EO",J1523="EQ"),0,""),LEN(W1523)-LEN(SUBSTITUTE(W1523,"、",""))+1))</f>
        <v/>
      </c>
      <c r="N1523" s="85">
        <f>IF(OR(Y1523="估算法",Y1523="算法类",Y1523="无法识别"),"",IF(X1523="",IF(OR(J1523="ILF",J1523="EIF"),0,""),LEN(X1523)-LEN(SUBSTITUTE(X1523,"、",""))+1))</f>
        <v/>
      </c>
      <c r="O1523" s="85">
        <f>IF(OR(Y1523="估算法",Y1523="算法类",Y1523="无法识别"),"",IF(Y1523="",IF(OR(J1523="ILF",J1523="EIF",J1523="EI",J1523="EO",J1523="EQ"),0,""),LEN(Y1523)-LEN(SUBSTITUTE(SUBSTITUTE(SUBSTITUTE(SUBSTITUTE(SUBSTITUTE(Y1523,"|}","--"),"{|","--"),CHAR(10),""),"、",""),"|",""))+IF(AND(OR(J1523="EI",J1523="EO",J1523="EQ"),$AE$1="NESMA"),2,1)))</f>
        <v/>
      </c>
      <c r="P1523" s="86">
        <f>IF(J1523="EI",IF(OR(Y1523="估算法",Y1523="算法类"),"中",IF(Y1523="无法识别","低",IF(M1523&lt;2,IF(O1523&lt;16,"低","中"),IF(M1523&lt;3,IF(O1523&lt;5,"低",IF(O1523&lt;16,"中","高")),IF(O1523&lt;5,"中","高"))))),IF(OR(J1523="EO",J1523="EQ"),IF(OR(Y1523="估算法",Y1523="算法类"),"中",IF(Y1523="无法识别","低",IF(M1523&lt;2,IF(O1523&lt;20,"低","中"),IF(M1523&lt;4,IF(O1523&lt;6,"低",IF(O1523&lt;20,"中","高")),IF(O1523&lt;6,"中","高"))))),IF(OR(J1523="ILF",J1523="EIF"),IF(OR(Y1523="估算法",Y1523="算法类",Y1523="无法识别"),"低",IF(N1523&lt;2,IF(O1523&lt;51,"低","中"),IF(N1523&lt;6,IF(O1523&lt;20,"低",IF(O1523&lt;51,"中","高")),IF(O1523&lt;20,"中","高")))),"不计算")))</f>
        <v/>
      </c>
      <c r="Q1523" s="172">
        <f>IFERROR(IF(J1523="EI",IF(P1523="低",3,IF(P1523="中",4,6)),IF(J1523="EO",IF(P1523="低",4,IF(P1523="中",5,7)),IF(J1523="EQ",IF(P1523="低",3,IF(P1523="中",4,6)),IF(J1523="ILF",IF(P1523="低",7,IF(P1523="中",10,15)),IF(J1523="EIF",IF(P1523="低",5,IF(P1523="中",7,10)),"不计算")))))*R1523,"不计算")</f>
        <v/>
      </c>
      <c r="R1523" s="172" t="n">
        <v>0.333333333333333</v>
      </c>
      <c r="S1523" s="173">
        <f>调整因子!$F$13</f>
        <v/>
      </c>
      <c r="T1523" s="93" t="n">
        <v>1</v>
      </c>
      <c r="U1523" s="174">
        <f>IFERROR(Q1523*S1523,0)</f>
        <v/>
      </c>
      <c r="V1523" s="178">
        <f>U1523*T1523</f>
        <v/>
      </c>
      <c r="W1523" s="103" t="inlineStr">
        <is>
          <t>任务日志表、推送日志表</t>
        </is>
      </c>
      <c r="X1523" s="103" t="inlineStr"/>
      <c r="Y1523" s="97" t="inlineStr">
        <is>
          <t>任务日志表{任务ID、任务名称|任务ID、任务名称、任务类型、任务状态、创建时间、执行时间}
推送日志表{日志ID、操作人|日志ID、操作人、操作类型、操作时间、操作内容}</t>
        </is>
      </c>
      <c r="Z1523" s="90" t="n"/>
      <c r="AA1523" s="90" t="n"/>
    </row>
    <row r="1524" s="112">
      <c r="A1524" s="72">
        <f>ROW()-1</f>
        <v/>
      </c>
      <c r="B1524" s="175" t="n"/>
      <c r="C1524" s="124" t="n">
        <v>2026</v>
      </c>
      <c r="E1524" s="103" t="n"/>
      <c r="F1524" s="175" t="n"/>
      <c r="G1524" s="175" t="n"/>
      <c r="H1524" s="97" t="inlineStr">
        <is>
          <t>漏洞处置推送接口管理</t>
        </is>
      </c>
      <c r="I1524" s="103" t="inlineStr">
        <is>
          <t>漏洞处置推送接口配置表</t>
        </is>
      </c>
      <c r="J1524" s="93" t="inlineStr">
        <is>
          <t>ILF</t>
        </is>
      </c>
      <c r="K1524" s="102" t="n"/>
      <c r="L1524" s="102" t="n"/>
      <c r="M1524" s="85">
        <f>IF(OR(Y1524="估算法",Y1524="算法类",Y1524="无法识别"),"",IF(W1524="",IF(OR(J1524="EI",J1524="EO",J1524="EQ"),0,""),LEN(W1524)-LEN(SUBSTITUTE(W1524,"、",""))+1))</f>
        <v/>
      </c>
      <c r="N1524" s="85">
        <f>IF(OR(Y1524="估算法",Y1524="算法类",Y1524="无法识别"),"",IF(X1524="",IF(OR(J1524="ILF",J1524="EIF"),0,""),LEN(X1524)-LEN(SUBSTITUTE(X1524,"、",""))+1))</f>
        <v/>
      </c>
      <c r="O1524" s="85">
        <f>IF(OR(Y1524="估算法",Y1524="算法类",Y1524="无法识别"),"",IF(Y1524="",IF(OR(J1524="ILF",J1524="EIF",J1524="EI",J1524="EO",J1524="EQ"),0,""),LEN(Y1524)-LEN(SUBSTITUTE(SUBSTITUTE(SUBSTITUTE(SUBSTITUTE(SUBSTITUTE(Y1524,"|}","--"),"{|","--"),CHAR(10),""),"、",""),"|",""))+IF(AND(OR(J1524="EI",J1524="EO",J1524="EQ"),$AE$1="NESMA"),2,1)))</f>
        <v/>
      </c>
      <c r="P1524" s="86">
        <f>IF(J1524="EI",IF(OR(Y1524="估算法",Y1524="算法类"),"中",IF(Y1524="无法识别","低",IF(M1524&lt;2,IF(O1524&lt;16,"低","中"),IF(M1524&lt;3,IF(O1524&lt;5,"低",IF(O1524&lt;16,"中","高")),IF(O1524&lt;5,"中","高"))))),IF(OR(J1524="EO",J1524="EQ"),IF(OR(Y1524="估算法",Y1524="算法类"),"中",IF(Y1524="无法识别","低",IF(M1524&lt;2,IF(O1524&lt;20,"低","中"),IF(M1524&lt;4,IF(O1524&lt;6,"低",IF(O1524&lt;20,"中","高")),IF(O1524&lt;6,"中","高"))))),IF(OR(J1524="ILF",J1524="EIF"),IF(OR(Y1524="估算法",Y1524="算法类",Y1524="无法识别"),"低",IF(N1524&lt;2,IF(O1524&lt;51,"低","中"),IF(N1524&lt;6,IF(O1524&lt;20,"低",IF(O1524&lt;51,"中","高")),IF(O1524&lt;20,"中","高")))),"不计算")))</f>
        <v/>
      </c>
      <c r="Q1524" s="172">
        <f>IFERROR(IF(J1524="EI",IF(P1524="低",3,IF(P1524="中",4,6)),IF(J1524="EO",IF(P1524="低",4,IF(P1524="中",5,7)),IF(J1524="EQ",IF(P1524="低",3,IF(P1524="中",4,6)),IF(J1524="ILF",IF(P1524="低",7,IF(P1524="中",10,15)),IF(J1524="EIF",IF(P1524="低",5,IF(P1524="中",7,10)),"不计算")))))*R1524,"不计算")</f>
        <v/>
      </c>
      <c r="R1524" s="172" t="n">
        <v>1</v>
      </c>
      <c r="S1524" s="173">
        <f>调整因子!$F$13</f>
        <v/>
      </c>
      <c r="T1524" s="93" t="n">
        <v>1</v>
      </c>
      <c r="U1524" s="174">
        <f>IFERROR(Q1524*S1524,0)</f>
        <v/>
      </c>
      <c r="V1524" s="178">
        <f>U1524*T1524</f>
        <v/>
      </c>
      <c r="W1524" s="103" t="inlineStr"/>
      <c r="X1524" s="103" t="inlineStr">
        <is>
          <t>系统漏洞</t>
        </is>
      </c>
      <c r="Y1524" s="97" t="inlineStr">
        <is>
          <t>漏洞处置推送接口配置表{漏洞ID、漏洞名称、漏洞等级|漏洞ID、漏洞名称、漏洞等级、漏洞类型、CVE编号、发现时间、修复状态}</t>
        </is>
      </c>
      <c r="Z1524" s="90">
        <f>IF(COUNTIFS(W:W,"*"&amp;I1524&amp;"*")&gt;0,"存在","不存在")</f>
        <v/>
      </c>
      <c r="AA1524" s="90">
        <f>IF(COUNTIFS(AB:AB,"*"&amp;I1524&amp;"*")&gt;0,"存在","不存在")</f>
        <v/>
      </c>
    </row>
    <row r="1525" s="112">
      <c r="A1525" s="72">
        <f>ROW()-1</f>
        <v/>
      </c>
      <c r="B1525" s="175" t="n"/>
      <c r="C1525" s="124" t="n">
        <v>2026</v>
      </c>
      <c r="E1525" s="103" t="n"/>
      <c r="F1525" s="175" t="n"/>
      <c r="G1525" s="175" t="n"/>
      <c r="H1525" s="175" t="n"/>
      <c r="I1525" s="103" t="inlineStr">
        <is>
          <t>推送规则表</t>
        </is>
      </c>
      <c r="J1525" s="93" t="inlineStr">
        <is>
          <t>ILF</t>
        </is>
      </c>
      <c r="K1525" s="102" t="n"/>
      <c r="L1525" s="102" t="n"/>
      <c r="M1525" s="85">
        <f>IF(OR(Y1525="估算法",Y1525="算法类",Y1525="无法识别"),"",IF(W1525="",IF(OR(J1525="EI",J1525="EO",J1525="EQ"),0,""),LEN(W1525)-LEN(SUBSTITUTE(W1525,"、",""))+1))</f>
        <v/>
      </c>
      <c r="N1525" s="85">
        <f>IF(OR(Y1525="估算法",Y1525="算法类",Y1525="无法识别"),"",IF(X1525="",IF(OR(J1525="ILF",J1525="EIF"),0,""),LEN(X1525)-LEN(SUBSTITUTE(X1525,"、",""))+1))</f>
        <v/>
      </c>
      <c r="O1525" s="85">
        <f>IF(OR(Y1525="估算法",Y1525="算法类",Y1525="无法识别"),"",IF(Y1525="",IF(OR(J1525="ILF",J1525="EIF",J1525="EI",J1525="EO",J1525="EQ"),0,""),LEN(Y1525)-LEN(SUBSTITUTE(SUBSTITUTE(SUBSTITUTE(SUBSTITUTE(SUBSTITUTE(Y1525,"|}","--"),"{|","--"),CHAR(10),""),"、",""),"|",""))+IF(AND(OR(J1525="EI",J1525="EO",J1525="EQ"),$AE$1="NESMA"),2,1)))</f>
        <v/>
      </c>
      <c r="P1525" s="86">
        <f>IF(J1525="EI",IF(OR(Y1525="估算法",Y1525="算法类"),"中",IF(Y1525="无法识别","低",IF(M1525&lt;2,IF(O1525&lt;16,"低","中"),IF(M1525&lt;3,IF(O1525&lt;5,"低",IF(O1525&lt;16,"中","高")),IF(O1525&lt;5,"中","高"))))),IF(OR(J1525="EO",J1525="EQ"),IF(OR(Y1525="估算法",Y1525="算法类"),"中",IF(Y1525="无法识别","低",IF(M1525&lt;2,IF(O1525&lt;20,"低","中"),IF(M1525&lt;4,IF(O1525&lt;6,"低",IF(O1525&lt;20,"中","高")),IF(O1525&lt;6,"中","高"))))),IF(OR(J1525="ILF",J1525="EIF"),IF(OR(Y1525="估算法",Y1525="算法类",Y1525="无法识别"),"低",IF(N1525&lt;2,IF(O1525&lt;51,"低","中"),IF(N1525&lt;6,IF(O1525&lt;20,"低",IF(O1525&lt;51,"中","高")),IF(O1525&lt;20,"中","高")))),"不计算")))</f>
        <v/>
      </c>
      <c r="Q1525" s="172">
        <f>IFERROR(IF(J1525="EI",IF(P1525="低",3,IF(P1525="中",4,6)),IF(J1525="EO",IF(P1525="低",4,IF(P1525="中",5,7)),IF(J1525="EQ",IF(P1525="低",3,IF(P1525="中",4,6)),IF(J1525="ILF",IF(P1525="低",7,IF(P1525="中",10,15)),IF(J1525="EIF",IF(P1525="低",5,IF(P1525="中",7,10)),"不计算")))))*R1525,"不计算")</f>
        <v/>
      </c>
      <c r="R1525" s="172" t="n">
        <v>1</v>
      </c>
      <c r="S1525" s="173">
        <f>调整因子!$F$13</f>
        <v/>
      </c>
      <c r="T1525" s="92" t="n">
        <v>1</v>
      </c>
      <c r="U1525" s="174">
        <f>IFERROR(Q1525*S1525,0)</f>
        <v/>
      </c>
      <c r="V1525" s="178">
        <f>U1525*T1525</f>
        <v/>
      </c>
      <c r="W1525" s="103" t="inlineStr"/>
      <c r="X1525" s="103" t="inlineStr">
        <is>
          <t>数据记录</t>
        </is>
      </c>
      <c r="Y1525" s="97" t="inlineStr">
        <is>
          <t>推送规则表{规则ID、规则名称、规则类型|规则ID、规则名称、规则类型、规则条件、创建时间}</t>
        </is>
      </c>
      <c r="Z1525" s="90">
        <f>IF(COUNTIFS(W:W,"*"&amp;I1525&amp;"*")&gt;0,"存在","不存在")</f>
        <v/>
      </c>
      <c r="AA1525" s="90">
        <f>IF(COUNTIFS(AB:AB,"*"&amp;I1525&amp;"*")&gt;0,"存在","不存在")</f>
        <v/>
      </c>
    </row>
    <row r="1526" s="112">
      <c r="A1526" s="72">
        <f>ROW()-1</f>
        <v/>
      </c>
      <c r="B1526" s="175" t="n"/>
      <c r="C1526" s="124" t="n">
        <v>2026</v>
      </c>
      <c r="E1526" s="103" t="n"/>
      <c r="F1526" s="175" t="n"/>
      <c r="G1526" s="175" t="n"/>
      <c r="H1526" s="175" t="n"/>
      <c r="I1526" s="103" t="inlineStr">
        <is>
          <t>配置处置推送接口</t>
        </is>
      </c>
      <c r="J1526" s="93" t="inlineStr">
        <is>
          <t>EI</t>
        </is>
      </c>
      <c r="K1526" s="102" t="n"/>
      <c r="L1526" s="102" t="n"/>
      <c r="M1526" s="85">
        <f>IF(OR(Y1526="估算法",Y1526="算法类",Y1526="无法识别"),"",IF(W1526="",IF(OR(J1526="EI",J1526="EO",J1526="EQ"),0,""),LEN(W1526)-LEN(SUBSTITUTE(W1526,"、",""))+1))</f>
        <v/>
      </c>
      <c r="N1526" s="85">
        <f>IF(OR(Y1526="估算法",Y1526="算法类",Y1526="无法识别"),"",IF(X1526="",IF(OR(J1526="ILF",J1526="EIF"),0,""),LEN(X1526)-LEN(SUBSTITUTE(X1526,"、",""))+1))</f>
        <v/>
      </c>
      <c r="O1526" s="85">
        <f>IF(OR(Y1526="估算法",Y1526="算法类",Y1526="无法识别"),"",IF(Y1526="",IF(OR(J1526="ILF",J1526="EIF",J1526="EI",J1526="EO",J1526="EQ"),0,""),LEN(Y1526)-LEN(SUBSTITUTE(SUBSTITUTE(SUBSTITUTE(SUBSTITUTE(SUBSTITUTE(Y1526,"|}","--"),"{|","--"),CHAR(10),""),"、",""),"|",""))+IF(AND(OR(J1526="EI",J1526="EO",J1526="EQ"),$AE$1="NESMA"),2,1)))</f>
        <v/>
      </c>
      <c r="P1526" s="86">
        <f>IF(J1526="EI",IF(OR(Y1526="估算法",Y1526="算法类"),"中",IF(Y1526="无法识别","低",IF(M1526&lt;2,IF(O1526&lt;16,"低","中"),IF(M1526&lt;3,IF(O1526&lt;5,"低",IF(O1526&lt;16,"中","高")),IF(O1526&lt;5,"中","高"))))),IF(OR(J1526="EO",J1526="EQ"),IF(OR(Y1526="估算法",Y1526="算法类"),"中",IF(Y1526="无法识别","低",IF(M1526&lt;2,IF(O1526&lt;20,"低","中"),IF(M1526&lt;4,IF(O1526&lt;6,"低",IF(O1526&lt;20,"中","高")),IF(O1526&lt;6,"中","高"))))),IF(OR(J1526="ILF",J1526="EIF"),IF(OR(Y1526="估算法",Y1526="算法类",Y1526="无法识别"),"低",IF(N1526&lt;2,IF(O1526&lt;51,"低","中"),IF(N1526&lt;6,IF(O1526&lt;20,"低",IF(O1526&lt;51,"中","高")),IF(O1526&lt;20,"中","高")))),"不计算")))</f>
        <v/>
      </c>
      <c r="Q1526" s="172">
        <f>IFERROR(IF(J1526="EI",IF(P1526="低",3,IF(P1526="中",4,6)),IF(J1526="EO",IF(P1526="低",4,IF(P1526="中",5,7)),IF(J1526="EQ",IF(P1526="低",3,IF(P1526="中",4,6)),IF(J1526="ILF",IF(P1526="低",7,IF(P1526="中",10,15)),IF(J1526="EIF",IF(P1526="低",5,IF(P1526="中",7,10)),"不计算")))))*R1526,"不计算")</f>
        <v/>
      </c>
      <c r="R1526" s="172" t="n">
        <v>0.333333333333333</v>
      </c>
      <c r="S1526" s="173">
        <f>调整因子!$F$13</f>
        <v/>
      </c>
      <c r="T1526" s="92" t="n">
        <v>1</v>
      </c>
      <c r="U1526" s="174">
        <f>IFERROR(Q1526*S1526,0)</f>
        <v/>
      </c>
      <c r="V1526" s="178">
        <f>U1526*T1526</f>
        <v/>
      </c>
      <c r="W1526" s="103" t="inlineStr">
        <is>
          <t>任务优先级配置表、模板参数配置表</t>
        </is>
      </c>
      <c r="X1526" s="103" t="inlineStr"/>
      <c r="Y1526" s="97" t="inlineStr">
        <is>
          <t>任务优先级配置表{任务ID、任务名称、任务类型、任务状态、创建时间、执行时间|任务ID、任务名称、任务类型}
模板参数配置表{配置ID、配置名称、配置类型、配置值、创建时间|配置ID、配置名称、配置类型}</t>
        </is>
      </c>
      <c r="Z1526" s="90" t="n"/>
      <c r="AA1526" s="90" t="n"/>
    </row>
    <row r="1527" s="112">
      <c r="A1527" s="72">
        <f>ROW()-1</f>
        <v/>
      </c>
      <c r="B1527" s="175" t="n"/>
      <c r="C1527" s="124" t="n">
        <v>2026</v>
      </c>
      <c r="E1527" s="103" t="n"/>
      <c r="F1527" s="175" t="n"/>
      <c r="G1527" s="175" t="n"/>
      <c r="H1527" s="175" t="n"/>
      <c r="I1527" s="103" t="inlineStr">
        <is>
          <t>编辑处置推送接口</t>
        </is>
      </c>
      <c r="J1527" s="93" t="inlineStr">
        <is>
          <t>EI</t>
        </is>
      </c>
      <c r="K1527" s="102" t="n"/>
      <c r="L1527" s="102" t="n"/>
      <c r="M1527" s="85">
        <f>IF(OR(Y1527="估算法",Y1527="算法类",Y1527="无法识别"),"",IF(W1527="",IF(OR(J1527="EI",J1527="EO",J1527="EQ"),0,""),LEN(W1527)-LEN(SUBSTITUTE(W1527,"、",""))+1))</f>
        <v/>
      </c>
      <c r="N1527" s="85">
        <f>IF(OR(Y1527="估算法",Y1527="算法类",Y1527="无法识别"),"",IF(X1527="",IF(OR(J1527="ILF",J1527="EIF"),0,""),LEN(X1527)-LEN(SUBSTITUTE(X1527,"、",""))+1))</f>
        <v/>
      </c>
      <c r="O1527" s="85">
        <f>IF(OR(Y1527="估算法",Y1527="算法类",Y1527="无法识别"),"",IF(Y1527="",IF(OR(J1527="ILF",J1527="EIF",J1527="EI",J1527="EO",J1527="EQ"),0,""),LEN(Y1527)-LEN(SUBSTITUTE(SUBSTITUTE(SUBSTITUTE(SUBSTITUTE(SUBSTITUTE(Y1527,"|}","--"),"{|","--"),CHAR(10),""),"、",""),"|",""))+IF(AND(OR(J1527="EI",J1527="EO",J1527="EQ"),$AE$1="NESMA"),2,1)))</f>
        <v/>
      </c>
      <c r="P1527" s="86">
        <f>IF(J1527="EI",IF(OR(Y1527="估算法",Y1527="算法类"),"中",IF(Y1527="无法识别","低",IF(M1527&lt;2,IF(O1527&lt;16,"低","中"),IF(M1527&lt;3,IF(O1527&lt;5,"低",IF(O1527&lt;16,"中","高")),IF(O1527&lt;5,"中","高"))))),IF(OR(J1527="EO",J1527="EQ"),IF(OR(Y1527="估算法",Y1527="算法类"),"中",IF(Y1527="无法识别","低",IF(M1527&lt;2,IF(O1527&lt;20,"低","中"),IF(M1527&lt;4,IF(O1527&lt;6,"低",IF(O1527&lt;20,"中","高")),IF(O1527&lt;6,"中","高"))))),IF(OR(J1527="ILF",J1527="EIF"),IF(OR(Y1527="估算法",Y1527="算法类",Y1527="无法识别"),"低",IF(N1527&lt;2,IF(O1527&lt;51,"低","中"),IF(N1527&lt;6,IF(O1527&lt;20,"低",IF(O1527&lt;51,"中","高")),IF(O1527&lt;20,"中","高")))),"不计算")))</f>
        <v/>
      </c>
      <c r="Q1527" s="172">
        <f>IFERROR(IF(J1527="EI",IF(P1527="低",3,IF(P1527="中",4,6)),IF(J1527="EO",IF(P1527="低",4,IF(P1527="中",5,7)),IF(J1527="EQ",IF(P1527="低",3,IF(P1527="中",4,6)),IF(J1527="ILF",IF(P1527="低",7,IF(P1527="中",10,15)),IF(J1527="EIF",IF(P1527="低",5,IF(P1527="中",7,10)),"不计算")))))*R1527,"不计算")</f>
        <v/>
      </c>
      <c r="R1527" s="172" t="n">
        <v>0.333333333333333</v>
      </c>
      <c r="S1527" s="173">
        <f>调整因子!$F$13</f>
        <v/>
      </c>
      <c r="T1527" s="93" t="n">
        <v>1</v>
      </c>
      <c r="U1527" s="174">
        <f>IFERROR(Q1527*S1527,0)</f>
        <v/>
      </c>
      <c r="V1527" s="178">
        <f>U1527*T1527</f>
        <v/>
      </c>
      <c r="W1527" s="103" t="inlineStr">
        <is>
          <t>采集任务配置表</t>
        </is>
      </c>
      <c r="X1527" s="103" t="inlineStr"/>
      <c r="Y1527" s="97" t="inlineStr">
        <is>
          <t>采集任务配置表{任务ID、任务名称、任务类型、任务状态、创建时间、执行时间|任务ID、任务名称、任务类型}</t>
        </is>
      </c>
      <c r="Z1527" s="90" t="n"/>
      <c r="AA1527" s="90" t="n"/>
    </row>
    <row r="1528" s="112">
      <c r="A1528" s="72">
        <f>ROW()-1</f>
        <v/>
      </c>
      <c r="B1528" s="175" t="n"/>
      <c r="C1528" s="124" t="n">
        <v>2026</v>
      </c>
      <c r="E1528" s="103" t="n"/>
      <c r="F1528" s="175" t="n"/>
      <c r="G1528" s="175" t="n"/>
      <c r="H1528" s="175" t="n"/>
      <c r="I1528" s="103" t="inlineStr">
        <is>
          <t>删除处置推送接口</t>
        </is>
      </c>
      <c r="J1528" s="93" t="inlineStr">
        <is>
          <t>EI</t>
        </is>
      </c>
      <c r="K1528" s="102" t="n"/>
      <c r="L1528" s="102" t="n"/>
      <c r="M1528" s="85">
        <f>IF(OR(Y1528="估算法",Y1528="算法类",Y1528="无法识别"),"",IF(W1528="",IF(OR(J1528="EI",J1528="EO",J1528="EQ"),0,""),LEN(W1528)-LEN(SUBSTITUTE(W1528,"、",""))+1))</f>
        <v/>
      </c>
      <c r="N1528" s="85">
        <f>IF(OR(Y1528="估算法",Y1528="算法类",Y1528="无法识别"),"",IF(X1528="",IF(OR(J1528="ILF",J1528="EIF"),0,""),LEN(X1528)-LEN(SUBSTITUTE(X1528,"、",""))+1))</f>
        <v/>
      </c>
      <c r="O1528" s="85">
        <f>IF(OR(Y1528="估算法",Y1528="算法类",Y1528="无法识别"),"",IF(Y1528="",IF(OR(J1528="ILF",J1528="EIF",J1528="EI",J1528="EO",J1528="EQ"),0,""),LEN(Y1528)-LEN(SUBSTITUTE(SUBSTITUTE(SUBSTITUTE(SUBSTITUTE(SUBSTITUTE(Y1528,"|}","--"),"{|","--"),CHAR(10),""),"、",""),"|",""))+IF(AND(OR(J1528="EI",J1528="EO",J1528="EQ"),$AE$1="NESMA"),2,1)))</f>
        <v/>
      </c>
      <c r="P1528" s="86">
        <f>IF(J1528="EI",IF(OR(Y1528="估算法",Y1528="算法类"),"中",IF(Y1528="无法识别","低",IF(M1528&lt;2,IF(O1528&lt;16,"低","中"),IF(M1528&lt;3,IF(O1528&lt;5,"低",IF(O1528&lt;16,"中","高")),IF(O1528&lt;5,"中","高"))))),IF(OR(J1528="EO",J1528="EQ"),IF(OR(Y1528="估算法",Y1528="算法类"),"中",IF(Y1528="无法识别","低",IF(M1528&lt;2,IF(O1528&lt;20,"低","中"),IF(M1528&lt;4,IF(O1528&lt;6,"低",IF(O1528&lt;20,"中","高")),IF(O1528&lt;6,"中","高"))))),IF(OR(J1528="ILF",J1528="EIF"),IF(OR(Y1528="估算法",Y1528="算法类",Y1528="无法识别"),"低",IF(N1528&lt;2,IF(O1528&lt;51,"低","中"),IF(N1528&lt;6,IF(O1528&lt;20,"低",IF(O1528&lt;51,"中","高")),IF(O1528&lt;20,"中","高")))),"不计算")))</f>
        <v/>
      </c>
      <c r="Q1528" s="172">
        <f>IFERROR(IF(J1528="EI",IF(P1528="低",3,IF(P1528="中",4,6)),IF(J1528="EO",IF(P1528="低",4,IF(P1528="中",5,7)),IF(J1528="EQ",IF(P1528="低",3,IF(P1528="中",4,6)),IF(J1528="ILF",IF(P1528="低",7,IF(P1528="中",10,15)),IF(J1528="EIF",IF(P1528="低",5,IF(P1528="中",7,10)),"不计算")))))*R1528,"不计算")</f>
        <v/>
      </c>
      <c r="R1528" s="172" t="n">
        <v>0.333333333333333</v>
      </c>
      <c r="S1528" s="173">
        <f>调整因子!$F$13</f>
        <v/>
      </c>
      <c r="T1528" s="92" t="n">
        <v>1</v>
      </c>
      <c r="U1528" s="174">
        <f>IFERROR(Q1528*S1528,0)</f>
        <v/>
      </c>
      <c r="V1528" s="178">
        <f>U1528*T1528</f>
        <v/>
      </c>
      <c r="W1528" s="103" t="inlineStr">
        <is>
          <t>漏洞统计数据表</t>
        </is>
      </c>
      <c r="X1528" s="103" t="inlineStr"/>
      <c r="Y1528" s="97" t="inlineStr">
        <is>
          <t>漏洞统计数据表{漏洞ID、漏洞名称、漏洞等级、漏洞类型、CVE编号、发现时间、修复状态|漏洞ID、漏洞名称、漏洞等级}</t>
        </is>
      </c>
      <c r="Z1528" s="90" t="n"/>
      <c r="AA1528" s="90" t="n"/>
    </row>
    <row r="1529" s="112">
      <c r="A1529" s="72">
        <f>ROW()-1</f>
        <v/>
      </c>
      <c r="B1529" s="175" t="n"/>
      <c r="C1529" s="124" t="n">
        <v>2026</v>
      </c>
      <c r="E1529" s="103" t="n"/>
      <c r="F1529" s="175" t="n"/>
      <c r="G1529" s="175" t="n"/>
      <c r="H1529" s="175" t="n"/>
      <c r="I1529" s="103" t="inlineStr">
        <is>
          <t>启用处置推送接口</t>
        </is>
      </c>
      <c r="J1529" s="93" t="inlineStr">
        <is>
          <t>EI</t>
        </is>
      </c>
      <c r="K1529" s="102" t="n"/>
      <c r="L1529" s="102" t="n"/>
      <c r="M1529" s="85">
        <f>IF(OR(Y1529="估算法",Y1529="算法类",Y1529="无法识别"),"",IF(W1529="",IF(OR(J1529="EI",J1529="EO",J1529="EQ"),0,""),LEN(W1529)-LEN(SUBSTITUTE(W1529,"、",""))+1))</f>
        <v/>
      </c>
      <c r="N1529" s="85">
        <f>IF(OR(Y1529="估算法",Y1529="算法类",Y1529="无法识别"),"",IF(X1529="",IF(OR(J1529="ILF",J1529="EIF"),0,""),LEN(X1529)-LEN(SUBSTITUTE(X1529,"、",""))+1))</f>
        <v/>
      </c>
      <c r="O1529" s="85">
        <f>IF(OR(Y1529="估算法",Y1529="算法类",Y1529="无法识别"),"",IF(Y1529="",IF(OR(J1529="ILF",J1529="EIF",J1529="EI",J1529="EO",J1529="EQ"),0,""),LEN(Y1529)-LEN(SUBSTITUTE(SUBSTITUTE(SUBSTITUTE(SUBSTITUTE(SUBSTITUTE(Y1529,"|}","--"),"{|","--"),CHAR(10),""),"、",""),"|",""))+IF(AND(OR(J1529="EI",J1529="EO",J1529="EQ"),$AE$1="NESMA"),2,1)))</f>
        <v/>
      </c>
      <c r="P1529" s="86">
        <f>IF(J1529="EI",IF(OR(Y1529="估算法",Y1529="算法类"),"中",IF(Y1529="无法识别","低",IF(M1529&lt;2,IF(O1529&lt;16,"低","中"),IF(M1529&lt;3,IF(O1529&lt;5,"低",IF(O1529&lt;16,"中","高")),IF(O1529&lt;5,"中","高"))))),IF(OR(J1529="EO",J1529="EQ"),IF(OR(Y1529="估算法",Y1529="算法类"),"中",IF(Y1529="无法识别","低",IF(M1529&lt;2,IF(O1529&lt;20,"低","中"),IF(M1529&lt;4,IF(O1529&lt;6,"低",IF(O1529&lt;20,"中","高")),IF(O1529&lt;6,"中","高"))))),IF(OR(J1529="ILF",J1529="EIF"),IF(OR(Y1529="估算法",Y1529="算法类",Y1529="无法识别"),"低",IF(N1529&lt;2,IF(O1529&lt;51,"低","中"),IF(N1529&lt;6,IF(O1529&lt;20,"低",IF(O1529&lt;51,"中","高")),IF(O1529&lt;20,"中","高")))),"不计算")))</f>
        <v/>
      </c>
      <c r="Q1529" s="172">
        <f>IFERROR(IF(J1529="EI",IF(P1529="低",3,IF(P1529="中",4,6)),IF(J1529="EO",IF(P1529="低",4,IF(P1529="中",5,7)),IF(J1529="EQ",IF(P1529="低",3,IF(P1529="中",4,6)),IF(J1529="ILF",IF(P1529="低",7,IF(P1529="中",10,15)),IF(J1529="EIF",IF(P1529="低",5,IF(P1529="中",7,10)),"不计算")))))*R1529,"不计算")</f>
        <v/>
      </c>
      <c r="R1529" s="172" t="n">
        <v>0.333333333333333</v>
      </c>
      <c r="S1529" s="173">
        <f>调整因子!$F$13</f>
        <v/>
      </c>
      <c r="T1529" s="92" t="n">
        <v>1</v>
      </c>
      <c r="U1529" s="174">
        <f>IFERROR(Q1529*S1529,0)</f>
        <v/>
      </c>
      <c r="V1529" s="178">
        <f>U1529*T1529</f>
        <v/>
      </c>
      <c r="W1529" s="103" t="inlineStr">
        <is>
          <t>日志查询记录表</t>
        </is>
      </c>
      <c r="X1529" s="103" t="inlineStr"/>
      <c r="Y1529" s="97" t="inlineStr">
        <is>
          <t>日志查询记录表{日志ID、操作人、操作类型、操作时间、操作内容|日志ID、操作人、操作类型}</t>
        </is>
      </c>
      <c r="Z1529" s="90" t="n"/>
      <c r="AA1529" s="90" t="n"/>
    </row>
    <row r="1530" s="112">
      <c r="A1530" s="72">
        <f>ROW()-1</f>
        <v/>
      </c>
      <c r="B1530" s="175" t="n"/>
      <c r="C1530" s="124" t="n">
        <v>2026</v>
      </c>
      <c r="E1530" s="103" t="n"/>
      <c r="F1530" s="175" t="n"/>
      <c r="G1530" s="175" t="n"/>
      <c r="H1530" s="175" t="n"/>
      <c r="I1530" s="103" t="inlineStr">
        <is>
          <t>停用处置推送接口</t>
        </is>
      </c>
      <c r="J1530" s="93" t="n"/>
      <c r="K1530" s="102" t="n"/>
      <c r="L1530" s="102" t="inlineStr">
        <is>
          <t>和上行合并，启停为相同功能</t>
        </is>
      </c>
      <c r="M1530" s="85">
        <f>IF(OR(Y1530="估算法",Y1530="算法类",Y1530="无法识别"),"",IF(W1530="",IF(OR(J1530="EI",J1530="EO",J1530="EQ"),0,""),LEN(W1530)-LEN(SUBSTITUTE(W1530,"、",""))+1))</f>
        <v/>
      </c>
      <c r="N1530" s="85">
        <f>IF(OR(Y1530="估算法",Y1530="算法类",Y1530="无法识别"),"",IF(X1530="",IF(OR(J1530="ILF",J1530="EIF"),0,""),LEN(X1530)-LEN(SUBSTITUTE(X1530,"、",""))+1))</f>
        <v/>
      </c>
      <c r="O1530" s="85">
        <f>IF(OR(Y1530="估算法",Y1530="算法类",Y1530="无法识别"),"",IF(Y1530="",IF(OR(J1530="ILF",J1530="EIF",J1530="EI",J1530="EO",J1530="EQ"),0,""),LEN(Y1530)-LEN(SUBSTITUTE(SUBSTITUTE(SUBSTITUTE(SUBSTITUTE(SUBSTITUTE(Y1530,"|}","--"),"{|","--"),CHAR(10),""),"、",""),"|",""))+IF(AND(OR(J1530="EI",J1530="EO",J1530="EQ"),$AE$1="NESMA"),2,1)))</f>
        <v/>
      </c>
      <c r="P1530" s="86">
        <f>IF(J1530="EI",IF(OR(Y1530="估算法",Y1530="算法类"),"中",IF(Y1530="无法识别","低",IF(M1530&lt;2,IF(O1530&lt;16,"低","中"),IF(M1530&lt;3,IF(O1530&lt;5,"低",IF(O1530&lt;16,"中","高")),IF(O1530&lt;5,"中","高"))))),IF(OR(J1530="EO",J1530="EQ"),IF(OR(Y1530="估算法",Y1530="算法类"),"中",IF(Y1530="无法识别","低",IF(M1530&lt;2,IF(O1530&lt;20,"低","中"),IF(M1530&lt;4,IF(O1530&lt;6,"低",IF(O1530&lt;20,"中","高")),IF(O1530&lt;6,"中","高"))))),IF(OR(J1530="ILF",J1530="EIF"),IF(OR(Y1530="估算法",Y1530="算法类",Y1530="无法识别"),"低",IF(N1530&lt;2,IF(O1530&lt;51,"低","中"),IF(N1530&lt;6,IF(O1530&lt;20,"低",IF(O1530&lt;51,"中","高")),IF(O1530&lt;20,"中","高")))),"不计算")))</f>
        <v/>
      </c>
      <c r="Q1530" s="172">
        <f>IFERROR(IF(J1530="EI",IF(P1530="低",3,IF(P1530="中",4,6)),IF(J1530="EO",IF(P1530="低",4,IF(P1530="中",5,7)),IF(J1530="EQ",IF(P1530="低",3,IF(P1530="中",4,6)),IF(J1530="ILF",IF(P1530="低",7,IF(P1530="中",10,15)),IF(J1530="EIF",IF(P1530="低",5,IF(P1530="中",7,10)),"不计算")))))*R1530,"不计算")</f>
        <v/>
      </c>
      <c r="R1530" s="172" t="n">
        <v>0.333333333333333</v>
      </c>
      <c r="S1530" s="173">
        <f>调整因子!$F$13</f>
        <v/>
      </c>
      <c r="T1530" s="93" t="n">
        <v>1</v>
      </c>
      <c r="U1530" s="174">
        <f>IFERROR(Q1530*S1530,0)</f>
        <v/>
      </c>
      <c r="V1530" s="178">
        <f>U1530*T1530</f>
        <v/>
      </c>
      <c r="W1530" s="103" t="inlineStr">
        <is>
          <t>提醒规则表、脱敏规则表</t>
        </is>
      </c>
      <c r="X1530" s="103" t="inlineStr"/>
      <c r="Y1530" s="97" t="inlineStr">
        <is>
          <t>提醒规则表{规则ID、规则名称、规则类型、规则条件、创建时间|规则ID、规则名称、规则类型}
脱敏规则表{规则ID、规则名称、规则类型、规则条件、创建时间|规则ID、规则名称、规则类型}</t>
        </is>
      </c>
      <c r="Z1530" s="90" t="n"/>
      <c r="AA1530" s="90" t="n"/>
    </row>
    <row r="1531" s="112">
      <c r="A1531" s="72">
        <f>ROW()-1</f>
        <v/>
      </c>
      <c r="B1531" s="175" t="n"/>
      <c r="C1531" s="124" t="n">
        <v>2026</v>
      </c>
      <c r="E1531" s="103" t="n"/>
      <c r="F1531" s="175" t="n"/>
      <c r="G1531" s="175" t="n"/>
      <c r="H1531" s="175" t="n"/>
      <c r="I1531" s="103" t="inlineStr">
        <is>
          <t>推送处置结果</t>
        </is>
      </c>
      <c r="J1531" s="93" t="inlineStr">
        <is>
          <t>EO</t>
        </is>
      </c>
      <c r="K1531" s="102" t="n"/>
      <c r="L1531" s="102" t="n"/>
      <c r="M1531" s="85">
        <f>IF(OR(Y1531="估算法",Y1531="算法类",Y1531="无法识别"),"",IF(W1531="",IF(OR(J1531="EI",J1531="EO",J1531="EQ"),0,""),LEN(W1531)-LEN(SUBSTITUTE(W1531,"、",""))+1))</f>
        <v/>
      </c>
      <c r="N1531" s="85">
        <f>IF(OR(Y1531="估算法",Y1531="算法类",Y1531="无法识别"),"",IF(X1531="",IF(OR(J1531="ILF",J1531="EIF"),0,""),LEN(X1531)-LEN(SUBSTITUTE(X1531,"、",""))+1))</f>
        <v/>
      </c>
      <c r="O1531" s="85">
        <f>IF(OR(Y1531="估算法",Y1531="算法类",Y1531="无法识别"),"",IF(Y1531="",IF(OR(J1531="ILF",J1531="EIF",J1531="EI",J1531="EO",J1531="EQ"),0,""),LEN(Y1531)-LEN(SUBSTITUTE(SUBSTITUTE(SUBSTITUTE(SUBSTITUTE(SUBSTITUTE(Y1531,"|}","--"),"{|","--"),CHAR(10),""),"、",""),"|",""))+IF(AND(OR(J1531="EI",J1531="EO",J1531="EQ"),$AE$1="NESMA"),2,1)))</f>
        <v/>
      </c>
      <c r="P1531" s="86">
        <f>IF(J1531="EI",IF(OR(Y1531="估算法",Y1531="算法类"),"中",IF(Y1531="无法识别","低",IF(M1531&lt;2,IF(O1531&lt;16,"低","中"),IF(M1531&lt;3,IF(O1531&lt;5,"低",IF(O1531&lt;16,"中","高")),IF(O1531&lt;5,"中","高"))))),IF(OR(J1531="EO",J1531="EQ"),IF(OR(Y1531="估算法",Y1531="算法类"),"中",IF(Y1531="无法识别","低",IF(M1531&lt;2,IF(O1531&lt;20,"低","中"),IF(M1531&lt;4,IF(O1531&lt;6,"低",IF(O1531&lt;20,"中","高")),IF(O1531&lt;6,"中","高"))))),IF(OR(J1531="ILF",J1531="EIF"),IF(OR(Y1531="估算法",Y1531="算法类",Y1531="无法识别"),"低",IF(N1531&lt;2,IF(O1531&lt;51,"低","中"),IF(N1531&lt;6,IF(O1531&lt;20,"低",IF(O1531&lt;51,"中","高")),IF(O1531&lt;20,"中","高")))),"不计算")))</f>
        <v/>
      </c>
      <c r="Q1531" s="172">
        <f>IFERROR(IF(J1531="EI",IF(P1531="低",3,IF(P1531="中",4,6)),IF(J1531="EO",IF(P1531="低",4,IF(P1531="中",5,7)),IF(J1531="EQ",IF(P1531="低",3,IF(P1531="中",4,6)),IF(J1531="ILF",IF(P1531="低",7,IF(P1531="中",10,15)),IF(J1531="EIF",IF(P1531="低",5,IF(P1531="中",7,10)),"不计算")))))*R1531,"不计算")</f>
        <v/>
      </c>
      <c r="R1531" s="172" t="n">
        <v>0.333333333333333</v>
      </c>
      <c r="S1531" s="173">
        <f>调整因子!$F$13</f>
        <v/>
      </c>
      <c r="T1531" s="93" t="n">
        <v>1</v>
      </c>
      <c r="U1531" s="174">
        <f>IFERROR(Q1531*S1531,0)</f>
        <v/>
      </c>
      <c r="V1531" s="178">
        <f>U1531*T1531</f>
        <v/>
      </c>
      <c r="W1531" s="103" t="inlineStr">
        <is>
          <t>修复步骤表、资产查询接口配置表</t>
        </is>
      </c>
      <c r="X1531" s="103" t="inlineStr"/>
      <c r="Y1531" s="97" t="inlineStr">
        <is>
          <t>修复步骤表{ID、名称|ID、名称、类型、状态、创建时间、更新时间}
资产查询接口配置表{资产ID、资产名称|资产ID、资产名称、IP地址、资产类型、资产状态、创建时间、更新时间}</t>
        </is>
      </c>
      <c r="Z1531" s="90" t="n"/>
      <c r="AA1531" s="90" t="n"/>
    </row>
    <row r="1532" s="112">
      <c r="A1532" s="72">
        <f>ROW()-1</f>
        <v/>
      </c>
      <c r="B1532" s="175" t="n"/>
      <c r="C1532" s="124" t="n">
        <v>2026</v>
      </c>
      <c r="E1532" s="103" t="n"/>
      <c r="F1532" s="175" t="n"/>
      <c r="G1532" s="175" t="n"/>
      <c r="H1532" s="175" t="n"/>
      <c r="I1532" s="103" t="inlineStr">
        <is>
          <t>推送验证结果</t>
        </is>
      </c>
      <c r="J1532" s="93" t="n"/>
      <c r="K1532" s="102" t="n"/>
      <c r="L1532" s="102" t="inlineStr">
        <is>
          <t>和上行合并</t>
        </is>
      </c>
      <c r="M1532" s="85">
        <f>IF(OR(Y1532="估算法",Y1532="算法类",Y1532="无法识别"),"",IF(W1532="",IF(OR(J1532="EI",J1532="EO",J1532="EQ"),0,""),LEN(W1532)-LEN(SUBSTITUTE(W1532,"、",""))+1))</f>
        <v/>
      </c>
      <c r="N1532" s="85">
        <f>IF(OR(Y1532="估算法",Y1532="算法类",Y1532="无法识别"),"",IF(X1532="",IF(OR(J1532="ILF",J1532="EIF"),0,""),LEN(X1532)-LEN(SUBSTITUTE(X1532,"、",""))+1))</f>
        <v/>
      </c>
      <c r="O1532" s="85">
        <f>IF(OR(Y1532="估算法",Y1532="算法类",Y1532="无法识别"),"",IF(Y1532="",IF(OR(J1532="ILF",J1532="EIF",J1532="EI",J1532="EO",J1532="EQ"),0,""),LEN(Y1532)-LEN(SUBSTITUTE(SUBSTITUTE(SUBSTITUTE(SUBSTITUTE(SUBSTITUTE(Y1532,"|}","--"),"{|","--"),CHAR(10),""),"、",""),"|",""))+IF(AND(OR(J1532="EI",J1532="EO",J1532="EQ"),$AE$1="NESMA"),2,1)))</f>
        <v/>
      </c>
      <c r="P1532" s="86">
        <f>IF(J1532="EI",IF(OR(Y1532="估算法",Y1532="算法类"),"中",IF(Y1532="无法识别","低",IF(M1532&lt;2,IF(O1532&lt;16,"低","中"),IF(M1532&lt;3,IF(O1532&lt;5,"低",IF(O1532&lt;16,"中","高")),IF(O1532&lt;5,"中","高"))))),IF(OR(J1532="EO",J1532="EQ"),IF(OR(Y1532="估算法",Y1532="算法类"),"中",IF(Y1532="无法识别","低",IF(M1532&lt;2,IF(O1532&lt;20,"低","中"),IF(M1532&lt;4,IF(O1532&lt;6,"低",IF(O1532&lt;20,"中","高")),IF(O1532&lt;6,"中","高"))))),IF(OR(J1532="ILF",J1532="EIF"),IF(OR(Y1532="估算法",Y1532="算法类",Y1532="无法识别"),"低",IF(N1532&lt;2,IF(O1532&lt;51,"低","中"),IF(N1532&lt;6,IF(O1532&lt;20,"低",IF(O1532&lt;51,"中","高")),IF(O1532&lt;20,"中","高")))),"不计算")))</f>
        <v/>
      </c>
      <c r="Q1532" s="172">
        <f>IFERROR(IF(J1532="EI",IF(P1532="低",3,IF(P1532="中",4,6)),IF(J1532="EO",IF(P1532="低",4,IF(P1532="中",5,7)),IF(J1532="EQ",IF(P1532="低",3,IF(P1532="中",4,6)),IF(J1532="ILF",IF(P1532="低",7,IF(P1532="中",10,15)),IF(J1532="EIF",IF(P1532="低",5,IF(P1532="中",7,10)),"不计算")))))*R1532,"不计算")</f>
        <v/>
      </c>
      <c r="R1532" s="172" t="n">
        <v>0.333333333333333</v>
      </c>
      <c r="S1532" s="173">
        <f>调整因子!$F$13</f>
        <v/>
      </c>
      <c r="T1532" s="92" t="n">
        <v>1</v>
      </c>
      <c r="U1532" s="174">
        <f>IFERROR(Q1532*S1532,0)</f>
        <v/>
      </c>
      <c r="V1532" s="178">
        <f>U1532*T1532</f>
        <v/>
      </c>
      <c r="W1532" s="103" t="inlineStr">
        <is>
          <t>报表模板表</t>
        </is>
      </c>
      <c r="X1532" s="103" t="inlineStr"/>
      <c r="Y1532" s="97" t="inlineStr">
        <is>
          <t>报表模板表{报表ID、报表名称|报表ID、报表名称、报表类型、生成时间、报表内容}</t>
        </is>
      </c>
      <c r="Z1532" s="90" t="n"/>
      <c r="AA1532" s="90" t="n"/>
    </row>
    <row r="1533" s="112">
      <c r="A1533" s="72">
        <f>ROW()-1</f>
        <v/>
      </c>
      <c r="B1533" s="175" t="n"/>
      <c r="C1533" s="124" t="n">
        <v>2026</v>
      </c>
      <c r="E1533" s="103" t="n"/>
      <c r="F1533" s="175" t="n"/>
      <c r="G1533" s="175" t="n"/>
      <c r="H1533" s="175" t="n"/>
      <c r="I1533" s="103" t="inlineStr">
        <is>
          <t>查询接口状态</t>
        </is>
      </c>
      <c r="J1533" s="93" t="inlineStr">
        <is>
          <t>EQ</t>
        </is>
      </c>
      <c r="K1533" s="102" t="n"/>
      <c r="L1533" s="102" t="n"/>
      <c r="M1533" s="85">
        <f>IF(OR(Y1533="估算法",Y1533="算法类",Y1533="无法识别"),"",IF(W1533="",IF(OR(J1533="EI",J1533="EO",J1533="EQ"),0,""),LEN(W1533)-LEN(SUBSTITUTE(W1533,"、",""))+1))</f>
        <v/>
      </c>
      <c r="N1533" s="85">
        <f>IF(OR(Y1533="估算法",Y1533="算法类",Y1533="无法识别"),"",IF(X1533="",IF(OR(J1533="ILF",J1533="EIF"),0,""),LEN(X1533)-LEN(SUBSTITUTE(X1533,"、",""))+1))</f>
        <v/>
      </c>
      <c r="O1533" s="85">
        <f>IF(OR(Y1533="估算法",Y1533="算法类",Y1533="无法识别"),"",IF(Y1533="",IF(OR(J1533="ILF",J1533="EIF",J1533="EI",J1533="EO",J1533="EQ"),0,""),LEN(Y1533)-LEN(SUBSTITUTE(SUBSTITUTE(SUBSTITUTE(SUBSTITUTE(SUBSTITUTE(Y1533,"|}","--"),"{|","--"),CHAR(10),""),"、",""),"|",""))+IF(AND(OR(J1533="EI",J1533="EO",J1533="EQ"),$AE$1="NESMA"),2,1)))</f>
        <v/>
      </c>
      <c r="P1533" s="86">
        <f>IF(J1533="EI",IF(OR(Y1533="估算法",Y1533="算法类"),"中",IF(Y1533="无法识别","低",IF(M1533&lt;2,IF(O1533&lt;16,"低","中"),IF(M1533&lt;3,IF(O1533&lt;5,"低",IF(O1533&lt;16,"中","高")),IF(O1533&lt;5,"中","高"))))),IF(OR(J1533="EO",J1533="EQ"),IF(OR(Y1533="估算法",Y1533="算法类"),"中",IF(Y1533="无法识别","低",IF(M1533&lt;2,IF(O1533&lt;20,"低","中"),IF(M1533&lt;4,IF(O1533&lt;6,"低",IF(O1533&lt;20,"中","高")),IF(O1533&lt;6,"中","高"))))),IF(OR(J1533="ILF",J1533="EIF"),IF(OR(Y1533="估算法",Y1533="算法类",Y1533="无法识别"),"低",IF(N1533&lt;2,IF(O1533&lt;51,"低","中"),IF(N1533&lt;6,IF(O1533&lt;20,"低",IF(O1533&lt;51,"中","高")),IF(O1533&lt;20,"中","高")))),"不计算")))</f>
        <v/>
      </c>
      <c r="Q1533" s="172">
        <f>IFERROR(IF(J1533="EI",IF(P1533="低",3,IF(P1533="中",4,6)),IF(J1533="EO",IF(P1533="低",4,IF(P1533="中",5,7)),IF(J1533="EQ",IF(P1533="低",3,IF(P1533="中",4,6)),IF(J1533="ILF",IF(P1533="低",7,IF(P1533="中",10,15)),IF(J1533="EIF",IF(P1533="低",5,IF(P1533="中",7,10)),"不计算")))))*R1533,"不计算")</f>
        <v/>
      </c>
      <c r="R1533" s="172" t="n">
        <v>0.333333333333333</v>
      </c>
      <c r="S1533" s="173">
        <f>调整因子!$F$13</f>
        <v/>
      </c>
      <c r="T1533" s="92" t="n">
        <v>1</v>
      </c>
      <c r="U1533" s="174">
        <f>IFERROR(Q1533*S1533,0)</f>
        <v/>
      </c>
      <c r="V1533" s="178">
        <f>U1533*T1533</f>
        <v/>
      </c>
      <c r="W1533" s="103" t="inlineStr">
        <is>
          <t>指标权重表</t>
        </is>
      </c>
      <c r="X1533" s="103" t="inlineStr"/>
      <c r="Y1533" s="97" t="inlineStr">
        <is>
          <t>指标权重表{ID、名称|ID、名称、类型、状态、创建时间、更新时间}</t>
        </is>
      </c>
      <c r="Z1533" s="90" t="n"/>
      <c r="AA1533" s="90" t="n"/>
    </row>
    <row r="1534" s="112">
      <c r="A1534" s="72">
        <f>ROW()-1</f>
        <v/>
      </c>
      <c r="B1534" s="175" t="n"/>
      <c r="C1534" s="124" t="n">
        <v>2026</v>
      </c>
      <c r="E1534" s="103" t="n"/>
      <c r="F1534" s="175" t="n"/>
      <c r="G1534" s="176" t="n"/>
      <c r="H1534" s="176" t="n"/>
      <c r="I1534" s="103" t="inlineStr">
        <is>
          <t>查看接口详情</t>
        </is>
      </c>
      <c r="J1534" s="93" t="n"/>
      <c r="K1534" s="102" t="n"/>
      <c r="L1534" s="102" t="inlineStr">
        <is>
          <t>重复功能</t>
        </is>
      </c>
      <c r="M1534" s="85">
        <f>IF(OR(Y1534="估算法",Y1534="算法类",Y1534="无法识别"),"",IF(W1534="",IF(OR(J1534="EI",J1534="EO",J1534="EQ"),0,""),LEN(W1534)-LEN(SUBSTITUTE(W1534,"、",""))+1))</f>
        <v/>
      </c>
      <c r="N1534" s="85">
        <f>IF(OR(Y1534="估算法",Y1534="算法类",Y1534="无法识别"),"",IF(X1534="",IF(OR(J1534="ILF",J1534="EIF"),0,""),LEN(X1534)-LEN(SUBSTITUTE(X1534,"、",""))+1))</f>
        <v/>
      </c>
      <c r="O1534" s="85">
        <f>IF(OR(Y1534="估算法",Y1534="算法类",Y1534="无法识别"),"",IF(Y1534="",IF(OR(J1534="ILF",J1534="EIF",J1534="EI",J1534="EO",J1534="EQ"),0,""),LEN(Y1534)-LEN(SUBSTITUTE(SUBSTITUTE(SUBSTITUTE(SUBSTITUTE(SUBSTITUTE(Y1534,"|}","--"),"{|","--"),CHAR(10),""),"、",""),"|",""))+IF(AND(OR(J1534="EI",J1534="EO",J1534="EQ"),$AE$1="NESMA"),2,1)))</f>
        <v/>
      </c>
      <c r="P1534" s="86">
        <f>IF(J1534="EI",IF(OR(Y1534="估算法",Y1534="算法类"),"中",IF(Y1534="无法识别","低",IF(M1534&lt;2,IF(O1534&lt;16,"低","中"),IF(M1534&lt;3,IF(O1534&lt;5,"低",IF(O1534&lt;16,"中","高")),IF(O1534&lt;5,"中","高"))))),IF(OR(J1534="EO",J1534="EQ"),IF(OR(Y1534="估算法",Y1534="算法类"),"中",IF(Y1534="无法识别","低",IF(M1534&lt;2,IF(O1534&lt;20,"低","中"),IF(M1534&lt;4,IF(O1534&lt;6,"低",IF(O1534&lt;20,"中","高")),IF(O1534&lt;6,"中","高"))))),IF(OR(J1534="ILF",J1534="EIF"),IF(OR(Y1534="估算法",Y1534="算法类",Y1534="无法识别"),"低",IF(N1534&lt;2,IF(O1534&lt;51,"低","中"),IF(N1534&lt;6,IF(O1534&lt;20,"低",IF(O1534&lt;51,"中","高")),IF(O1534&lt;20,"中","高")))),"不计算")))</f>
        <v/>
      </c>
      <c r="Q1534" s="172">
        <f>IFERROR(IF(J1534="EI",IF(P1534="低",3,IF(P1534="中",4,6)),IF(J1534="EO",IF(P1534="低",4,IF(P1534="中",5,7)),IF(J1534="EQ",IF(P1534="低",3,IF(P1534="中",4,6)),IF(J1534="ILF",IF(P1534="低",7,IF(P1534="中",10,15)),IF(J1534="EIF",IF(P1534="低",5,IF(P1534="中",7,10)),"不计算")))))*R1534,"不计算")</f>
        <v/>
      </c>
      <c r="R1534" s="172" t="n">
        <v>0.333333333333333</v>
      </c>
      <c r="S1534" s="173">
        <f>调整因子!$F$13</f>
        <v/>
      </c>
      <c r="T1534" s="93" t="n">
        <v>1</v>
      </c>
      <c r="U1534" s="174">
        <f>IFERROR(Q1534*S1534,0)</f>
        <v/>
      </c>
      <c r="V1534" s="178">
        <f>U1534*T1534</f>
        <v/>
      </c>
      <c r="W1534" s="103" t="inlineStr">
        <is>
          <t>通报对象表、扫描任务接口配置表</t>
        </is>
      </c>
      <c r="X1534" s="103" t="inlineStr"/>
      <c r="Y1534" s="97" t="inlineStr">
        <is>
          <t>通报对象表{ID、名称|ID、名称、类型、状态、创建时间、更新时间}
扫描任务接口配置表{任务ID、任务名称|任务ID、任务名称、任务状态、扫描器类型、开始时间、结束时间、扫描结果}</t>
        </is>
      </c>
      <c r="Z1534" s="90" t="n"/>
      <c r="AA1534" s="90" t="n"/>
    </row>
    <row r="1535" s="112">
      <c r="A1535" s="72">
        <f>ROW()-1</f>
        <v/>
      </c>
      <c r="B1535" s="175" t="n"/>
      <c r="C1535" s="124" t="n">
        <v>2026</v>
      </c>
      <c r="E1535" s="103" t="n"/>
      <c r="F1535" s="175" t="n"/>
      <c r="G1535" s="97" t="inlineStr">
        <is>
          <t>核验结果推送</t>
        </is>
      </c>
      <c r="H1535" s="97" t="inlineStr">
        <is>
          <t>推送配置管理</t>
        </is>
      </c>
      <c r="I1535" s="103" t="inlineStr">
        <is>
          <t>推送配置表</t>
        </is>
      </c>
      <c r="J1535" s="93" t="inlineStr">
        <is>
          <t>ILF</t>
        </is>
      </c>
      <c r="K1535" s="102" t="n"/>
      <c r="L1535" s="102" t="n"/>
      <c r="M1535" s="85">
        <f>IF(OR(Y1535="估算法",Y1535="算法类",Y1535="无法识别"),"",IF(W1535="",IF(OR(J1535="EI",J1535="EO",J1535="EQ"),0,""),LEN(W1535)-LEN(SUBSTITUTE(W1535,"、",""))+1))</f>
        <v/>
      </c>
      <c r="N1535" s="85">
        <f>IF(OR(Y1535="估算法",Y1535="算法类",Y1535="无法识别"),"",IF(X1535="",IF(OR(J1535="ILF",J1535="EIF"),0,""),LEN(X1535)-LEN(SUBSTITUTE(X1535,"、",""))+1))</f>
        <v/>
      </c>
      <c r="O1535" s="85">
        <f>IF(OR(Y1535="估算法",Y1535="算法类",Y1535="无法识别"),"",IF(Y1535="",IF(OR(J1535="ILF",J1535="EIF",J1535="EI",J1535="EO",J1535="EQ"),0,""),LEN(Y1535)-LEN(SUBSTITUTE(SUBSTITUTE(SUBSTITUTE(SUBSTITUTE(SUBSTITUTE(Y1535,"|}","--"),"{|","--"),CHAR(10),""),"、",""),"|",""))+IF(AND(OR(J1535="EI",J1535="EO",J1535="EQ"),$AE$1="NESMA"),2,1)))</f>
        <v/>
      </c>
      <c r="P1535" s="86">
        <f>IF(J1535="EI",IF(OR(Y1535="估算法",Y1535="算法类"),"中",IF(Y1535="无法识别","低",IF(M1535&lt;2,IF(O1535&lt;16,"低","中"),IF(M1535&lt;3,IF(O1535&lt;5,"低",IF(O1535&lt;16,"中","高")),IF(O1535&lt;5,"中","高"))))),IF(OR(J1535="EO",J1535="EQ"),IF(OR(Y1535="估算法",Y1535="算法类"),"中",IF(Y1535="无法识别","低",IF(M1535&lt;2,IF(O1535&lt;20,"低","中"),IF(M1535&lt;4,IF(O1535&lt;6,"低",IF(O1535&lt;20,"中","高")),IF(O1535&lt;6,"中","高"))))),IF(OR(J1535="ILF",J1535="EIF"),IF(OR(Y1535="估算法",Y1535="算法类",Y1535="无法识别"),"低",IF(N1535&lt;2,IF(O1535&lt;51,"低","中"),IF(N1535&lt;6,IF(O1535&lt;20,"低",IF(O1535&lt;51,"中","高")),IF(O1535&lt;20,"中","高")))),"不计算")))</f>
        <v/>
      </c>
      <c r="Q1535" s="172">
        <f>IFERROR(IF(J1535="EI",IF(P1535="低",3,IF(P1535="中",4,6)),IF(J1535="EO",IF(P1535="低",4,IF(P1535="中",5,7)),IF(J1535="EQ",IF(P1535="低",3,IF(P1535="中",4,6)),IF(J1535="ILF",IF(P1535="低",7,IF(P1535="中",10,15)),IF(J1535="EIF",IF(P1535="低",5,IF(P1535="中",7,10)),"不计算")))))*R1535,"不计算")</f>
        <v/>
      </c>
      <c r="R1535" s="172" t="n">
        <v>1</v>
      </c>
      <c r="S1535" s="173">
        <f>调整因子!$F$13</f>
        <v/>
      </c>
      <c r="T1535" s="92" t="n">
        <v>1</v>
      </c>
      <c r="U1535" s="174">
        <f>IFERROR(Q1535*S1535,0)</f>
        <v/>
      </c>
      <c r="V1535" s="178">
        <f>U1535*T1535</f>
        <v/>
      </c>
      <c r="W1535" s="103" t="inlineStr"/>
      <c r="X1535" s="103" t="inlineStr">
        <is>
          <t>配置项</t>
        </is>
      </c>
      <c r="Y1535" s="97" t="inlineStr">
        <is>
          <t>推送配置表{配置ID、配置名称、配置类型|配置ID、配置名称、配置类型、配置值、创建时间}</t>
        </is>
      </c>
      <c r="Z1535" s="90">
        <f>IF(COUNTIFS(W:W,"*"&amp;I1535&amp;"*")&gt;0,"存在","不存在")</f>
        <v/>
      </c>
      <c r="AA1535" s="90">
        <f>IF(COUNTIFS(AB:AB,"*"&amp;I1535&amp;"*")&gt;0,"存在","不存在")</f>
        <v/>
      </c>
    </row>
    <row r="1536" s="112">
      <c r="A1536" s="72">
        <f>ROW()-1</f>
        <v/>
      </c>
      <c r="B1536" s="175" t="n"/>
      <c r="C1536" s="124" t="n">
        <v>2026</v>
      </c>
      <c r="E1536" s="103" t="n"/>
      <c r="F1536" s="175" t="n"/>
      <c r="G1536" s="175" t="n"/>
      <c r="H1536" s="175" t="n"/>
      <c r="I1536" s="103" t="inlineStr">
        <is>
          <t>推送任务表</t>
        </is>
      </c>
      <c r="J1536" s="93" t="inlineStr">
        <is>
          <t>ILF</t>
        </is>
      </c>
      <c r="K1536" s="102" t="n"/>
      <c r="L1536" s="102" t="n"/>
      <c r="M1536" s="85">
        <f>IF(OR(Y1536="估算法",Y1536="算法类",Y1536="无法识别"),"",IF(W1536="",IF(OR(J1536="EI",J1536="EO",J1536="EQ"),0,""),LEN(W1536)-LEN(SUBSTITUTE(W1536,"、",""))+1))</f>
        <v/>
      </c>
      <c r="N1536" s="85">
        <f>IF(OR(Y1536="估算法",Y1536="算法类",Y1536="无法识别"),"",IF(X1536="",IF(OR(J1536="ILF",J1536="EIF"),0,""),LEN(X1536)-LEN(SUBSTITUTE(X1536,"、",""))+1))</f>
        <v/>
      </c>
      <c r="O1536" s="85">
        <f>IF(OR(Y1536="估算法",Y1536="算法类",Y1536="无法识别"),"",IF(Y1536="",IF(OR(J1536="ILF",J1536="EIF",J1536="EI",J1536="EO",J1536="EQ"),0,""),LEN(Y1536)-LEN(SUBSTITUTE(SUBSTITUTE(SUBSTITUTE(SUBSTITUTE(SUBSTITUTE(Y1536,"|}","--"),"{|","--"),CHAR(10),""),"、",""),"|",""))+IF(AND(OR(J1536="EI",J1536="EO",J1536="EQ"),$AE$1="NESMA"),2,1)))</f>
        <v/>
      </c>
      <c r="P1536" s="86">
        <f>IF(J1536="EI",IF(OR(Y1536="估算法",Y1536="算法类"),"中",IF(Y1536="无法识别","低",IF(M1536&lt;2,IF(O1536&lt;16,"低","中"),IF(M1536&lt;3,IF(O1536&lt;5,"低",IF(O1536&lt;16,"中","高")),IF(O1536&lt;5,"中","高"))))),IF(OR(J1536="EO",J1536="EQ"),IF(OR(Y1536="估算法",Y1536="算法类"),"中",IF(Y1536="无法识别","低",IF(M1536&lt;2,IF(O1536&lt;20,"低","中"),IF(M1536&lt;4,IF(O1536&lt;6,"低",IF(O1536&lt;20,"中","高")),IF(O1536&lt;6,"中","高"))))),IF(OR(J1536="ILF",J1536="EIF"),IF(OR(Y1536="估算法",Y1536="算法类",Y1536="无法识别"),"低",IF(N1536&lt;2,IF(O1536&lt;51,"低","中"),IF(N1536&lt;6,IF(O1536&lt;20,"低",IF(O1536&lt;51,"中","高")),IF(O1536&lt;20,"中","高")))),"不计算")))</f>
        <v/>
      </c>
      <c r="Q1536" s="172">
        <f>IFERROR(IF(J1536="EI",IF(P1536="低",3,IF(P1536="中",4,6)),IF(J1536="EO",IF(P1536="低",4,IF(P1536="中",5,7)),IF(J1536="EQ",IF(P1536="低",3,IF(P1536="中",4,6)),IF(J1536="ILF",IF(P1536="低",7,IF(P1536="中",10,15)),IF(J1536="EIF",IF(P1536="低",5,IF(P1536="中",7,10)),"不计算")))))*R1536,"不计算")</f>
        <v/>
      </c>
      <c r="R1536" s="172" t="n">
        <v>1</v>
      </c>
      <c r="S1536" s="173">
        <f>调整因子!$F$13</f>
        <v/>
      </c>
      <c r="T1536" s="92" t="n">
        <v>1</v>
      </c>
      <c r="U1536" s="174">
        <f>IFERROR(Q1536*S1536,0)</f>
        <v/>
      </c>
      <c r="V1536" s="178">
        <f>U1536*T1536</f>
        <v/>
      </c>
      <c r="W1536" s="103" t="inlineStr"/>
      <c r="X1536" s="103" t="inlineStr">
        <is>
          <t>扫描任务、发现任务</t>
        </is>
      </c>
      <c r="Y1536" s="97" t="inlineStr">
        <is>
          <t>推送任务表{任务ID、任务名称、任务类型|任务ID、任务名称、任务类型、任务状态、创建时间、执行时间}</t>
        </is>
      </c>
      <c r="Z1536" s="90">
        <f>IF(COUNTIFS(W:W,"*"&amp;I1536&amp;"*")&gt;0,"存在","不存在")</f>
        <v/>
      </c>
      <c r="AA1536" s="90">
        <f>IF(COUNTIFS(AB:AB,"*"&amp;I1536&amp;"*")&gt;0,"存在","不存在")</f>
        <v/>
      </c>
    </row>
    <row r="1537" s="112">
      <c r="A1537" s="72">
        <f>ROW()-1</f>
        <v/>
      </c>
      <c r="B1537" s="175" t="n"/>
      <c r="C1537" s="124" t="n">
        <v>2026</v>
      </c>
      <c r="E1537" s="103" t="n"/>
      <c r="F1537" s="175" t="n"/>
      <c r="G1537" s="175" t="n"/>
      <c r="H1537" s="175" t="n"/>
      <c r="I1537" s="103" t="inlineStr">
        <is>
          <t>推送对象表</t>
        </is>
      </c>
      <c r="J1537" s="93" t="inlineStr">
        <is>
          <t>ILF</t>
        </is>
      </c>
      <c r="K1537" s="102" t="n"/>
      <c r="L1537" s="102" t="n"/>
      <c r="M1537" s="85">
        <f>IF(OR(Y1537="估算法",Y1537="算法类",Y1537="无法识别"),"",IF(W1537="",IF(OR(J1537="EI",J1537="EO",J1537="EQ"),0,""),LEN(W1537)-LEN(SUBSTITUTE(W1537,"、",""))+1))</f>
        <v/>
      </c>
      <c r="N1537" s="85">
        <f>IF(OR(Y1537="估算法",Y1537="算法类",Y1537="无法识别"),"",IF(X1537="",IF(OR(J1537="ILF",J1537="EIF"),0,""),LEN(X1537)-LEN(SUBSTITUTE(X1537,"、",""))+1))</f>
        <v/>
      </c>
      <c r="O1537" s="85">
        <f>IF(OR(Y1537="估算法",Y1537="算法类",Y1537="无法识别"),"",IF(Y1537="",IF(OR(J1537="ILF",J1537="EIF",J1537="EI",J1537="EO",J1537="EQ"),0,""),LEN(Y1537)-LEN(SUBSTITUTE(SUBSTITUTE(SUBSTITUTE(SUBSTITUTE(SUBSTITUTE(Y1537,"|}","--"),"{|","--"),CHAR(10),""),"、",""),"|",""))+IF(AND(OR(J1537="EI",J1537="EO",J1537="EQ"),$AE$1="NESMA"),2,1)))</f>
        <v/>
      </c>
      <c r="P1537" s="86">
        <f>IF(J1537="EI",IF(OR(Y1537="估算法",Y1537="算法类"),"中",IF(Y1537="无法识别","低",IF(M1537&lt;2,IF(O1537&lt;16,"低","中"),IF(M1537&lt;3,IF(O1537&lt;5,"低",IF(O1537&lt;16,"中","高")),IF(O1537&lt;5,"中","高"))))),IF(OR(J1537="EO",J1537="EQ"),IF(OR(Y1537="估算法",Y1537="算法类"),"中",IF(Y1537="无法识别","低",IF(M1537&lt;2,IF(O1537&lt;20,"低","中"),IF(M1537&lt;4,IF(O1537&lt;6,"低",IF(O1537&lt;20,"中","高")),IF(O1537&lt;6,"中","高"))))),IF(OR(J1537="ILF",J1537="EIF"),IF(OR(Y1537="估算法",Y1537="算法类",Y1537="无法识别"),"低",IF(N1537&lt;2,IF(O1537&lt;51,"低","中"),IF(N1537&lt;6,IF(O1537&lt;20,"低",IF(O1537&lt;51,"中","高")),IF(O1537&lt;20,"中","高")))),"不计算")))</f>
        <v/>
      </c>
      <c r="Q1537" s="172">
        <f>IFERROR(IF(J1537="EI",IF(P1537="低",3,IF(P1537="中",4,6)),IF(J1537="EO",IF(P1537="低",4,IF(P1537="中",5,7)),IF(J1537="EQ",IF(P1537="低",3,IF(P1537="中",4,6)),IF(J1537="ILF",IF(P1537="低",7,IF(P1537="中",10,15)),IF(J1537="EIF",IF(P1537="低",5,IF(P1537="中",7,10)),"不计算")))))*R1537,"不计算")</f>
        <v/>
      </c>
      <c r="R1537" s="172" t="n">
        <v>1</v>
      </c>
      <c r="S1537" s="173">
        <f>调整因子!$F$13</f>
        <v/>
      </c>
      <c r="T1537" s="93" t="n">
        <v>1</v>
      </c>
      <c r="U1537" s="174">
        <f>IFERROR(Q1537*S1537,0)</f>
        <v/>
      </c>
      <c r="V1537" s="178">
        <f>U1537*T1537</f>
        <v/>
      </c>
      <c r="W1537" s="103" t="inlineStr"/>
      <c r="X1537" s="103" t="inlineStr">
        <is>
          <t>数据记录</t>
        </is>
      </c>
      <c r="Y1537" s="97" t="inlineStr">
        <is>
          <t>推送对象表{ID、名称、类型|ID、名称、类型、状态、创建时间、更新时间}</t>
        </is>
      </c>
      <c r="Z1537" s="90">
        <f>IF(COUNTIFS(W:W,"*"&amp;I1537&amp;"*")&gt;0,"存在","不存在")</f>
        <v/>
      </c>
      <c r="AA1537" s="90">
        <f>IF(COUNTIFS(AB:AB,"*"&amp;I1537&amp;"*")&gt;0,"存在","不存在")</f>
        <v/>
      </c>
    </row>
    <row r="1538" s="112">
      <c r="A1538" s="72">
        <f>ROW()-1</f>
        <v/>
      </c>
      <c r="B1538" s="175" t="n"/>
      <c r="C1538" s="124" t="n">
        <v>2026</v>
      </c>
      <c r="E1538" s="103" t="n"/>
      <c r="F1538" s="175" t="n"/>
      <c r="G1538" s="175" t="n"/>
      <c r="H1538" s="175" t="n"/>
      <c r="I1538" s="103" t="inlineStr">
        <is>
          <t>HTTP数据推送接口</t>
        </is>
      </c>
      <c r="J1538" s="93" t="inlineStr">
        <is>
          <t>EIF</t>
        </is>
      </c>
      <c r="K1538" s="84" t="n"/>
      <c r="L1538" s="84" t="inlineStr">
        <is>
          <t>此外部接口文件未被本系统所使用</t>
        </is>
      </c>
      <c r="M1538" s="85">
        <f>IF(OR(Y1538="估算法",Y1538="算法类",Y1538="无法识别"),"",IF(W1538="",IF(OR(J1538="EI",J1538="EO",J1538="EQ"),0,""),LEN(W1538)-LEN(SUBSTITUTE(W1538,"、",""))+1))</f>
        <v/>
      </c>
      <c r="N1538" s="85">
        <f>IF(OR(Y1538="估算法",Y1538="算法类",Y1538="无法识别"),"",IF(X1538="",IF(OR(J1538="ILF",J1538="EIF"),0,""),LEN(X1538)-LEN(SUBSTITUTE(X1538,"、",""))+1))</f>
        <v/>
      </c>
      <c r="O1538" s="85">
        <f>IF(OR(Y1538="估算法",Y1538="算法类",Y1538="无法识别"),"",IF(Y1538="",IF(OR(J1538="ILF",J1538="EIF",J1538="EI",J1538="EO",J1538="EQ"),0,""),LEN(Y1538)-LEN(SUBSTITUTE(SUBSTITUTE(SUBSTITUTE(SUBSTITUTE(SUBSTITUTE(Y1538,"|}","--"),"{|","--"),CHAR(10),""),"、",""),"|",""))+IF(AND(OR(J1538="EI",J1538="EO",J1538="EQ"),$AE$1="NESMA"),2,1)))</f>
        <v/>
      </c>
      <c r="P1538" s="86">
        <f>IF(J1538="EI",IF(OR(Y1538="估算法",Y1538="算法类"),"中",IF(Y1538="无法识别","低",IF(M1538&lt;2,IF(O1538&lt;16,"低","中"),IF(M1538&lt;3,IF(O1538&lt;5,"低",IF(O1538&lt;16,"中","高")),IF(O1538&lt;5,"中","高"))))),IF(OR(J1538="EO",J1538="EQ"),IF(OR(Y1538="估算法",Y1538="算法类"),"中",IF(Y1538="无法识别","低",IF(M1538&lt;2,IF(O1538&lt;20,"低","中"),IF(M1538&lt;4,IF(O1538&lt;6,"低",IF(O1538&lt;20,"中","高")),IF(O1538&lt;6,"中","高"))))),IF(OR(J1538="ILF",J1538="EIF"),IF(OR(Y1538="估算法",Y1538="算法类",Y1538="无法识别"),"低",IF(N1538&lt;2,IF(O1538&lt;51,"低","中"),IF(N1538&lt;6,IF(O1538&lt;20,"低",IF(O1538&lt;51,"中","高")),IF(O1538&lt;20,"中","高")))),"不计算")))</f>
        <v/>
      </c>
      <c r="Q1538" s="172">
        <f>IFERROR(IF(J1538="EI",IF(P1538="低",3,IF(P1538="中",4,6)),IF(J1538="EO",IF(P1538="低",4,IF(P1538="中",5,7)),IF(J1538="EQ",IF(P1538="低",3,IF(P1538="中",4,6)),IF(J1538="ILF",IF(P1538="低",7,IF(P1538="中",10,15)),IF(J1538="EIF",IF(P1538="低",5,IF(P1538="中",7,10)),"不计算")))))*R1538,"不计算")</f>
        <v/>
      </c>
      <c r="R1538" s="172" t="n">
        <v>1</v>
      </c>
      <c r="S1538" s="173">
        <f>调整因子!$F$13</f>
        <v/>
      </c>
      <c r="T1538" s="93" t="n">
        <v>1</v>
      </c>
      <c r="U1538" s="174">
        <f>IFERROR(Q1538*S1538,0)</f>
        <v/>
      </c>
      <c r="V1538" s="178">
        <f>U1538*T1538</f>
        <v/>
      </c>
      <c r="W1538" s="103" t="inlineStr"/>
      <c r="X1538" s="103" t="inlineStr">
        <is>
          <t>接口数据</t>
        </is>
      </c>
      <c r="Y1538" s="97" t="inlineStr">
        <is>
          <t>HTTP数据推送接口{接口ID、接口名称|接口ID、接口名称、接口类型、接口地址、调用时间}</t>
        </is>
      </c>
      <c r="Z1538" s="90">
        <f>IF(COUNTIFS(W:W,"*"&amp;I1538&amp;"*")&gt;0,"存在","不存在")</f>
        <v/>
      </c>
      <c r="AA1538" s="90">
        <f>IF(COUNTIFS(AB:AB,"*"&amp;I1538&amp;"*")&gt;0,"存在","不存在")</f>
        <v/>
      </c>
      <c r="AB1538" s="93" t="inlineStr">
        <is>
          <t>EIF</t>
        </is>
      </c>
    </row>
    <row r="1539" s="112">
      <c r="A1539" s="72">
        <f>ROW()-1</f>
        <v/>
      </c>
      <c r="B1539" s="175" t="n"/>
      <c r="C1539" s="124" t="n">
        <v>2026</v>
      </c>
      <c r="E1539" s="103" t="n"/>
      <c r="F1539" s="175" t="n"/>
      <c r="G1539" s="175" t="n"/>
      <c r="H1539" s="175" t="n"/>
      <c r="I1539" s="103" t="inlineStr">
        <is>
          <t>配置推送策略</t>
        </is>
      </c>
      <c r="J1539" s="93" t="inlineStr">
        <is>
          <t>EI</t>
        </is>
      </c>
      <c r="K1539" s="102" t="n"/>
      <c r="L1539" s="102" t="n"/>
      <c r="M1539" s="85">
        <f>IF(OR(Y1539="估算法",Y1539="算法类",Y1539="无法识别"),"",IF(W1539="",IF(OR(J1539="EI",J1539="EO",J1539="EQ"),0,""),LEN(W1539)-LEN(SUBSTITUTE(W1539,"、",""))+1))</f>
        <v/>
      </c>
      <c r="N1539" s="85">
        <f>IF(OR(Y1539="估算法",Y1539="算法类",Y1539="无法识别"),"",IF(X1539="",IF(OR(J1539="ILF",J1539="EIF"),0,""),LEN(X1539)-LEN(SUBSTITUTE(X1539,"、",""))+1))</f>
        <v/>
      </c>
      <c r="O1539" s="85">
        <f>IF(OR(Y1539="估算法",Y1539="算法类",Y1539="无法识别"),"",IF(Y1539="",IF(OR(J1539="ILF",J1539="EIF",J1539="EI",J1539="EO",J1539="EQ"),0,""),LEN(Y1539)-LEN(SUBSTITUTE(SUBSTITUTE(SUBSTITUTE(SUBSTITUTE(SUBSTITUTE(Y1539,"|}","--"),"{|","--"),CHAR(10),""),"、",""),"|",""))+IF(AND(OR(J1539="EI",J1539="EO",J1539="EQ"),$AE$1="NESMA"),2,1)))</f>
        <v/>
      </c>
      <c r="P1539" s="86">
        <f>IF(J1539="EI",IF(OR(Y1539="估算法",Y1539="算法类"),"中",IF(Y1539="无法识别","低",IF(M1539&lt;2,IF(O1539&lt;16,"低","中"),IF(M1539&lt;3,IF(O1539&lt;5,"低",IF(O1539&lt;16,"中","高")),IF(O1539&lt;5,"中","高"))))),IF(OR(J1539="EO",J1539="EQ"),IF(OR(Y1539="估算法",Y1539="算法类"),"中",IF(Y1539="无法识别","低",IF(M1539&lt;2,IF(O1539&lt;20,"低","中"),IF(M1539&lt;4,IF(O1539&lt;6,"低",IF(O1539&lt;20,"中","高")),IF(O1539&lt;6,"中","高"))))),IF(OR(J1539="ILF",J1539="EIF"),IF(OR(Y1539="估算法",Y1539="算法类",Y1539="无法识别"),"低",IF(N1539&lt;2,IF(O1539&lt;51,"低","中"),IF(N1539&lt;6,IF(O1539&lt;20,"低",IF(O1539&lt;51,"中","高")),IF(O1539&lt;20,"中","高")))),"不计算")))</f>
        <v/>
      </c>
      <c r="Q1539" s="172">
        <f>IFERROR(IF(J1539="EI",IF(P1539="低",3,IF(P1539="中",4,6)),IF(J1539="EO",IF(P1539="低",4,IF(P1539="中",5,7)),IF(J1539="EQ",IF(P1539="低",3,IF(P1539="中",4,6)),IF(J1539="ILF",IF(P1539="低",7,IF(P1539="中",10,15)),IF(J1539="EIF",IF(P1539="低",5,IF(P1539="中",7,10)),"不计算")))))*R1539,"不计算")</f>
        <v/>
      </c>
      <c r="R1539" s="172" t="n">
        <v>1</v>
      </c>
      <c r="S1539" s="173">
        <f>调整因子!$F$13</f>
        <v/>
      </c>
      <c r="T1539" s="92" t="n">
        <v>1</v>
      </c>
      <c r="U1539" s="174">
        <f>IFERROR(Q1539*S1539,0)</f>
        <v/>
      </c>
      <c r="V1539" s="178">
        <f>U1539*T1539</f>
        <v/>
      </c>
      <c r="W1539" s="103" t="inlineStr">
        <is>
          <t>任务优先级配置表、扫描策略模板表</t>
        </is>
      </c>
      <c r="X1539" s="103" t="inlineStr"/>
      <c r="Y1539" s="97" t="inlineStr">
        <is>
          <t>任务优先级配置表{任务ID、任务名称、任务类型、任务状态、创建时间、执行时间|任务ID、任务名称、任务类型}
扫描策略模板表{任务ID、任务名称、任务状态、扫描器类型、开始时间、结束时间、扫描结果|任务ID、任务名称、任务状态}</t>
        </is>
      </c>
      <c r="Z1539" s="90" t="n"/>
      <c r="AA1539" s="90" t="n"/>
    </row>
    <row r="1540" s="112">
      <c r="A1540" s="72">
        <f>ROW()-1</f>
        <v/>
      </c>
      <c r="B1540" s="175" t="n"/>
      <c r="C1540" s="124" t="n">
        <v>2026</v>
      </c>
      <c r="E1540" s="103" t="n"/>
      <c r="F1540" s="175" t="n"/>
      <c r="G1540" s="175" t="n"/>
      <c r="H1540" s="175" t="n"/>
      <c r="I1540" s="103" t="inlineStr">
        <is>
          <t>编辑推送策略</t>
        </is>
      </c>
      <c r="J1540" s="93" t="inlineStr">
        <is>
          <t>EI</t>
        </is>
      </c>
      <c r="K1540" s="102" t="n"/>
      <c r="L1540" s="102" t="n"/>
      <c r="M1540" s="85">
        <f>IF(OR(Y1540="估算法",Y1540="算法类",Y1540="无法识别"),"",IF(W1540="",IF(OR(J1540="EI",J1540="EO",J1540="EQ"),0,""),LEN(W1540)-LEN(SUBSTITUTE(W1540,"、",""))+1))</f>
        <v/>
      </c>
      <c r="N1540" s="85">
        <f>IF(OR(Y1540="估算法",Y1540="算法类",Y1540="无法识别"),"",IF(X1540="",IF(OR(J1540="ILF",J1540="EIF"),0,""),LEN(X1540)-LEN(SUBSTITUTE(X1540,"、",""))+1))</f>
        <v/>
      </c>
      <c r="O1540" s="85">
        <f>IF(OR(Y1540="估算法",Y1540="算法类",Y1540="无法识别"),"",IF(Y1540="",IF(OR(J1540="ILF",J1540="EIF",J1540="EI",J1540="EO",J1540="EQ"),0,""),LEN(Y1540)-LEN(SUBSTITUTE(SUBSTITUTE(SUBSTITUTE(SUBSTITUTE(SUBSTITUTE(Y1540,"|}","--"),"{|","--"),CHAR(10),""),"、",""),"|",""))+IF(AND(OR(J1540="EI",J1540="EO",J1540="EQ"),$AE$1="NESMA"),2,1)))</f>
        <v/>
      </c>
      <c r="P1540" s="86">
        <f>IF(J1540="EI",IF(OR(Y1540="估算法",Y1540="算法类"),"中",IF(Y1540="无法识别","低",IF(M1540&lt;2,IF(O1540&lt;16,"低","中"),IF(M1540&lt;3,IF(O1540&lt;5,"低",IF(O1540&lt;16,"中","高")),IF(O1540&lt;5,"中","高"))))),IF(OR(J1540="EO",J1540="EQ"),IF(OR(Y1540="估算法",Y1540="算法类"),"中",IF(Y1540="无法识别","低",IF(M1540&lt;2,IF(O1540&lt;20,"低","中"),IF(M1540&lt;4,IF(O1540&lt;6,"低",IF(O1540&lt;20,"中","高")),IF(O1540&lt;6,"中","高"))))),IF(OR(J1540="ILF",J1540="EIF"),IF(OR(Y1540="估算法",Y1540="算法类",Y1540="无法识别"),"低",IF(N1540&lt;2,IF(O1540&lt;51,"低","中"),IF(N1540&lt;6,IF(O1540&lt;20,"低",IF(O1540&lt;51,"中","高")),IF(O1540&lt;20,"中","高")))),"不计算")))</f>
        <v/>
      </c>
      <c r="Q1540" s="172">
        <f>IFERROR(IF(J1540="EI",IF(P1540="低",3,IF(P1540="中",4,6)),IF(J1540="EO",IF(P1540="低",4,IF(P1540="中",5,7)),IF(J1540="EQ",IF(P1540="低",3,IF(P1540="中",4,6)),IF(J1540="ILF",IF(P1540="低",7,IF(P1540="中",10,15)),IF(J1540="EIF",IF(P1540="低",5,IF(P1540="中",7,10)),"不计算")))))*R1540,"不计算")</f>
        <v/>
      </c>
      <c r="R1540" s="172" t="n">
        <v>1</v>
      </c>
      <c r="S1540" s="173">
        <f>调整因子!$F$13</f>
        <v/>
      </c>
      <c r="T1540" s="92" t="n">
        <v>1</v>
      </c>
      <c r="U1540" s="174">
        <f>IFERROR(Q1540*S1540,0)</f>
        <v/>
      </c>
      <c r="V1540" s="178">
        <f>U1540*T1540</f>
        <v/>
      </c>
      <c r="W1540" s="103" t="inlineStr">
        <is>
          <t>扫描策略模板表</t>
        </is>
      </c>
      <c r="X1540" s="103" t="inlineStr"/>
      <c r="Y1540" s="97" t="inlineStr">
        <is>
          <t>扫描策略模板表{任务ID、任务名称、任务状态、扫描器类型、开始时间、结束时间、扫描结果|任务ID、任务名称、任务状态}</t>
        </is>
      </c>
      <c r="Z1540" s="90" t="n"/>
      <c r="AA1540" s="90" t="n"/>
    </row>
    <row r="1541" s="112">
      <c r="A1541" s="72">
        <f>ROW()-1</f>
        <v/>
      </c>
      <c r="B1541" s="175" t="n"/>
      <c r="C1541" s="124" t="n">
        <v>2026</v>
      </c>
      <c r="E1541" s="103" t="n"/>
      <c r="F1541" s="175" t="n"/>
      <c r="G1541" s="175" t="n"/>
      <c r="H1541" s="175" t="n"/>
      <c r="I1541" s="103" t="inlineStr">
        <is>
          <t>删除推送策略</t>
        </is>
      </c>
      <c r="J1541" s="93" t="inlineStr">
        <is>
          <t>EI</t>
        </is>
      </c>
      <c r="K1541" s="102" t="n"/>
      <c r="L1541" s="102" t="n"/>
      <c r="M1541" s="85">
        <f>IF(OR(Y1541="估算法",Y1541="算法类",Y1541="无法识别"),"",IF(W1541="",IF(OR(J1541="EI",J1541="EO",J1541="EQ"),0,""),LEN(W1541)-LEN(SUBSTITUTE(W1541,"、",""))+1))</f>
        <v/>
      </c>
      <c r="N1541" s="85">
        <f>IF(OR(Y1541="估算法",Y1541="算法类",Y1541="无法识别"),"",IF(X1541="",IF(OR(J1541="ILF",J1541="EIF"),0,""),LEN(X1541)-LEN(SUBSTITUTE(X1541,"、",""))+1))</f>
        <v/>
      </c>
      <c r="O1541" s="85">
        <f>IF(OR(Y1541="估算法",Y1541="算法类",Y1541="无法识别"),"",IF(Y1541="",IF(OR(J1541="ILF",J1541="EIF",J1541="EI",J1541="EO",J1541="EQ"),0,""),LEN(Y1541)-LEN(SUBSTITUTE(SUBSTITUTE(SUBSTITUTE(SUBSTITUTE(SUBSTITUTE(Y1541,"|}","--"),"{|","--"),CHAR(10),""),"、",""),"|",""))+IF(AND(OR(J1541="EI",J1541="EO",J1541="EQ"),$AE$1="NESMA"),2,1)))</f>
        <v/>
      </c>
      <c r="P1541" s="86">
        <f>IF(J1541="EI",IF(OR(Y1541="估算法",Y1541="算法类"),"中",IF(Y1541="无法识别","低",IF(M1541&lt;2,IF(O1541&lt;16,"低","中"),IF(M1541&lt;3,IF(O1541&lt;5,"低",IF(O1541&lt;16,"中","高")),IF(O1541&lt;5,"中","高"))))),IF(OR(J1541="EO",J1541="EQ"),IF(OR(Y1541="估算法",Y1541="算法类"),"中",IF(Y1541="无法识别","低",IF(M1541&lt;2,IF(O1541&lt;20,"低","中"),IF(M1541&lt;4,IF(O1541&lt;6,"低",IF(O1541&lt;20,"中","高")),IF(O1541&lt;6,"中","高"))))),IF(OR(J1541="ILF",J1541="EIF"),IF(OR(Y1541="估算法",Y1541="算法类",Y1541="无法识别"),"低",IF(N1541&lt;2,IF(O1541&lt;51,"低","中"),IF(N1541&lt;6,IF(O1541&lt;20,"低",IF(O1541&lt;51,"中","高")),IF(O1541&lt;20,"中","高")))),"不计算")))</f>
        <v/>
      </c>
      <c r="Q1541" s="172">
        <f>IFERROR(IF(J1541="EI",IF(P1541="低",3,IF(P1541="中",4,6)),IF(J1541="EO",IF(P1541="低",4,IF(P1541="中",5,7)),IF(J1541="EQ",IF(P1541="低",3,IF(P1541="中",4,6)),IF(J1541="ILF",IF(P1541="低",7,IF(P1541="中",10,15)),IF(J1541="EIF",IF(P1541="低",5,IF(P1541="中",7,10)),"不计算")))))*R1541,"不计算")</f>
        <v/>
      </c>
      <c r="R1541" s="172" t="n">
        <v>0.333333333333333</v>
      </c>
      <c r="S1541" s="173">
        <f>调整因子!$F$13</f>
        <v/>
      </c>
      <c r="T1541" s="93" t="n">
        <v>1</v>
      </c>
      <c r="U1541" s="174">
        <f>IFERROR(Q1541*S1541,0)</f>
        <v/>
      </c>
      <c r="V1541" s="178">
        <f>U1541*T1541</f>
        <v/>
      </c>
      <c r="W1541" s="103" t="inlineStr">
        <is>
          <t>扫描策略模板表、提醒策略配置表</t>
        </is>
      </c>
      <c r="X1541" s="103" t="inlineStr"/>
      <c r="Y1541" s="97" t="inlineStr">
        <is>
          <t>扫描策略模板表{任务ID、任务名称、任务状态、扫描器类型、开始时间、结束时间、扫描结果|任务ID、任务名称、任务状态}
提醒策略配置表{配置ID、配置名称、配置类型、配置值、创建时间|配置ID、配置名称、配置类型}</t>
        </is>
      </c>
      <c r="Z1541" s="90" t="n"/>
      <c r="AA1541" s="90" t="n"/>
    </row>
    <row r="1542" s="112">
      <c r="A1542" s="72">
        <f>ROW()-1</f>
        <v/>
      </c>
      <c r="B1542" s="175" t="n"/>
      <c r="C1542" s="124" t="n">
        <v>2026</v>
      </c>
      <c r="E1542" s="103" t="n"/>
      <c r="F1542" s="175" t="n"/>
      <c r="G1542" s="175" t="n"/>
      <c r="H1542" s="175" t="n"/>
      <c r="I1542" s="103" t="inlineStr">
        <is>
          <t>启用推送策略</t>
        </is>
      </c>
      <c r="J1542" s="93" t="inlineStr">
        <is>
          <t>EI</t>
        </is>
      </c>
      <c r="K1542" s="102" t="n"/>
      <c r="L1542" s="102" t="n"/>
      <c r="M1542" s="85">
        <f>IF(OR(Y1542="估算法",Y1542="算法类",Y1542="无法识别"),"",IF(W1542="",IF(OR(J1542="EI",J1542="EO",J1542="EQ"),0,""),LEN(W1542)-LEN(SUBSTITUTE(W1542,"、",""))+1))</f>
        <v/>
      </c>
      <c r="N1542" s="85">
        <f>IF(OR(Y1542="估算法",Y1542="算法类",Y1542="无法识别"),"",IF(X1542="",IF(OR(J1542="ILF",J1542="EIF"),0,""),LEN(X1542)-LEN(SUBSTITUTE(X1542,"、",""))+1))</f>
        <v/>
      </c>
      <c r="O1542" s="85">
        <f>IF(OR(Y1542="估算法",Y1542="算法类",Y1542="无法识别"),"",IF(Y1542="",IF(OR(J1542="ILF",J1542="EIF",J1542="EI",J1542="EO",J1542="EQ"),0,""),LEN(Y1542)-LEN(SUBSTITUTE(SUBSTITUTE(SUBSTITUTE(SUBSTITUTE(SUBSTITUTE(Y1542,"|}","--"),"{|","--"),CHAR(10),""),"、",""),"|",""))+IF(AND(OR(J1542="EI",J1542="EO",J1542="EQ"),$AE$1="NESMA"),2,1)))</f>
        <v/>
      </c>
      <c r="P1542" s="86">
        <f>IF(J1542="EI",IF(OR(Y1542="估算法",Y1542="算法类"),"中",IF(Y1542="无法识别","低",IF(M1542&lt;2,IF(O1542&lt;16,"低","中"),IF(M1542&lt;3,IF(O1542&lt;5,"低",IF(O1542&lt;16,"中","高")),IF(O1542&lt;5,"中","高"))))),IF(OR(J1542="EO",J1542="EQ"),IF(OR(Y1542="估算法",Y1542="算法类"),"中",IF(Y1542="无法识别","低",IF(M1542&lt;2,IF(O1542&lt;20,"低","中"),IF(M1542&lt;4,IF(O1542&lt;6,"低",IF(O1542&lt;20,"中","高")),IF(O1542&lt;6,"中","高"))))),IF(OR(J1542="ILF",J1542="EIF"),IF(OR(Y1542="估算法",Y1542="算法类",Y1542="无法识别"),"低",IF(N1542&lt;2,IF(O1542&lt;51,"低","中"),IF(N1542&lt;6,IF(O1542&lt;20,"低",IF(O1542&lt;51,"中","高")),IF(O1542&lt;20,"中","高")))),"不计算")))</f>
        <v/>
      </c>
      <c r="Q1542" s="172">
        <f>IFERROR(IF(J1542="EI",IF(P1542="低",3,IF(P1542="中",4,6)),IF(J1542="EO",IF(P1542="低",4,IF(P1542="中",5,7)),IF(J1542="EQ",IF(P1542="低",3,IF(P1542="中",4,6)),IF(J1542="ILF",IF(P1542="低",7,IF(P1542="中",10,15)),IF(J1542="EIF",IF(P1542="低",5,IF(P1542="中",7,10)),"不计算")))))*R1542,"不计算")</f>
        <v/>
      </c>
      <c r="R1542" s="172" t="n">
        <v>1</v>
      </c>
      <c r="S1542" s="173">
        <f>调整因子!$F$13</f>
        <v/>
      </c>
      <c r="T1542" s="92" t="n">
        <v>1</v>
      </c>
      <c r="U1542" s="174">
        <f>IFERROR(Q1542*S1542,0)</f>
        <v/>
      </c>
      <c r="V1542" s="178">
        <f>U1542*T1542</f>
        <v/>
      </c>
      <c r="W1542" s="103" t="inlineStr">
        <is>
          <t>扫描策略模板表</t>
        </is>
      </c>
      <c r="X1542" s="103" t="inlineStr"/>
      <c r="Y1542" s="97" t="inlineStr">
        <is>
          <t>扫描策略模板表{任务ID、任务名称、任务状态、扫描器类型、开始时间、结束时间、扫描结果|任务ID、任务名称、任务状态}</t>
        </is>
      </c>
      <c r="Z1542" s="90" t="n"/>
      <c r="AA1542" s="90" t="n"/>
    </row>
    <row r="1543" s="112">
      <c r="A1543" s="72">
        <f>ROW()-1</f>
        <v/>
      </c>
      <c r="B1543" s="175" t="n"/>
      <c r="C1543" s="124" t="n">
        <v>2026</v>
      </c>
      <c r="E1543" s="103" t="n"/>
      <c r="F1543" s="175" t="n"/>
      <c r="G1543" s="175" t="n"/>
      <c r="H1543" s="175" t="n"/>
      <c r="I1543" s="103" t="inlineStr">
        <is>
          <t>停用推送策略</t>
        </is>
      </c>
      <c r="J1543" s="93" t="n"/>
      <c r="K1543" s="102" t="n"/>
      <c r="L1543" s="102" t="inlineStr">
        <is>
          <t>和上行合并，启停为相同功能</t>
        </is>
      </c>
      <c r="M1543" s="85">
        <f>IF(OR(Y1543="估算法",Y1543="算法类",Y1543="无法识别"),"",IF(W1543="",IF(OR(J1543="EI",J1543="EO",J1543="EQ"),0,""),LEN(W1543)-LEN(SUBSTITUTE(W1543,"、",""))+1))</f>
        <v/>
      </c>
      <c r="N1543" s="85">
        <f>IF(OR(Y1543="估算法",Y1543="算法类",Y1543="无法识别"),"",IF(X1543="",IF(OR(J1543="ILF",J1543="EIF"),0,""),LEN(X1543)-LEN(SUBSTITUTE(X1543,"、",""))+1))</f>
        <v/>
      </c>
      <c r="O1543" s="85">
        <f>IF(OR(Y1543="估算法",Y1543="算法类",Y1543="无法识别"),"",IF(Y1543="",IF(OR(J1543="ILF",J1543="EIF",J1543="EI",J1543="EO",J1543="EQ"),0,""),LEN(Y1543)-LEN(SUBSTITUTE(SUBSTITUTE(SUBSTITUTE(SUBSTITUTE(SUBSTITUTE(Y1543,"|}","--"),"{|","--"),CHAR(10),""),"、",""),"|",""))+IF(AND(OR(J1543="EI",J1543="EO",J1543="EQ"),$AE$1="NESMA"),2,1)))</f>
        <v/>
      </c>
      <c r="P1543" s="86">
        <f>IF(J1543="EI",IF(OR(Y1543="估算法",Y1543="算法类"),"中",IF(Y1543="无法识别","低",IF(M1543&lt;2,IF(O1543&lt;16,"低","中"),IF(M1543&lt;3,IF(O1543&lt;5,"低",IF(O1543&lt;16,"中","高")),IF(O1543&lt;5,"中","高"))))),IF(OR(J1543="EO",J1543="EQ"),IF(OR(Y1543="估算法",Y1543="算法类"),"中",IF(Y1543="无法识别","低",IF(M1543&lt;2,IF(O1543&lt;20,"低","中"),IF(M1543&lt;4,IF(O1543&lt;6,"低",IF(O1543&lt;20,"中","高")),IF(O1543&lt;6,"中","高"))))),IF(OR(J1543="ILF",J1543="EIF"),IF(OR(Y1543="估算法",Y1543="算法类",Y1543="无法识别"),"低",IF(N1543&lt;2,IF(O1543&lt;51,"低","中"),IF(N1543&lt;6,IF(O1543&lt;20,"低",IF(O1543&lt;51,"中","高")),IF(O1543&lt;20,"中","高")))),"不计算")))</f>
        <v/>
      </c>
      <c r="Q1543" s="172">
        <f>IFERROR(IF(J1543="EI",IF(P1543="低",3,IF(P1543="中",4,6)),IF(J1543="EO",IF(P1543="低",4,IF(P1543="中",5,7)),IF(J1543="EQ",IF(P1543="低",3,IF(P1543="中",4,6)),IF(J1543="ILF",IF(P1543="低",7,IF(P1543="中",10,15)),IF(J1543="EIF",IF(P1543="低",5,IF(P1543="中",7,10)),"不计算")))))*R1543,"不计算")</f>
        <v/>
      </c>
      <c r="R1543" s="172" t="n">
        <v>1</v>
      </c>
      <c r="S1543" s="173">
        <f>调整因子!$F$13</f>
        <v/>
      </c>
      <c r="T1543" s="92" t="n">
        <v>1</v>
      </c>
      <c r="U1543" s="174">
        <f>IFERROR(Q1543*S1543,0)</f>
        <v/>
      </c>
      <c r="V1543" s="178">
        <f>U1543*T1543</f>
        <v/>
      </c>
      <c r="W1543" s="103" t="inlineStr">
        <is>
          <t>扫描策略模板表、提醒策略配置表</t>
        </is>
      </c>
      <c r="X1543" s="103" t="inlineStr"/>
      <c r="Y1543" s="97" t="inlineStr">
        <is>
          <t>扫描策略模板表{任务ID、任务名称、任务状态、扫描器类型、开始时间、结束时间、扫描结果|任务ID、任务名称、任务状态}
提醒策略配置表{配置ID、配置名称、配置类型、配置值、创建时间|配置ID、配置名称、配置类型}</t>
        </is>
      </c>
      <c r="Z1543" s="90" t="n"/>
      <c r="AA1543" s="90" t="n"/>
    </row>
    <row r="1544" s="112">
      <c r="A1544" s="72">
        <f>ROW()-1</f>
        <v/>
      </c>
      <c r="B1544" s="175" t="n"/>
      <c r="C1544" s="124" t="n">
        <v>2026</v>
      </c>
      <c r="E1544" s="103" t="n"/>
      <c r="F1544" s="175" t="n"/>
      <c r="G1544" s="175" t="n"/>
      <c r="H1544" s="175" t="n"/>
      <c r="I1544" s="103" t="inlineStr">
        <is>
          <t>配置推送对象</t>
        </is>
      </c>
      <c r="J1544" s="93" t="inlineStr">
        <is>
          <t>EI</t>
        </is>
      </c>
      <c r="K1544" s="102" t="n"/>
      <c r="L1544" s="102" t="n"/>
      <c r="M1544" s="85">
        <f>IF(OR(Y1544="估算法",Y1544="算法类",Y1544="无法识别"),"",IF(W1544="",IF(OR(J1544="EI",J1544="EO",J1544="EQ"),0,""),LEN(W1544)-LEN(SUBSTITUTE(W1544,"、",""))+1))</f>
        <v/>
      </c>
      <c r="N1544" s="85">
        <f>IF(OR(Y1544="估算法",Y1544="算法类",Y1544="无法识别"),"",IF(X1544="",IF(OR(J1544="ILF",J1544="EIF"),0,""),LEN(X1544)-LEN(SUBSTITUTE(X1544,"、",""))+1))</f>
        <v/>
      </c>
      <c r="O1544" s="85">
        <f>IF(OR(Y1544="估算法",Y1544="算法类",Y1544="无法识别"),"",IF(Y1544="",IF(OR(J1544="ILF",J1544="EIF",J1544="EI",J1544="EO",J1544="EQ"),0,""),LEN(Y1544)-LEN(SUBSTITUTE(SUBSTITUTE(SUBSTITUTE(SUBSTITUTE(SUBSTITUTE(Y1544,"|}","--"),"{|","--"),CHAR(10),""),"、",""),"|",""))+IF(AND(OR(J1544="EI",J1544="EO",J1544="EQ"),$AE$1="NESMA"),2,1)))</f>
        <v/>
      </c>
      <c r="P1544" s="86">
        <f>IF(J1544="EI",IF(OR(Y1544="估算法",Y1544="算法类"),"中",IF(Y1544="无法识别","低",IF(M1544&lt;2,IF(O1544&lt;16,"低","中"),IF(M1544&lt;3,IF(O1544&lt;5,"低",IF(O1544&lt;16,"中","高")),IF(O1544&lt;5,"中","高"))))),IF(OR(J1544="EO",J1544="EQ"),IF(OR(Y1544="估算法",Y1544="算法类"),"中",IF(Y1544="无法识别","低",IF(M1544&lt;2,IF(O1544&lt;20,"低","中"),IF(M1544&lt;4,IF(O1544&lt;6,"低",IF(O1544&lt;20,"中","高")),IF(O1544&lt;6,"中","高"))))),IF(OR(J1544="ILF",J1544="EIF"),IF(OR(Y1544="估算法",Y1544="算法类",Y1544="无法识别"),"低",IF(N1544&lt;2,IF(O1544&lt;51,"低","中"),IF(N1544&lt;6,IF(O1544&lt;20,"低",IF(O1544&lt;51,"中","高")),IF(O1544&lt;20,"中","高")))),"不计算")))</f>
        <v/>
      </c>
      <c r="Q1544" s="172">
        <f>IFERROR(IF(J1544="EI",IF(P1544="低",3,IF(P1544="中",4,6)),IF(J1544="EO",IF(P1544="低",4,IF(P1544="中",5,7)),IF(J1544="EQ",IF(P1544="低",3,IF(P1544="中",4,6)),IF(J1544="ILF",IF(P1544="低",7,IF(P1544="中",10,15)),IF(J1544="EIF",IF(P1544="低",5,IF(P1544="中",7,10)),"不计算")))))*R1544,"不计算")</f>
        <v/>
      </c>
      <c r="R1544" s="172" t="n">
        <v>1</v>
      </c>
      <c r="S1544" s="173">
        <f>调整因子!$F$13</f>
        <v/>
      </c>
      <c r="T1544" s="93" t="n">
        <v>1</v>
      </c>
      <c r="U1544" s="174">
        <f>IFERROR(Q1544*S1544,0)</f>
        <v/>
      </c>
      <c r="V1544" s="178">
        <f>U1544*T1544</f>
        <v/>
      </c>
      <c r="W1544" s="103" t="inlineStr">
        <is>
          <t>任务优先级配置表、模板参数配置表</t>
        </is>
      </c>
      <c r="X1544" s="103" t="inlineStr"/>
      <c r="Y1544" s="97" t="inlineStr">
        <is>
          <t>任务优先级配置表{任务ID、任务名称、任务类型、任务状态、创建时间、执行时间|任务ID、任务名称、任务类型}
模板参数配置表{配置ID、配置名称、配置类型、配置值、创建时间|配置ID、配置名称、配置类型}</t>
        </is>
      </c>
      <c r="Z1544" s="90" t="n"/>
      <c r="AA1544" s="90" t="n"/>
    </row>
    <row r="1545" s="112">
      <c r="A1545" s="72">
        <f>ROW()-1</f>
        <v/>
      </c>
      <c r="B1545" s="175" t="n"/>
      <c r="C1545" s="124" t="n">
        <v>2026</v>
      </c>
      <c r="E1545" s="103" t="n"/>
      <c r="F1545" s="175" t="n"/>
      <c r="G1545" s="175" t="n"/>
      <c r="H1545" s="175" t="n"/>
      <c r="I1545" s="103" t="inlineStr">
        <is>
          <t>创建推送任务</t>
        </is>
      </c>
      <c r="J1545" s="93" t="inlineStr">
        <is>
          <t>EI</t>
        </is>
      </c>
      <c r="K1545" s="102" t="n"/>
      <c r="L1545" s="102" t="n"/>
      <c r="M1545" s="85">
        <f>IF(OR(Y1545="估算法",Y1545="算法类",Y1545="无法识别"),"",IF(W1545="",IF(OR(J1545="EI",J1545="EO",J1545="EQ"),0,""),LEN(W1545)-LEN(SUBSTITUTE(W1545,"、",""))+1))</f>
        <v/>
      </c>
      <c r="N1545" s="85">
        <f>IF(OR(Y1545="估算法",Y1545="算法类",Y1545="无法识别"),"",IF(X1545="",IF(OR(J1545="ILF",J1545="EIF"),0,""),LEN(X1545)-LEN(SUBSTITUTE(X1545,"、",""))+1))</f>
        <v/>
      </c>
      <c r="O1545" s="85">
        <f>IF(OR(Y1545="估算法",Y1545="算法类",Y1545="无法识别"),"",IF(Y1545="",IF(OR(J1545="ILF",J1545="EIF",J1545="EI",J1545="EO",J1545="EQ"),0,""),LEN(Y1545)-LEN(SUBSTITUTE(SUBSTITUTE(SUBSTITUTE(SUBSTITUTE(SUBSTITUTE(Y1545,"|}","--"),"{|","--"),CHAR(10),""),"、",""),"|",""))+IF(AND(OR(J1545="EI",J1545="EO",J1545="EQ"),$AE$1="NESMA"),2,1)))</f>
        <v/>
      </c>
      <c r="P1545" s="86">
        <f>IF(J1545="EI",IF(OR(Y1545="估算法",Y1545="算法类"),"中",IF(Y1545="无法识别","低",IF(M1545&lt;2,IF(O1545&lt;16,"低","中"),IF(M1545&lt;3,IF(O1545&lt;5,"低",IF(O1545&lt;16,"中","高")),IF(O1545&lt;5,"中","高"))))),IF(OR(J1545="EO",J1545="EQ"),IF(OR(Y1545="估算法",Y1545="算法类"),"中",IF(Y1545="无法识别","低",IF(M1545&lt;2,IF(O1545&lt;20,"低","中"),IF(M1545&lt;4,IF(O1545&lt;6,"低",IF(O1545&lt;20,"中","高")),IF(O1545&lt;6,"中","高"))))),IF(OR(J1545="ILF",J1545="EIF"),IF(OR(Y1545="估算法",Y1545="算法类",Y1545="无法识别"),"低",IF(N1545&lt;2,IF(O1545&lt;51,"低","中"),IF(N1545&lt;6,IF(O1545&lt;20,"低",IF(O1545&lt;51,"中","高")),IF(O1545&lt;20,"中","高")))),"不计算")))</f>
        <v/>
      </c>
      <c r="Q1545" s="172">
        <f>IFERROR(IF(J1545="EI",IF(P1545="低",3,IF(P1545="中",4,6)),IF(J1545="EO",IF(P1545="低",4,IF(P1545="中",5,7)),IF(J1545="EQ",IF(P1545="低",3,IF(P1545="中",4,6)),IF(J1545="ILF",IF(P1545="低",7,IF(P1545="中",10,15)),IF(J1545="EIF",IF(P1545="低",5,IF(P1545="中",7,10)),"不计算")))))*R1545,"不计算")</f>
        <v/>
      </c>
      <c r="R1545" s="172" t="n">
        <v>1</v>
      </c>
      <c r="S1545" s="173">
        <f>调整因子!$F$13</f>
        <v/>
      </c>
      <c r="T1545" s="93" t="n">
        <v>1</v>
      </c>
      <c r="U1545" s="174">
        <f>IFERROR(Q1545*S1545,0)</f>
        <v/>
      </c>
      <c r="V1545" s="178">
        <f>U1545*T1545</f>
        <v/>
      </c>
      <c r="W1545" s="103" t="inlineStr">
        <is>
          <t>数据清洗任务表、资产同步任务表</t>
        </is>
      </c>
      <c r="X1545" s="103" t="inlineStr"/>
      <c r="Y1545" s="97" t="inlineStr">
        <is>
          <t>数据清洗任务表{任务ID、任务名称、任务类型、任务状态、创建时间、执行时间|任务ID、任务名称、任务类型}
资产同步任务表{资产ID、资产名称、IP地址、资产类型、资产状态、创建时间、更新时间|资产ID、资产名称、IP地址}</t>
        </is>
      </c>
      <c r="Z1545" s="90" t="n"/>
      <c r="AA1545" s="90" t="n"/>
    </row>
    <row r="1546" s="112">
      <c r="A1546" s="72">
        <f>ROW()-1</f>
        <v/>
      </c>
      <c r="B1546" s="175" t="n"/>
      <c r="C1546" s="124" t="n">
        <v>2026</v>
      </c>
      <c r="E1546" s="103" t="n"/>
      <c r="F1546" s="175" t="n"/>
      <c r="G1546" s="175" t="n"/>
      <c r="H1546" s="175" t="n"/>
      <c r="I1546" s="103" t="inlineStr">
        <is>
          <t>启动推送任务</t>
        </is>
      </c>
      <c r="J1546" s="93" t="inlineStr">
        <is>
          <t>EI</t>
        </is>
      </c>
      <c r="K1546" s="102" t="n"/>
      <c r="L1546" s="102" t="n"/>
      <c r="M1546" s="85">
        <f>IF(OR(Y1546="估算法",Y1546="算法类",Y1546="无法识别"),"",IF(W1546="",IF(OR(J1546="EI",J1546="EO",J1546="EQ"),0,""),LEN(W1546)-LEN(SUBSTITUTE(W1546,"、",""))+1))</f>
        <v/>
      </c>
      <c r="N1546" s="85">
        <f>IF(OR(Y1546="估算法",Y1546="算法类",Y1546="无法识别"),"",IF(X1546="",IF(OR(J1546="ILF",J1546="EIF"),0,""),LEN(X1546)-LEN(SUBSTITUTE(X1546,"、",""))+1))</f>
        <v/>
      </c>
      <c r="O1546" s="85">
        <f>IF(OR(Y1546="估算法",Y1546="算法类",Y1546="无法识别"),"",IF(Y1546="",IF(OR(J1546="ILF",J1546="EIF",J1546="EI",J1546="EO",J1546="EQ"),0,""),LEN(Y1546)-LEN(SUBSTITUTE(SUBSTITUTE(SUBSTITUTE(SUBSTITUTE(SUBSTITUTE(Y1546,"|}","--"),"{|","--"),CHAR(10),""),"、",""),"|",""))+IF(AND(OR(J1546="EI",J1546="EO",J1546="EQ"),$AE$1="NESMA"),2,1)))</f>
        <v/>
      </c>
      <c r="P1546" s="86">
        <f>IF(J1546="EI",IF(OR(Y1546="估算法",Y1546="算法类"),"中",IF(Y1546="无法识别","低",IF(M1546&lt;2,IF(O1546&lt;16,"低","中"),IF(M1546&lt;3,IF(O1546&lt;5,"低",IF(O1546&lt;16,"中","高")),IF(O1546&lt;5,"中","高"))))),IF(OR(J1546="EO",J1546="EQ"),IF(OR(Y1546="估算法",Y1546="算法类"),"中",IF(Y1546="无法识别","低",IF(M1546&lt;2,IF(O1546&lt;20,"低","中"),IF(M1546&lt;4,IF(O1546&lt;6,"低",IF(O1546&lt;20,"中","高")),IF(O1546&lt;6,"中","高"))))),IF(OR(J1546="ILF",J1546="EIF"),IF(OR(Y1546="估算法",Y1546="算法类",Y1546="无法识别"),"低",IF(N1546&lt;2,IF(O1546&lt;51,"低","中"),IF(N1546&lt;6,IF(O1546&lt;20,"低",IF(O1546&lt;51,"中","高")),IF(O1546&lt;20,"中","高")))),"不计算")))</f>
        <v/>
      </c>
      <c r="Q1546" s="172">
        <f>IFERROR(IF(J1546="EI",IF(P1546="低",3,IF(P1546="中",4,6)),IF(J1546="EO",IF(P1546="低",4,IF(P1546="中",5,7)),IF(J1546="EQ",IF(P1546="低",3,IF(P1546="中",4,6)),IF(J1546="ILF",IF(P1546="低",7,IF(P1546="中",10,15)),IF(J1546="EIF",IF(P1546="低",5,IF(P1546="中",7,10)),"不计算")))))*R1546,"不计算")</f>
        <v/>
      </c>
      <c r="R1546" s="172" t="n">
        <v>1</v>
      </c>
      <c r="S1546" s="173">
        <f>调整因子!$F$13</f>
        <v/>
      </c>
      <c r="T1546" s="92" t="n">
        <v>1</v>
      </c>
      <c r="U1546" s="174">
        <f>IFERROR(Q1546*S1546,0)</f>
        <v/>
      </c>
      <c r="V1546" s="178">
        <f>U1546*T1546</f>
        <v/>
      </c>
      <c r="W1546" s="103" t="inlineStr">
        <is>
          <t>数据清洗任务表</t>
        </is>
      </c>
      <c r="X1546" s="103" t="inlineStr"/>
      <c r="Y1546" s="97" t="inlineStr">
        <is>
          <t>数据清洗任务表{任务ID、任务名称、任务类型、任务状态、创建时间、执行时间|任务ID、任务名称、任务类型}</t>
        </is>
      </c>
      <c r="Z1546" s="90" t="n"/>
      <c r="AA1546" s="90" t="n"/>
    </row>
    <row r="1547" s="112">
      <c r="A1547" s="72">
        <f>ROW()-1</f>
        <v/>
      </c>
      <c r="B1547" s="175" t="n"/>
      <c r="C1547" s="124" t="n">
        <v>2026</v>
      </c>
      <c r="E1547" s="103" t="n"/>
      <c r="F1547" s="175" t="n"/>
      <c r="G1547" s="175" t="n"/>
      <c r="H1547" s="175" t="n"/>
      <c r="I1547" s="103" t="inlineStr">
        <is>
          <t>停止推送任务</t>
        </is>
      </c>
      <c r="J1547" s="93" t="n"/>
      <c r="K1547" s="102" t="n"/>
      <c r="L1547" s="102" t="inlineStr">
        <is>
          <t>和上行合并，启停为相同功能</t>
        </is>
      </c>
      <c r="M1547" s="85">
        <f>IF(OR(Y1547="估算法",Y1547="算法类",Y1547="无法识别"),"",IF(W1547="",IF(OR(J1547="EI",J1547="EO",J1547="EQ"),0,""),LEN(W1547)-LEN(SUBSTITUTE(W1547,"、",""))+1))</f>
        <v/>
      </c>
      <c r="N1547" s="85">
        <f>IF(OR(Y1547="估算法",Y1547="算法类",Y1547="无法识别"),"",IF(X1547="",IF(OR(J1547="ILF",J1547="EIF"),0,""),LEN(X1547)-LEN(SUBSTITUTE(X1547,"、",""))+1))</f>
        <v/>
      </c>
      <c r="O1547" s="85">
        <f>IF(OR(Y1547="估算法",Y1547="算法类",Y1547="无法识别"),"",IF(Y1547="",IF(OR(J1547="ILF",J1547="EIF",J1547="EI",J1547="EO",J1547="EQ"),0,""),LEN(Y1547)-LEN(SUBSTITUTE(SUBSTITUTE(SUBSTITUTE(SUBSTITUTE(SUBSTITUTE(Y1547,"|}","--"),"{|","--"),CHAR(10),""),"、",""),"|",""))+IF(AND(OR(J1547="EI",J1547="EO",J1547="EQ"),$AE$1="NESMA"),2,1)))</f>
        <v/>
      </c>
      <c r="P1547" s="86">
        <f>IF(J1547="EI",IF(OR(Y1547="估算法",Y1547="算法类"),"中",IF(Y1547="无法识别","低",IF(M1547&lt;2,IF(O1547&lt;16,"低","中"),IF(M1547&lt;3,IF(O1547&lt;5,"低",IF(O1547&lt;16,"中","高")),IF(O1547&lt;5,"中","高"))))),IF(OR(J1547="EO",J1547="EQ"),IF(OR(Y1547="估算法",Y1547="算法类"),"中",IF(Y1547="无法识别","低",IF(M1547&lt;2,IF(O1547&lt;20,"低","中"),IF(M1547&lt;4,IF(O1547&lt;6,"低",IF(O1547&lt;20,"中","高")),IF(O1547&lt;6,"中","高"))))),IF(OR(J1547="ILF",J1547="EIF"),IF(OR(Y1547="估算法",Y1547="算法类",Y1547="无法识别"),"低",IF(N1547&lt;2,IF(O1547&lt;51,"低","中"),IF(N1547&lt;6,IF(O1547&lt;20,"低",IF(O1547&lt;51,"中","高")),IF(O1547&lt;20,"中","高")))),"不计算")))</f>
        <v/>
      </c>
      <c r="Q1547" s="172">
        <f>IFERROR(IF(J1547="EI",IF(P1547="低",3,IF(P1547="中",4,6)),IF(J1547="EO",IF(P1547="低",4,IF(P1547="中",5,7)),IF(J1547="EQ",IF(P1547="低",3,IF(P1547="中",4,6)),IF(J1547="ILF",IF(P1547="低",7,IF(P1547="中",10,15)),IF(J1547="EIF",IF(P1547="低",5,IF(P1547="中",7,10)),"不计算")))))*R1547,"不计算")</f>
        <v/>
      </c>
      <c r="R1547" s="172" t="n">
        <v>1</v>
      </c>
      <c r="S1547" s="173">
        <f>调整因子!$F$13</f>
        <v/>
      </c>
      <c r="T1547" s="92" t="n">
        <v>1</v>
      </c>
      <c r="U1547" s="174">
        <f>IFERROR(Q1547*S1547,0)</f>
        <v/>
      </c>
      <c r="V1547" s="178">
        <f>U1547*T1547</f>
        <v/>
      </c>
      <c r="W1547" s="103" t="inlineStr">
        <is>
          <t>数据清洗任务表</t>
        </is>
      </c>
      <c r="X1547" s="103" t="inlineStr"/>
      <c r="Y1547" s="97" t="inlineStr">
        <is>
          <t>数据清洗任务表{任务ID、任务名称、任务类型、任务状态、创建时间、执行时间|任务ID、任务名称、任务类型}</t>
        </is>
      </c>
      <c r="Z1547" s="90" t="n"/>
      <c r="AA1547" s="90" t="n"/>
    </row>
    <row r="1548" s="112">
      <c r="A1548" s="72">
        <f>ROW()-1</f>
        <v/>
      </c>
      <c r="B1548" s="175" t="n"/>
      <c r="C1548" s="124" t="n">
        <v>2026</v>
      </c>
      <c r="E1548" s="103" t="n"/>
      <c r="F1548" s="175" t="n"/>
      <c r="G1548" s="175" t="n"/>
      <c r="H1548" s="175" t="n"/>
      <c r="I1548" s="103" t="inlineStr">
        <is>
          <t>导出推送配置</t>
        </is>
      </c>
      <c r="J1548" s="93" t="inlineStr">
        <is>
          <t>EO</t>
        </is>
      </c>
      <c r="K1548" s="102" t="n"/>
      <c r="L1548" s="102" t="n"/>
      <c r="M1548" s="85">
        <f>IF(OR(Y1548="估算法",Y1548="算法类",Y1548="无法识别"),"",IF(W1548="",IF(OR(J1548="EI",J1548="EO",J1548="EQ"),0,""),LEN(W1548)-LEN(SUBSTITUTE(W1548,"、",""))+1))</f>
        <v/>
      </c>
      <c r="N1548" s="85">
        <f>IF(OR(Y1548="估算法",Y1548="算法类",Y1548="无法识别"),"",IF(X1548="",IF(OR(J1548="ILF",J1548="EIF"),0,""),LEN(X1548)-LEN(SUBSTITUTE(X1548,"、",""))+1))</f>
        <v/>
      </c>
      <c r="O1548" s="85">
        <f>IF(OR(Y1548="估算法",Y1548="算法类",Y1548="无法识别"),"",IF(Y1548="",IF(OR(J1548="ILF",J1548="EIF",J1548="EI",J1548="EO",J1548="EQ"),0,""),LEN(Y1548)-LEN(SUBSTITUTE(SUBSTITUTE(SUBSTITUTE(SUBSTITUTE(SUBSTITUTE(Y1548,"|}","--"),"{|","--"),CHAR(10),""),"、",""),"|",""))+IF(AND(OR(J1548="EI",J1548="EO",J1548="EQ"),$AE$1="NESMA"),2,1)))</f>
        <v/>
      </c>
      <c r="P1548" s="86">
        <f>IF(J1548="EI",IF(OR(Y1548="估算法",Y1548="算法类"),"中",IF(Y1548="无法识别","低",IF(M1548&lt;2,IF(O1548&lt;16,"低","中"),IF(M1548&lt;3,IF(O1548&lt;5,"低",IF(O1548&lt;16,"中","高")),IF(O1548&lt;5,"中","高"))))),IF(OR(J1548="EO",J1548="EQ"),IF(OR(Y1548="估算法",Y1548="算法类"),"中",IF(Y1548="无法识别","低",IF(M1548&lt;2,IF(O1548&lt;20,"低","中"),IF(M1548&lt;4,IF(O1548&lt;6,"低",IF(O1548&lt;20,"中","高")),IF(O1548&lt;6,"中","高"))))),IF(OR(J1548="ILF",J1548="EIF"),IF(OR(Y1548="估算法",Y1548="算法类",Y1548="无法识别"),"低",IF(N1548&lt;2,IF(O1548&lt;51,"低","中"),IF(N1548&lt;6,IF(O1548&lt;20,"低",IF(O1548&lt;51,"中","高")),IF(O1548&lt;20,"中","高")))),"不计算")))</f>
        <v/>
      </c>
      <c r="Q1548" s="172">
        <f>IFERROR(IF(J1548="EI",IF(P1548="低",3,IF(P1548="中",4,6)),IF(J1548="EO",IF(P1548="低",4,IF(P1548="中",5,7)),IF(J1548="EQ",IF(P1548="低",3,IF(P1548="中",4,6)),IF(J1548="ILF",IF(P1548="低",7,IF(P1548="中",10,15)),IF(J1548="EIF",IF(P1548="低",5,IF(P1548="中",7,10)),"不计算")))))*R1548,"不计算")</f>
        <v/>
      </c>
      <c r="R1548" s="172" t="n">
        <v>1</v>
      </c>
      <c r="S1548" s="173">
        <f>调整因子!$F$13</f>
        <v/>
      </c>
      <c r="T1548" s="93" t="n">
        <v>1</v>
      </c>
      <c r="U1548" s="174">
        <f>IFERROR(Q1548*S1548,0)</f>
        <v/>
      </c>
      <c r="V1548" s="178">
        <f>U1548*T1548</f>
        <v/>
      </c>
      <c r="W1548" s="103" t="inlineStr">
        <is>
          <t>任务优先级配置表</t>
        </is>
      </c>
      <c r="X1548" s="103" t="inlineStr"/>
      <c r="Y1548" s="97" t="inlineStr">
        <is>
          <t>任务优先级配置表{任务ID、任务名称|任务ID、任务名称、任务类型、任务状态、创建时间、执行时间}</t>
        </is>
      </c>
      <c r="Z1548" s="90" t="n"/>
      <c r="AA1548" s="90" t="n"/>
    </row>
    <row r="1549" s="112">
      <c r="A1549" s="72">
        <f>ROW()-1</f>
        <v/>
      </c>
      <c r="B1549" s="175" t="n"/>
      <c r="C1549" s="124" t="n">
        <v>2026</v>
      </c>
      <c r="E1549" s="103" t="n"/>
      <c r="F1549" s="175" t="n"/>
      <c r="G1549" s="175" t="n"/>
      <c r="H1549" s="175" t="n"/>
      <c r="I1549" s="103" t="inlineStr">
        <is>
          <t>查询推送列表</t>
        </is>
      </c>
      <c r="J1549" s="93" t="inlineStr">
        <is>
          <t>EO</t>
        </is>
      </c>
      <c r="K1549" s="102" t="n"/>
      <c r="L1549" s="102" t="n"/>
      <c r="M1549" s="85">
        <f>IF(OR(Y1549="估算法",Y1549="算法类",Y1549="无法识别"),"",IF(W1549="",IF(OR(J1549="EI",J1549="EO",J1549="EQ"),0,""),LEN(W1549)-LEN(SUBSTITUTE(W1549,"、",""))+1))</f>
        <v/>
      </c>
      <c r="N1549" s="85">
        <f>IF(OR(Y1549="估算法",Y1549="算法类",Y1549="无法识别"),"",IF(X1549="",IF(OR(J1549="ILF",J1549="EIF"),0,""),LEN(X1549)-LEN(SUBSTITUTE(X1549,"、",""))+1))</f>
        <v/>
      </c>
      <c r="O1549" s="85">
        <f>IF(OR(Y1549="估算法",Y1549="算法类",Y1549="无法识别"),"",IF(Y1549="",IF(OR(J1549="ILF",J1549="EIF",J1549="EI",J1549="EO",J1549="EQ"),0,""),LEN(Y1549)-LEN(SUBSTITUTE(SUBSTITUTE(SUBSTITUTE(SUBSTITUTE(SUBSTITUTE(Y1549,"|}","--"),"{|","--"),CHAR(10),""),"、",""),"|",""))+IF(AND(OR(J1549="EI",J1549="EO",J1549="EQ"),$AE$1="NESMA"),2,1)))</f>
        <v/>
      </c>
      <c r="P1549" s="86">
        <f>IF(J1549="EI",IF(OR(Y1549="估算法",Y1549="算法类"),"中",IF(Y1549="无法识别","低",IF(M1549&lt;2,IF(O1549&lt;16,"低","中"),IF(M1549&lt;3,IF(O1549&lt;5,"低",IF(O1549&lt;16,"中","高")),IF(O1549&lt;5,"中","高"))))),IF(OR(J1549="EO",J1549="EQ"),IF(OR(Y1549="估算法",Y1549="算法类"),"中",IF(Y1549="无法识别","低",IF(M1549&lt;2,IF(O1549&lt;20,"低","中"),IF(M1549&lt;4,IF(O1549&lt;6,"低",IF(O1549&lt;20,"中","高")),IF(O1549&lt;6,"中","高"))))),IF(OR(J1549="ILF",J1549="EIF"),IF(OR(Y1549="估算法",Y1549="算法类",Y1549="无法识别"),"低",IF(N1549&lt;2,IF(O1549&lt;51,"低","中"),IF(N1549&lt;6,IF(O1549&lt;20,"低",IF(O1549&lt;51,"中","高")),IF(O1549&lt;20,"中","高")))),"不计算")))</f>
        <v/>
      </c>
      <c r="Q1549" s="172">
        <f>IFERROR(IF(J1549="EI",IF(P1549="低",3,IF(P1549="中",4,6)),IF(J1549="EO",IF(P1549="低",4,IF(P1549="中",5,7)),IF(J1549="EQ",IF(P1549="低",3,IF(P1549="中",4,6)),IF(J1549="ILF",IF(P1549="低",7,IF(P1549="中",10,15)),IF(J1549="EIF",IF(P1549="低",5,IF(P1549="中",7,10)),"不计算")))))*R1549,"不计算")</f>
        <v/>
      </c>
      <c r="R1549" s="172" t="n">
        <v>1</v>
      </c>
      <c r="S1549" s="173">
        <f>调整因子!$F$13</f>
        <v/>
      </c>
      <c r="T1549" s="92" t="n">
        <v>1</v>
      </c>
      <c r="U1549" s="174">
        <f>IFERROR(Q1549*S1549,0)</f>
        <v/>
      </c>
      <c r="V1549" s="178">
        <f>U1549*T1549</f>
        <v/>
      </c>
      <c r="W1549" s="103" t="inlineStr">
        <is>
          <t>验证任务表、报表模板表</t>
        </is>
      </c>
      <c r="X1549" s="103" t="inlineStr"/>
      <c r="Y1549" s="97" t="inlineStr">
        <is>
          <t>验证任务表{任务ID、任务名称|任务ID、任务名称、任务类型、任务状态、创建时间、执行时间}
报表模板表{报表ID、报表名称|报表ID、报表名称、报表类型、生成时间、报表内容}</t>
        </is>
      </c>
      <c r="Z1549" s="90" t="n"/>
      <c r="AA1549" s="90" t="n"/>
    </row>
    <row r="1550" s="112">
      <c r="A1550" s="72">
        <f>ROW()-1</f>
        <v/>
      </c>
      <c r="B1550" s="175" t="n"/>
      <c r="C1550" s="124" t="n">
        <v>2026</v>
      </c>
      <c r="E1550" s="103" t="n"/>
      <c r="F1550" s="175" t="n"/>
      <c r="G1550" s="175" t="n"/>
      <c r="H1550" s="176" t="n"/>
      <c r="I1550" s="103" t="inlineStr">
        <is>
          <t>查看推送详情</t>
        </is>
      </c>
      <c r="J1550" s="93" t="inlineStr">
        <is>
          <t>EQ</t>
        </is>
      </c>
      <c r="K1550" s="102" t="n"/>
      <c r="L1550" s="102" t="n"/>
      <c r="M1550" s="85">
        <f>IF(OR(Y1550="估算法",Y1550="算法类",Y1550="无法识别"),"",IF(W1550="",IF(OR(J1550="EI",J1550="EO",J1550="EQ"),0,""),LEN(W1550)-LEN(SUBSTITUTE(W1550,"、",""))+1))</f>
        <v/>
      </c>
      <c r="N1550" s="85">
        <f>IF(OR(Y1550="估算法",Y1550="算法类",Y1550="无法识别"),"",IF(X1550="",IF(OR(J1550="ILF",J1550="EIF"),0,""),LEN(X1550)-LEN(SUBSTITUTE(X1550,"、",""))+1))</f>
        <v/>
      </c>
      <c r="O1550" s="85">
        <f>IF(OR(Y1550="估算法",Y1550="算法类",Y1550="无法识别"),"",IF(Y1550="",IF(OR(J1550="ILF",J1550="EIF",J1550="EI",J1550="EO",J1550="EQ"),0,""),LEN(Y1550)-LEN(SUBSTITUTE(SUBSTITUTE(SUBSTITUTE(SUBSTITUTE(SUBSTITUTE(Y1550,"|}","--"),"{|","--"),CHAR(10),""),"、",""),"|",""))+IF(AND(OR(J1550="EI",J1550="EO",J1550="EQ"),$AE$1="NESMA"),2,1)))</f>
        <v/>
      </c>
      <c r="P1550" s="86">
        <f>IF(J1550="EI",IF(OR(Y1550="估算法",Y1550="算法类"),"中",IF(Y1550="无法识别","低",IF(M1550&lt;2,IF(O1550&lt;16,"低","中"),IF(M1550&lt;3,IF(O1550&lt;5,"低",IF(O1550&lt;16,"中","高")),IF(O1550&lt;5,"中","高"))))),IF(OR(J1550="EO",J1550="EQ"),IF(OR(Y1550="估算法",Y1550="算法类"),"中",IF(Y1550="无法识别","低",IF(M1550&lt;2,IF(O1550&lt;20,"低","中"),IF(M1550&lt;4,IF(O1550&lt;6,"低",IF(O1550&lt;20,"中","高")),IF(O1550&lt;6,"中","高"))))),IF(OR(J1550="ILF",J1550="EIF"),IF(OR(Y1550="估算法",Y1550="算法类",Y1550="无法识别"),"低",IF(N1550&lt;2,IF(O1550&lt;51,"低","中"),IF(N1550&lt;6,IF(O1550&lt;20,"低",IF(O1550&lt;51,"中","高")),IF(O1550&lt;20,"中","高")))),"不计算")))</f>
        <v/>
      </c>
      <c r="Q1550" s="172">
        <f>IFERROR(IF(J1550="EI",IF(P1550="低",3,IF(P1550="中",4,6)),IF(J1550="EO",IF(P1550="低",4,IF(P1550="中",5,7)),IF(J1550="EQ",IF(P1550="低",3,IF(P1550="中",4,6)),IF(J1550="ILF",IF(P1550="低",7,IF(P1550="中",10,15)),IF(J1550="EIF",IF(P1550="低",5,IF(P1550="中",7,10)),"不计算")))))*R1550,"不计算")</f>
        <v/>
      </c>
      <c r="R1550" s="172" t="n">
        <v>1</v>
      </c>
      <c r="S1550" s="173">
        <f>调整因子!$F$13</f>
        <v/>
      </c>
      <c r="T1550" s="92" t="n">
        <v>1</v>
      </c>
      <c r="U1550" s="174">
        <f>IFERROR(Q1550*S1550,0)</f>
        <v/>
      </c>
      <c r="V1550" s="178">
        <f>U1550*T1550</f>
        <v/>
      </c>
      <c r="W1550" s="103" t="inlineStr">
        <is>
          <t>任务趋势分析表、修复步骤表</t>
        </is>
      </c>
      <c r="X1550" s="103" t="inlineStr"/>
      <c r="Y1550" s="97" t="inlineStr">
        <is>
          <t>任务趋势分析表{任务ID、任务名称|任务ID、任务名称、任务类型、任务状态、创建时间、执行时间}
修复步骤表{ID、名称|ID、名称、类型、状态、创建时间、更新时间}</t>
        </is>
      </c>
      <c r="Z1550" s="90" t="n"/>
      <c r="AA1550" s="90" t="n"/>
    </row>
    <row r="1551" s="112">
      <c r="A1551" s="72">
        <f>ROW()-1</f>
        <v/>
      </c>
      <c r="B1551" s="175" t="n"/>
      <c r="C1551" s="124" t="n">
        <v>2026</v>
      </c>
      <c r="E1551" s="103" t="n"/>
      <c r="F1551" s="175" t="n"/>
      <c r="G1551" s="175" t="n"/>
      <c r="H1551" s="97" t="inlineStr">
        <is>
          <t>推送结果管理</t>
        </is>
      </c>
      <c r="I1551" s="103" t="inlineStr">
        <is>
          <t>推送结果表</t>
        </is>
      </c>
      <c r="J1551" s="93" t="inlineStr">
        <is>
          <t>ILF</t>
        </is>
      </c>
      <c r="K1551" s="102" t="n"/>
      <c r="L1551" s="102" t="n"/>
      <c r="M1551" s="85">
        <f>IF(OR(Y1551="估算法",Y1551="算法类",Y1551="无法识别"),"",IF(W1551="",IF(OR(J1551="EI",J1551="EO",J1551="EQ"),0,""),LEN(W1551)-LEN(SUBSTITUTE(W1551,"、",""))+1))</f>
        <v/>
      </c>
      <c r="N1551" s="85">
        <f>IF(OR(Y1551="估算法",Y1551="算法类",Y1551="无法识别"),"",IF(X1551="",IF(OR(J1551="ILF",J1551="EIF"),0,""),LEN(X1551)-LEN(SUBSTITUTE(X1551,"、",""))+1))</f>
        <v/>
      </c>
      <c r="O1551" s="85">
        <f>IF(OR(Y1551="估算法",Y1551="算法类",Y1551="无法识别"),"",IF(Y1551="",IF(OR(J1551="ILF",J1551="EIF",J1551="EI",J1551="EO",J1551="EQ"),0,""),LEN(Y1551)-LEN(SUBSTITUTE(SUBSTITUTE(SUBSTITUTE(SUBSTITUTE(SUBSTITUTE(Y1551,"|}","--"),"{|","--"),CHAR(10),""),"、",""),"|",""))+IF(AND(OR(J1551="EI",J1551="EO",J1551="EQ"),$AE$1="NESMA"),2,1)))</f>
        <v/>
      </c>
      <c r="P1551" s="86">
        <f>IF(J1551="EI",IF(OR(Y1551="估算法",Y1551="算法类"),"中",IF(Y1551="无法识别","低",IF(M1551&lt;2,IF(O1551&lt;16,"低","中"),IF(M1551&lt;3,IF(O1551&lt;5,"低",IF(O1551&lt;16,"中","高")),IF(O1551&lt;5,"中","高"))))),IF(OR(J1551="EO",J1551="EQ"),IF(OR(Y1551="估算法",Y1551="算法类"),"中",IF(Y1551="无法识别","低",IF(M1551&lt;2,IF(O1551&lt;20,"低","中"),IF(M1551&lt;4,IF(O1551&lt;6,"低",IF(O1551&lt;20,"中","高")),IF(O1551&lt;6,"中","高"))))),IF(OR(J1551="ILF",J1551="EIF"),IF(OR(Y1551="估算法",Y1551="算法类",Y1551="无法识别"),"低",IF(N1551&lt;2,IF(O1551&lt;51,"低","中"),IF(N1551&lt;6,IF(O1551&lt;20,"低",IF(O1551&lt;51,"中","高")),IF(O1551&lt;20,"中","高")))),"不计算")))</f>
        <v/>
      </c>
      <c r="Q1551" s="172">
        <f>IFERROR(IF(J1551="EI",IF(P1551="低",3,IF(P1551="中",4,6)),IF(J1551="EO",IF(P1551="低",4,IF(P1551="中",5,7)),IF(J1551="EQ",IF(P1551="低",3,IF(P1551="中",4,6)),IF(J1551="ILF",IF(P1551="低",7,IF(P1551="中",10,15)),IF(J1551="EIF",IF(P1551="低",5,IF(P1551="中",7,10)),"不计算")))))*R1551,"不计算")</f>
        <v/>
      </c>
      <c r="R1551" s="172" t="n">
        <v>1</v>
      </c>
      <c r="S1551" s="173">
        <f>调整因子!$F$13</f>
        <v/>
      </c>
      <c r="T1551" s="93" t="n">
        <v>1</v>
      </c>
      <c r="U1551" s="174">
        <f>IFERROR(Q1551*S1551,0)</f>
        <v/>
      </c>
      <c r="V1551" s="178">
        <f>U1551*T1551</f>
        <v/>
      </c>
      <c r="W1551" s="103" t="inlineStr"/>
      <c r="X1551" s="103" t="inlineStr">
        <is>
          <t>数据记录</t>
        </is>
      </c>
      <c r="Y1551" s="97" t="inlineStr">
        <is>
          <t>推送结果表{ID、名称、类型|ID、名称、类型、状态、创建时间、更新时间}</t>
        </is>
      </c>
      <c r="Z1551" s="90">
        <f>IF(COUNTIFS(W:W,"*"&amp;I1551&amp;"*")&gt;0,"存在","不存在")</f>
        <v/>
      </c>
      <c r="AA1551" s="90">
        <f>IF(COUNTIFS(AB:AB,"*"&amp;I1551&amp;"*")&gt;0,"存在","不存在")</f>
        <v/>
      </c>
    </row>
    <row r="1552" s="112">
      <c r="A1552" s="72">
        <f>ROW()-1</f>
        <v/>
      </c>
      <c r="B1552" s="175" t="n"/>
      <c r="C1552" s="124" t="n">
        <v>2026</v>
      </c>
      <c r="E1552" s="103" t="n"/>
      <c r="F1552" s="175" t="n"/>
      <c r="G1552" s="175" t="n"/>
      <c r="H1552" s="175" t="n"/>
      <c r="I1552" s="103" t="inlineStr">
        <is>
          <t>推送日志表</t>
        </is>
      </c>
      <c r="J1552" s="93" t="n"/>
      <c r="K1552" s="102" t="n"/>
      <c r="L1552" s="102" t="inlineStr">
        <is>
          <t>非ILF - 日志表</t>
        </is>
      </c>
      <c r="M1552" s="85">
        <f>IF(OR(Y1552="估算法",Y1552="算法类",Y1552="无法识别"),"",IF(W1552="",IF(OR(J1552="EI",J1552="EO",J1552="EQ"),0,""),LEN(W1552)-LEN(SUBSTITUTE(W1552,"、",""))+1))</f>
        <v/>
      </c>
      <c r="N1552" s="85">
        <f>IF(OR(Y1552="估算法",Y1552="算法类",Y1552="无法识别"),"",IF(X1552="",IF(OR(J1552="ILF",J1552="EIF"),0,""),LEN(X1552)-LEN(SUBSTITUTE(X1552,"、",""))+1))</f>
        <v/>
      </c>
      <c r="O1552" s="85">
        <f>IF(OR(Y1552="估算法",Y1552="算法类",Y1552="无法识别"),"",IF(Y1552="",IF(OR(J1552="ILF",J1552="EIF",J1552="EI",J1552="EO",J1552="EQ"),0,""),LEN(Y1552)-LEN(SUBSTITUTE(SUBSTITUTE(SUBSTITUTE(SUBSTITUTE(SUBSTITUTE(Y1552,"|}","--"),"{|","--"),CHAR(10),""),"、",""),"|",""))+IF(AND(OR(J1552="EI",J1552="EO",J1552="EQ"),$AE$1="NESMA"),2,1)))</f>
        <v/>
      </c>
      <c r="P1552" s="86">
        <f>IF(J1552="EI",IF(OR(Y1552="估算法",Y1552="算法类"),"中",IF(Y1552="无法识别","低",IF(M1552&lt;2,IF(O1552&lt;16,"低","中"),IF(M1552&lt;3,IF(O1552&lt;5,"低",IF(O1552&lt;16,"中","高")),IF(O1552&lt;5,"中","高"))))),IF(OR(J1552="EO",J1552="EQ"),IF(OR(Y1552="估算法",Y1552="算法类"),"中",IF(Y1552="无法识别","低",IF(M1552&lt;2,IF(O1552&lt;20,"低","中"),IF(M1552&lt;4,IF(O1552&lt;6,"低",IF(O1552&lt;20,"中","高")),IF(O1552&lt;6,"中","高"))))),IF(OR(J1552="ILF",J1552="EIF"),IF(OR(Y1552="估算法",Y1552="算法类",Y1552="无法识别"),"低",IF(N1552&lt;2,IF(O1552&lt;51,"低","中"),IF(N1552&lt;6,IF(O1552&lt;20,"低",IF(O1552&lt;51,"中","高")),IF(O1552&lt;20,"中","高")))),"不计算")))</f>
        <v/>
      </c>
      <c r="Q1552" s="172">
        <f>IFERROR(IF(J1552="EI",IF(P1552="低",3,IF(P1552="中",4,6)),IF(J1552="EO",IF(P1552="低",4,IF(P1552="中",5,7)),IF(J1552="EQ",IF(P1552="低",3,IF(P1552="中",4,6)),IF(J1552="ILF",IF(P1552="低",7,IF(P1552="中",10,15)),IF(J1552="EIF",IF(P1552="低",5,IF(P1552="中",7,10)),"不计算")))))*R1552,"不计算")</f>
        <v/>
      </c>
      <c r="R1552" s="172" t="n">
        <v>1</v>
      </c>
      <c r="S1552" s="173">
        <f>调整因子!$F$13</f>
        <v/>
      </c>
      <c r="T1552" s="93" t="n">
        <v>1</v>
      </c>
      <c r="U1552" s="174">
        <f>IFERROR(Q1552*S1552,0)</f>
        <v/>
      </c>
      <c r="V1552" s="178">
        <f>U1552*T1552</f>
        <v/>
      </c>
      <c r="W1552" s="103" t="inlineStr"/>
      <c r="X1552" s="103" t="inlineStr">
        <is>
          <t>操作日志</t>
        </is>
      </c>
      <c r="Y1552" s="97" t="inlineStr">
        <is>
          <t>推送日志表{日志ID、操作人、操作类型|日志ID、操作人、操作类型、操作时间、操作内容}</t>
        </is>
      </c>
      <c r="Z1552" s="90">
        <f>IF(COUNTIFS(W:W,"*"&amp;I1552&amp;"*")&gt;0,"存在","不存在")</f>
        <v/>
      </c>
      <c r="AA1552" s="90">
        <f>IF(COUNTIFS(AB:AB,"*"&amp;I1552&amp;"*")&gt;0,"存在","不存在")</f>
        <v/>
      </c>
    </row>
    <row r="1553" s="112">
      <c r="A1553" s="72">
        <f>ROW()-1</f>
        <v/>
      </c>
      <c r="B1553" s="175" t="n"/>
      <c r="C1553" s="124" t="n">
        <v>2026</v>
      </c>
      <c r="E1553" s="103" t="n"/>
      <c r="F1553" s="175" t="n"/>
      <c r="G1553" s="175" t="n"/>
      <c r="H1553" s="175" t="n"/>
      <c r="I1553" s="103" t="inlineStr">
        <is>
          <t>推送失败重试表</t>
        </is>
      </c>
      <c r="J1553" s="93" t="inlineStr">
        <is>
          <t>ILF</t>
        </is>
      </c>
      <c r="K1553" s="102" t="n"/>
      <c r="L1553" s="102" t="n"/>
      <c r="M1553" s="85">
        <f>IF(OR(Y1553="估算法",Y1553="算法类",Y1553="无法识别"),"",IF(W1553="",IF(OR(J1553="EI",J1553="EO",J1553="EQ"),0,""),LEN(W1553)-LEN(SUBSTITUTE(W1553,"、",""))+1))</f>
        <v/>
      </c>
      <c r="N1553" s="85">
        <f>IF(OR(Y1553="估算法",Y1553="算法类",Y1553="无法识别"),"",IF(X1553="",IF(OR(J1553="ILF",J1553="EIF"),0,""),LEN(X1553)-LEN(SUBSTITUTE(X1553,"、",""))+1))</f>
        <v/>
      </c>
      <c r="O1553" s="85">
        <f>IF(OR(Y1553="估算法",Y1553="算法类",Y1553="无法识别"),"",IF(Y1553="",IF(OR(J1553="ILF",J1553="EIF",J1553="EI",J1553="EO",J1553="EQ"),0,""),LEN(Y1553)-LEN(SUBSTITUTE(SUBSTITUTE(SUBSTITUTE(SUBSTITUTE(SUBSTITUTE(Y1553,"|}","--"),"{|","--"),CHAR(10),""),"、",""),"|",""))+IF(AND(OR(J1553="EI",J1553="EO",J1553="EQ"),$AE$1="NESMA"),2,1)))</f>
        <v/>
      </c>
      <c r="P1553" s="86">
        <f>IF(J1553="EI",IF(OR(Y1553="估算法",Y1553="算法类"),"中",IF(Y1553="无法识别","低",IF(M1553&lt;2,IF(O1553&lt;16,"低","中"),IF(M1553&lt;3,IF(O1553&lt;5,"低",IF(O1553&lt;16,"中","高")),IF(O1553&lt;5,"中","高"))))),IF(OR(J1553="EO",J1553="EQ"),IF(OR(Y1553="估算法",Y1553="算法类"),"中",IF(Y1553="无法识别","低",IF(M1553&lt;2,IF(O1553&lt;20,"低","中"),IF(M1553&lt;4,IF(O1553&lt;6,"低",IF(O1553&lt;20,"中","高")),IF(O1553&lt;6,"中","高"))))),IF(OR(J1553="ILF",J1553="EIF"),IF(OR(Y1553="估算法",Y1553="算法类",Y1553="无法识别"),"低",IF(N1553&lt;2,IF(O1553&lt;51,"低","中"),IF(N1553&lt;6,IF(O1553&lt;20,"低",IF(O1553&lt;51,"中","高")),IF(O1553&lt;20,"中","高")))),"不计算")))</f>
        <v/>
      </c>
      <c r="Q1553" s="172">
        <f>IFERROR(IF(J1553="EI",IF(P1553="低",3,IF(P1553="中",4,6)),IF(J1553="EO",IF(P1553="低",4,IF(P1553="中",5,7)),IF(J1553="EQ",IF(P1553="低",3,IF(P1553="中",4,6)),IF(J1553="ILF",IF(P1553="低",7,IF(P1553="中",10,15)),IF(J1553="EIF",IF(P1553="低",5,IF(P1553="中",7,10)),"不计算")))))*R1553,"不计算")</f>
        <v/>
      </c>
      <c r="R1553" s="172" t="n">
        <v>1</v>
      </c>
      <c r="S1553" s="173">
        <f>调整因子!$F$13</f>
        <v/>
      </c>
      <c r="T1553" s="92" t="n">
        <v>1</v>
      </c>
      <c r="U1553" s="174">
        <f>IFERROR(Q1553*S1553,0)</f>
        <v/>
      </c>
      <c r="V1553" s="178">
        <f>U1553*T1553</f>
        <v/>
      </c>
      <c r="W1553" s="103" t="inlineStr"/>
      <c r="X1553" s="103" t="inlineStr">
        <is>
          <t>数据记录</t>
        </is>
      </c>
      <c r="Y1553" s="97" t="inlineStr">
        <is>
          <t>推送失败重试表{ID、名称、类型|ID、名称、类型、状态、创建时间、更新时间}</t>
        </is>
      </c>
      <c r="Z1553" s="90">
        <f>IF(COUNTIFS(W:W,"*"&amp;I1553&amp;"*")&gt;0,"存在","不存在")</f>
        <v/>
      </c>
      <c r="AA1553" s="90">
        <f>IF(COUNTIFS(AB:AB,"*"&amp;I1553&amp;"*")&gt;0,"存在","不存在")</f>
        <v/>
      </c>
    </row>
    <row r="1554" s="112">
      <c r="A1554" s="72">
        <f>ROW()-1</f>
        <v/>
      </c>
      <c r="B1554" s="175" t="n"/>
      <c r="C1554" s="124" t="n">
        <v>2026</v>
      </c>
      <c r="E1554" s="103" t="n"/>
      <c r="F1554" s="175" t="n"/>
      <c r="G1554" s="175" t="n"/>
      <c r="H1554" s="175" t="n"/>
      <c r="I1554" s="103" t="inlineStr">
        <is>
          <t>记录推送结果</t>
        </is>
      </c>
      <c r="J1554" s="93" t="inlineStr">
        <is>
          <t>EI</t>
        </is>
      </c>
      <c r="K1554" s="102" t="n"/>
      <c r="L1554" s="102" t="n"/>
      <c r="M1554" s="85">
        <f>IF(OR(Y1554="估算法",Y1554="算法类",Y1554="无法识别"),"",IF(W1554="",IF(OR(J1554="EI",J1554="EO",J1554="EQ"),0,""),LEN(W1554)-LEN(SUBSTITUTE(W1554,"、",""))+1))</f>
        <v/>
      </c>
      <c r="N1554" s="85">
        <f>IF(OR(Y1554="估算法",Y1554="算法类",Y1554="无法识别"),"",IF(X1554="",IF(OR(J1554="ILF",J1554="EIF"),0,""),LEN(X1554)-LEN(SUBSTITUTE(X1554,"、",""))+1))</f>
        <v/>
      </c>
      <c r="O1554" s="85">
        <f>IF(OR(Y1554="估算法",Y1554="算法类",Y1554="无法识别"),"",IF(Y1554="",IF(OR(J1554="ILF",J1554="EIF",J1554="EI",J1554="EO",J1554="EQ"),0,""),LEN(Y1554)-LEN(SUBSTITUTE(SUBSTITUTE(SUBSTITUTE(SUBSTITUTE(SUBSTITUTE(Y1554,"|}","--"),"{|","--"),CHAR(10),""),"、",""),"|",""))+IF(AND(OR(J1554="EI",J1554="EO",J1554="EQ"),$AE$1="NESMA"),2,1)))</f>
        <v/>
      </c>
      <c r="P1554" s="86">
        <f>IF(J1554="EI",IF(OR(Y1554="估算法",Y1554="算法类"),"中",IF(Y1554="无法识别","低",IF(M1554&lt;2,IF(O1554&lt;16,"低","中"),IF(M1554&lt;3,IF(O1554&lt;5,"低",IF(O1554&lt;16,"中","高")),IF(O1554&lt;5,"中","高"))))),IF(OR(J1554="EO",J1554="EQ"),IF(OR(Y1554="估算法",Y1554="算法类"),"中",IF(Y1554="无法识别","低",IF(M1554&lt;2,IF(O1554&lt;20,"低","中"),IF(M1554&lt;4,IF(O1554&lt;6,"低",IF(O1554&lt;20,"中","高")),IF(O1554&lt;6,"中","高"))))),IF(OR(J1554="ILF",J1554="EIF"),IF(OR(Y1554="估算法",Y1554="算法类",Y1554="无法识别"),"低",IF(N1554&lt;2,IF(O1554&lt;51,"低","中"),IF(N1554&lt;6,IF(O1554&lt;20,"低",IF(O1554&lt;51,"中","高")),IF(O1554&lt;20,"中","高")))),"不计算")))</f>
        <v/>
      </c>
      <c r="Q1554" s="172">
        <f>IFERROR(IF(J1554="EI",IF(P1554="低",3,IF(P1554="中",4,6)),IF(J1554="EO",IF(P1554="低",4,IF(P1554="中",5,7)),IF(J1554="EQ",IF(P1554="低",3,IF(P1554="中",4,6)),IF(J1554="ILF",IF(P1554="低",7,IF(P1554="中",10,15)),IF(J1554="EIF",IF(P1554="低",5,IF(P1554="中",7,10)),"不计算")))))*R1554,"不计算")</f>
        <v/>
      </c>
      <c r="R1554" s="172" t="n">
        <v>1</v>
      </c>
      <c r="S1554" s="173">
        <f>调整因子!$F$13</f>
        <v/>
      </c>
      <c r="T1554" s="92" t="n">
        <v>1</v>
      </c>
      <c r="U1554" s="174">
        <f>IFERROR(Q1554*S1554,0)</f>
        <v/>
      </c>
      <c r="V1554" s="178">
        <f>U1554*T1554</f>
        <v/>
      </c>
      <c r="W1554" s="103" t="inlineStr">
        <is>
          <t>推送对象表、通报配置表</t>
        </is>
      </c>
      <c r="X1554" s="103" t="inlineStr"/>
      <c r="Y1554" s="97" t="inlineStr">
        <is>
          <t>推送对象表{ID、名称、类型、状态、创建时间、更新时间|ID、名称、类型}
通报配置表{配置ID、配置名称、配置类型、配置值、创建时间|配置ID、配置名称、配置类型}</t>
        </is>
      </c>
      <c r="Z1554" s="90" t="n"/>
      <c r="AA1554" s="90" t="n"/>
    </row>
    <row r="1555" s="112">
      <c r="A1555" s="72">
        <f>ROW()-1</f>
        <v/>
      </c>
      <c r="B1555" s="175" t="n"/>
      <c r="C1555" s="124" t="n">
        <v>2026</v>
      </c>
      <c r="E1555" s="103" t="n"/>
      <c r="F1555" s="175" t="n"/>
      <c r="G1555" s="175" t="n"/>
      <c r="H1555" s="175" t="n"/>
      <c r="I1555" s="103" t="inlineStr">
        <is>
          <t>标记推送成功</t>
        </is>
      </c>
      <c r="J1555" s="93" t="inlineStr">
        <is>
          <t>EI</t>
        </is>
      </c>
      <c r="K1555" s="102" t="n"/>
      <c r="L1555" s="102" t="n"/>
      <c r="M1555" s="85">
        <f>IF(OR(Y1555="估算法",Y1555="算法类",Y1555="无法识别"),"",IF(W1555="",IF(OR(J1555="EI",J1555="EO",J1555="EQ"),0,""),LEN(W1555)-LEN(SUBSTITUTE(W1555,"、",""))+1))</f>
        <v/>
      </c>
      <c r="N1555" s="85">
        <f>IF(OR(Y1555="估算法",Y1555="算法类",Y1555="无法识别"),"",IF(X1555="",IF(OR(J1555="ILF",J1555="EIF"),0,""),LEN(X1555)-LEN(SUBSTITUTE(X1555,"、",""))+1))</f>
        <v/>
      </c>
      <c r="O1555" s="85">
        <f>IF(OR(Y1555="估算法",Y1555="算法类",Y1555="无法识别"),"",IF(Y1555="",IF(OR(J1555="ILF",J1555="EIF",J1555="EI",J1555="EO",J1555="EQ"),0,""),LEN(Y1555)-LEN(SUBSTITUTE(SUBSTITUTE(SUBSTITUTE(SUBSTITUTE(SUBSTITUTE(Y1555,"|}","--"),"{|","--"),CHAR(10),""),"、",""),"|",""))+IF(AND(OR(J1555="EI",J1555="EO",J1555="EQ"),$AE$1="NESMA"),2,1)))</f>
        <v/>
      </c>
      <c r="P1555" s="86">
        <f>IF(J1555="EI",IF(OR(Y1555="估算法",Y1555="算法类"),"中",IF(Y1555="无法识别","低",IF(M1555&lt;2,IF(O1555&lt;16,"低","中"),IF(M1555&lt;3,IF(O1555&lt;5,"低",IF(O1555&lt;16,"中","高")),IF(O1555&lt;5,"中","高"))))),IF(OR(J1555="EO",J1555="EQ"),IF(OR(Y1555="估算法",Y1555="算法类"),"中",IF(Y1555="无法识别","低",IF(M1555&lt;2,IF(O1555&lt;20,"低","中"),IF(M1555&lt;4,IF(O1555&lt;6,"低",IF(O1555&lt;20,"中","高")),IF(O1555&lt;6,"中","高"))))),IF(OR(J1555="ILF",J1555="EIF"),IF(OR(Y1555="估算法",Y1555="算法类",Y1555="无法识别"),"低",IF(N1555&lt;2,IF(O1555&lt;51,"低","中"),IF(N1555&lt;6,IF(O1555&lt;20,"低",IF(O1555&lt;51,"中","高")),IF(O1555&lt;20,"中","高")))),"不计算")))</f>
        <v/>
      </c>
      <c r="Q1555" s="172">
        <f>IFERROR(IF(J1555="EI",IF(P1555="低",3,IF(P1555="中",4,6)),IF(J1555="EO",IF(P1555="低",4,IF(P1555="中",5,7)),IF(J1555="EQ",IF(P1555="低",3,IF(P1555="中",4,6)),IF(J1555="ILF",IF(P1555="低",7,IF(P1555="中",10,15)),IF(J1555="EIF",IF(P1555="低",5,IF(P1555="中",7,10)),"不计算")))))*R1555,"不计算")</f>
        <v/>
      </c>
      <c r="R1555" s="172" t="n">
        <v>1</v>
      </c>
      <c r="S1555" s="173">
        <f>调整因子!$F$13</f>
        <v/>
      </c>
      <c r="T1555" s="93" t="n">
        <v>1</v>
      </c>
      <c r="U1555" s="174">
        <f>IFERROR(Q1555*S1555,0)</f>
        <v/>
      </c>
      <c r="V1555" s="178">
        <f>U1555*T1555</f>
        <v/>
      </c>
      <c r="W1555" s="103" t="inlineStr">
        <is>
          <t>指标阈值表、同步失败重试记录表</t>
        </is>
      </c>
      <c r="X1555" s="103" t="inlineStr"/>
      <c r="Y1555" s="97" t="inlineStr">
        <is>
          <t>指标阈值表{ID、名称、类型、状态、创建时间、更新时间|ID、名称、类型}
同步失败重试记录表{ID、名称、类型、状态、创建时间、更新时间|ID、名称、类型}</t>
        </is>
      </c>
      <c r="Z1555" s="90" t="n"/>
      <c r="AA1555" s="90" t="n"/>
    </row>
    <row r="1556" s="112">
      <c r="A1556" s="72">
        <f>ROW()-1</f>
        <v/>
      </c>
      <c r="B1556" s="175" t="n"/>
      <c r="C1556" s="124" t="n">
        <v>2026</v>
      </c>
      <c r="E1556" s="103" t="n"/>
      <c r="F1556" s="175" t="n"/>
      <c r="G1556" s="175" t="n"/>
      <c r="H1556" s="175" t="n"/>
      <c r="I1556" s="103" t="inlineStr">
        <is>
          <t>标记推送失败</t>
        </is>
      </c>
      <c r="J1556" s="93" t="n"/>
      <c r="K1556" s="102" t="n"/>
      <c r="L1556" s="102" t="inlineStr">
        <is>
          <t>和上行合并</t>
        </is>
      </c>
      <c r="M1556" s="85">
        <f>IF(OR(Y1556="估算法",Y1556="算法类",Y1556="无法识别"),"",IF(W1556="",IF(OR(J1556="EI",J1556="EO",J1556="EQ"),0,""),LEN(W1556)-LEN(SUBSTITUTE(W1556,"、",""))+1))</f>
        <v/>
      </c>
      <c r="N1556" s="85">
        <f>IF(OR(Y1556="估算法",Y1556="算法类",Y1556="无法识别"),"",IF(X1556="",IF(OR(J1556="ILF",J1556="EIF"),0,""),LEN(X1556)-LEN(SUBSTITUTE(X1556,"、",""))+1))</f>
        <v/>
      </c>
      <c r="O1556" s="85">
        <f>IF(OR(Y1556="估算法",Y1556="算法类",Y1556="无法识别"),"",IF(Y1556="",IF(OR(J1556="ILF",J1556="EIF",J1556="EI",J1556="EO",J1556="EQ"),0,""),LEN(Y1556)-LEN(SUBSTITUTE(SUBSTITUTE(SUBSTITUTE(SUBSTITUTE(SUBSTITUTE(Y1556,"|}","--"),"{|","--"),CHAR(10),""),"、",""),"|",""))+IF(AND(OR(J1556="EI",J1556="EO",J1556="EQ"),$AE$1="NESMA"),2,1)))</f>
        <v/>
      </c>
      <c r="P1556" s="86">
        <f>IF(J1556="EI",IF(OR(Y1556="估算法",Y1556="算法类"),"中",IF(Y1556="无法识别","低",IF(M1556&lt;2,IF(O1556&lt;16,"低","中"),IF(M1556&lt;3,IF(O1556&lt;5,"低",IF(O1556&lt;16,"中","高")),IF(O1556&lt;5,"中","高"))))),IF(OR(J1556="EO",J1556="EQ"),IF(OR(Y1556="估算法",Y1556="算法类"),"中",IF(Y1556="无法识别","低",IF(M1556&lt;2,IF(O1556&lt;20,"低","中"),IF(M1556&lt;4,IF(O1556&lt;6,"低",IF(O1556&lt;20,"中","高")),IF(O1556&lt;6,"中","高"))))),IF(OR(J1556="ILF",J1556="EIF"),IF(OR(Y1556="估算法",Y1556="算法类",Y1556="无法识别"),"低",IF(N1556&lt;2,IF(O1556&lt;51,"低","中"),IF(N1556&lt;6,IF(O1556&lt;20,"低",IF(O1556&lt;51,"中","高")),IF(O1556&lt;20,"中","高")))),"不计算")))</f>
        <v/>
      </c>
      <c r="Q1556" s="172">
        <f>IFERROR(IF(J1556="EI",IF(P1556="低",3,IF(P1556="中",4,6)),IF(J1556="EO",IF(P1556="低",4,IF(P1556="中",5,7)),IF(J1556="EQ",IF(P1556="低",3,IF(P1556="中",4,6)),IF(J1556="ILF",IF(P1556="低",7,IF(P1556="中",10,15)),IF(J1556="EIF",IF(P1556="低",5,IF(P1556="中",7,10)),"不计算")))))*R1556,"不计算")</f>
        <v/>
      </c>
      <c r="R1556" s="172" t="n">
        <v>1</v>
      </c>
      <c r="S1556" s="173">
        <f>调整因子!$F$13</f>
        <v/>
      </c>
      <c r="T1556" s="92" t="n">
        <v>1</v>
      </c>
      <c r="U1556" s="174">
        <f>IFERROR(Q1556*S1556,0)</f>
        <v/>
      </c>
      <c r="V1556" s="178">
        <f>U1556*T1556</f>
        <v/>
      </c>
      <c r="W1556" s="103" t="inlineStr">
        <is>
          <t>复测任务表、采集任务配置表</t>
        </is>
      </c>
      <c r="X1556" s="103" t="inlineStr"/>
      <c r="Y1556" s="97" t="inlineStr">
        <is>
          <t>复测任务表{任务ID、任务名称、任务类型、任务状态、创建时间、执行时间|任务ID、任务名称、任务类型}
采集任务配置表{任务ID、任务名称、任务类型、任务状态、创建时间、执行时间|任务ID、任务名称、任务类型}</t>
        </is>
      </c>
      <c r="Z1556" s="90" t="n"/>
      <c r="AA1556" s="90" t="n"/>
    </row>
    <row r="1557" s="112">
      <c r="A1557" s="72">
        <f>ROW()-1</f>
        <v/>
      </c>
      <c r="B1557" s="175" t="n"/>
      <c r="C1557" s="124" t="n">
        <v>2026</v>
      </c>
      <c r="E1557" s="103" t="n"/>
      <c r="F1557" s="175" t="n"/>
      <c r="G1557" s="175" t="n"/>
      <c r="H1557" s="175" t="n"/>
      <c r="I1557" s="103" t="inlineStr">
        <is>
          <t>推送失败重试</t>
        </is>
      </c>
      <c r="J1557" s="93" t="inlineStr">
        <is>
          <t>EI</t>
        </is>
      </c>
      <c r="K1557" s="102" t="n"/>
      <c r="L1557" s="102" t="n"/>
      <c r="M1557" s="85">
        <f>IF(OR(Y1557="估算法",Y1557="算法类",Y1557="无法识别"),"",IF(W1557="",IF(OR(J1557="EI",J1557="EO",J1557="EQ"),0,""),LEN(W1557)-LEN(SUBSTITUTE(W1557,"、",""))+1))</f>
        <v/>
      </c>
      <c r="N1557" s="85">
        <f>IF(OR(Y1557="估算法",Y1557="算法类",Y1557="无法识别"),"",IF(X1557="",IF(OR(J1557="ILF",J1557="EIF"),0,""),LEN(X1557)-LEN(SUBSTITUTE(X1557,"、",""))+1))</f>
        <v/>
      </c>
      <c r="O1557" s="85">
        <f>IF(OR(Y1557="估算法",Y1557="算法类",Y1557="无法识别"),"",IF(Y1557="",IF(OR(J1557="ILF",J1557="EIF",J1557="EI",J1557="EO",J1557="EQ"),0,""),LEN(Y1557)-LEN(SUBSTITUTE(SUBSTITUTE(SUBSTITUTE(SUBSTITUTE(SUBSTITUTE(Y1557,"|}","--"),"{|","--"),CHAR(10),""),"、",""),"|",""))+IF(AND(OR(J1557="EI",J1557="EO",J1557="EQ"),$AE$1="NESMA"),2,1)))</f>
        <v/>
      </c>
      <c r="P1557" s="86">
        <f>IF(J1557="EI",IF(OR(Y1557="估算法",Y1557="算法类"),"中",IF(Y1557="无法识别","低",IF(M1557&lt;2,IF(O1557&lt;16,"低","中"),IF(M1557&lt;3,IF(O1557&lt;5,"低",IF(O1557&lt;16,"中","高")),IF(O1557&lt;5,"中","高"))))),IF(OR(J1557="EO",J1557="EQ"),IF(OR(Y1557="估算法",Y1557="算法类"),"中",IF(Y1557="无法识别","低",IF(M1557&lt;2,IF(O1557&lt;20,"低","中"),IF(M1557&lt;4,IF(O1557&lt;6,"低",IF(O1557&lt;20,"中","高")),IF(O1557&lt;6,"中","高"))))),IF(OR(J1557="ILF",J1557="EIF"),IF(OR(Y1557="估算法",Y1557="算法类",Y1557="无法识别"),"低",IF(N1557&lt;2,IF(O1557&lt;51,"低","中"),IF(N1557&lt;6,IF(O1557&lt;20,"低",IF(O1557&lt;51,"中","高")),IF(O1557&lt;20,"中","高")))),"不计算")))</f>
        <v/>
      </c>
      <c r="Q1557" s="172">
        <f>IFERROR(IF(J1557="EI",IF(P1557="低",3,IF(P1557="中",4,6)),IF(J1557="EO",IF(P1557="低",4,IF(P1557="中",5,7)),IF(J1557="EQ",IF(P1557="低",3,IF(P1557="中",4,6)),IF(J1557="ILF",IF(P1557="低",7,IF(P1557="中",10,15)),IF(J1557="EIF",IF(P1557="低",5,IF(P1557="中",7,10)),"不计算")))))*R1557,"不计算")</f>
        <v/>
      </c>
      <c r="R1557" s="172" t="n">
        <v>1</v>
      </c>
      <c r="S1557" s="173">
        <f>调整因子!$F$13</f>
        <v/>
      </c>
      <c r="T1557" s="92" t="n">
        <v>1</v>
      </c>
      <c r="U1557" s="174">
        <f>IFERROR(Q1557*S1557,0)</f>
        <v/>
      </c>
      <c r="V1557" s="178">
        <f>U1557*T1557</f>
        <v/>
      </c>
      <c r="W1557" s="103" t="inlineStr">
        <is>
          <t>推送规则表、考核指标配置表</t>
        </is>
      </c>
      <c r="X1557" s="103" t="inlineStr"/>
      <c r="Y1557" s="97" t="inlineStr">
        <is>
          <t>推送规则表{规则ID、规则名称、规则类型、规则条件、创建时间|规则ID、规则名称、规则类型}
考核指标配置表{配置ID、配置名称、配置类型、配置值、创建时间|配置ID、配置名称、配置类型}</t>
        </is>
      </c>
      <c r="Z1557" s="90" t="n"/>
      <c r="AA1557" s="90" t="n"/>
    </row>
    <row r="1558" s="112">
      <c r="A1558" s="72">
        <f>ROW()-1</f>
        <v/>
      </c>
      <c r="B1558" s="175" t="n"/>
      <c r="C1558" s="124" t="n">
        <v>2026</v>
      </c>
      <c r="E1558" s="103" t="n"/>
      <c r="F1558" s="175" t="n"/>
      <c r="G1558" s="175" t="n"/>
      <c r="H1558" s="175" t="n"/>
      <c r="I1558" s="103" t="inlineStr">
        <is>
          <t>批量重试推送</t>
        </is>
      </c>
      <c r="J1558" s="93" t="inlineStr">
        <is>
          <t>EI</t>
        </is>
      </c>
      <c r="K1558" s="84" t="n"/>
      <c r="L1558" s="84" t="inlineStr">
        <is>
          <t>批量操作</t>
        </is>
      </c>
      <c r="M1558" s="85">
        <f>IF(OR(Y1558="估算法",Y1558="算法类",Y1558="无法识别"),"",IF(W1558="",IF(OR(J1558="EI",J1558="EO",J1558="EQ"),0,""),LEN(W1558)-LEN(SUBSTITUTE(W1558,"、",""))+1))</f>
        <v/>
      </c>
      <c r="N1558" s="85">
        <f>IF(OR(Y1558="估算法",Y1558="算法类",Y1558="无法识别"),"",IF(X1558="",IF(OR(J1558="ILF",J1558="EIF"),0,""),LEN(X1558)-LEN(SUBSTITUTE(X1558,"、",""))+1))</f>
        <v/>
      </c>
      <c r="O1558" s="85">
        <f>IF(OR(Y1558="估算法",Y1558="算法类",Y1558="无法识别"),"",IF(Y1558="",IF(OR(J1558="ILF",J1558="EIF",J1558="EI",J1558="EO",J1558="EQ"),0,""),LEN(Y1558)-LEN(SUBSTITUTE(SUBSTITUTE(SUBSTITUTE(SUBSTITUTE(SUBSTITUTE(Y1558,"|}","--"),"{|","--"),CHAR(10),""),"、",""),"|",""))+IF(AND(OR(J1558="EI",J1558="EO",J1558="EQ"),$AE$1="NESMA"),2,1)))</f>
        <v/>
      </c>
      <c r="P1558" s="86">
        <f>IF(J1558="EI",IF(OR(Y1558="估算法",Y1558="算法类"),"中",IF(Y1558="无法识别","低",IF(M1558&lt;2,IF(O1558&lt;16,"低","中"),IF(M1558&lt;3,IF(O1558&lt;5,"低",IF(O1558&lt;16,"中","高")),IF(O1558&lt;5,"中","高"))))),IF(OR(J1558="EO",J1558="EQ"),IF(OR(Y1558="估算法",Y1558="算法类"),"中",IF(Y1558="无法识别","低",IF(M1558&lt;2,IF(O1558&lt;20,"低","中"),IF(M1558&lt;4,IF(O1558&lt;6,"低",IF(O1558&lt;20,"中","高")),IF(O1558&lt;6,"中","高"))))),IF(OR(J1558="ILF",J1558="EIF"),IF(OR(Y1558="估算法",Y1558="算法类",Y1558="无法识别"),"低",IF(N1558&lt;2,IF(O1558&lt;51,"低","中"),IF(N1558&lt;6,IF(O1558&lt;20,"低",IF(O1558&lt;51,"中","高")),IF(O1558&lt;20,"中","高")))),"不计算")))</f>
        <v/>
      </c>
      <c r="Q1558" s="172">
        <f>IFERROR(IF(J1558="EI",IF(P1558="低",3,IF(P1558="中",4,6)),IF(J1558="EO",IF(P1558="低",4,IF(P1558="中",5,7)),IF(J1558="EQ",IF(P1558="低",3,IF(P1558="中",4,6)),IF(J1558="ILF",IF(P1558="低",7,IF(P1558="中",10,15)),IF(J1558="EIF",IF(P1558="低",5,IF(P1558="中",7,10)),"不计算")))))*R1558,"不计算")</f>
        <v/>
      </c>
      <c r="R1558" s="172" t="n">
        <v>0.333333333333333</v>
      </c>
      <c r="S1558" s="173">
        <f>调整因子!$F$13</f>
        <v/>
      </c>
      <c r="T1558" s="93" t="n">
        <v>1</v>
      </c>
      <c r="U1558" s="174">
        <f>IFERROR(Q1558*S1558,0)</f>
        <v/>
      </c>
      <c r="V1558" s="178">
        <f>U1558*T1558</f>
        <v/>
      </c>
      <c r="W1558" s="103" t="inlineStr">
        <is>
          <t>扫描策略模板表</t>
        </is>
      </c>
      <c r="X1558" s="103" t="inlineStr"/>
      <c r="Y1558" s="97" t="inlineStr">
        <is>
          <t>扫描策略模板表{任务ID、任务名称、任务状态、扫描器类型、开始时间、结束时间、扫描结果|任务ID、任务名称、任务状态}</t>
        </is>
      </c>
      <c r="Z1558" s="90" t="n"/>
      <c r="AA1558" s="90" t="n"/>
    </row>
    <row r="1559" s="112">
      <c r="A1559" s="72">
        <f>ROW()-1</f>
        <v/>
      </c>
      <c r="B1559" s="175" t="n"/>
      <c r="C1559" s="124" t="n">
        <v>2026</v>
      </c>
      <c r="E1559" s="103" t="n"/>
      <c r="F1559" s="175" t="n"/>
      <c r="G1559" s="175" t="n"/>
      <c r="H1559" s="175" t="n"/>
      <c r="I1559" s="103" t="inlineStr">
        <is>
          <t>导出推送结果</t>
        </is>
      </c>
      <c r="J1559" s="93" t="inlineStr">
        <is>
          <t>EO</t>
        </is>
      </c>
      <c r="K1559" s="102" t="n"/>
      <c r="L1559" s="102" t="n"/>
      <c r="M1559" s="85">
        <f>IF(OR(Y1559="估算法",Y1559="算法类",Y1559="无法识别"),"",IF(W1559="",IF(OR(J1559="EI",J1559="EO",J1559="EQ"),0,""),LEN(W1559)-LEN(SUBSTITUTE(W1559,"、",""))+1))</f>
        <v/>
      </c>
      <c r="N1559" s="85">
        <f>IF(OR(Y1559="估算法",Y1559="算法类",Y1559="无法识别"),"",IF(X1559="",IF(OR(J1559="ILF",J1559="EIF"),0,""),LEN(X1559)-LEN(SUBSTITUTE(X1559,"、",""))+1))</f>
        <v/>
      </c>
      <c r="O1559" s="85">
        <f>IF(OR(Y1559="估算法",Y1559="算法类",Y1559="无法识别"),"",IF(Y1559="",IF(OR(J1559="ILF",J1559="EIF",J1559="EI",J1559="EO",J1559="EQ"),0,""),LEN(Y1559)-LEN(SUBSTITUTE(SUBSTITUTE(SUBSTITUTE(SUBSTITUTE(SUBSTITUTE(Y1559,"|}","--"),"{|","--"),CHAR(10),""),"、",""),"|",""))+IF(AND(OR(J1559="EI",J1559="EO",J1559="EQ"),$AE$1="NESMA"),2,1)))</f>
        <v/>
      </c>
      <c r="P1559" s="86">
        <f>IF(J1559="EI",IF(OR(Y1559="估算法",Y1559="算法类"),"中",IF(Y1559="无法识别","低",IF(M1559&lt;2,IF(O1559&lt;16,"低","中"),IF(M1559&lt;3,IF(O1559&lt;5,"低",IF(O1559&lt;16,"中","高")),IF(O1559&lt;5,"中","高"))))),IF(OR(J1559="EO",J1559="EQ"),IF(OR(Y1559="估算法",Y1559="算法类"),"中",IF(Y1559="无法识别","低",IF(M1559&lt;2,IF(O1559&lt;20,"低","中"),IF(M1559&lt;4,IF(O1559&lt;6,"低",IF(O1559&lt;20,"中","高")),IF(O1559&lt;6,"中","高"))))),IF(OR(J1559="ILF",J1559="EIF"),IF(OR(Y1559="估算法",Y1559="算法类",Y1559="无法识别"),"低",IF(N1559&lt;2,IF(O1559&lt;51,"低","中"),IF(N1559&lt;6,IF(O1559&lt;20,"低",IF(O1559&lt;51,"中","高")),IF(O1559&lt;20,"中","高")))),"不计算")))</f>
        <v/>
      </c>
      <c r="Q1559" s="172">
        <f>IFERROR(IF(J1559="EI",IF(P1559="低",3,IF(P1559="中",4,6)),IF(J1559="EO",IF(P1559="低",4,IF(P1559="中",5,7)),IF(J1559="EQ",IF(P1559="低",3,IF(P1559="中",4,6)),IF(J1559="ILF",IF(P1559="低",7,IF(P1559="中",10,15)),IF(J1559="EIF",IF(P1559="低",5,IF(P1559="中",7,10)),"不计算")))))*R1559,"不计算")</f>
        <v/>
      </c>
      <c r="R1559" s="172" t="n">
        <v>1</v>
      </c>
      <c r="S1559" s="173">
        <f>调整因子!$F$13</f>
        <v/>
      </c>
      <c r="T1559" s="93" t="n">
        <v>1</v>
      </c>
      <c r="U1559" s="174">
        <f>IFERROR(Q1559*S1559,0)</f>
        <v/>
      </c>
      <c r="V1559" s="178">
        <f>U1559*T1559</f>
        <v/>
      </c>
      <c r="W1559" s="103" t="inlineStr">
        <is>
          <t>分布分析表、指标阈值表</t>
        </is>
      </c>
      <c r="X1559" s="103" t="inlineStr"/>
      <c r="Y1559" s="97" t="inlineStr">
        <is>
          <t>分布分析表{ID、名称|ID、名称、类型、状态、创建时间、更新时间}
指标阈值表{ID、名称|ID、名称、类型、状态、创建时间、更新时间}</t>
        </is>
      </c>
      <c r="Z1559" s="90" t="n"/>
      <c r="AA1559" s="90" t="n"/>
    </row>
    <row r="1560" s="112">
      <c r="A1560" s="72">
        <f>ROW()-1</f>
        <v/>
      </c>
      <c r="B1560" s="175" t="n"/>
      <c r="C1560" s="124" t="n">
        <v>2026</v>
      </c>
      <c r="E1560" s="103" t="n"/>
      <c r="F1560" s="175" t="n"/>
      <c r="G1560" s="175" t="n"/>
      <c r="H1560" s="175" t="n"/>
      <c r="I1560" s="103" t="inlineStr">
        <is>
          <t>下载推送日志</t>
        </is>
      </c>
      <c r="J1560" s="93" t="inlineStr">
        <is>
          <t>EO</t>
        </is>
      </c>
      <c r="K1560" s="102" t="n"/>
      <c r="L1560" s="102" t="n"/>
      <c r="M1560" s="85">
        <f>IF(OR(Y1560="估算法",Y1560="算法类",Y1560="无法识别"),"",IF(W1560="",IF(OR(J1560="EI",J1560="EO",J1560="EQ"),0,""),LEN(W1560)-LEN(SUBSTITUTE(W1560,"、",""))+1))</f>
        <v/>
      </c>
      <c r="N1560" s="85">
        <f>IF(OR(Y1560="估算法",Y1560="算法类",Y1560="无法识别"),"",IF(X1560="",IF(OR(J1560="ILF",J1560="EIF"),0,""),LEN(X1560)-LEN(SUBSTITUTE(X1560,"、",""))+1))</f>
        <v/>
      </c>
      <c r="O1560" s="85">
        <f>IF(OR(Y1560="估算法",Y1560="算法类",Y1560="无法识别"),"",IF(Y1560="",IF(OR(J1560="ILF",J1560="EIF",J1560="EI",J1560="EO",J1560="EQ"),0,""),LEN(Y1560)-LEN(SUBSTITUTE(SUBSTITUTE(SUBSTITUTE(SUBSTITUTE(SUBSTITUTE(Y1560,"|}","--"),"{|","--"),CHAR(10),""),"、",""),"|",""))+IF(AND(OR(J1560="EI",J1560="EO",J1560="EQ"),$AE$1="NESMA"),2,1)))</f>
        <v/>
      </c>
      <c r="P1560" s="86">
        <f>IF(J1560="EI",IF(OR(Y1560="估算法",Y1560="算法类"),"中",IF(Y1560="无法识别","低",IF(M1560&lt;2,IF(O1560&lt;16,"低","中"),IF(M1560&lt;3,IF(O1560&lt;5,"低",IF(O1560&lt;16,"中","高")),IF(O1560&lt;5,"中","高"))))),IF(OR(J1560="EO",J1560="EQ"),IF(OR(Y1560="估算法",Y1560="算法类"),"中",IF(Y1560="无法识别","低",IF(M1560&lt;2,IF(O1560&lt;20,"低","中"),IF(M1560&lt;4,IF(O1560&lt;6,"低",IF(O1560&lt;20,"中","高")),IF(O1560&lt;6,"中","高"))))),IF(OR(J1560="ILF",J1560="EIF"),IF(OR(Y1560="估算法",Y1560="算法类",Y1560="无法识别"),"低",IF(N1560&lt;2,IF(O1560&lt;51,"低","中"),IF(N1560&lt;6,IF(O1560&lt;20,"低",IF(O1560&lt;51,"中","高")),IF(O1560&lt;20,"中","高")))),"不计算")))</f>
        <v/>
      </c>
      <c r="Q1560" s="172">
        <f>IFERROR(IF(J1560="EI",IF(P1560="低",3,IF(P1560="中",4,6)),IF(J1560="EO",IF(P1560="低",4,IF(P1560="中",5,7)),IF(J1560="EQ",IF(P1560="低",3,IF(P1560="中",4,6)),IF(J1560="ILF",IF(P1560="低",7,IF(P1560="中",10,15)),IF(J1560="EIF",IF(P1560="低",5,IF(P1560="中",7,10)),"不计算")))))*R1560,"不计算")</f>
        <v/>
      </c>
      <c r="R1560" s="172" t="n">
        <v>1</v>
      </c>
      <c r="S1560" s="173">
        <f>调整因子!$F$13</f>
        <v/>
      </c>
      <c r="T1560" s="92" t="n">
        <v>1</v>
      </c>
      <c r="U1560" s="174">
        <f>IFERROR(Q1560*S1560,0)</f>
        <v/>
      </c>
      <c r="V1560" s="178">
        <f>U1560*T1560</f>
        <v/>
      </c>
      <c r="W1560" s="103" t="inlineStr">
        <is>
          <t>任务日志表、推送日志表</t>
        </is>
      </c>
      <c r="X1560" s="103" t="inlineStr"/>
      <c r="Y1560" s="97" t="inlineStr">
        <is>
          <t>任务日志表{任务ID、任务名称|任务ID、任务名称、任务类型、任务状态、创建时间、执行时间}
推送日志表{日志ID、操作人|日志ID、操作人、操作类型、操作时间、操作内容}</t>
        </is>
      </c>
      <c r="Z1560" s="90" t="n"/>
      <c r="AA1560" s="90" t="n"/>
    </row>
    <row r="1561" s="112">
      <c r="A1561" s="72">
        <f>ROW()-1</f>
        <v/>
      </c>
      <c r="B1561" s="175" t="n"/>
      <c r="C1561" s="124" t="n">
        <v>2026</v>
      </c>
      <c r="E1561" s="103" t="n"/>
      <c r="F1561" s="175" t="n"/>
      <c r="G1561" s="175" t="n"/>
      <c r="H1561" s="175" t="n"/>
      <c r="I1561" s="103" t="inlineStr">
        <is>
          <t>查询推送结果</t>
        </is>
      </c>
      <c r="J1561" s="93" t="n"/>
      <c r="K1561" s="102" t="n"/>
      <c r="L1561" s="102" t="inlineStr">
        <is>
          <t>和下行合并</t>
        </is>
      </c>
      <c r="M1561" s="85">
        <f>IF(OR(Y1561="估算法",Y1561="算法类",Y1561="无法识别"),"",IF(W1561="",IF(OR(J1561="EI",J1561="EO",J1561="EQ"),0,""),LEN(W1561)-LEN(SUBSTITUTE(W1561,"、",""))+1))</f>
        <v/>
      </c>
      <c r="N1561" s="85">
        <f>IF(OR(Y1561="估算法",Y1561="算法类",Y1561="无法识别"),"",IF(X1561="",IF(OR(J1561="ILF",J1561="EIF"),0,""),LEN(X1561)-LEN(SUBSTITUTE(X1561,"、",""))+1))</f>
        <v/>
      </c>
      <c r="O1561" s="85">
        <f>IF(OR(Y1561="估算法",Y1561="算法类",Y1561="无法识别"),"",IF(Y1561="",IF(OR(J1561="ILF",J1561="EIF",J1561="EI",J1561="EO",J1561="EQ"),0,""),LEN(Y1561)-LEN(SUBSTITUTE(SUBSTITUTE(SUBSTITUTE(SUBSTITUTE(SUBSTITUTE(Y1561,"|}","--"),"{|","--"),CHAR(10),""),"、",""),"|",""))+IF(AND(OR(J1561="EI",J1561="EO",J1561="EQ"),$AE$1="NESMA"),2,1)))</f>
        <v/>
      </c>
      <c r="P1561" s="86">
        <f>IF(J1561="EI",IF(OR(Y1561="估算法",Y1561="算法类"),"中",IF(Y1561="无法识别","低",IF(M1561&lt;2,IF(O1561&lt;16,"低","中"),IF(M1561&lt;3,IF(O1561&lt;5,"低",IF(O1561&lt;16,"中","高")),IF(O1561&lt;5,"中","高"))))),IF(OR(J1561="EO",J1561="EQ"),IF(OR(Y1561="估算法",Y1561="算法类"),"中",IF(Y1561="无法识别","低",IF(M1561&lt;2,IF(O1561&lt;20,"低","中"),IF(M1561&lt;4,IF(O1561&lt;6,"低",IF(O1561&lt;20,"中","高")),IF(O1561&lt;6,"中","高"))))),IF(OR(J1561="ILF",J1561="EIF"),IF(OR(Y1561="估算法",Y1561="算法类",Y1561="无法识别"),"低",IF(N1561&lt;2,IF(O1561&lt;51,"低","中"),IF(N1561&lt;6,IF(O1561&lt;20,"低",IF(O1561&lt;51,"中","高")),IF(O1561&lt;20,"中","高")))),"不计算")))</f>
        <v/>
      </c>
      <c r="Q1561" s="172">
        <f>IFERROR(IF(J1561="EI",IF(P1561="低",3,IF(P1561="中",4,6)),IF(J1561="EO",IF(P1561="低",4,IF(P1561="中",5,7)),IF(J1561="EQ",IF(P1561="低",3,IF(P1561="中",4,6)),IF(J1561="ILF",IF(P1561="低",7,IF(P1561="中",10,15)),IF(J1561="EIF",IF(P1561="低",5,IF(P1561="中",7,10)),"不计算")))))*R1561,"不计算")</f>
        <v/>
      </c>
      <c r="R1561" s="172" t="n">
        <v>1</v>
      </c>
      <c r="S1561" s="173">
        <f>调整因子!$F$13</f>
        <v/>
      </c>
      <c r="T1561" s="92" t="n">
        <v>1</v>
      </c>
      <c r="U1561" s="174">
        <f>IFERROR(Q1561*S1561,0)</f>
        <v/>
      </c>
      <c r="V1561" s="178">
        <f>U1561*T1561</f>
        <v/>
      </c>
      <c r="W1561" s="103" t="inlineStr">
        <is>
          <t>推送对象表</t>
        </is>
      </c>
      <c r="X1561" s="103" t="inlineStr"/>
      <c r="Y1561" s="97" t="inlineStr">
        <is>
          <t>推送对象表{ID、名称|ID、名称、类型、状态、创建时间、更新时间}</t>
        </is>
      </c>
      <c r="Z1561" s="90" t="n"/>
      <c r="AA1561" s="90" t="n"/>
    </row>
    <row r="1562" s="112">
      <c r="A1562" s="72">
        <f>ROW()-1</f>
        <v/>
      </c>
      <c r="B1562" s="175" t="n"/>
      <c r="C1562" s="124" t="n">
        <v>2026</v>
      </c>
      <c r="E1562" s="103" t="n"/>
      <c r="F1562" s="175" t="n"/>
      <c r="G1562" s="176" t="n"/>
      <c r="H1562" s="176" t="n"/>
      <c r="I1562" s="103" t="inlineStr">
        <is>
          <t>查看推送日志</t>
        </is>
      </c>
      <c r="J1562" s="93" t="inlineStr">
        <is>
          <t>EQ</t>
        </is>
      </c>
      <c r="K1562" s="102" t="n"/>
      <c r="L1562" s="102" t="n"/>
      <c r="M1562" s="85">
        <f>IF(OR(Y1562="估算法",Y1562="算法类",Y1562="无法识别"),"",IF(W1562="",IF(OR(J1562="EI",J1562="EO",J1562="EQ"),0,""),LEN(W1562)-LEN(SUBSTITUTE(W1562,"、",""))+1))</f>
        <v/>
      </c>
      <c r="N1562" s="85">
        <f>IF(OR(Y1562="估算法",Y1562="算法类",Y1562="无法识别"),"",IF(X1562="",IF(OR(J1562="ILF",J1562="EIF"),0,""),LEN(X1562)-LEN(SUBSTITUTE(X1562,"、",""))+1))</f>
        <v/>
      </c>
      <c r="O1562" s="85">
        <f>IF(OR(Y1562="估算法",Y1562="算法类",Y1562="无法识别"),"",IF(Y1562="",IF(OR(J1562="ILF",J1562="EIF",J1562="EI",J1562="EO",J1562="EQ"),0,""),LEN(Y1562)-LEN(SUBSTITUTE(SUBSTITUTE(SUBSTITUTE(SUBSTITUTE(SUBSTITUTE(Y1562,"|}","--"),"{|","--"),CHAR(10),""),"、",""),"|",""))+IF(AND(OR(J1562="EI",J1562="EO",J1562="EQ"),$AE$1="NESMA"),2,1)))</f>
        <v/>
      </c>
      <c r="P1562" s="86">
        <f>IF(J1562="EI",IF(OR(Y1562="估算法",Y1562="算法类"),"中",IF(Y1562="无法识别","低",IF(M1562&lt;2,IF(O1562&lt;16,"低","中"),IF(M1562&lt;3,IF(O1562&lt;5,"低",IF(O1562&lt;16,"中","高")),IF(O1562&lt;5,"中","高"))))),IF(OR(J1562="EO",J1562="EQ"),IF(OR(Y1562="估算法",Y1562="算法类"),"中",IF(Y1562="无法识别","低",IF(M1562&lt;2,IF(O1562&lt;20,"低","中"),IF(M1562&lt;4,IF(O1562&lt;6,"低",IF(O1562&lt;20,"中","高")),IF(O1562&lt;6,"中","高"))))),IF(OR(J1562="ILF",J1562="EIF"),IF(OR(Y1562="估算法",Y1562="算法类",Y1562="无法识别"),"低",IF(N1562&lt;2,IF(O1562&lt;51,"低","中"),IF(N1562&lt;6,IF(O1562&lt;20,"低",IF(O1562&lt;51,"中","高")),IF(O1562&lt;20,"中","高")))),"不计算")))</f>
        <v/>
      </c>
      <c r="Q1562" s="172">
        <f>IFERROR(IF(J1562="EI",IF(P1562="低",3,IF(P1562="中",4,6)),IF(J1562="EO",IF(P1562="低",4,IF(P1562="中",5,7)),IF(J1562="EQ",IF(P1562="低",3,IF(P1562="中",4,6)),IF(J1562="ILF",IF(P1562="低",7,IF(P1562="中",10,15)),IF(J1562="EIF",IF(P1562="低",5,IF(P1562="中",7,10)),"不计算")))))*R1562,"不计算")</f>
        <v/>
      </c>
      <c r="R1562" s="172" t="n">
        <v>1</v>
      </c>
      <c r="S1562" s="173">
        <f>调整因子!$F$13</f>
        <v/>
      </c>
      <c r="T1562" s="93" t="n">
        <v>1</v>
      </c>
      <c r="U1562" s="174">
        <f>IFERROR(Q1562*S1562,0)</f>
        <v/>
      </c>
      <c r="V1562" s="178">
        <f>U1562*T1562</f>
        <v/>
      </c>
      <c r="W1562" s="103" t="inlineStr">
        <is>
          <t>任务日志表</t>
        </is>
      </c>
      <c r="X1562" s="103" t="inlineStr"/>
      <c r="Y1562" s="97" t="inlineStr">
        <is>
          <t>任务日志表{任务ID、任务名称|任务ID、任务名称、任务类型、任务状态、创建时间、执行时间}</t>
        </is>
      </c>
      <c r="Z1562" s="90" t="n"/>
      <c r="AA1562" s="90" t="n"/>
    </row>
    <row r="1563" s="112">
      <c r="A1563" s="72">
        <f>ROW()-1</f>
        <v/>
      </c>
      <c r="B1563" s="175" t="n"/>
      <c r="C1563" s="124" t="n">
        <v>2026</v>
      </c>
      <c r="E1563" s="103" t="n"/>
      <c r="F1563" s="175" t="n"/>
      <c r="G1563" s="97" t="inlineStr">
        <is>
          <t>系统漏洞数据推送接口</t>
        </is>
      </c>
      <c r="H1563" s="97" t="inlineStr">
        <is>
          <t>接口调用监控管理</t>
        </is>
      </c>
      <c r="I1563" s="103" t="inlineStr">
        <is>
          <t>接口监控配置表</t>
        </is>
      </c>
      <c r="J1563" s="93" t="inlineStr">
        <is>
          <t>ILF</t>
        </is>
      </c>
      <c r="K1563" s="102" t="n"/>
      <c r="L1563" s="102" t="n"/>
      <c r="M1563" s="85">
        <f>IF(OR(Y1563="估算法",Y1563="算法类",Y1563="无法识别"),"",IF(W1563="",IF(OR(J1563="EI",J1563="EO",J1563="EQ"),0,""),LEN(W1563)-LEN(SUBSTITUTE(W1563,"、",""))+1))</f>
        <v/>
      </c>
      <c r="N1563" s="85">
        <f>IF(OR(Y1563="估算法",Y1563="算法类",Y1563="无法识别"),"",IF(X1563="",IF(OR(J1563="ILF",J1563="EIF"),0,""),LEN(X1563)-LEN(SUBSTITUTE(X1563,"、",""))+1))</f>
        <v/>
      </c>
      <c r="O1563" s="85">
        <f>IF(OR(Y1563="估算法",Y1563="算法类",Y1563="无法识别"),"",IF(Y1563="",IF(OR(J1563="ILF",J1563="EIF",J1563="EI",J1563="EO",J1563="EQ"),0,""),LEN(Y1563)-LEN(SUBSTITUTE(SUBSTITUTE(SUBSTITUTE(SUBSTITUTE(SUBSTITUTE(Y1563,"|}","--"),"{|","--"),CHAR(10),""),"、",""),"|",""))+IF(AND(OR(J1563="EI",J1563="EO",J1563="EQ"),$AE$1="NESMA"),2,1)))</f>
        <v/>
      </c>
      <c r="P1563" s="86">
        <f>IF(J1563="EI",IF(OR(Y1563="估算法",Y1563="算法类"),"中",IF(Y1563="无法识别","低",IF(M1563&lt;2,IF(O1563&lt;16,"低","中"),IF(M1563&lt;3,IF(O1563&lt;5,"低",IF(O1563&lt;16,"中","高")),IF(O1563&lt;5,"中","高"))))),IF(OR(J1563="EO",J1563="EQ"),IF(OR(Y1563="估算法",Y1563="算法类"),"中",IF(Y1563="无法识别","低",IF(M1563&lt;2,IF(O1563&lt;20,"低","中"),IF(M1563&lt;4,IF(O1563&lt;6,"低",IF(O1563&lt;20,"中","高")),IF(O1563&lt;6,"中","高"))))),IF(OR(J1563="ILF",J1563="EIF"),IF(OR(Y1563="估算法",Y1563="算法类",Y1563="无法识别"),"低",IF(N1563&lt;2,IF(O1563&lt;51,"低","中"),IF(N1563&lt;6,IF(O1563&lt;20,"低",IF(O1563&lt;51,"中","高")),IF(O1563&lt;20,"中","高")))),"不计算")))</f>
        <v/>
      </c>
      <c r="Q1563" s="172">
        <f>IFERROR(IF(J1563="EI",IF(P1563="低",3,IF(P1563="中",4,6)),IF(J1563="EO",IF(P1563="低",4,IF(P1563="中",5,7)),IF(J1563="EQ",IF(P1563="低",3,IF(P1563="中",4,6)),IF(J1563="ILF",IF(P1563="低",7,IF(P1563="中",10,15)),IF(J1563="EIF",IF(P1563="低",5,IF(P1563="中",7,10)),"不计算")))))*R1563,"不计算")</f>
        <v/>
      </c>
      <c r="R1563" s="172" t="n">
        <v>1</v>
      </c>
      <c r="S1563" s="173">
        <f>调整因子!$F$13</f>
        <v/>
      </c>
      <c r="T1563" s="92" t="n">
        <v>1</v>
      </c>
      <c r="U1563" s="174">
        <f>IFERROR(Q1563*S1563,0)</f>
        <v/>
      </c>
      <c r="V1563" s="178">
        <f>U1563*T1563</f>
        <v/>
      </c>
      <c r="W1563" s="103" t="inlineStr"/>
      <c r="X1563" s="103" t="inlineStr">
        <is>
          <t>配置项</t>
        </is>
      </c>
      <c r="Y1563" s="97" t="inlineStr">
        <is>
          <t>接口监控配置表{配置ID、配置名称、配置类型|配置ID、配置名称、配置类型、配置值、创建时间}</t>
        </is>
      </c>
      <c r="Z1563" s="90">
        <f>IF(COUNTIFS(W:W,"*"&amp;I1563&amp;"*")&gt;0,"存在","不存在")</f>
        <v/>
      </c>
      <c r="AA1563" s="90">
        <f>IF(COUNTIFS(AB:AB,"*"&amp;I1563&amp;"*")&gt;0,"存在","不存在")</f>
        <v/>
      </c>
    </row>
    <row r="1564" s="112">
      <c r="A1564" s="72">
        <f>ROW()-1</f>
        <v/>
      </c>
      <c r="B1564" s="175" t="n"/>
      <c r="C1564" s="124" t="n">
        <v>2026</v>
      </c>
      <c r="E1564" s="103" t="n"/>
      <c r="F1564" s="175" t="n"/>
      <c r="G1564" s="175" t="n"/>
      <c r="H1564" s="175" t="n"/>
      <c r="I1564" s="103" t="inlineStr">
        <is>
          <t>调用统计表</t>
        </is>
      </c>
      <c r="J1564" s="93" t="inlineStr">
        <is>
          <t>ILF</t>
        </is>
      </c>
      <c r="K1564" s="102" t="n"/>
      <c r="L1564" s="102" t="n"/>
      <c r="M1564" s="85">
        <f>IF(OR(Y1564="估算法",Y1564="算法类",Y1564="无法识别"),"",IF(W1564="",IF(OR(J1564="EI",J1564="EO",J1564="EQ"),0,""),LEN(W1564)-LEN(SUBSTITUTE(W1564,"、",""))+1))</f>
        <v/>
      </c>
      <c r="N1564" s="85">
        <f>IF(OR(Y1564="估算法",Y1564="算法类",Y1564="无法识别"),"",IF(X1564="",IF(OR(J1564="ILF",J1564="EIF"),0,""),LEN(X1564)-LEN(SUBSTITUTE(X1564,"、",""))+1))</f>
        <v/>
      </c>
      <c r="O1564" s="85">
        <f>IF(OR(Y1564="估算法",Y1564="算法类",Y1564="无法识别"),"",IF(Y1564="",IF(OR(J1564="ILF",J1564="EIF",J1564="EI",J1564="EO",J1564="EQ"),0,""),LEN(Y1564)-LEN(SUBSTITUTE(SUBSTITUTE(SUBSTITUTE(SUBSTITUTE(SUBSTITUTE(Y1564,"|}","--"),"{|","--"),CHAR(10),""),"、",""),"|",""))+IF(AND(OR(J1564="EI",J1564="EO",J1564="EQ"),$AE$1="NESMA"),2,1)))</f>
        <v/>
      </c>
      <c r="P1564" s="86">
        <f>IF(J1564="EI",IF(OR(Y1564="估算法",Y1564="算法类"),"中",IF(Y1564="无法识别","低",IF(M1564&lt;2,IF(O1564&lt;16,"低","中"),IF(M1564&lt;3,IF(O1564&lt;5,"低",IF(O1564&lt;16,"中","高")),IF(O1564&lt;5,"中","高"))))),IF(OR(J1564="EO",J1564="EQ"),IF(OR(Y1564="估算法",Y1564="算法类"),"中",IF(Y1564="无法识别","低",IF(M1564&lt;2,IF(O1564&lt;20,"低","中"),IF(M1564&lt;4,IF(O1564&lt;6,"低",IF(O1564&lt;20,"中","高")),IF(O1564&lt;6,"中","高"))))),IF(OR(J1564="ILF",J1564="EIF"),IF(OR(Y1564="估算法",Y1564="算法类",Y1564="无法识别"),"低",IF(N1564&lt;2,IF(O1564&lt;51,"低","中"),IF(N1564&lt;6,IF(O1564&lt;20,"低",IF(O1564&lt;51,"中","高")),IF(O1564&lt;20,"中","高")))),"不计算")))</f>
        <v/>
      </c>
      <c r="Q1564" s="172">
        <f>IFERROR(IF(J1564="EI",IF(P1564="低",3,IF(P1564="中",4,6)),IF(J1564="EO",IF(P1564="低",4,IF(P1564="中",5,7)),IF(J1564="EQ",IF(P1564="低",3,IF(P1564="中",4,6)),IF(J1564="ILF",IF(P1564="低",7,IF(P1564="中",10,15)),IF(J1564="EIF",IF(P1564="低",5,IF(P1564="中",7,10)),"不计算")))))*R1564,"不计算")</f>
        <v/>
      </c>
      <c r="R1564" s="172" t="n">
        <v>1</v>
      </c>
      <c r="S1564" s="173">
        <f>调整因子!$F$13</f>
        <v/>
      </c>
      <c r="T1564" s="92" t="n">
        <v>1</v>
      </c>
      <c r="U1564" s="174">
        <f>IFERROR(Q1564*S1564,0)</f>
        <v/>
      </c>
      <c r="V1564" s="178">
        <f>U1564*T1564</f>
        <v/>
      </c>
      <c r="W1564" s="103" t="inlineStr"/>
      <c r="X1564" s="103" t="inlineStr">
        <is>
          <t>数据记录</t>
        </is>
      </c>
      <c r="Y1564" s="97" t="inlineStr">
        <is>
          <t>调用统计表{ID、名称、类型|ID、名称、类型、状态、创建时间、更新时间}</t>
        </is>
      </c>
      <c r="Z1564" s="90">
        <f>IF(COUNTIFS(W:W,"*"&amp;I1564&amp;"*")&gt;0,"存在","不存在")</f>
        <v/>
      </c>
      <c r="AA1564" s="90">
        <f>IF(COUNTIFS(AB:AB,"*"&amp;I1564&amp;"*")&gt;0,"存在","不存在")</f>
        <v/>
      </c>
    </row>
    <row r="1565" s="112">
      <c r="A1565" s="72">
        <f>ROW()-1</f>
        <v/>
      </c>
      <c r="B1565" s="175" t="n"/>
      <c r="C1565" s="124" t="n">
        <v>2026</v>
      </c>
      <c r="E1565" s="103" t="n"/>
      <c r="F1565" s="175" t="n"/>
      <c r="G1565" s="175" t="n"/>
      <c r="H1565" s="175" t="n"/>
      <c r="I1565" s="103" t="inlineStr">
        <is>
          <t>性能数据表</t>
        </is>
      </c>
      <c r="J1565" s="93" t="inlineStr">
        <is>
          <t>ILF</t>
        </is>
      </c>
      <c r="K1565" s="102" t="n"/>
      <c r="L1565" s="102" t="n"/>
      <c r="M1565" s="85">
        <f>IF(OR(Y1565="估算法",Y1565="算法类",Y1565="无法识别"),"",IF(W1565="",IF(OR(J1565="EI",J1565="EO",J1565="EQ"),0,""),LEN(W1565)-LEN(SUBSTITUTE(W1565,"、",""))+1))</f>
        <v/>
      </c>
      <c r="N1565" s="85">
        <f>IF(OR(Y1565="估算法",Y1565="算法类",Y1565="无法识别"),"",IF(X1565="",IF(OR(J1565="ILF",J1565="EIF"),0,""),LEN(X1565)-LEN(SUBSTITUTE(X1565,"、",""))+1))</f>
        <v/>
      </c>
      <c r="O1565" s="85">
        <f>IF(OR(Y1565="估算法",Y1565="算法类",Y1565="无法识别"),"",IF(Y1565="",IF(OR(J1565="ILF",J1565="EIF",J1565="EI",J1565="EO",J1565="EQ"),0,""),LEN(Y1565)-LEN(SUBSTITUTE(SUBSTITUTE(SUBSTITUTE(SUBSTITUTE(SUBSTITUTE(Y1565,"|}","--"),"{|","--"),CHAR(10),""),"、",""),"|",""))+IF(AND(OR(J1565="EI",J1565="EO",J1565="EQ"),$AE$1="NESMA"),2,1)))</f>
        <v/>
      </c>
      <c r="P1565" s="86">
        <f>IF(J1565="EI",IF(OR(Y1565="估算法",Y1565="算法类"),"中",IF(Y1565="无法识别","低",IF(M1565&lt;2,IF(O1565&lt;16,"低","中"),IF(M1565&lt;3,IF(O1565&lt;5,"低",IF(O1565&lt;16,"中","高")),IF(O1565&lt;5,"中","高"))))),IF(OR(J1565="EO",J1565="EQ"),IF(OR(Y1565="估算法",Y1565="算法类"),"中",IF(Y1565="无法识别","低",IF(M1565&lt;2,IF(O1565&lt;20,"低","中"),IF(M1565&lt;4,IF(O1565&lt;6,"低",IF(O1565&lt;20,"中","高")),IF(O1565&lt;6,"中","高"))))),IF(OR(J1565="ILF",J1565="EIF"),IF(OR(Y1565="估算法",Y1565="算法类",Y1565="无法识别"),"低",IF(N1565&lt;2,IF(O1565&lt;51,"低","中"),IF(N1565&lt;6,IF(O1565&lt;20,"低",IF(O1565&lt;51,"中","高")),IF(O1565&lt;20,"中","高")))),"不计算")))</f>
        <v/>
      </c>
      <c r="Q1565" s="172">
        <f>IFERROR(IF(J1565="EI",IF(P1565="低",3,IF(P1565="中",4,6)),IF(J1565="EO",IF(P1565="低",4,IF(P1565="中",5,7)),IF(J1565="EQ",IF(P1565="低",3,IF(P1565="中",4,6)),IF(J1565="ILF",IF(P1565="低",7,IF(P1565="中",10,15)),IF(J1565="EIF",IF(P1565="低",5,IF(P1565="中",7,10)),"不计算")))))*R1565,"不计算")</f>
        <v/>
      </c>
      <c r="R1565" s="172" t="n">
        <v>1</v>
      </c>
      <c r="S1565" s="173">
        <f>调整因子!$F$13</f>
        <v/>
      </c>
      <c r="T1565" s="93" t="n">
        <v>1</v>
      </c>
      <c r="U1565" s="174">
        <f>IFERROR(Q1565*S1565,0)</f>
        <v/>
      </c>
      <c r="V1565" s="178">
        <f>U1565*T1565</f>
        <v/>
      </c>
      <c r="W1565" s="103" t="inlineStr"/>
      <c r="X1565" s="103" t="inlineStr">
        <is>
          <t>数据记录</t>
        </is>
      </c>
      <c r="Y1565" s="97" t="inlineStr">
        <is>
          <t>性能数据表{ID、名称、类型|ID、名称、类型、状态、创建时间、更新时间}</t>
        </is>
      </c>
      <c r="Z1565" s="90">
        <f>IF(COUNTIFS(W:W,"*"&amp;I1565&amp;"*")&gt;0,"存在","不存在")</f>
        <v/>
      </c>
      <c r="AA1565" s="90">
        <f>IF(COUNTIFS(AB:AB,"*"&amp;I1565&amp;"*")&gt;0,"存在","不存在")</f>
        <v/>
      </c>
    </row>
    <row r="1566" s="112">
      <c r="A1566" s="72">
        <f>ROW()-1</f>
        <v/>
      </c>
      <c r="B1566" s="175" t="n"/>
      <c r="C1566" s="124" t="n">
        <v>2026</v>
      </c>
      <c r="E1566" s="103" t="n"/>
      <c r="F1566" s="175" t="n"/>
      <c r="G1566" s="175" t="n"/>
      <c r="H1566" s="175" t="n"/>
      <c r="I1566" s="103" t="inlineStr">
        <is>
          <t>配置监控策略</t>
        </is>
      </c>
      <c r="J1566" s="93" t="inlineStr">
        <is>
          <t>EI</t>
        </is>
      </c>
      <c r="K1566" s="102" t="n"/>
      <c r="L1566" s="102" t="n"/>
      <c r="M1566" s="85">
        <f>IF(OR(Y1566="估算法",Y1566="算法类",Y1566="无法识别"),"",IF(W1566="",IF(OR(J1566="EI",J1566="EO",J1566="EQ"),0,""),LEN(W1566)-LEN(SUBSTITUTE(W1566,"、",""))+1))</f>
        <v/>
      </c>
      <c r="N1566" s="85">
        <f>IF(OR(Y1566="估算法",Y1566="算法类",Y1566="无法识别"),"",IF(X1566="",IF(OR(J1566="ILF",J1566="EIF"),0,""),LEN(X1566)-LEN(SUBSTITUTE(X1566,"、",""))+1))</f>
        <v/>
      </c>
      <c r="O1566" s="85">
        <f>IF(OR(Y1566="估算法",Y1566="算法类",Y1566="无法识别"),"",IF(Y1566="",IF(OR(J1566="ILF",J1566="EIF",J1566="EI",J1566="EO",J1566="EQ"),0,""),LEN(Y1566)-LEN(SUBSTITUTE(SUBSTITUTE(SUBSTITUTE(SUBSTITUTE(SUBSTITUTE(Y1566,"|}","--"),"{|","--"),CHAR(10),""),"、",""),"|",""))+IF(AND(OR(J1566="EI",J1566="EO",J1566="EQ"),$AE$1="NESMA"),2,1)))</f>
        <v/>
      </c>
      <c r="P1566" s="86">
        <f>IF(J1566="EI",IF(OR(Y1566="估算法",Y1566="算法类"),"中",IF(Y1566="无法识别","低",IF(M1566&lt;2,IF(O1566&lt;16,"低","中"),IF(M1566&lt;3,IF(O1566&lt;5,"低",IF(O1566&lt;16,"中","高")),IF(O1566&lt;5,"中","高"))))),IF(OR(J1566="EO",J1566="EQ"),IF(OR(Y1566="估算法",Y1566="算法类"),"中",IF(Y1566="无法识别","低",IF(M1566&lt;2,IF(O1566&lt;20,"低","中"),IF(M1566&lt;4,IF(O1566&lt;6,"低",IF(O1566&lt;20,"中","高")),IF(O1566&lt;6,"中","高"))))),IF(OR(J1566="ILF",J1566="EIF"),IF(OR(Y1566="估算法",Y1566="算法类",Y1566="无法识别"),"低",IF(N1566&lt;2,IF(O1566&lt;51,"低","中"),IF(N1566&lt;6,IF(O1566&lt;20,"低",IF(O1566&lt;51,"中","高")),IF(O1566&lt;20,"中","高")))),"不计算")))</f>
        <v/>
      </c>
      <c r="Q1566" s="172">
        <f>IFERROR(IF(J1566="EI",IF(P1566="低",3,IF(P1566="中",4,6)),IF(J1566="EO",IF(P1566="低",4,IF(P1566="中",5,7)),IF(J1566="EQ",IF(P1566="低",3,IF(P1566="中",4,6)),IF(J1566="ILF",IF(P1566="低",7,IF(P1566="中",10,15)),IF(J1566="EIF",IF(P1566="低",5,IF(P1566="中",7,10)),"不计算")))))*R1566,"不计算")</f>
        <v/>
      </c>
      <c r="R1566" s="172" t="n">
        <v>1</v>
      </c>
      <c r="S1566" s="173">
        <f>调整因子!$F$13</f>
        <v/>
      </c>
      <c r="T1566" s="93" t="n">
        <v>1</v>
      </c>
      <c r="U1566" s="174">
        <f>IFERROR(Q1566*S1566,0)</f>
        <v/>
      </c>
      <c r="V1566" s="178">
        <f>U1566*T1566</f>
        <v/>
      </c>
      <c r="W1566" s="103" t="inlineStr">
        <is>
          <t>任务优先级配置表</t>
        </is>
      </c>
      <c r="X1566" s="103" t="inlineStr"/>
      <c r="Y1566" s="97" t="inlineStr">
        <is>
          <t>任务优先级配置表{任务ID、任务名称、任务类型、任务状态、创建时间、执行时间|任务ID、任务名称、任务类型}</t>
        </is>
      </c>
      <c r="Z1566" s="90" t="n"/>
      <c r="AA1566" s="90" t="n"/>
    </row>
    <row r="1567" s="112">
      <c r="A1567" s="72">
        <f>ROW()-1</f>
        <v/>
      </c>
      <c r="B1567" s="175" t="n"/>
      <c r="C1567" s="124" t="n">
        <v>2026</v>
      </c>
      <c r="E1567" s="103" t="n"/>
      <c r="F1567" s="175" t="n"/>
      <c r="G1567" s="175" t="n"/>
      <c r="H1567" s="175" t="n"/>
      <c r="I1567" s="103" t="inlineStr">
        <is>
          <t>编辑监控策略</t>
        </is>
      </c>
      <c r="J1567" s="93" t="inlineStr">
        <is>
          <t>EI</t>
        </is>
      </c>
      <c r="K1567" s="102" t="n"/>
      <c r="L1567" s="102" t="n"/>
      <c r="M1567" s="85">
        <f>IF(OR(Y1567="估算法",Y1567="算法类",Y1567="无法识别"),"",IF(W1567="",IF(OR(J1567="EI",J1567="EO",J1567="EQ"),0,""),LEN(W1567)-LEN(SUBSTITUTE(W1567,"、",""))+1))</f>
        <v/>
      </c>
      <c r="N1567" s="85">
        <f>IF(OR(Y1567="估算法",Y1567="算法类",Y1567="无法识别"),"",IF(X1567="",IF(OR(J1567="ILF",J1567="EIF"),0,""),LEN(X1567)-LEN(SUBSTITUTE(X1567,"、",""))+1))</f>
        <v/>
      </c>
      <c r="O1567" s="85">
        <f>IF(OR(Y1567="估算法",Y1567="算法类",Y1567="无法识别"),"",IF(Y1567="",IF(OR(J1567="ILF",J1567="EIF",J1567="EI",J1567="EO",J1567="EQ"),0,""),LEN(Y1567)-LEN(SUBSTITUTE(SUBSTITUTE(SUBSTITUTE(SUBSTITUTE(SUBSTITUTE(Y1567,"|}","--"),"{|","--"),CHAR(10),""),"、",""),"|",""))+IF(AND(OR(J1567="EI",J1567="EO",J1567="EQ"),$AE$1="NESMA"),2,1)))</f>
        <v/>
      </c>
      <c r="P1567" s="86">
        <f>IF(J1567="EI",IF(OR(Y1567="估算法",Y1567="算法类"),"中",IF(Y1567="无法识别","低",IF(M1567&lt;2,IF(O1567&lt;16,"低","中"),IF(M1567&lt;3,IF(O1567&lt;5,"低",IF(O1567&lt;16,"中","高")),IF(O1567&lt;5,"中","高"))))),IF(OR(J1567="EO",J1567="EQ"),IF(OR(Y1567="估算法",Y1567="算法类"),"中",IF(Y1567="无法识别","低",IF(M1567&lt;2,IF(O1567&lt;20,"低","中"),IF(M1567&lt;4,IF(O1567&lt;6,"低",IF(O1567&lt;20,"中","高")),IF(O1567&lt;6,"中","高"))))),IF(OR(J1567="ILF",J1567="EIF"),IF(OR(Y1567="估算法",Y1567="算法类",Y1567="无法识别"),"低",IF(N1567&lt;2,IF(O1567&lt;51,"低","中"),IF(N1567&lt;6,IF(O1567&lt;20,"低",IF(O1567&lt;51,"中","高")),IF(O1567&lt;20,"中","高")))),"不计算")))</f>
        <v/>
      </c>
      <c r="Q1567" s="172">
        <f>IFERROR(IF(J1567="EI",IF(P1567="低",3,IF(P1567="中",4,6)),IF(J1567="EO",IF(P1567="低",4,IF(P1567="中",5,7)),IF(J1567="EQ",IF(P1567="低",3,IF(P1567="中",4,6)),IF(J1567="ILF",IF(P1567="低",7,IF(P1567="中",10,15)),IF(J1567="EIF",IF(P1567="低",5,IF(P1567="中",7,10)),"不计算")))))*R1567,"不计算")</f>
        <v/>
      </c>
      <c r="R1567" s="172" t="n">
        <v>1</v>
      </c>
      <c r="S1567" s="173">
        <f>调整因子!$F$13</f>
        <v/>
      </c>
      <c r="T1567" s="92" t="n">
        <v>1</v>
      </c>
      <c r="U1567" s="174">
        <f>IFERROR(Q1567*S1567,0)</f>
        <v/>
      </c>
      <c r="V1567" s="178">
        <f>U1567*T1567</f>
        <v/>
      </c>
      <c r="W1567" s="103" t="inlineStr">
        <is>
          <t>扫描策略模板表</t>
        </is>
      </c>
      <c r="X1567" s="103" t="inlineStr"/>
      <c r="Y1567" s="97" t="inlineStr">
        <is>
          <t>扫描策略模板表{任务ID、任务名称、任务状态、扫描器类型、开始时间、结束时间、扫描结果|任务ID、任务名称、任务状态}</t>
        </is>
      </c>
      <c r="Z1567" s="90" t="n"/>
      <c r="AA1567" s="90" t="n"/>
    </row>
    <row r="1568" s="112">
      <c r="A1568" s="72">
        <f>ROW()-1</f>
        <v/>
      </c>
      <c r="B1568" s="175" t="n"/>
      <c r="C1568" s="124" t="n">
        <v>2026</v>
      </c>
      <c r="E1568" s="103" t="n"/>
      <c r="F1568" s="175" t="n"/>
      <c r="G1568" s="175" t="n"/>
      <c r="H1568" s="175" t="n"/>
      <c r="I1568" s="103" t="inlineStr">
        <is>
          <t>删除监控策略</t>
        </is>
      </c>
      <c r="J1568" s="93" t="inlineStr">
        <is>
          <t>EI</t>
        </is>
      </c>
      <c r="K1568" s="102" t="n"/>
      <c r="L1568" s="102" t="n"/>
      <c r="M1568" s="85">
        <f>IF(OR(Y1568="估算法",Y1568="算法类",Y1568="无法识别"),"",IF(W1568="",IF(OR(J1568="EI",J1568="EO",J1568="EQ"),0,""),LEN(W1568)-LEN(SUBSTITUTE(W1568,"、",""))+1))</f>
        <v/>
      </c>
      <c r="N1568" s="85">
        <f>IF(OR(Y1568="估算法",Y1568="算法类",Y1568="无法识别"),"",IF(X1568="",IF(OR(J1568="ILF",J1568="EIF"),0,""),LEN(X1568)-LEN(SUBSTITUTE(X1568,"、",""))+1))</f>
        <v/>
      </c>
      <c r="O1568" s="85">
        <f>IF(OR(Y1568="估算法",Y1568="算法类",Y1568="无法识别"),"",IF(Y1568="",IF(OR(J1568="ILF",J1568="EIF",J1568="EI",J1568="EO",J1568="EQ"),0,""),LEN(Y1568)-LEN(SUBSTITUTE(SUBSTITUTE(SUBSTITUTE(SUBSTITUTE(SUBSTITUTE(Y1568,"|}","--"),"{|","--"),CHAR(10),""),"、",""),"|",""))+IF(AND(OR(J1568="EI",J1568="EO",J1568="EQ"),$AE$1="NESMA"),2,1)))</f>
        <v/>
      </c>
      <c r="P1568" s="86">
        <f>IF(J1568="EI",IF(OR(Y1568="估算法",Y1568="算法类"),"中",IF(Y1568="无法识别","低",IF(M1568&lt;2,IF(O1568&lt;16,"低","中"),IF(M1568&lt;3,IF(O1568&lt;5,"低",IF(O1568&lt;16,"中","高")),IF(O1568&lt;5,"中","高"))))),IF(OR(J1568="EO",J1568="EQ"),IF(OR(Y1568="估算法",Y1568="算法类"),"中",IF(Y1568="无法识别","低",IF(M1568&lt;2,IF(O1568&lt;20,"低","中"),IF(M1568&lt;4,IF(O1568&lt;6,"低",IF(O1568&lt;20,"中","高")),IF(O1568&lt;6,"中","高"))))),IF(OR(J1568="ILF",J1568="EIF"),IF(OR(Y1568="估算法",Y1568="算法类",Y1568="无法识别"),"低",IF(N1568&lt;2,IF(O1568&lt;51,"低","中"),IF(N1568&lt;6,IF(O1568&lt;20,"低",IF(O1568&lt;51,"中","高")),IF(O1568&lt;20,"中","高")))),"不计算")))</f>
        <v/>
      </c>
      <c r="Q1568" s="172">
        <f>IFERROR(IF(J1568="EI",IF(P1568="低",3,IF(P1568="中",4,6)),IF(J1568="EO",IF(P1568="低",4,IF(P1568="中",5,7)),IF(J1568="EQ",IF(P1568="低",3,IF(P1568="中",4,6)),IF(J1568="ILF",IF(P1568="低",7,IF(P1568="中",10,15)),IF(J1568="EIF",IF(P1568="低",5,IF(P1568="中",7,10)),"不计算")))))*R1568,"不计算")</f>
        <v/>
      </c>
      <c r="R1568" s="172" t="n">
        <v>0.333333333333333</v>
      </c>
      <c r="S1568" s="173">
        <f>调整因子!$F$13</f>
        <v/>
      </c>
      <c r="T1568" s="92" t="n">
        <v>1</v>
      </c>
      <c r="U1568" s="174">
        <f>IFERROR(Q1568*S1568,0)</f>
        <v/>
      </c>
      <c r="V1568" s="178">
        <f>U1568*T1568</f>
        <v/>
      </c>
      <c r="W1568" s="103" t="inlineStr">
        <is>
          <t>扫描策略模板表、提醒策略配置表</t>
        </is>
      </c>
      <c r="X1568" s="103" t="inlineStr"/>
      <c r="Y1568" s="97" t="inlineStr">
        <is>
          <t>扫描策略模板表{任务ID、任务名称、任务状态、扫描器类型、开始时间、结束时间、扫描结果|任务ID、任务名称、任务状态}
提醒策略配置表{配置ID、配置名称、配置类型、配置值、创建时间|配置ID、配置名称、配置类型}</t>
        </is>
      </c>
      <c r="Z1568" s="90" t="n"/>
      <c r="AA1568" s="90" t="n"/>
    </row>
    <row r="1569" s="112">
      <c r="A1569" s="72">
        <f>ROW()-1</f>
        <v/>
      </c>
      <c r="B1569" s="175" t="n"/>
      <c r="C1569" s="124" t="n">
        <v>2026</v>
      </c>
      <c r="E1569" s="103" t="n"/>
      <c r="F1569" s="175" t="n"/>
      <c r="G1569" s="175" t="n"/>
      <c r="H1569" s="175" t="n"/>
      <c r="I1569" s="103" t="inlineStr">
        <is>
          <t>启用接口监控</t>
        </is>
      </c>
      <c r="J1569" s="93" t="inlineStr">
        <is>
          <t>EI</t>
        </is>
      </c>
      <c r="K1569" s="102" t="n"/>
      <c r="L1569" s="102" t="n"/>
      <c r="M1569" s="85">
        <f>IF(OR(Y1569="估算法",Y1569="算法类",Y1569="无法识别"),"",IF(W1569="",IF(OR(J1569="EI",J1569="EO",J1569="EQ"),0,""),LEN(W1569)-LEN(SUBSTITUTE(W1569,"、",""))+1))</f>
        <v/>
      </c>
      <c r="N1569" s="85">
        <f>IF(OR(Y1569="估算法",Y1569="算法类",Y1569="无法识别"),"",IF(X1569="",IF(OR(J1569="ILF",J1569="EIF"),0,""),LEN(X1569)-LEN(SUBSTITUTE(X1569,"、",""))+1))</f>
        <v/>
      </c>
      <c r="O1569" s="85">
        <f>IF(OR(Y1569="估算法",Y1569="算法类",Y1569="无法识别"),"",IF(Y1569="",IF(OR(J1569="ILF",J1569="EIF",J1569="EI",J1569="EO",J1569="EQ"),0,""),LEN(Y1569)-LEN(SUBSTITUTE(SUBSTITUTE(SUBSTITUTE(SUBSTITUTE(SUBSTITUTE(Y1569,"|}","--"),"{|","--"),CHAR(10),""),"、",""),"|",""))+IF(AND(OR(J1569="EI",J1569="EO",J1569="EQ"),$AE$1="NESMA"),2,1)))</f>
        <v/>
      </c>
      <c r="P1569" s="86">
        <f>IF(J1569="EI",IF(OR(Y1569="估算法",Y1569="算法类"),"中",IF(Y1569="无法识别","低",IF(M1569&lt;2,IF(O1569&lt;16,"低","中"),IF(M1569&lt;3,IF(O1569&lt;5,"低",IF(O1569&lt;16,"中","高")),IF(O1569&lt;5,"中","高"))))),IF(OR(J1569="EO",J1569="EQ"),IF(OR(Y1569="估算法",Y1569="算法类"),"中",IF(Y1569="无法识别","低",IF(M1569&lt;2,IF(O1569&lt;20,"低","中"),IF(M1569&lt;4,IF(O1569&lt;6,"低",IF(O1569&lt;20,"中","高")),IF(O1569&lt;6,"中","高"))))),IF(OR(J1569="ILF",J1569="EIF"),IF(OR(Y1569="估算法",Y1569="算法类",Y1569="无法识别"),"低",IF(N1569&lt;2,IF(O1569&lt;51,"低","中"),IF(N1569&lt;6,IF(O1569&lt;20,"低",IF(O1569&lt;51,"中","高")),IF(O1569&lt;20,"中","高")))),"不计算")))</f>
        <v/>
      </c>
      <c r="Q1569" s="172">
        <f>IFERROR(IF(J1569="EI",IF(P1569="低",3,IF(P1569="中",4,6)),IF(J1569="EO",IF(P1569="低",4,IF(P1569="中",5,7)),IF(J1569="EQ",IF(P1569="低",3,IF(P1569="中",4,6)),IF(J1569="ILF",IF(P1569="低",7,IF(P1569="中",10,15)),IF(J1569="EIF",IF(P1569="低",5,IF(P1569="中",7,10)),"不计算")))))*R1569,"不计算")</f>
        <v/>
      </c>
      <c r="R1569" s="172" t="n">
        <v>1</v>
      </c>
      <c r="S1569" s="173">
        <f>调整因子!$F$13</f>
        <v/>
      </c>
      <c r="T1569" s="93" t="n">
        <v>1</v>
      </c>
      <c r="U1569" s="174">
        <f>IFERROR(Q1569*S1569,0)</f>
        <v/>
      </c>
      <c r="V1569" s="178">
        <f>U1569*T1569</f>
        <v/>
      </c>
      <c r="W1569" s="103" t="inlineStr">
        <is>
          <t>提醒规则表、报告解析结果表</t>
        </is>
      </c>
      <c r="X1569" s="103" t="inlineStr"/>
      <c r="Y1569" s="97" t="inlineStr">
        <is>
          <t>提醒规则表{规则ID、规则名称、规则类型、规则条件、创建时间|规则ID、规则名称、规则类型}
报告解析结果表{ID、名称、类型、状态、创建时间、更新时间|ID、名称、类型}</t>
        </is>
      </c>
      <c r="Z1569" s="90" t="n"/>
      <c r="AA1569" s="90" t="n"/>
    </row>
    <row r="1570" s="112">
      <c r="A1570" s="72">
        <f>ROW()-1</f>
        <v/>
      </c>
      <c r="B1570" s="175" t="n"/>
      <c r="C1570" s="124" t="n">
        <v>2026</v>
      </c>
      <c r="E1570" s="103" t="n"/>
      <c r="F1570" s="175" t="n"/>
      <c r="G1570" s="175" t="n"/>
      <c r="H1570" s="175" t="n"/>
      <c r="I1570" s="103" t="inlineStr">
        <is>
          <t>停用接口监控</t>
        </is>
      </c>
      <c r="J1570" s="93" t="n"/>
      <c r="K1570" s="102" t="n"/>
      <c r="L1570" s="102" t="inlineStr">
        <is>
          <t>和上行合并，启停为相同功能</t>
        </is>
      </c>
      <c r="M1570" s="85">
        <f>IF(OR(Y1570="估算法",Y1570="算法类",Y1570="无法识别"),"",IF(W1570="",IF(OR(J1570="EI",J1570="EO",J1570="EQ"),0,""),LEN(W1570)-LEN(SUBSTITUTE(W1570,"、",""))+1))</f>
        <v/>
      </c>
      <c r="N1570" s="85">
        <f>IF(OR(Y1570="估算法",Y1570="算法类",Y1570="无法识别"),"",IF(X1570="",IF(OR(J1570="ILF",J1570="EIF"),0,""),LEN(X1570)-LEN(SUBSTITUTE(X1570,"、",""))+1))</f>
        <v/>
      </c>
      <c r="O1570" s="85">
        <f>IF(OR(Y1570="估算法",Y1570="算法类",Y1570="无法识别"),"",IF(Y1570="",IF(OR(J1570="ILF",J1570="EIF",J1570="EI",J1570="EO",J1570="EQ"),0,""),LEN(Y1570)-LEN(SUBSTITUTE(SUBSTITUTE(SUBSTITUTE(SUBSTITUTE(SUBSTITUTE(Y1570,"|}","--"),"{|","--"),CHAR(10),""),"、",""),"|",""))+IF(AND(OR(J1570="EI",J1570="EO",J1570="EQ"),$AE$1="NESMA"),2,1)))</f>
        <v/>
      </c>
      <c r="P1570" s="86">
        <f>IF(J1570="EI",IF(OR(Y1570="估算法",Y1570="算法类"),"中",IF(Y1570="无法识别","低",IF(M1570&lt;2,IF(O1570&lt;16,"低","中"),IF(M1570&lt;3,IF(O1570&lt;5,"低",IF(O1570&lt;16,"中","高")),IF(O1570&lt;5,"中","高"))))),IF(OR(J1570="EO",J1570="EQ"),IF(OR(Y1570="估算法",Y1570="算法类"),"中",IF(Y1570="无法识别","低",IF(M1570&lt;2,IF(O1570&lt;20,"低","中"),IF(M1570&lt;4,IF(O1570&lt;6,"低",IF(O1570&lt;20,"中","高")),IF(O1570&lt;6,"中","高"))))),IF(OR(J1570="ILF",J1570="EIF"),IF(OR(Y1570="估算法",Y1570="算法类",Y1570="无法识别"),"低",IF(N1570&lt;2,IF(O1570&lt;51,"低","中"),IF(N1570&lt;6,IF(O1570&lt;20,"低",IF(O1570&lt;51,"中","高")),IF(O1570&lt;20,"中","高")))),"不计算")))</f>
        <v/>
      </c>
      <c r="Q1570" s="172">
        <f>IFERROR(IF(J1570="EI",IF(P1570="低",3,IF(P1570="中",4,6)),IF(J1570="EO",IF(P1570="低",4,IF(P1570="中",5,7)),IF(J1570="EQ",IF(P1570="低",3,IF(P1570="中",4,6)),IF(J1570="ILF",IF(P1570="低",7,IF(P1570="中",10,15)),IF(J1570="EIF",IF(P1570="低",5,IF(P1570="中",7,10)),"不计算")))))*R1570,"不计算")</f>
        <v/>
      </c>
      <c r="R1570" s="172" t="n">
        <v>1</v>
      </c>
      <c r="S1570" s="173">
        <f>调整因子!$F$13</f>
        <v/>
      </c>
      <c r="T1570" s="92" t="n">
        <v>1</v>
      </c>
      <c r="U1570" s="174">
        <f>IFERROR(Q1570*S1570,0)</f>
        <v/>
      </c>
      <c r="V1570" s="178">
        <f>U1570*T1570</f>
        <v/>
      </c>
      <c r="W1570" s="103" t="inlineStr">
        <is>
          <t>推送规则表</t>
        </is>
      </c>
      <c r="X1570" s="103" t="inlineStr"/>
      <c r="Y1570" s="97" t="inlineStr">
        <is>
          <t>推送规则表{规则ID、规则名称、规则类型、规则条件、创建时间|规则ID、规则名称、规则类型}</t>
        </is>
      </c>
      <c r="Z1570" s="90" t="n"/>
      <c r="AA1570" s="90" t="n"/>
    </row>
    <row r="1571" s="112">
      <c r="A1571" s="72">
        <f>ROW()-1</f>
        <v/>
      </c>
      <c r="B1571" s="175" t="n"/>
      <c r="C1571" s="124" t="n">
        <v>2026</v>
      </c>
      <c r="E1571" s="103" t="n"/>
      <c r="F1571" s="175" t="n"/>
      <c r="G1571" s="175" t="n"/>
      <c r="H1571" s="175" t="n"/>
      <c r="I1571" s="103" t="inlineStr">
        <is>
          <t>导出监控数据</t>
        </is>
      </c>
      <c r="J1571" s="93" t="inlineStr">
        <is>
          <t>EO</t>
        </is>
      </c>
      <c r="K1571" s="102" t="n"/>
      <c r="L1571" s="102" t="n"/>
      <c r="M1571" s="85">
        <f>IF(OR(Y1571="估算法",Y1571="算法类",Y1571="无法识别"),"",IF(W1571="",IF(OR(J1571="EI",J1571="EO",J1571="EQ"),0,""),LEN(W1571)-LEN(SUBSTITUTE(W1571,"、",""))+1))</f>
        <v/>
      </c>
      <c r="N1571" s="85">
        <f>IF(OR(Y1571="估算法",Y1571="算法类",Y1571="无法识别"),"",IF(X1571="",IF(OR(J1571="ILF",J1571="EIF"),0,""),LEN(X1571)-LEN(SUBSTITUTE(X1571,"、",""))+1))</f>
        <v/>
      </c>
      <c r="O1571" s="85">
        <f>IF(OR(Y1571="估算法",Y1571="算法类",Y1571="无法识别"),"",IF(Y1571="",IF(OR(J1571="ILF",J1571="EIF",J1571="EI",J1571="EO",J1571="EQ"),0,""),LEN(Y1571)-LEN(SUBSTITUTE(SUBSTITUTE(SUBSTITUTE(SUBSTITUTE(SUBSTITUTE(Y1571,"|}","--"),"{|","--"),CHAR(10),""),"、",""),"|",""))+IF(AND(OR(J1571="EI",J1571="EO",J1571="EQ"),$AE$1="NESMA"),2,1)))</f>
        <v/>
      </c>
      <c r="P1571" s="86">
        <f>IF(J1571="EI",IF(OR(Y1571="估算法",Y1571="算法类"),"中",IF(Y1571="无法识别","低",IF(M1571&lt;2,IF(O1571&lt;16,"低","中"),IF(M1571&lt;3,IF(O1571&lt;5,"低",IF(O1571&lt;16,"中","高")),IF(O1571&lt;5,"中","高"))))),IF(OR(J1571="EO",J1571="EQ"),IF(OR(Y1571="估算法",Y1571="算法类"),"中",IF(Y1571="无法识别","低",IF(M1571&lt;2,IF(O1571&lt;20,"低","中"),IF(M1571&lt;4,IF(O1571&lt;6,"低",IF(O1571&lt;20,"中","高")),IF(O1571&lt;6,"中","高"))))),IF(OR(J1571="ILF",J1571="EIF"),IF(OR(Y1571="估算法",Y1571="算法类",Y1571="无法识别"),"低",IF(N1571&lt;2,IF(O1571&lt;51,"低","中"),IF(N1571&lt;6,IF(O1571&lt;20,"低",IF(O1571&lt;51,"中","高")),IF(O1571&lt;20,"中","高")))),"不计算")))</f>
        <v/>
      </c>
      <c r="Q1571" s="172">
        <f>IFERROR(IF(J1571="EI",IF(P1571="低",3,IF(P1571="中",4,6)),IF(J1571="EO",IF(P1571="低",4,IF(P1571="中",5,7)),IF(J1571="EQ",IF(P1571="低",3,IF(P1571="中",4,6)),IF(J1571="ILF",IF(P1571="低",7,IF(P1571="中",10,15)),IF(J1571="EIF",IF(P1571="低",5,IF(P1571="中",7,10)),"不计算")))))*R1571,"不计算")</f>
        <v/>
      </c>
      <c r="R1571" s="172" t="n">
        <v>1</v>
      </c>
      <c r="S1571" s="173">
        <f>调整因子!$F$13</f>
        <v/>
      </c>
      <c r="T1571" s="92" t="n">
        <v>1</v>
      </c>
      <c r="U1571" s="174">
        <f>IFERROR(Q1571*S1571,0)</f>
        <v/>
      </c>
      <c r="V1571" s="178">
        <f>U1571*T1571</f>
        <v/>
      </c>
      <c r="W1571" s="103" t="inlineStr">
        <is>
          <t>考核指标配置表、报表模板表</t>
        </is>
      </c>
      <c r="X1571" s="103" t="inlineStr"/>
      <c r="Y1571" s="97" t="inlineStr">
        <is>
          <t>考核指标配置表{配置ID、配置名称|配置ID、配置名称、配置类型、配置值、创建时间}
报表模板表{报表ID、报表名称|报表ID、报表名称、报表类型、生成时间、报表内容}</t>
        </is>
      </c>
      <c r="Z1571" s="90" t="n"/>
      <c r="AA1571" s="90" t="n"/>
    </row>
    <row r="1572" s="112">
      <c r="A1572" s="72">
        <f>ROW()-1</f>
        <v/>
      </c>
      <c r="B1572" s="175" t="n"/>
      <c r="C1572" s="124" t="n">
        <v>2026</v>
      </c>
      <c r="E1572" s="103" t="n"/>
      <c r="F1572" s="175" t="n"/>
      <c r="G1572" s="175" t="n"/>
      <c r="H1572" s="175" t="n"/>
      <c r="I1572" s="103" t="inlineStr">
        <is>
          <t>推送监控告警</t>
        </is>
      </c>
      <c r="J1572" s="93" t="inlineStr">
        <is>
          <t>EO</t>
        </is>
      </c>
      <c r="K1572" s="102" t="n"/>
      <c r="L1572" s="102" t="n"/>
      <c r="M1572" s="85">
        <f>IF(OR(Y1572="估算法",Y1572="算法类",Y1572="无法识别"),"",IF(W1572="",IF(OR(J1572="EI",J1572="EO",J1572="EQ"),0,""),LEN(W1572)-LEN(SUBSTITUTE(W1572,"、",""))+1))</f>
        <v/>
      </c>
      <c r="N1572" s="85">
        <f>IF(OR(Y1572="估算法",Y1572="算法类",Y1572="无法识别"),"",IF(X1572="",IF(OR(J1572="ILF",J1572="EIF"),0,""),LEN(X1572)-LEN(SUBSTITUTE(X1572,"、",""))+1))</f>
        <v/>
      </c>
      <c r="O1572" s="85">
        <f>IF(OR(Y1572="估算法",Y1572="算法类",Y1572="无法识别"),"",IF(Y1572="",IF(OR(J1572="ILF",J1572="EIF",J1572="EI",J1572="EO",J1572="EQ"),0,""),LEN(Y1572)-LEN(SUBSTITUTE(SUBSTITUTE(SUBSTITUTE(SUBSTITUTE(SUBSTITUTE(Y1572,"|}","--"),"{|","--"),CHAR(10),""),"、",""),"|",""))+IF(AND(OR(J1572="EI",J1572="EO",J1572="EQ"),$AE$1="NESMA"),2,1)))</f>
        <v/>
      </c>
      <c r="P1572" s="86">
        <f>IF(J1572="EI",IF(OR(Y1572="估算法",Y1572="算法类"),"中",IF(Y1572="无法识别","低",IF(M1572&lt;2,IF(O1572&lt;16,"低","中"),IF(M1572&lt;3,IF(O1572&lt;5,"低",IF(O1572&lt;16,"中","高")),IF(O1572&lt;5,"中","高"))))),IF(OR(J1572="EO",J1572="EQ"),IF(OR(Y1572="估算法",Y1572="算法类"),"中",IF(Y1572="无法识别","低",IF(M1572&lt;2,IF(O1572&lt;20,"低","中"),IF(M1572&lt;4,IF(O1572&lt;6,"低",IF(O1572&lt;20,"中","高")),IF(O1572&lt;6,"中","高"))))),IF(OR(J1572="ILF",J1572="EIF"),IF(OR(Y1572="估算法",Y1572="算法类",Y1572="无法识别"),"低",IF(N1572&lt;2,IF(O1572&lt;51,"低","中"),IF(N1572&lt;6,IF(O1572&lt;20,"低",IF(O1572&lt;51,"中","高")),IF(O1572&lt;20,"中","高")))),"不计算")))</f>
        <v/>
      </c>
      <c r="Q1572" s="172">
        <f>IFERROR(IF(J1572="EI",IF(P1572="低",3,IF(P1572="中",4,6)),IF(J1572="EO",IF(P1572="低",4,IF(P1572="中",5,7)),IF(J1572="EQ",IF(P1572="低",3,IF(P1572="中",4,6)),IF(J1572="ILF",IF(P1572="低",7,IF(P1572="中",10,15)),IF(J1572="EIF",IF(P1572="低",5,IF(P1572="中",7,10)),"不计算")))))*R1572,"不计算")</f>
        <v/>
      </c>
      <c r="R1572" s="172" t="n">
        <v>1</v>
      </c>
      <c r="S1572" s="173">
        <f>调整因子!$F$13</f>
        <v/>
      </c>
      <c r="T1572" s="93" t="n">
        <v>1</v>
      </c>
      <c r="U1572" s="174">
        <f>IFERROR(Q1572*S1572,0)</f>
        <v/>
      </c>
      <c r="V1572" s="178">
        <f>U1572*T1572</f>
        <v/>
      </c>
      <c r="W1572" s="103" t="inlineStr">
        <is>
          <t>扫描盲区记录表</t>
        </is>
      </c>
      <c r="X1572" s="103" t="inlineStr"/>
      <c r="Y1572" s="97" t="inlineStr">
        <is>
          <t>扫描盲区记录表{任务ID、任务名称|任务ID、任务名称、任务状态、扫描器类型、开始时间、结束时间、扫描结果}</t>
        </is>
      </c>
      <c r="Z1572" s="90" t="n"/>
      <c r="AA1572" s="90" t="n"/>
    </row>
    <row r="1573" s="112">
      <c r="A1573" s="72">
        <f>ROW()-1</f>
        <v/>
      </c>
      <c r="B1573" s="175" t="n"/>
      <c r="C1573" s="124" t="n">
        <v>2026</v>
      </c>
      <c r="E1573" s="103" t="n"/>
      <c r="F1573" s="175" t="n"/>
      <c r="G1573" s="175" t="n"/>
      <c r="H1573" s="175" t="n"/>
      <c r="I1573" s="103" t="inlineStr">
        <is>
          <t>查询监控状态</t>
        </is>
      </c>
      <c r="J1573" s="93" t="inlineStr">
        <is>
          <t>EQ</t>
        </is>
      </c>
      <c r="K1573" s="102" t="n"/>
      <c r="L1573" s="102" t="n"/>
      <c r="M1573" s="85">
        <f>IF(OR(Y1573="估算法",Y1573="算法类",Y1573="无法识别"),"",IF(W1573="",IF(OR(J1573="EI",J1573="EO",J1573="EQ"),0,""),LEN(W1573)-LEN(SUBSTITUTE(W1573,"、",""))+1))</f>
        <v/>
      </c>
      <c r="N1573" s="85">
        <f>IF(OR(Y1573="估算法",Y1573="算法类",Y1573="无法识别"),"",IF(X1573="",IF(OR(J1573="ILF",J1573="EIF"),0,""),LEN(X1573)-LEN(SUBSTITUTE(X1573,"、",""))+1))</f>
        <v/>
      </c>
      <c r="O1573" s="85">
        <f>IF(OR(Y1573="估算法",Y1573="算法类",Y1573="无法识别"),"",IF(Y1573="",IF(OR(J1573="ILF",J1573="EIF",J1573="EI",J1573="EO",J1573="EQ"),0,""),LEN(Y1573)-LEN(SUBSTITUTE(SUBSTITUTE(SUBSTITUTE(SUBSTITUTE(SUBSTITUTE(Y1573,"|}","--"),"{|","--"),CHAR(10),""),"、",""),"|",""))+IF(AND(OR(J1573="EI",J1573="EO",J1573="EQ"),$AE$1="NESMA"),2,1)))</f>
        <v/>
      </c>
      <c r="P1573" s="86">
        <f>IF(J1573="EI",IF(OR(Y1573="估算法",Y1573="算法类"),"中",IF(Y1573="无法识别","低",IF(M1573&lt;2,IF(O1573&lt;16,"低","中"),IF(M1573&lt;3,IF(O1573&lt;5,"低",IF(O1573&lt;16,"中","高")),IF(O1573&lt;5,"中","高"))))),IF(OR(J1573="EO",J1573="EQ"),IF(OR(Y1573="估算法",Y1573="算法类"),"中",IF(Y1573="无法识别","低",IF(M1573&lt;2,IF(O1573&lt;20,"低","中"),IF(M1573&lt;4,IF(O1573&lt;6,"低",IF(O1573&lt;20,"中","高")),IF(O1573&lt;6,"中","高"))))),IF(OR(J1573="ILF",J1573="EIF"),IF(OR(Y1573="估算法",Y1573="算法类",Y1573="无法识别"),"低",IF(N1573&lt;2,IF(O1573&lt;51,"低","中"),IF(N1573&lt;6,IF(O1573&lt;20,"低",IF(O1573&lt;51,"中","高")),IF(O1573&lt;20,"中","高")))),"不计算")))</f>
        <v/>
      </c>
      <c r="Q1573" s="172">
        <f>IFERROR(IF(J1573="EI",IF(P1573="低",3,IF(P1573="中",4,6)),IF(J1573="EO",IF(P1573="低",4,IF(P1573="中",5,7)),IF(J1573="EQ",IF(P1573="低",3,IF(P1573="中",4,6)),IF(J1573="ILF",IF(P1573="低",7,IF(P1573="中",10,15)),IF(J1573="EIF",IF(P1573="低",5,IF(P1573="中",7,10)),"不计算")))))*R1573,"不计算")</f>
        <v/>
      </c>
      <c r="R1573" s="172" t="n">
        <v>1</v>
      </c>
      <c r="S1573" s="173">
        <f>调整因子!$F$13</f>
        <v/>
      </c>
      <c r="T1573" s="93" t="n">
        <v>1</v>
      </c>
      <c r="U1573" s="174">
        <f>IFERROR(Q1573*S1573,0)</f>
        <v/>
      </c>
      <c r="V1573" s="178">
        <f>U1573*T1573</f>
        <v/>
      </c>
      <c r="W1573" s="103" t="inlineStr">
        <is>
          <t>通报模板表、指标阈值表</t>
        </is>
      </c>
      <c r="X1573" s="103" t="inlineStr"/>
      <c r="Y1573" s="97" t="inlineStr">
        <is>
          <t>通报模板表{ID、名称|ID、名称、类型、状态、创建时间、更新时间}
指标阈值表{ID、名称|ID、名称、类型、状态、创建时间、更新时间}</t>
        </is>
      </c>
      <c r="Z1573" s="90" t="n"/>
      <c r="AA1573" s="90" t="n"/>
    </row>
    <row r="1574" s="112">
      <c r="A1574" s="72">
        <f>ROW()-1</f>
        <v/>
      </c>
      <c r="B1574" s="175" t="n"/>
      <c r="C1574" s="124" t="n">
        <v>2026</v>
      </c>
      <c r="E1574" s="103" t="n"/>
      <c r="F1574" s="175" t="n"/>
      <c r="G1574" s="175" t="n"/>
      <c r="H1574" s="176" t="n"/>
      <c r="I1574" s="103" t="inlineStr">
        <is>
          <t>查看性能趋势</t>
        </is>
      </c>
      <c r="J1574" s="93" t="inlineStr">
        <is>
          <t>EQ</t>
        </is>
      </c>
      <c r="K1574" s="102" t="n"/>
      <c r="L1574" s="102" t="n"/>
      <c r="M1574" s="85">
        <f>IF(OR(Y1574="估算法",Y1574="算法类",Y1574="无法识别"),"",IF(W1574="",IF(OR(J1574="EI",J1574="EO",J1574="EQ"),0,""),LEN(W1574)-LEN(SUBSTITUTE(W1574,"、",""))+1))</f>
        <v/>
      </c>
      <c r="N1574" s="85">
        <f>IF(OR(Y1574="估算法",Y1574="算法类",Y1574="无法识别"),"",IF(X1574="",IF(OR(J1574="ILF",J1574="EIF"),0,""),LEN(X1574)-LEN(SUBSTITUTE(X1574,"、",""))+1))</f>
        <v/>
      </c>
      <c r="O1574" s="85">
        <f>IF(OR(Y1574="估算法",Y1574="算法类",Y1574="无法识别"),"",IF(Y1574="",IF(OR(J1574="ILF",J1574="EIF",J1574="EI",J1574="EO",J1574="EQ"),0,""),LEN(Y1574)-LEN(SUBSTITUTE(SUBSTITUTE(SUBSTITUTE(SUBSTITUTE(SUBSTITUTE(Y1574,"|}","--"),"{|","--"),CHAR(10),""),"、",""),"|",""))+IF(AND(OR(J1574="EI",J1574="EO",J1574="EQ"),$AE$1="NESMA"),2,1)))</f>
        <v/>
      </c>
      <c r="P1574" s="86">
        <f>IF(J1574="EI",IF(OR(Y1574="估算法",Y1574="算法类"),"中",IF(Y1574="无法识别","低",IF(M1574&lt;2,IF(O1574&lt;16,"低","中"),IF(M1574&lt;3,IF(O1574&lt;5,"低",IF(O1574&lt;16,"中","高")),IF(O1574&lt;5,"中","高"))))),IF(OR(J1574="EO",J1574="EQ"),IF(OR(Y1574="估算法",Y1574="算法类"),"中",IF(Y1574="无法识别","低",IF(M1574&lt;2,IF(O1574&lt;20,"低","中"),IF(M1574&lt;4,IF(O1574&lt;6,"低",IF(O1574&lt;20,"中","高")),IF(O1574&lt;6,"中","高"))))),IF(OR(J1574="ILF",J1574="EIF"),IF(OR(Y1574="估算法",Y1574="算法类",Y1574="无法识别"),"低",IF(N1574&lt;2,IF(O1574&lt;51,"低","中"),IF(N1574&lt;6,IF(O1574&lt;20,"低",IF(O1574&lt;51,"中","高")),IF(O1574&lt;20,"中","高")))),"不计算")))</f>
        <v/>
      </c>
      <c r="Q1574" s="172">
        <f>IFERROR(IF(J1574="EI",IF(P1574="低",3,IF(P1574="中",4,6)),IF(J1574="EO",IF(P1574="低",4,IF(P1574="中",5,7)),IF(J1574="EQ",IF(P1574="低",3,IF(P1574="中",4,6)),IF(J1574="ILF",IF(P1574="低",7,IF(P1574="中",10,15)),IF(J1574="EIF",IF(P1574="低",5,IF(P1574="中",7,10)),"不计算")))))*R1574,"不计算")</f>
        <v/>
      </c>
      <c r="R1574" s="172" t="n">
        <v>1</v>
      </c>
      <c r="S1574" s="173">
        <f>调整因子!$F$13</f>
        <v/>
      </c>
      <c r="T1574" s="92" t="n">
        <v>1</v>
      </c>
      <c r="U1574" s="174">
        <f>IFERROR(Q1574*S1574,0)</f>
        <v/>
      </c>
      <c r="V1574" s="178">
        <f>U1574*T1574</f>
        <v/>
      </c>
      <c r="W1574" s="103" t="inlineStr">
        <is>
          <t>扫描能力缺口表</t>
        </is>
      </c>
      <c r="X1574" s="103" t="inlineStr"/>
      <c r="Y1574" s="97" t="inlineStr">
        <is>
          <t>扫描能力缺口表{任务ID、任务名称|任务ID、任务名称、任务状态、扫描器类型、开始时间、结束时间}</t>
        </is>
      </c>
      <c r="Z1574" s="90" t="n"/>
      <c r="AA1574" s="90" t="n"/>
    </row>
    <row r="1575" s="112">
      <c r="A1575" s="72">
        <f>ROW()-1</f>
        <v/>
      </c>
      <c r="B1575" s="175" t="n"/>
      <c r="C1575" s="124" t="n">
        <v>2026</v>
      </c>
      <c r="E1575" s="103" t="n"/>
      <c r="F1575" s="175" t="n"/>
      <c r="G1575" s="175" t="n"/>
      <c r="H1575" s="97" t="inlineStr">
        <is>
          <t>接口异常告警管理</t>
        </is>
      </c>
      <c r="I1575" s="103" t="inlineStr">
        <is>
          <t>编辑告警规则</t>
        </is>
      </c>
      <c r="J1575" s="93" t="inlineStr">
        <is>
          <t>EI</t>
        </is>
      </c>
      <c r="K1575" s="102" t="n"/>
      <c r="L1575" s="102" t="n"/>
      <c r="M1575" s="85">
        <f>IF(OR(Y1575="估算法",Y1575="算法类",Y1575="无法识别"),"",IF(W1575="",IF(OR(J1575="EI",J1575="EO",J1575="EQ"),0,""),LEN(W1575)-LEN(SUBSTITUTE(W1575,"、",""))+1))</f>
        <v/>
      </c>
      <c r="N1575" s="85">
        <f>IF(OR(Y1575="估算法",Y1575="算法类",Y1575="无法识别"),"",IF(X1575="",IF(OR(J1575="ILF",J1575="EIF"),0,""),LEN(X1575)-LEN(SUBSTITUTE(X1575,"、",""))+1))</f>
        <v/>
      </c>
      <c r="O1575" s="85">
        <f>IF(OR(Y1575="估算法",Y1575="算法类",Y1575="无法识别"),"",IF(Y1575="",IF(OR(J1575="ILF",J1575="EIF",J1575="EI",J1575="EO",J1575="EQ"),0,""),LEN(Y1575)-LEN(SUBSTITUTE(SUBSTITUTE(SUBSTITUTE(SUBSTITUTE(SUBSTITUTE(Y1575,"|}","--"),"{|","--"),CHAR(10),""),"、",""),"|",""))+IF(AND(OR(J1575="EI",J1575="EO",J1575="EQ"),$AE$1="NESMA"),2,1)))</f>
        <v/>
      </c>
      <c r="P1575" s="86">
        <f>IF(J1575="EI",IF(OR(Y1575="估算法",Y1575="算法类"),"中",IF(Y1575="无法识别","低",IF(M1575&lt;2,IF(O1575&lt;16,"低","中"),IF(M1575&lt;3,IF(O1575&lt;5,"低",IF(O1575&lt;16,"中","高")),IF(O1575&lt;5,"中","高"))))),IF(OR(J1575="EO",J1575="EQ"),IF(OR(Y1575="估算法",Y1575="算法类"),"中",IF(Y1575="无法识别","低",IF(M1575&lt;2,IF(O1575&lt;20,"低","中"),IF(M1575&lt;4,IF(O1575&lt;6,"低",IF(O1575&lt;20,"中","高")),IF(O1575&lt;6,"中","高"))))),IF(OR(J1575="ILF",J1575="EIF"),IF(OR(Y1575="估算法",Y1575="算法类",Y1575="无法识别"),"低",IF(N1575&lt;2,IF(O1575&lt;51,"低","中"),IF(N1575&lt;6,IF(O1575&lt;20,"低",IF(O1575&lt;51,"中","高")),IF(O1575&lt;20,"中","高")))),"不计算")))</f>
        <v/>
      </c>
      <c r="Q1575" s="172">
        <f>IFERROR(IF(J1575="EI",IF(P1575="低",3,IF(P1575="中",4,6)),IF(J1575="EO",IF(P1575="低",4,IF(P1575="中",5,7)),IF(J1575="EQ",IF(P1575="低",3,IF(P1575="中",4,6)),IF(J1575="ILF",IF(P1575="低",7,IF(P1575="中",10,15)),IF(J1575="EIF",IF(P1575="低",5,IF(P1575="中",7,10)),"不计算")))))*R1575,"不计算")</f>
        <v/>
      </c>
      <c r="R1575" s="172" t="n">
        <v>1</v>
      </c>
      <c r="S1575" s="173">
        <f>调整因子!$F$13</f>
        <v/>
      </c>
      <c r="T1575" s="92" t="n">
        <v>1</v>
      </c>
      <c r="U1575" s="174">
        <f>IFERROR(Q1575*S1575,0)</f>
        <v/>
      </c>
      <c r="V1575" s="178">
        <f>U1575*T1575</f>
        <v/>
      </c>
      <c r="W1575" s="103" t="inlineStr">
        <is>
          <t>推送规则表</t>
        </is>
      </c>
      <c r="X1575" s="103" t="inlineStr"/>
      <c r="Y1575" s="97" t="inlineStr">
        <is>
          <t>推送规则表{规则ID、规则名称、规则类型、规则条件、创建时间|规则ID、规则名称、规则类型}</t>
        </is>
      </c>
      <c r="Z1575" s="90" t="n"/>
      <c r="AA1575" s="90" t="n"/>
    </row>
    <row r="1576" s="112">
      <c r="A1576" s="72">
        <f>ROW()-1</f>
        <v/>
      </c>
      <c r="B1576" s="175" t="n"/>
      <c r="C1576" s="124" t="n">
        <v>2026</v>
      </c>
      <c r="E1576" s="103" t="n"/>
      <c r="F1576" s="175" t="n"/>
      <c r="G1576" s="175" t="n"/>
      <c r="H1576" s="175" t="n"/>
      <c r="I1576" s="103" t="inlineStr">
        <is>
          <t>删除告警规则</t>
        </is>
      </c>
      <c r="J1576" s="93" t="inlineStr">
        <is>
          <t>EI</t>
        </is>
      </c>
      <c r="K1576" s="102" t="n"/>
      <c r="L1576" s="102" t="n"/>
      <c r="M1576" s="85">
        <f>IF(OR(Y1576="估算法",Y1576="算法类",Y1576="无法识别"),"",IF(W1576="",IF(OR(J1576="EI",J1576="EO",J1576="EQ"),0,""),LEN(W1576)-LEN(SUBSTITUTE(W1576,"、",""))+1))</f>
        <v/>
      </c>
      <c r="N1576" s="85">
        <f>IF(OR(Y1576="估算法",Y1576="算法类",Y1576="无法识别"),"",IF(X1576="",IF(OR(J1576="ILF",J1576="EIF"),0,""),LEN(X1576)-LEN(SUBSTITUTE(X1576,"、",""))+1))</f>
        <v/>
      </c>
      <c r="O1576" s="85">
        <f>IF(OR(Y1576="估算法",Y1576="算法类",Y1576="无法识别"),"",IF(Y1576="",IF(OR(J1576="ILF",J1576="EIF",J1576="EI",J1576="EO",J1576="EQ"),0,""),LEN(Y1576)-LEN(SUBSTITUTE(SUBSTITUTE(SUBSTITUTE(SUBSTITUTE(SUBSTITUTE(Y1576,"|}","--"),"{|","--"),CHAR(10),""),"、",""),"|",""))+IF(AND(OR(J1576="EI",J1576="EO",J1576="EQ"),$AE$1="NESMA"),2,1)))</f>
        <v/>
      </c>
      <c r="P1576" s="86">
        <f>IF(J1576="EI",IF(OR(Y1576="估算法",Y1576="算法类"),"中",IF(Y1576="无法识别","低",IF(M1576&lt;2,IF(O1576&lt;16,"低","中"),IF(M1576&lt;3,IF(O1576&lt;5,"低",IF(O1576&lt;16,"中","高")),IF(O1576&lt;5,"中","高"))))),IF(OR(J1576="EO",J1576="EQ"),IF(OR(Y1576="估算法",Y1576="算法类"),"中",IF(Y1576="无法识别","低",IF(M1576&lt;2,IF(O1576&lt;20,"低","中"),IF(M1576&lt;4,IF(O1576&lt;6,"低",IF(O1576&lt;20,"中","高")),IF(O1576&lt;6,"中","高"))))),IF(OR(J1576="ILF",J1576="EIF"),IF(OR(Y1576="估算法",Y1576="算法类",Y1576="无法识别"),"低",IF(N1576&lt;2,IF(O1576&lt;51,"低","中"),IF(N1576&lt;6,IF(O1576&lt;20,"低",IF(O1576&lt;51,"中","高")),IF(O1576&lt;20,"中","高")))),"不计算")))</f>
        <v/>
      </c>
      <c r="Q1576" s="172">
        <f>IFERROR(IF(J1576="EI",IF(P1576="低",3,IF(P1576="中",4,6)),IF(J1576="EO",IF(P1576="低",4,IF(P1576="中",5,7)),IF(J1576="EQ",IF(P1576="低",3,IF(P1576="中",4,6)),IF(J1576="ILF",IF(P1576="低",7,IF(P1576="中",10,15)),IF(J1576="EIF",IF(P1576="低",5,IF(P1576="中",7,10)),"不计算")))))*R1576,"不计算")</f>
        <v/>
      </c>
      <c r="R1576" s="172" t="n">
        <v>0.333333333333333</v>
      </c>
      <c r="S1576" s="173">
        <f>调整因子!$F$13</f>
        <v/>
      </c>
      <c r="T1576" s="93" t="n">
        <v>1</v>
      </c>
      <c r="U1576" s="174">
        <f>IFERROR(Q1576*S1576,0)</f>
        <v/>
      </c>
      <c r="V1576" s="178">
        <f>U1576*T1576</f>
        <v/>
      </c>
      <c r="W1576" s="103" t="inlineStr">
        <is>
          <t>推送规则表、提醒规则表</t>
        </is>
      </c>
      <c r="X1576" s="103" t="inlineStr"/>
      <c r="Y1576" s="97" t="inlineStr">
        <is>
          <t>推送规则表{规则ID、规则名称、规则类型、规则条件、创建时间|规则ID、规则名称、规则类型}
提醒规则表{规则ID、规则名称、规则类型、规则条件、创建时间|规则ID、规则名称、规则类型}</t>
        </is>
      </c>
      <c r="Z1576" s="90" t="n"/>
      <c r="AA1576" s="90" t="n"/>
    </row>
    <row r="1577" s="112">
      <c r="A1577" s="72">
        <f>ROW()-1</f>
        <v/>
      </c>
      <c r="B1577" s="175" t="n"/>
      <c r="C1577" s="124" t="n">
        <v>2026</v>
      </c>
      <c r="E1577" s="103" t="n"/>
      <c r="F1577" s="175" t="n"/>
      <c r="G1577" s="175" t="n"/>
      <c r="H1577" s="175" t="n"/>
      <c r="I1577" s="103" t="inlineStr">
        <is>
          <t>启用告警规则</t>
        </is>
      </c>
      <c r="J1577" s="93" t="inlineStr">
        <is>
          <t>EI</t>
        </is>
      </c>
      <c r="K1577" s="102" t="n"/>
      <c r="L1577" s="102" t="n"/>
      <c r="M1577" s="85">
        <f>IF(OR(Y1577="估算法",Y1577="算法类",Y1577="无法识别"),"",IF(W1577="",IF(OR(J1577="EI",J1577="EO",J1577="EQ"),0,""),LEN(W1577)-LEN(SUBSTITUTE(W1577,"、",""))+1))</f>
        <v/>
      </c>
      <c r="N1577" s="85">
        <f>IF(OR(Y1577="估算法",Y1577="算法类",Y1577="无法识别"),"",IF(X1577="",IF(OR(J1577="ILF",J1577="EIF"),0,""),LEN(X1577)-LEN(SUBSTITUTE(X1577,"、",""))+1))</f>
        <v/>
      </c>
      <c r="O1577" s="85">
        <f>IF(OR(Y1577="估算法",Y1577="算法类",Y1577="无法识别"),"",IF(Y1577="",IF(OR(J1577="ILF",J1577="EIF",J1577="EI",J1577="EO",J1577="EQ"),0,""),LEN(Y1577)-LEN(SUBSTITUTE(SUBSTITUTE(SUBSTITUTE(SUBSTITUTE(SUBSTITUTE(Y1577,"|}","--"),"{|","--"),CHAR(10),""),"、",""),"|",""))+IF(AND(OR(J1577="EI",J1577="EO",J1577="EQ"),$AE$1="NESMA"),2,1)))</f>
        <v/>
      </c>
      <c r="P1577" s="86">
        <f>IF(J1577="EI",IF(OR(Y1577="估算法",Y1577="算法类"),"中",IF(Y1577="无法识别","低",IF(M1577&lt;2,IF(O1577&lt;16,"低","中"),IF(M1577&lt;3,IF(O1577&lt;5,"低",IF(O1577&lt;16,"中","高")),IF(O1577&lt;5,"中","高"))))),IF(OR(J1577="EO",J1577="EQ"),IF(OR(Y1577="估算法",Y1577="算法类"),"中",IF(Y1577="无法识别","低",IF(M1577&lt;2,IF(O1577&lt;20,"低","中"),IF(M1577&lt;4,IF(O1577&lt;6,"低",IF(O1577&lt;20,"中","高")),IF(O1577&lt;6,"中","高"))))),IF(OR(J1577="ILF",J1577="EIF"),IF(OR(Y1577="估算法",Y1577="算法类",Y1577="无法识别"),"低",IF(N1577&lt;2,IF(O1577&lt;51,"低","中"),IF(N1577&lt;6,IF(O1577&lt;20,"低",IF(O1577&lt;51,"中","高")),IF(O1577&lt;20,"中","高")))),"不计算")))</f>
        <v/>
      </c>
      <c r="Q1577" s="172">
        <f>IFERROR(IF(J1577="EI",IF(P1577="低",3,IF(P1577="中",4,6)),IF(J1577="EO",IF(P1577="低",4,IF(P1577="中",5,7)),IF(J1577="EQ",IF(P1577="低",3,IF(P1577="中",4,6)),IF(J1577="ILF",IF(P1577="低",7,IF(P1577="中",10,15)),IF(J1577="EIF",IF(P1577="低",5,IF(P1577="中",7,10)),"不计算")))))*R1577,"不计算")</f>
        <v/>
      </c>
      <c r="R1577" s="172" t="n">
        <v>1</v>
      </c>
      <c r="S1577" s="173">
        <f>调整因子!$F$13</f>
        <v/>
      </c>
      <c r="T1577" s="92" t="n">
        <v>1</v>
      </c>
      <c r="U1577" s="174">
        <f>IFERROR(Q1577*S1577,0)</f>
        <v/>
      </c>
      <c r="V1577" s="178">
        <f>U1577*T1577</f>
        <v/>
      </c>
      <c r="W1577" s="103" t="inlineStr">
        <is>
          <t>推送规则表</t>
        </is>
      </c>
      <c r="X1577" s="103" t="inlineStr"/>
      <c r="Y1577" s="97" t="inlineStr">
        <is>
          <t>推送规则表{规则ID、规则名称、规则类型、规则条件、创建时间|规则ID、规则名称、规则类型}</t>
        </is>
      </c>
      <c r="Z1577" s="90" t="n"/>
      <c r="AA1577" s="90" t="n"/>
    </row>
    <row r="1578" s="112">
      <c r="A1578" s="72">
        <f>ROW()-1</f>
        <v/>
      </c>
      <c r="B1578" s="175" t="n"/>
      <c r="C1578" s="124" t="n">
        <v>2026</v>
      </c>
      <c r="E1578" s="103" t="n"/>
      <c r="F1578" s="176" t="n"/>
      <c r="G1578" s="176" t="n"/>
      <c r="H1578" s="176" t="n"/>
      <c r="I1578" s="103" t="inlineStr">
        <is>
          <t>停用告警规则</t>
        </is>
      </c>
      <c r="J1578" s="93" t="n"/>
      <c r="K1578" s="102" t="n"/>
      <c r="L1578" s="102" t="inlineStr">
        <is>
          <t>和上行合并，启停为相同功能</t>
        </is>
      </c>
      <c r="M1578" s="85">
        <f>IF(OR(Y1578="估算法",Y1578="算法类",Y1578="无法识别"),"",IF(W1578="",IF(OR(J1578="EI",J1578="EO",J1578="EQ"),0,""),LEN(W1578)-LEN(SUBSTITUTE(W1578,"、",""))+1))</f>
        <v/>
      </c>
      <c r="N1578" s="85">
        <f>IF(OR(Y1578="估算法",Y1578="算法类",Y1578="无法识别"),"",IF(X1578="",IF(OR(J1578="ILF",J1578="EIF"),0,""),LEN(X1578)-LEN(SUBSTITUTE(X1578,"、",""))+1))</f>
        <v/>
      </c>
      <c r="O1578" s="85">
        <f>IF(OR(Y1578="估算法",Y1578="算法类",Y1578="无法识别"),"",IF(Y1578="",IF(OR(J1578="ILF",J1578="EIF",J1578="EI",J1578="EO",J1578="EQ"),0,""),LEN(Y1578)-LEN(SUBSTITUTE(SUBSTITUTE(SUBSTITUTE(SUBSTITUTE(SUBSTITUTE(Y1578,"|}","--"),"{|","--"),CHAR(10),""),"、",""),"|",""))+IF(AND(OR(J1578="EI",J1578="EO",J1578="EQ"),$AE$1="NESMA"),2,1)))</f>
        <v/>
      </c>
      <c r="P1578" s="86">
        <f>IF(J1578="EI",IF(OR(Y1578="估算法",Y1578="算法类"),"中",IF(Y1578="无法识别","低",IF(M1578&lt;2,IF(O1578&lt;16,"低","中"),IF(M1578&lt;3,IF(O1578&lt;5,"低",IF(O1578&lt;16,"中","高")),IF(O1578&lt;5,"中","高"))))),IF(OR(J1578="EO",J1578="EQ"),IF(OR(Y1578="估算法",Y1578="算法类"),"中",IF(Y1578="无法识别","低",IF(M1578&lt;2,IF(O1578&lt;20,"低","中"),IF(M1578&lt;4,IF(O1578&lt;6,"低",IF(O1578&lt;20,"中","高")),IF(O1578&lt;6,"中","高"))))),IF(OR(J1578="ILF",J1578="EIF"),IF(OR(Y1578="估算法",Y1578="算法类",Y1578="无法识别"),"低",IF(N1578&lt;2,IF(O1578&lt;51,"低","中"),IF(N1578&lt;6,IF(O1578&lt;20,"低",IF(O1578&lt;51,"中","高")),IF(O1578&lt;20,"中","高")))),"不计算")))</f>
        <v/>
      </c>
      <c r="Q1578" s="172">
        <f>IFERROR(IF(J1578="EI",IF(P1578="低",3,IF(P1578="中",4,6)),IF(J1578="EO",IF(P1578="低",4,IF(P1578="中",5,7)),IF(J1578="EQ",IF(P1578="低",3,IF(P1578="中",4,6)),IF(J1578="ILF",IF(P1578="低",7,IF(P1578="中",10,15)),IF(J1578="EIF",IF(P1578="低",5,IF(P1578="中",7,10)),"不计算")))))*R1578,"不计算")</f>
        <v/>
      </c>
      <c r="R1578" s="172" t="n">
        <v>1</v>
      </c>
      <c r="S1578" s="173">
        <f>调整因子!$F$13</f>
        <v/>
      </c>
      <c r="T1578" s="92" t="n">
        <v>1</v>
      </c>
      <c r="U1578" s="174">
        <f>IFERROR(Q1578*S1578,0)</f>
        <v/>
      </c>
      <c r="V1578" s="178">
        <f>U1578*T1578</f>
        <v/>
      </c>
      <c r="W1578" s="103" t="inlineStr">
        <is>
          <t>推送规则表、提醒规则表</t>
        </is>
      </c>
      <c r="X1578" s="103" t="inlineStr"/>
      <c r="Y1578" s="97" t="inlineStr">
        <is>
          <t>推送规则表{规则ID、规则名称、规则类型、规则条件、创建时间|规则ID、规则名称、规则类型}
提醒规则表{规则ID、规则名称、规则类型、规则条件、创建时间|规则ID、规则名称、规则类型}</t>
        </is>
      </c>
      <c r="Z1578" s="90" t="n"/>
      <c r="AA1578" s="90" t="n"/>
    </row>
    <row r="1579" s="112">
      <c r="A1579" s="72">
        <f>ROW()-1</f>
        <v/>
      </c>
      <c r="B1579" s="175" t="n"/>
      <c r="C1579" s="124" t="n">
        <v>2026</v>
      </c>
      <c r="E1579" s="103" t="n"/>
      <c r="F1579" s="97" t="inlineStr">
        <is>
          <t>运营支撑</t>
        </is>
      </c>
      <c r="G1579" s="97" t="inlineStr">
        <is>
          <t>漏洞态势可视化</t>
        </is>
      </c>
      <c r="H1579" s="97" t="inlineStr">
        <is>
          <t>态势大屏管理</t>
        </is>
      </c>
      <c r="I1579" s="103" t="inlineStr">
        <is>
          <t>态势大屏配置表</t>
        </is>
      </c>
      <c r="J1579" s="93" t="inlineStr">
        <is>
          <t>ILF</t>
        </is>
      </c>
      <c r="K1579" s="102" t="n"/>
      <c r="L1579" s="102" t="n"/>
      <c r="M1579" s="85">
        <f>IF(OR(Y1579="估算法",Y1579="算法类",Y1579="无法识别"),"",IF(W1579="",IF(OR(J1579="EI",J1579="EO",J1579="EQ"),0,""),LEN(W1579)-LEN(SUBSTITUTE(W1579,"、",""))+1))</f>
        <v/>
      </c>
      <c r="N1579" s="85">
        <f>IF(OR(Y1579="估算法",Y1579="算法类",Y1579="无法识别"),"",IF(X1579="",IF(OR(J1579="ILF",J1579="EIF"),0,""),LEN(X1579)-LEN(SUBSTITUTE(X1579,"、",""))+1))</f>
        <v/>
      </c>
      <c r="O1579" s="85">
        <f>IF(OR(Y1579="估算法",Y1579="算法类",Y1579="无法识别"),"",IF(Y1579="",IF(OR(J1579="ILF",J1579="EIF",J1579="EI",J1579="EO",J1579="EQ"),0,""),LEN(Y1579)-LEN(SUBSTITUTE(SUBSTITUTE(SUBSTITUTE(SUBSTITUTE(SUBSTITUTE(Y1579,"|}","--"),"{|","--"),CHAR(10),""),"、",""),"|",""))+IF(AND(OR(J1579="EI",J1579="EO",J1579="EQ"),$AE$1="NESMA"),2,1)))</f>
        <v/>
      </c>
      <c r="P1579" s="86">
        <f>IF(J1579="EI",IF(OR(Y1579="估算法",Y1579="算法类"),"中",IF(Y1579="无法识别","低",IF(M1579&lt;2,IF(O1579&lt;16,"低","中"),IF(M1579&lt;3,IF(O1579&lt;5,"低",IF(O1579&lt;16,"中","高")),IF(O1579&lt;5,"中","高"))))),IF(OR(J1579="EO",J1579="EQ"),IF(OR(Y1579="估算法",Y1579="算法类"),"中",IF(Y1579="无法识别","低",IF(M1579&lt;2,IF(O1579&lt;20,"低","中"),IF(M1579&lt;4,IF(O1579&lt;6,"低",IF(O1579&lt;20,"中","高")),IF(O1579&lt;6,"中","高"))))),IF(OR(J1579="ILF",J1579="EIF"),IF(OR(Y1579="估算法",Y1579="算法类",Y1579="无法识别"),"低",IF(N1579&lt;2,IF(O1579&lt;51,"低","中"),IF(N1579&lt;6,IF(O1579&lt;20,"低",IF(O1579&lt;51,"中","高")),IF(O1579&lt;20,"中","高")))),"不计算")))</f>
        <v/>
      </c>
      <c r="Q1579" s="172">
        <f>IFERROR(IF(J1579="EI",IF(P1579="低",3,IF(P1579="中",4,6)),IF(J1579="EO",IF(P1579="低",4,IF(P1579="中",5,7)),IF(J1579="EQ",IF(P1579="低",3,IF(P1579="中",4,6)),IF(J1579="ILF",IF(P1579="低",7,IF(P1579="中",10,15)),IF(J1579="EIF",IF(P1579="低",5,IF(P1579="中",7,10)),"不计算")))))*R1579,"不计算")</f>
        <v/>
      </c>
      <c r="R1579" s="172" t="n">
        <v>1</v>
      </c>
      <c r="S1579" s="173">
        <f>调整因子!$F$13</f>
        <v/>
      </c>
      <c r="T1579" s="93" t="n">
        <v>1</v>
      </c>
      <c r="U1579" s="174">
        <f>IFERROR(Q1579*S1579,0)</f>
        <v/>
      </c>
      <c r="V1579" s="178">
        <f>U1579*T1579</f>
        <v/>
      </c>
      <c r="W1579" s="103" t="inlineStr"/>
      <c r="X1579" s="103" t="inlineStr">
        <is>
          <t>配置项</t>
        </is>
      </c>
      <c r="Y1579" s="97" t="inlineStr">
        <is>
          <t>态势大屏配置表{配置ID、配置名称、配置类型|配置ID、配置名称、配置类型、配置值、创建时间}</t>
        </is>
      </c>
      <c r="Z1579" s="90">
        <f>IF(COUNTIFS(W:W,"*"&amp;I1579&amp;"*")&gt;0,"存在","不存在")</f>
        <v/>
      </c>
      <c r="AA1579" s="90">
        <f>IF(COUNTIFS(AB:AB,"*"&amp;I1579&amp;"*")&gt;0,"存在","不存在")</f>
        <v/>
      </c>
    </row>
    <row r="1580" s="112">
      <c r="A1580" s="72">
        <f>ROW()-1</f>
        <v/>
      </c>
      <c r="B1580" s="175" t="n"/>
      <c r="C1580" s="124" t="n">
        <v>2026</v>
      </c>
      <c r="E1580" s="103" t="n"/>
      <c r="F1580" s="175" t="n"/>
      <c r="G1580" s="175" t="n"/>
      <c r="H1580" s="175" t="n"/>
      <c r="I1580" s="103" t="inlineStr">
        <is>
          <t>编辑大屏布局</t>
        </is>
      </c>
      <c r="J1580" s="93" t="inlineStr">
        <is>
          <t>EI</t>
        </is>
      </c>
      <c r="K1580" s="102" t="n"/>
      <c r="L1580" s="102" t="n"/>
      <c r="M1580" s="85">
        <f>IF(OR(Y1580="估算法",Y1580="算法类",Y1580="无法识别"),"",IF(W1580="",IF(OR(J1580="EI",J1580="EO",J1580="EQ"),0,""),LEN(W1580)-LEN(SUBSTITUTE(W1580,"、",""))+1))</f>
        <v/>
      </c>
      <c r="N1580" s="85">
        <f>IF(OR(Y1580="估算法",Y1580="算法类",Y1580="无法识别"),"",IF(X1580="",IF(OR(J1580="ILF",J1580="EIF"),0,""),LEN(X1580)-LEN(SUBSTITUTE(X1580,"、",""))+1))</f>
        <v/>
      </c>
      <c r="O1580" s="85">
        <f>IF(OR(Y1580="估算法",Y1580="算法类",Y1580="无法识别"),"",IF(Y1580="",IF(OR(J1580="ILF",J1580="EIF",J1580="EI",J1580="EO",J1580="EQ"),0,""),LEN(Y1580)-LEN(SUBSTITUTE(SUBSTITUTE(SUBSTITUTE(SUBSTITUTE(SUBSTITUTE(Y1580,"|}","--"),"{|","--"),CHAR(10),""),"、",""),"|",""))+IF(AND(OR(J1580="EI",J1580="EO",J1580="EQ"),$AE$1="NESMA"),2,1)))</f>
        <v/>
      </c>
      <c r="P1580" s="86">
        <f>IF(J1580="EI",IF(OR(Y1580="估算法",Y1580="算法类"),"中",IF(Y1580="无法识别","低",IF(M1580&lt;2,IF(O1580&lt;16,"低","中"),IF(M1580&lt;3,IF(O1580&lt;5,"低",IF(O1580&lt;16,"中","高")),IF(O1580&lt;5,"中","高"))))),IF(OR(J1580="EO",J1580="EQ"),IF(OR(Y1580="估算法",Y1580="算法类"),"中",IF(Y1580="无法识别","低",IF(M1580&lt;2,IF(O1580&lt;20,"低","中"),IF(M1580&lt;4,IF(O1580&lt;6,"低",IF(O1580&lt;20,"中","高")),IF(O1580&lt;6,"中","高"))))),IF(OR(J1580="ILF",J1580="EIF"),IF(OR(Y1580="估算法",Y1580="算法类",Y1580="无法识别"),"低",IF(N1580&lt;2,IF(O1580&lt;51,"低","中"),IF(N1580&lt;6,IF(O1580&lt;20,"低",IF(O1580&lt;51,"中","高")),IF(O1580&lt;20,"中","高")))),"不计算")))</f>
        <v/>
      </c>
      <c r="Q1580" s="172">
        <f>IFERROR(IF(J1580="EI",IF(P1580="低",3,IF(P1580="中",4,6)),IF(J1580="EO",IF(P1580="低",4,IF(P1580="中",5,7)),IF(J1580="EQ",IF(P1580="低",3,IF(P1580="中",4,6)),IF(J1580="ILF",IF(P1580="低",7,IF(P1580="中",10,15)),IF(J1580="EIF",IF(P1580="低",5,IF(P1580="中",7,10)),"不计算")))))*R1580,"不计算")</f>
        <v/>
      </c>
      <c r="R1580" s="172" t="n">
        <v>1</v>
      </c>
      <c r="S1580" s="173">
        <f>调整因子!$F$13</f>
        <v/>
      </c>
      <c r="T1580" s="93" t="n">
        <v>1</v>
      </c>
      <c r="U1580" s="174">
        <f>IFERROR(Q1580*S1580,0)</f>
        <v/>
      </c>
      <c r="V1580" s="178">
        <f>U1580*T1580</f>
        <v/>
      </c>
      <c r="W1580" s="103" t="inlineStr">
        <is>
          <t>数据清洗任务表、接口监控配置表</t>
        </is>
      </c>
      <c r="X1580" s="103" t="inlineStr"/>
      <c r="Y1580" s="97" t="inlineStr">
        <is>
          <t>数据清洗任务表{任务ID、任务名称、任务类型、任务状态、创建时间、执行时间|任务ID、任务名称、任务类型}
接口监控配置表{配置ID、配置名称、配置类型、配置值、创建时间|配置ID、配置名称、配置类型}</t>
        </is>
      </c>
      <c r="Z1580" s="90" t="n"/>
      <c r="AA1580" s="90" t="n"/>
    </row>
    <row r="1581" s="112">
      <c r="A1581" s="72">
        <f>ROW()-1</f>
        <v/>
      </c>
      <c r="B1581" s="175" t="n"/>
      <c r="C1581" s="124" t="n">
        <v>2026</v>
      </c>
      <c r="E1581" s="103" t="n"/>
      <c r="F1581" s="175" t="n"/>
      <c r="G1581" s="175" t="n"/>
      <c r="H1581" s="175" t="n"/>
      <c r="I1581" s="103" t="inlineStr">
        <is>
          <t>删除大屏配置</t>
        </is>
      </c>
      <c r="J1581" s="93" t="inlineStr">
        <is>
          <t>EI</t>
        </is>
      </c>
      <c r="K1581" s="102" t="n"/>
      <c r="L1581" s="102" t="n"/>
      <c r="M1581" s="85">
        <f>IF(OR(Y1581="估算法",Y1581="算法类",Y1581="无法识别"),"",IF(W1581="",IF(OR(J1581="EI",J1581="EO",J1581="EQ"),0,""),LEN(W1581)-LEN(SUBSTITUTE(W1581,"、",""))+1))</f>
        <v/>
      </c>
      <c r="N1581" s="85">
        <f>IF(OR(Y1581="估算法",Y1581="算法类",Y1581="无法识别"),"",IF(X1581="",IF(OR(J1581="ILF",J1581="EIF"),0,""),LEN(X1581)-LEN(SUBSTITUTE(X1581,"、",""))+1))</f>
        <v/>
      </c>
      <c r="O1581" s="85">
        <f>IF(OR(Y1581="估算法",Y1581="算法类",Y1581="无法识别"),"",IF(Y1581="",IF(OR(J1581="ILF",J1581="EIF",J1581="EI",J1581="EO",J1581="EQ"),0,""),LEN(Y1581)-LEN(SUBSTITUTE(SUBSTITUTE(SUBSTITUTE(SUBSTITUTE(SUBSTITUTE(Y1581,"|}","--"),"{|","--"),CHAR(10),""),"、",""),"|",""))+IF(AND(OR(J1581="EI",J1581="EO",J1581="EQ"),$AE$1="NESMA"),2,1)))</f>
        <v/>
      </c>
      <c r="P1581" s="86">
        <f>IF(J1581="EI",IF(OR(Y1581="估算法",Y1581="算法类"),"中",IF(Y1581="无法识别","低",IF(M1581&lt;2,IF(O1581&lt;16,"低","中"),IF(M1581&lt;3,IF(O1581&lt;5,"低",IF(O1581&lt;16,"中","高")),IF(O1581&lt;5,"中","高"))))),IF(OR(J1581="EO",J1581="EQ"),IF(OR(Y1581="估算法",Y1581="算法类"),"中",IF(Y1581="无法识别","低",IF(M1581&lt;2,IF(O1581&lt;20,"低","中"),IF(M1581&lt;4,IF(O1581&lt;6,"低",IF(O1581&lt;20,"中","高")),IF(O1581&lt;6,"中","高"))))),IF(OR(J1581="ILF",J1581="EIF"),IF(OR(Y1581="估算法",Y1581="算法类",Y1581="无法识别"),"低",IF(N1581&lt;2,IF(O1581&lt;51,"低","中"),IF(N1581&lt;6,IF(O1581&lt;20,"低",IF(O1581&lt;51,"中","高")),IF(O1581&lt;20,"中","高")))),"不计算")))</f>
        <v/>
      </c>
      <c r="Q1581" s="172">
        <f>IFERROR(IF(J1581="EI",IF(P1581="低",3,IF(P1581="中",4,6)),IF(J1581="EO",IF(P1581="低",4,IF(P1581="中",5,7)),IF(J1581="EQ",IF(P1581="低",3,IF(P1581="中",4,6)),IF(J1581="ILF",IF(P1581="低",7,IF(P1581="中",10,15)),IF(J1581="EIF",IF(P1581="低",5,IF(P1581="中",7,10)),"不计算")))))*R1581,"不计算")</f>
        <v/>
      </c>
      <c r="R1581" s="172" t="n">
        <v>0.333333333333333</v>
      </c>
      <c r="S1581" s="173">
        <f>调整因子!$F$13</f>
        <v/>
      </c>
      <c r="T1581" s="92" t="n">
        <v>1</v>
      </c>
      <c r="U1581" s="174">
        <f>IFERROR(Q1581*S1581,0)</f>
        <v/>
      </c>
      <c r="V1581" s="178">
        <f>U1581*T1581</f>
        <v/>
      </c>
      <c r="W1581" s="103" t="inlineStr">
        <is>
          <t>任务优先级配置表、模板参数配置表</t>
        </is>
      </c>
      <c r="X1581" s="103" t="inlineStr"/>
      <c r="Y1581" s="97" t="inlineStr">
        <is>
          <t>任务优先级配置表{任务ID、任务名称、任务类型、任务状态、创建时间、执行时间|任务ID、任务名称、任务类型}
模板参数配置表{配置ID、配置名称、配置类型、配置值、创建时间|配置ID、配置名称、配置类型}</t>
        </is>
      </c>
      <c r="Z1581" s="90" t="n"/>
      <c r="AA1581" s="90" t="n"/>
    </row>
    <row r="1582" s="112">
      <c r="A1582" s="72">
        <f>ROW()-1</f>
        <v/>
      </c>
      <c r="B1582" s="175" t="n"/>
      <c r="C1582" s="124" t="n">
        <v>2026</v>
      </c>
      <c r="E1582" s="103" t="n"/>
      <c r="F1582" s="175" t="n"/>
      <c r="G1582" s="175" t="n"/>
      <c r="H1582" s="175" t="n"/>
      <c r="I1582" s="103" t="inlineStr">
        <is>
          <t>导出大屏配置</t>
        </is>
      </c>
      <c r="J1582" s="93" t="inlineStr">
        <is>
          <t>EO</t>
        </is>
      </c>
      <c r="K1582" s="102" t="n"/>
      <c r="L1582" s="102" t="n"/>
      <c r="M1582" s="85">
        <f>IF(OR(Y1582="估算法",Y1582="算法类",Y1582="无法识别"),"",IF(W1582="",IF(OR(J1582="EI",J1582="EO",J1582="EQ"),0,""),LEN(W1582)-LEN(SUBSTITUTE(W1582,"、",""))+1))</f>
        <v/>
      </c>
      <c r="N1582" s="85">
        <f>IF(OR(Y1582="估算法",Y1582="算法类",Y1582="无法识别"),"",IF(X1582="",IF(OR(J1582="ILF",J1582="EIF"),0,""),LEN(X1582)-LEN(SUBSTITUTE(X1582,"、",""))+1))</f>
        <v/>
      </c>
      <c r="O1582" s="85">
        <f>IF(OR(Y1582="估算法",Y1582="算法类",Y1582="无法识别"),"",IF(Y1582="",IF(OR(J1582="ILF",J1582="EIF",J1582="EI",J1582="EO",J1582="EQ"),0,""),LEN(Y1582)-LEN(SUBSTITUTE(SUBSTITUTE(SUBSTITUTE(SUBSTITUTE(SUBSTITUTE(Y1582,"|}","--"),"{|","--"),CHAR(10),""),"、",""),"|",""))+IF(AND(OR(J1582="EI",J1582="EO",J1582="EQ"),$AE$1="NESMA"),2,1)))</f>
        <v/>
      </c>
      <c r="P1582" s="86">
        <f>IF(J1582="EI",IF(OR(Y1582="估算法",Y1582="算法类"),"中",IF(Y1582="无法识别","低",IF(M1582&lt;2,IF(O1582&lt;16,"低","中"),IF(M1582&lt;3,IF(O1582&lt;5,"低",IF(O1582&lt;16,"中","高")),IF(O1582&lt;5,"中","高"))))),IF(OR(J1582="EO",J1582="EQ"),IF(OR(Y1582="估算法",Y1582="算法类"),"中",IF(Y1582="无法识别","低",IF(M1582&lt;2,IF(O1582&lt;20,"低","中"),IF(M1582&lt;4,IF(O1582&lt;6,"低",IF(O1582&lt;20,"中","高")),IF(O1582&lt;6,"中","高"))))),IF(OR(J1582="ILF",J1582="EIF"),IF(OR(Y1582="估算法",Y1582="算法类",Y1582="无法识别"),"低",IF(N1582&lt;2,IF(O1582&lt;51,"低","中"),IF(N1582&lt;6,IF(O1582&lt;20,"低",IF(O1582&lt;51,"中","高")),IF(O1582&lt;20,"中","高")))),"不计算")))</f>
        <v/>
      </c>
      <c r="Q1582" s="172">
        <f>IFERROR(IF(J1582="EI",IF(P1582="低",3,IF(P1582="中",4,6)),IF(J1582="EO",IF(P1582="低",4,IF(P1582="中",5,7)),IF(J1582="EQ",IF(P1582="低",3,IF(P1582="中",4,6)),IF(J1582="ILF",IF(P1582="低",7,IF(P1582="中",10,15)),IF(J1582="EIF",IF(P1582="低",5,IF(P1582="中",7,10)),"不计算")))))*R1582,"不计算")</f>
        <v/>
      </c>
      <c r="R1582" s="172" t="n">
        <v>1</v>
      </c>
      <c r="S1582" s="173">
        <f>调整因子!$F$13</f>
        <v/>
      </c>
      <c r="T1582" s="92" t="n">
        <v>1</v>
      </c>
      <c r="U1582" s="174">
        <f>IFERROR(Q1582*S1582,0)</f>
        <v/>
      </c>
      <c r="V1582" s="178">
        <f>U1582*T1582</f>
        <v/>
      </c>
      <c r="W1582" s="103" t="inlineStr">
        <is>
          <t>任务优先级配置表、模板参数配置表</t>
        </is>
      </c>
      <c r="X1582" s="103" t="inlineStr"/>
      <c r="Y1582" s="97" t="inlineStr">
        <is>
          <t>任务优先级配置表{任务ID、任务名称|任务ID、任务名称、任务类型、任务状态、创建时间、执行时间}
模板参数配置表{配置ID、配置名称|配置ID、配置名称、配置类型、配置值、创建时间}</t>
        </is>
      </c>
      <c r="Z1582" s="90" t="n"/>
      <c r="AA1582" s="90" t="n"/>
    </row>
    <row r="1583" s="112">
      <c r="A1583" s="72">
        <f>ROW()-1</f>
        <v/>
      </c>
      <c r="B1583" s="175" t="n"/>
      <c r="C1583" s="124" t="n">
        <v>2026</v>
      </c>
      <c r="E1583" s="103" t="n"/>
      <c r="F1583" s="175" t="n"/>
      <c r="G1583" s="175" t="n"/>
      <c r="H1583" s="175" t="n"/>
      <c r="I1583" s="103" t="inlineStr">
        <is>
          <t>查看态势大屏</t>
        </is>
      </c>
      <c r="J1583" s="93" t="inlineStr">
        <is>
          <t>EQ</t>
        </is>
      </c>
      <c r="K1583" s="102" t="n"/>
      <c r="L1583" s="102" t="n"/>
      <c r="M1583" s="85">
        <f>IF(OR(Y1583="估算法",Y1583="算法类",Y1583="无法识别"),"",IF(W1583="",IF(OR(J1583="EI",J1583="EO",J1583="EQ"),0,""),LEN(W1583)-LEN(SUBSTITUTE(W1583,"、",""))+1))</f>
        <v/>
      </c>
      <c r="N1583" s="85">
        <f>IF(OR(Y1583="估算法",Y1583="算法类",Y1583="无法识别"),"",IF(X1583="",IF(OR(J1583="ILF",J1583="EIF"),0,""),LEN(X1583)-LEN(SUBSTITUTE(X1583,"、",""))+1))</f>
        <v/>
      </c>
      <c r="O1583" s="85">
        <f>IF(OR(Y1583="估算法",Y1583="算法类",Y1583="无法识别"),"",IF(Y1583="",IF(OR(J1583="ILF",J1583="EIF",J1583="EI",J1583="EO",J1583="EQ"),0,""),LEN(Y1583)-LEN(SUBSTITUTE(SUBSTITUTE(SUBSTITUTE(SUBSTITUTE(SUBSTITUTE(Y1583,"|}","--"),"{|","--"),CHAR(10),""),"、",""),"|",""))+IF(AND(OR(J1583="EI",J1583="EO",J1583="EQ"),$AE$1="NESMA"),2,1)))</f>
        <v/>
      </c>
      <c r="P1583" s="86">
        <f>IF(J1583="EI",IF(OR(Y1583="估算法",Y1583="算法类"),"中",IF(Y1583="无法识别","低",IF(M1583&lt;2,IF(O1583&lt;16,"低","中"),IF(M1583&lt;3,IF(O1583&lt;5,"低",IF(O1583&lt;16,"中","高")),IF(O1583&lt;5,"中","高"))))),IF(OR(J1583="EO",J1583="EQ"),IF(OR(Y1583="估算法",Y1583="算法类"),"中",IF(Y1583="无法识别","低",IF(M1583&lt;2,IF(O1583&lt;20,"低","中"),IF(M1583&lt;4,IF(O1583&lt;6,"低",IF(O1583&lt;20,"中","高")),IF(O1583&lt;6,"中","高"))))),IF(OR(J1583="ILF",J1583="EIF"),IF(OR(Y1583="估算法",Y1583="算法类",Y1583="无法识别"),"低",IF(N1583&lt;2,IF(O1583&lt;51,"低","中"),IF(N1583&lt;6,IF(O1583&lt;20,"低",IF(O1583&lt;51,"中","高")),IF(O1583&lt;20,"中","高")))),"不计算")))</f>
        <v/>
      </c>
      <c r="Q1583" s="172">
        <f>IFERROR(IF(J1583="EI",IF(P1583="低",3,IF(P1583="中",4,6)),IF(J1583="EO",IF(P1583="低",4,IF(P1583="中",5,7)),IF(J1583="EQ",IF(P1583="低",3,IF(P1583="中",4,6)),IF(J1583="ILF",IF(P1583="低",7,IF(P1583="中",10,15)),IF(J1583="EIF",IF(P1583="低",5,IF(P1583="中",7,10)),"不计算")))))*R1583,"不计算")</f>
        <v/>
      </c>
      <c r="R1583" s="172" t="n">
        <v>1</v>
      </c>
      <c r="S1583" s="173">
        <f>调整因子!$F$13</f>
        <v/>
      </c>
      <c r="T1583" s="93" t="n">
        <v>1</v>
      </c>
      <c r="U1583" s="174">
        <f>IFERROR(Q1583*S1583,0)</f>
        <v/>
      </c>
      <c r="V1583" s="178">
        <f>U1583*T1583</f>
        <v/>
      </c>
      <c r="W1583" s="103" t="inlineStr">
        <is>
          <t>采集记录表、通报配置表</t>
        </is>
      </c>
      <c r="X1583" s="103" t="inlineStr"/>
      <c r="Y1583" s="97" t="inlineStr">
        <is>
          <t>采集记录表{ID、名称|ID、名称、类型、状态、创建时间、更新时间}
通报配置表{配置ID、配置名称|配置ID、配置名称、配置类型、配置值、创建时间}</t>
        </is>
      </c>
      <c r="Z1583" s="90" t="n"/>
      <c r="AA1583" s="90" t="n"/>
    </row>
    <row r="1584" s="112">
      <c r="A1584" s="72">
        <f>ROW()-1</f>
        <v/>
      </c>
      <c r="B1584" s="175" t="n"/>
      <c r="C1584" s="124" t="n">
        <v>2026</v>
      </c>
      <c r="E1584" s="103" t="n"/>
      <c r="F1584" s="175" t="n"/>
      <c r="G1584" s="175" t="n"/>
      <c r="H1584" s="176" t="n"/>
      <c r="I1584" s="103" t="inlineStr">
        <is>
          <t>查看资产态势</t>
        </is>
      </c>
      <c r="J1584" s="93" t="inlineStr">
        <is>
          <t>EQ</t>
        </is>
      </c>
      <c r="K1584" s="102" t="n"/>
      <c r="L1584" s="102" t="n"/>
      <c r="M1584" s="85">
        <f>IF(OR(Y1584="估算法",Y1584="算法类",Y1584="无法识别"),"",IF(W1584="",IF(OR(J1584="EI",J1584="EO",J1584="EQ"),0,""),LEN(W1584)-LEN(SUBSTITUTE(W1584,"、",""))+1))</f>
        <v/>
      </c>
      <c r="N1584" s="85">
        <f>IF(OR(Y1584="估算法",Y1584="算法类",Y1584="无法识别"),"",IF(X1584="",IF(OR(J1584="ILF",J1584="EIF"),0,""),LEN(X1584)-LEN(SUBSTITUTE(X1584,"、",""))+1))</f>
        <v/>
      </c>
      <c r="O1584" s="85">
        <f>IF(OR(Y1584="估算法",Y1584="算法类",Y1584="无法识别"),"",IF(Y1584="",IF(OR(J1584="ILF",J1584="EIF",J1584="EI",J1584="EO",J1584="EQ"),0,""),LEN(Y1584)-LEN(SUBSTITUTE(SUBSTITUTE(SUBSTITUTE(SUBSTITUTE(SUBSTITUTE(Y1584,"|}","--"),"{|","--"),CHAR(10),""),"、",""),"|",""))+IF(AND(OR(J1584="EI",J1584="EO",J1584="EQ"),$AE$1="NESMA"),2,1)))</f>
        <v/>
      </c>
      <c r="P1584" s="86">
        <f>IF(J1584="EI",IF(OR(Y1584="估算法",Y1584="算法类"),"中",IF(Y1584="无法识别","低",IF(M1584&lt;2,IF(O1584&lt;16,"低","中"),IF(M1584&lt;3,IF(O1584&lt;5,"低",IF(O1584&lt;16,"中","高")),IF(O1584&lt;5,"中","高"))))),IF(OR(J1584="EO",J1584="EQ"),IF(OR(Y1584="估算法",Y1584="算法类"),"中",IF(Y1584="无法识别","低",IF(M1584&lt;2,IF(O1584&lt;20,"低","中"),IF(M1584&lt;4,IF(O1584&lt;6,"低",IF(O1584&lt;20,"中","高")),IF(O1584&lt;6,"中","高"))))),IF(OR(J1584="ILF",J1584="EIF"),IF(OR(Y1584="估算法",Y1584="算法类",Y1584="无法识别"),"低",IF(N1584&lt;2,IF(O1584&lt;51,"低","中"),IF(N1584&lt;6,IF(O1584&lt;20,"低",IF(O1584&lt;51,"中","高")),IF(O1584&lt;20,"中","高")))),"不计算")))</f>
        <v/>
      </c>
      <c r="Q1584" s="172">
        <f>IFERROR(IF(J1584="EI",IF(P1584="低",3,IF(P1584="中",4,6)),IF(J1584="EO",IF(P1584="低",4,IF(P1584="中",5,7)),IF(J1584="EQ",IF(P1584="低",3,IF(P1584="中",4,6)),IF(J1584="ILF",IF(P1584="低",7,IF(P1584="中",10,15)),IF(J1584="EIF",IF(P1584="低",5,IF(P1584="中",7,10)),"不计算")))))*R1584,"不计算")</f>
        <v/>
      </c>
      <c r="R1584" s="172" t="n">
        <v>1</v>
      </c>
      <c r="S1584" s="173">
        <f>调整因子!$F$13</f>
        <v/>
      </c>
      <c r="T1584" s="92" t="n">
        <v>1</v>
      </c>
      <c r="U1584" s="174">
        <f>IFERROR(Q1584*S1584,0)</f>
        <v/>
      </c>
      <c r="V1584" s="178">
        <f>U1584*T1584</f>
        <v/>
      </c>
      <c r="W1584" s="103" t="inlineStr">
        <is>
          <t>资产同步任务表</t>
        </is>
      </c>
      <c r="X1584" s="103" t="inlineStr"/>
      <c r="Y1584" s="97" t="inlineStr">
        <is>
          <t>资产同步任务表{资产ID、资产名称|资产ID、资产名称、IP地址、资产类型、资产状态、创建时间、更新时间}</t>
        </is>
      </c>
      <c r="Z1584" s="90" t="n"/>
      <c r="AA1584" s="90" t="n"/>
    </row>
    <row r="1585" s="112">
      <c r="A1585" s="72">
        <f>ROW()-1</f>
        <v/>
      </c>
      <c r="B1585" s="175" t="n"/>
      <c r="C1585" s="124" t="n">
        <v>2026</v>
      </c>
      <c r="E1585" s="103" t="n"/>
      <c r="F1585" s="175" t="n"/>
      <c r="G1585" s="175" t="n"/>
      <c r="H1585" s="97" t="inlineStr">
        <is>
          <t>资产可视化展示</t>
        </is>
      </c>
      <c r="I1585" s="103" t="inlineStr">
        <is>
          <t>编辑可视化布局</t>
        </is>
      </c>
      <c r="J1585" s="93" t="inlineStr">
        <is>
          <t>EI</t>
        </is>
      </c>
      <c r="K1585" s="102" t="n"/>
      <c r="L1585" s="102" t="n"/>
      <c r="M1585" s="85">
        <f>IF(OR(Y1585="估算法",Y1585="算法类",Y1585="无法识别"),"",IF(W1585="",IF(OR(J1585="EI",J1585="EO",J1585="EQ"),0,""),LEN(W1585)-LEN(SUBSTITUTE(W1585,"、",""))+1))</f>
        <v/>
      </c>
      <c r="N1585" s="85">
        <f>IF(OR(Y1585="估算法",Y1585="算法类",Y1585="无法识别"),"",IF(X1585="",IF(OR(J1585="ILF",J1585="EIF"),0,""),LEN(X1585)-LEN(SUBSTITUTE(X1585,"、",""))+1))</f>
        <v/>
      </c>
      <c r="O1585" s="85">
        <f>IF(OR(Y1585="估算法",Y1585="算法类",Y1585="无法识别"),"",IF(Y1585="",IF(OR(J1585="ILF",J1585="EIF",J1585="EI",J1585="EO",J1585="EQ"),0,""),LEN(Y1585)-LEN(SUBSTITUTE(SUBSTITUTE(SUBSTITUTE(SUBSTITUTE(SUBSTITUTE(Y1585,"|}","--"),"{|","--"),CHAR(10),""),"、",""),"|",""))+IF(AND(OR(J1585="EI",J1585="EO",J1585="EQ"),$AE$1="NESMA"),2,1)))</f>
        <v/>
      </c>
      <c r="P1585" s="86">
        <f>IF(J1585="EI",IF(OR(Y1585="估算法",Y1585="算法类"),"中",IF(Y1585="无法识别","低",IF(M1585&lt;2,IF(O1585&lt;16,"低","中"),IF(M1585&lt;3,IF(O1585&lt;5,"低",IF(O1585&lt;16,"中","高")),IF(O1585&lt;5,"中","高"))))),IF(OR(J1585="EO",J1585="EQ"),IF(OR(Y1585="估算法",Y1585="算法类"),"中",IF(Y1585="无法识别","低",IF(M1585&lt;2,IF(O1585&lt;20,"低","中"),IF(M1585&lt;4,IF(O1585&lt;6,"低",IF(O1585&lt;20,"中","高")),IF(O1585&lt;6,"中","高"))))),IF(OR(J1585="ILF",J1585="EIF"),IF(OR(Y1585="估算法",Y1585="算法类",Y1585="无法识别"),"低",IF(N1585&lt;2,IF(O1585&lt;51,"低","中"),IF(N1585&lt;6,IF(O1585&lt;20,"低",IF(O1585&lt;51,"中","高")),IF(O1585&lt;20,"中","高")))),"不计算")))</f>
        <v/>
      </c>
      <c r="Q1585" s="172">
        <f>IFERROR(IF(J1585="EI",IF(P1585="低",3,IF(P1585="中",4,6)),IF(J1585="EO",IF(P1585="低",4,IF(P1585="中",5,7)),IF(J1585="EQ",IF(P1585="低",3,IF(P1585="中",4,6)),IF(J1585="ILF",IF(P1585="低",7,IF(P1585="中",10,15)),IF(J1585="EIF",IF(P1585="低",5,IF(P1585="中",7,10)),"不计算")))))*R1585,"不计算")</f>
        <v/>
      </c>
      <c r="R1585" s="172" t="n">
        <v>1</v>
      </c>
      <c r="S1585" s="173">
        <f>调整因子!$F$13</f>
        <v/>
      </c>
      <c r="T1585" s="92" t="n">
        <v>1</v>
      </c>
      <c r="U1585" s="174">
        <f>IFERROR(Q1585*S1585,0)</f>
        <v/>
      </c>
      <c r="V1585" s="178">
        <f>U1585*T1585</f>
        <v/>
      </c>
      <c r="W1585" s="103" t="inlineStr">
        <is>
          <t>性能数据表、接口参数配置表</t>
        </is>
      </c>
      <c r="X1585" s="103" t="inlineStr"/>
      <c r="Y1585" s="97" t="inlineStr">
        <is>
          <t>性能数据表{ID、名称、类型、状态、创建时间、更新时间|ID、名称、类型}
接口参数配置表{配置ID、配置名称、配置类型、配置值、创建时间|配置ID、配置名称、配置类型}</t>
        </is>
      </c>
      <c r="Z1585" s="90" t="n"/>
      <c r="AA1585" s="90" t="n"/>
    </row>
    <row r="1586" s="112">
      <c r="A1586" s="72">
        <f>ROW()-1</f>
        <v/>
      </c>
      <c r="B1586" s="175" t="n"/>
      <c r="C1586" s="124" t="n">
        <v>2026</v>
      </c>
      <c r="E1586" s="103" t="n"/>
      <c r="F1586" s="175" t="n"/>
      <c r="G1586" s="175" t="n"/>
      <c r="H1586" s="175" t="n"/>
      <c r="I1586" s="103" t="inlineStr">
        <is>
          <t>删除可视化配置</t>
        </is>
      </c>
      <c r="J1586" s="93" t="inlineStr">
        <is>
          <t>EI</t>
        </is>
      </c>
      <c r="K1586" s="102" t="n"/>
      <c r="L1586" s="102" t="n"/>
      <c r="M1586" s="85">
        <f>IF(OR(Y1586="估算法",Y1586="算法类",Y1586="无法识别"),"",IF(W1586="",IF(OR(J1586="EI",J1586="EO",J1586="EQ"),0,""),LEN(W1586)-LEN(SUBSTITUTE(W1586,"、",""))+1))</f>
        <v/>
      </c>
      <c r="N1586" s="85">
        <f>IF(OR(Y1586="估算法",Y1586="算法类",Y1586="无法识别"),"",IF(X1586="",IF(OR(J1586="ILF",J1586="EIF"),0,""),LEN(X1586)-LEN(SUBSTITUTE(X1586,"、",""))+1))</f>
        <v/>
      </c>
      <c r="O1586" s="85">
        <f>IF(OR(Y1586="估算法",Y1586="算法类",Y1586="无法识别"),"",IF(Y1586="",IF(OR(J1586="ILF",J1586="EIF",J1586="EI",J1586="EO",J1586="EQ"),0,""),LEN(Y1586)-LEN(SUBSTITUTE(SUBSTITUTE(SUBSTITUTE(SUBSTITUTE(SUBSTITUTE(Y1586,"|}","--"),"{|","--"),CHAR(10),""),"、",""),"|",""))+IF(AND(OR(J1586="EI",J1586="EO",J1586="EQ"),$AE$1="NESMA"),2,1)))</f>
        <v/>
      </c>
      <c r="P1586" s="86">
        <f>IF(J1586="EI",IF(OR(Y1586="估算法",Y1586="算法类"),"中",IF(Y1586="无法识别","低",IF(M1586&lt;2,IF(O1586&lt;16,"低","中"),IF(M1586&lt;3,IF(O1586&lt;5,"低",IF(O1586&lt;16,"中","高")),IF(O1586&lt;5,"中","高"))))),IF(OR(J1586="EO",J1586="EQ"),IF(OR(Y1586="估算法",Y1586="算法类"),"中",IF(Y1586="无法识别","低",IF(M1586&lt;2,IF(O1586&lt;20,"低","中"),IF(M1586&lt;4,IF(O1586&lt;6,"低",IF(O1586&lt;20,"中","高")),IF(O1586&lt;6,"中","高"))))),IF(OR(J1586="ILF",J1586="EIF"),IF(OR(Y1586="估算法",Y1586="算法类",Y1586="无法识别"),"低",IF(N1586&lt;2,IF(O1586&lt;51,"低","中"),IF(N1586&lt;6,IF(O1586&lt;20,"低",IF(O1586&lt;51,"中","高")),IF(O1586&lt;20,"中","高")))),"不计算")))</f>
        <v/>
      </c>
      <c r="Q1586" s="172">
        <f>IFERROR(IF(J1586="EI",IF(P1586="低",3,IF(P1586="中",4,6)),IF(J1586="EO",IF(P1586="低",4,IF(P1586="中",5,7)),IF(J1586="EQ",IF(P1586="低",3,IF(P1586="中",4,6)),IF(J1586="ILF",IF(P1586="低",7,IF(P1586="中",10,15)),IF(J1586="EIF",IF(P1586="低",5,IF(P1586="中",7,10)),"不计算")))))*R1586,"不计算")</f>
        <v/>
      </c>
      <c r="R1586" s="172" t="n">
        <v>0.333333333333333</v>
      </c>
      <c r="S1586" s="173">
        <f>调整因子!$F$13</f>
        <v/>
      </c>
      <c r="T1586" s="93" t="n">
        <v>1</v>
      </c>
      <c r="U1586" s="174">
        <f>IFERROR(Q1586*S1586,0)</f>
        <v/>
      </c>
      <c r="V1586" s="178">
        <f>U1586*T1586</f>
        <v/>
      </c>
      <c r="W1586" s="103" t="inlineStr">
        <is>
          <t>任务优先级配置表</t>
        </is>
      </c>
      <c r="X1586" s="103" t="inlineStr"/>
      <c r="Y1586" s="97" t="inlineStr">
        <is>
          <t>任务优先级配置表{任务ID、任务名称、任务类型、任务状态、创建时间、执行时间|任务ID、任务名称、任务类型}</t>
        </is>
      </c>
      <c r="Z1586" s="90" t="n"/>
      <c r="AA1586" s="90" t="n"/>
    </row>
    <row r="1587" s="112">
      <c r="A1587" s="72">
        <f>ROW()-1</f>
        <v/>
      </c>
      <c r="B1587" s="175" t="n"/>
      <c r="C1587" s="124" t="n">
        <v>2026</v>
      </c>
      <c r="E1587" s="103" t="n"/>
      <c r="F1587" s="175" t="n"/>
      <c r="G1587" s="175" t="n"/>
      <c r="H1587" s="175" t="n"/>
      <c r="I1587" s="103" t="inlineStr">
        <is>
          <t>导出资产图表</t>
        </is>
      </c>
      <c r="J1587" s="93" t="inlineStr">
        <is>
          <t>EO</t>
        </is>
      </c>
      <c r="K1587" s="102" t="n"/>
      <c r="L1587" s="102" t="n"/>
      <c r="M1587" s="85">
        <f>IF(OR(Y1587="估算法",Y1587="算法类",Y1587="无法识别"),"",IF(W1587="",IF(OR(J1587="EI",J1587="EO",J1587="EQ"),0,""),LEN(W1587)-LEN(SUBSTITUTE(W1587,"、",""))+1))</f>
        <v/>
      </c>
      <c r="N1587" s="85">
        <f>IF(OR(Y1587="估算法",Y1587="算法类",Y1587="无法识别"),"",IF(X1587="",IF(OR(J1587="ILF",J1587="EIF"),0,""),LEN(X1587)-LEN(SUBSTITUTE(X1587,"、",""))+1))</f>
        <v/>
      </c>
      <c r="O1587" s="85">
        <f>IF(OR(Y1587="估算法",Y1587="算法类",Y1587="无法识别"),"",IF(Y1587="",IF(OR(J1587="ILF",J1587="EIF",J1587="EI",J1587="EO",J1587="EQ"),0,""),LEN(Y1587)-LEN(SUBSTITUTE(SUBSTITUTE(SUBSTITUTE(SUBSTITUTE(SUBSTITUTE(Y1587,"|}","--"),"{|","--"),CHAR(10),""),"、",""),"|",""))+IF(AND(OR(J1587="EI",J1587="EO",J1587="EQ"),$AE$1="NESMA"),2,1)))</f>
        <v/>
      </c>
      <c r="P1587" s="86">
        <f>IF(J1587="EI",IF(OR(Y1587="估算法",Y1587="算法类"),"中",IF(Y1587="无法识别","低",IF(M1587&lt;2,IF(O1587&lt;16,"低","中"),IF(M1587&lt;3,IF(O1587&lt;5,"低",IF(O1587&lt;16,"中","高")),IF(O1587&lt;5,"中","高"))))),IF(OR(J1587="EO",J1587="EQ"),IF(OR(Y1587="估算法",Y1587="算法类"),"中",IF(Y1587="无法识别","低",IF(M1587&lt;2,IF(O1587&lt;20,"低","中"),IF(M1587&lt;4,IF(O1587&lt;6,"低",IF(O1587&lt;20,"中","高")),IF(O1587&lt;6,"中","高"))))),IF(OR(J1587="ILF",J1587="EIF"),IF(OR(Y1587="估算法",Y1587="算法类",Y1587="无法识别"),"低",IF(N1587&lt;2,IF(O1587&lt;51,"低","中"),IF(N1587&lt;6,IF(O1587&lt;20,"低",IF(O1587&lt;51,"中","高")),IF(O1587&lt;20,"中","高")))),"不计算")))</f>
        <v/>
      </c>
      <c r="Q1587" s="172">
        <f>IFERROR(IF(J1587="EI",IF(P1587="低",3,IF(P1587="中",4,6)),IF(J1587="EO",IF(P1587="低",4,IF(P1587="中",5,7)),IF(J1587="EQ",IF(P1587="低",3,IF(P1587="中",4,6)),IF(J1587="ILF",IF(P1587="低",7,IF(P1587="中",10,15)),IF(J1587="EIF",IF(P1587="低",5,IF(P1587="中",7,10)),"不计算")))))*R1587,"不计算")</f>
        <v/>
      </c>
      <c r="R1587" s="172" t="n">
        <v>1</v>
      </c>
      <c r="S1587" s="173">
        <f>调整因子!$F$13</f>
        <v/>
      </c>
      <c r="T1587" s="93" t="n">
        <v>1</v>
      </c>
      <c r="U1587" s="174">
        <f>IFERROR(Q1587*S1587,0)</f>
        <v/>
      </c>
      <c r="V1587" s="178">
        <f>U1587*T1587</f>
        <v/>
      </c>
      <c r="W1587" s="103" t="inlineStr">
        <is>
          <t>资产同步任务表</t>
        </is>
      </c>
      <c r="X1587" s="103" t="inlineStr"/>
      <c r="Y1587" s="97" t="inlineStr">
        <is>
          <t>资产同步任务表{资产ID、资产名称|资产ID、资产名称、IP地址、资产类型、资产状态、创建时间}</t>
        </is>
      </c>
      <c r="Z1587" s="90" t="n"/>
      <c r="AA1587" s="90" t="n"/>
    </row>
    <row r="1588" s="112">
      <c r="A1588" s="72">
        <f>ROW()-1</f>
        <v/>
      </c>
      <c r="B1588" s="175" t="n"/>
      <c r="C1588" s="124" t="n">
        <v>2026</v>
      </c>
      <c r="E1588" s="103" t="n"/>
      <c r="F1588" s="175" t="n"/>
      <c r="G1588" s="175" t="n"/>
      <c r="H1588" s="175" t="n"/>
      <c r="I1588" s="103" t="inlineStr">
        <is>
          <t>查看资产分布</t>
        </is>
      </c>
      <c r="J1588" s="93" t="inlineStr">
        <is>
          <t>EQ</t>
        </is>
      </c>
      <c r="K1588" s="102" t="n"/>
      <c r="L1588" s="102" t="n"/>
      <c r="M1588" s="85">
        <f>IF(OR(Y1588="估算法",Y1588="算法类",Y1588="无法识别"),"",IF(W1588="",IF(OR(J1588="EI",J1588="EO",J1588="EQ"),0,""),LEN(W1588)-LEN(SUBSTITUTE(W1588,"、",""))+1))</f>
        <v/>
      </c>
      <c r="N1588" s="85">
        <f>IF(OR(Y1588="估算法",Y1588="算法类",Y1588="无法识别"),"",IF(X1588="",IF(OR(J1588="ILF",J1588="EIF"),0,""),LEN(X1588)-LEN(SUBSTITUTE(X1588,"、",""))+1))</f>
        <v/>
      </c>
      <c r="O1588" s="85">
        <f>IF(OR(Y1588="估算法",Y1588="算法类",Y1588="无法识别"),"",IF(Y1588="",IF(OR(J1588="ILF",J1588="EIF",J1588="EI",J1588="EO",J1588="EQ"),0,""),LEN(Y1588)-LEN(SUBSTITUTE(SUBSTITUTE(SUBSTITUTE(SUBSTITUTE(SUBSTITUTE(Y1588,"|}","--"),"{|","--"),CHAR(10),""),"、",""),"|",""))+IF(AND(OR(J1588="EI",J1588="EO",J1588="EQ"),$AE$1="NESMA"),2,1)))</f>
        <v/>
      </c>
      <c r="P1588" s="86">
        <f>IF(J1588="EI",IF(OR(Y1588="估算法",Y1588="算法类"),"中",IF(Y1588="无法识别","低",IF(M1588&lt;2,IF(O1588&lt;16,"低","中"),IF(M1588&lt;3,IF(O1588&lt;5,"低",IF(O1588&lt;16,"中","高")),IF(O1588&lt;5,"中","高"))))),IF(OR(J1588="EO",J1588="EQ"),IF(OR(Y1588="估算法",Y1588="算法类"),"中",IF(Y1588="无法识别","低",IF(M1588&lt;2,IF(O1588&lt;20,"低","中"),IF(M1588&lt;4,IF(O1588&lt;6,"低",IF(O1588&lt;20,"中","高")),IF(O1588&lt;6,"中","高"))))),IF(OR(J1588="ILF",J1588="EIF"),IF(OR(Y1588="估算法",Y1588="算法类",Y1588="无法识别"),"低",IF(N1588&lt;2,IF(O1588&lt;51,"低","中"),IF(N1588&lt;6,IF(O1588&lt;20,"低",IF(O1588&lt;51,"中","高")),IF(O1588&lt;20,"中","高")))),"不计算")))</f>
        <v/>
      </c>
      <c r="Q1588" s="172">
        <f>IFERROR(IF(J1588="EI",IF(P1588="低",3,IF(P1588="中",4,6)),IF(J1588="EO",IF(P1588="低",4,IF(P1588="中",5,7)),IF(J1588="EQ",IF(P1588="低",3,IF(P1588="中",4,6)),IF(J1588="ILF",IF(P1588="低",7,IF(P1588="中",10,15)),IF(J1588="EIF",IF(P1588="低",5,IF(P1588="中",7,10)),"不计算")))))*R1588,"不计算")</f>
        <v/>
      </c>
      <c r="R1588" s="172" t="n">
        <v>1</v>
      </c>
      <c r="S1588" s="173">
        <f>调整因子!$F$13</f>
        <v/>
      </c>
      <c r="T1588" s="92" t="n">
        <v>1</v>
      </c>
      <c r="U1588" s="174">
        <f>IFERROR(Q1588*S1588,0)</f>
        <v/>
      </c>
      <c r="V1588" s="178">
        <f>U1588*T1588</f>
        <v/>
      </c>
      <c r="W1588" s="103" t="inlineStr">
        <is>
          <t>资产同步任务表、资产扫描覆盖表</t>
        </is>
      </c>
      <c r="X1588" s="103" t="inlineStr"/>
      <c r="Y1588" s="97" t="inlineStr">
        <is>
          <t>资产同步任务表{资产ID、资产名称|资产ID、资产名称、IP地址、资产类型、资产状态、创建时间}
资产扫描覆盖表{资产ID、资产名称|资产ID、资产名称、IP地址、资产类型、资产状态、创建时间}</t>
        </is>
      </c>
      <c r="Z1588" s="90" t="n"/>
      <c r="AA1588" s="90" t="n"/>
    </row>
    <row r="1589" s="112">
      <c r="A1589" s="72">
        <f>ROW()-1</f>
        <v/>
      </c>
      <c r="B1589" s="175" t="n"/>
      <c r="C1589" s="124" t="n">
        <v>2026</v>
      </c>
      <c r="E1589" s="103" t="n"/>
      <c r="F1589" s="175" t="n"/>
      <c r="G1589" s="175" t="n"/>
      <c r="H1589" s="176" t="n"/>
      <c r="I1589" s="103" t="inlineStr">
        <is>
          <t>查看资产拓扑</t>
        </is>
      </c>
      <c r="J1589" s="93" t="inlineStr">
        <is>
          <t>EQ</t>
        </is>
      </c>
      <c r="K1589" s="102" t="n"/>
      <c r="L1589" s="102" t="n"/>
      <c r="M1589" s="85">
        <f>IF(OR(Y1589="估算法",Y1589="算法类",Y1589="无法识别"),"",IF(W1589="",IF(OR(J1589="EI",J1589="EO",J1589="EQ"),0,""),LEN(W1589)-LEN(SUBSTITUTE(W1589,"、",""))+1))</f>
        <v/>
      </c>
      <c r="N1589" s="85">
        <f>IF(OR(Y1589="估算法",Y1589="算法类",Y1589="无法识别"),"",IF(X1589="",IF(OR(J1589="ILF",J1589="EIF"),0,""),LEN(X1589)-LEN(SUBSTITUTE(X1589,"、",""))+1))</f>
        <v/>
      </c>
      <c r="O1589" s="85">
        <f>IF(OR(Y1589="估算法",Y1589="算法类",Y1589="无法识别"),"",IF(Y1589="",IF(OR(J1589="ILF",J1589="EIF",J1589="EI",J1589="EO",J1589="EQ"),0,""),LEN(Y1589)-LEN(SUBSTITUTE(SUBSTITUTE(SUBSTITUTE(SUBSTITUTE(SUBSTITUTE(Y1589,"|}","--"),"{|","--"),CHAR(10),""),"、",""),"|",""))+IF(AND(OR(J1589="EI",J1589="EO",J1589="EQ"),$AE$1="NESMA"),2,1)))</f>
        <v/>
      </c>
      <c r="P1589" s="86">
        <f>IF(J1589="EI",IF(OR(Y1589="估算法",Y1589="算法类"),"中",IF(Y1589="无法识别","低",IF(M1589&lt;2,IF(O1589&lt;16,"低","中"),IF(M1589&lt;3,IF(O1589&lt;5,"低",IF(O1589&lt;16,"中","高")),IF(O1589&lt;5,"中","高"))))),IF(OR(J1589="EO",J1589="EQ"),IF(OR(Y1589="估算法",Y1589="算法类"),"中",IF(Y1589="无法识别","低",IF(M1589&lt;2,IF(O1589&lt;20,"低","中"),IF(M1589&lt;4,IF(O1589&lt;6,"低",IF(O1589&lt;20,"中","高")),IF(O1589&lt;6,"中","高"))))),IF(OR(J1589="ILF",J1589="EIF"),IF(OR(Y1589="估算法",Y1589="算法类",Y1589="无法识别"),"低",IF(N1589&lt;2,IF(O1589&lt;51,"低","中"),IF(N1589&lt;6,IF(O1589&lt;20,"低",IF(O1589&lt;51,"中","高")),IF(O1589&lt;20,"中","高")))),"不计算")))</f>
        <v/>
      </c>
      <c r="Q1589" s="172">
        <f>IFERROR(IF(J1589="EI",IF(P1589="低",3,IF(P1589="中",4,6)),IF(J1589="EO",IF(P1589="低",4,IF(P1589="中",5,7)),IF(J1589="EQ",IF(P1589="低",3,IF(P1589="中",4,6)),IF(J1589="ILF",IF(P1589="低",7,IF(P1589="中",10,15)),IF(J1589="EIF",IF(P1589="低",5,IF(P1589="中",7,10)),"不计算")))))*R1589,"不计算")</f>
        <v/>
      </c>
      <c r="R1589" s="172" t="n">
        <v>0.333333333333333</v>
      </c>
      <c r="S1589" s="173">
        <f>调整因子!$F$13</f>
        <v/>
      </c>
      <c r="T1589" s="92" t="n">
        <v>1</v>
      </c>
      <c r="U1589" s="174">
        <f>IFERROR(Q1589*S1589,0)</f>
        <v/>
      </c>
      <c r="V1589" s="178">
        <f>U1589*T1589</f>
        <v/>
      </c>
      <c r="W1589" s="103" t="inlineStr">
        <is>
          <t>资产同步任务表</t>
        </is>
      </c>
      <c r="X1589" s="103" t="inlineStr"/>
      <c r="Y1589" s="97" t="inlineStr">
        <is>
          <t>资产同步任务表{资产ID、资产名称|资产ID、资产名称、IP地址、资产类型、资产状态、创建时间、更新时间}</t>
        </is>
      </c>
      <c r="Z1589" s="90" t="n"/>
      <c r="AA1589" s="90" t="n"/>
    </row>
    <row r="1590" s="112">
      <c r="A1590" s="72">
        <f>ROW()-1</f>
        <v/>
      </c>
      <c r="B1590" s="175" t="n"/>
      <c r="C1590" s="124" t="n">
        <v>2026</v>
      </c>
      <c r="E1590" s="103" t="n"/>
      <c r="F1590" s="175" t="n"/>
      <c r="G1590" s="175" t="n"/>
      <c r="H1590" s="97" t="inlineStr">
        <is>
          <t>漏洞可视化展示</t>
        </is>
      </c>
      <c r="I1590" s="103" t="inlineStr">
        <is>
          <t>编辑可视化视图</t>
        </is>
      </c>
      <c r="J1590" s="93" t="inlineStr">
        <is>
          <t>EI</t>
        </is>
      </c>
      <c r="K1590" s="102" t="n"/>
      <c r="L1590" s="102" t="n"/>
      <c r="M1590" s="85">
        <f>IF(OR(Y1590="估算法",Y1590="算法类",Y1590="无法识别"),"",IF(W1590="",IF(OR(J1590="EI",J1590="EO",J1590="EQ"),0,""),LEN(W1590)-LEN(SUBSTITUTE(W1590,"、",""))+1))</f>
        <v/>
      </c>
      <c r="N1590" s="85">
        <f>IF(OR(Y1590="估算法",Y1590="算法类",Y1590="无法识别"),"",IF(X1590="",IF(OR(J1590="ILF",J1590="EIF"),0,""),LEN(X1590)-LEN(SUBSTITUTE(X1590,"、",""))+1))</f>
        <v/>
      </c>
      <c r="O1590" s="85">
        <f>IF(OR(Y1590="估算法",Y1590="算法类",Y1590="无法识别"),"",IF(Y1590="",IF(OR(J1590="ILF",J1590="EIF",J1590="EI",J1590="EO",J1590="EQ"),0,""),LEN(Y1590)-LEN(SUBSTITUTE(SUBSTITUTE(SUBSTITUTE(SUBSTITUTE(SUBSTITUTE(Y1590,"|}","--"),"{|","--"),CHAR(10),""),"、",""),"|",""))+IF(AND(OR(J1590="EI",J1590="EO",J1590="EQ"),$AE$1="NESMA"),2,1)))</f>
        <v/>
      </c>
      <c r="P1590" s="86">
        <f>IF(J1590="EI",IF(OR(Y1590="估算法",Y1590="算法类"),"中",IF(Y1590="无法识别","低",IF(M1590&lt;2,IF(O1590&lt;16,"低","中"),IF(M1590&lt;3,IF(O1590&lt;5,"低",IF(O1590&lt;16,"中","高")),IF(O1590&lt;5,"中","高"))))),IF(OR(J1590="EO",J1590="EQ"),IF(OR(Y1590="估算法",Y1590="算法类"),"中",IF(Y1590="无法识别","低",IF(M1590&lt;2,IF(O1590&lt;20,"低","中"),IF(M1590&lt;4,IF(O1590&lt;6,"低",IF(O1590&lt;20,"中","高")),IF(O1590&lt;6,"中","高"))))),IF(OR(J1590="ILF",J1590="EIF"),IF(OR(Y1590="估算法",Y1590="算法类",Y1590="无法识别"),"低",IF(N1590&lt;2,IF(O1590&lt;51,"低","中"),IF(N1590&lt;6,IF(O1590&lt;20,"低",IF(O1590&lt;51,"中","高")),IF(O1590&lt;20,"中","高")))),"不计算")))</f>
        <v/>
      </c>
      <c r="Q1590" s="172">
        <f>IFERROR(IF(J1590="EI",IF(P1590="低",3,IF(P1590="中",4,6)),IF(J1590="EO",IF(P1590="低",4,IF(P1590="中",5,7)),IF(J1590="EQ",IF(P1590="低",3,IF(P1590="中",4,6)),IF(J1590="ILF",IF(P1590="低",7,IF(P1590="中",10,15)),IF(J1590="EIF",IF(P1590="低",5,IF(P1590="中",7,10)),"不计算")))))*R1590,"不计算")</f>
        <v/>
      </c>
      <c r="R1590" s="172" t="n">
        <v>1</v>
      </c>
      <c r="S1590" s="173">
        <f>调整因子!$F$13</f>
        <v/>
      </c>
      <c r="T1590" s="93" t="n">
        <v>1</v>
      </c>
      <c r="U1590" s="174">
        <f>IFERROR(Q1590*S1590,0)</f>
        <v/>
      </c>
      <c r="V1590" s="178">
        <f>U1590*T1590</f>
        <v/>
      </c>
      <c r="W1590" s="103" t="inlineStr">
        <is>
          <t>态势大屏配置表</t>
        </is>
      </c>
      <c r="X1590" s="103" t="inlineStr"/>
      <c r="Y1590" s="97" t="inlineStr">
        <is>
          <t>态势大屏配置表{配置ID、配置名称、配置类型、配置值、创建时间|配置ID、配置名称、配置类型}</t>
        </is>
      </c>
      <c r="Z1590" s="90" t="n"/>
      <c r="AA1590" s="90" t="n"/>
    </row>
    <row r="1591" s="112">
      <c r="A1591" s="72">
        <f>ROW()-1</f>
        <v/>
      </c>
      <c r="B1591" s="175" t="n"/>
      <c r="C1591" s="124" t="n">
        <v>2026</v>
      </c>
      <c r="E1591" s="103" t="n"/>
      <c r="F1591" s="175" t="n"/>
      <c r="G1591" s="175" t="n"/>
      <c r="H1591" s="175" t="n"/>
      <c r="I1591" s="103" t="inlineStr">
        <is>
          <t>删除可视化配置</t>
        </is>
      </c>
      <c r="J1591" s="93" t="inlineStr">
        <is>
          <t>EI</t>
        </is>
      </c>
      <c r="K1591" s="102" t="n"/>
      <c r="L1591" s="102" t="n"/>
      <c r="M1591" s="85">
        <f>IF(OR(Y1591="估算法",Y1591="算法类",Y1591="无法识别"),"",IF(W1591="",IF(OR(J1591="EI",J1591="EO",J1591="EQ"),0,""),LEN(W1591)-LEN(SUBSTITUTE(W1591,"、",""))+1))</f>
        <v/>
      </c>
      <c r="N1591" s="85">
        <f>IF(OR(Y1591="估算法",Y1591="算法类",Y1591="无法识别"),"",IF(X1591="",IF(OR(J1591="ILF",J1591="EIF"),0,""),LEN(X1591)-LEN(SUBSTITUTE(X1591,"、",""))+1))</f>
        <v/>
      </c>
      <c r="O1591" s="85">
        <f>IF(OR(Y1591="估算法",Y1591="算法类",Y1591="无法识别"),"",IF(Y1591="",IF(OR(J1591="ILF",J1591="EIF",J1591="EI",J1591="EO",J1591="EQ"),0,""),LEN(Y1591)-LEN(SUBSTITUTE(SUBSTITUTE(SUBSTITUTE(SUBSTITUTE(SUBSTITUTE(Y1591,"|}","--"),"{|","--"),CHAR(10),""),"、",""),"|",""))+IF(AND(OR(J1591="EI",J1591="EO",J1591="EQ"),$AE$1="NESMA"),2,1)))</f>
        <v/>
      </c>
      <c r="P1591" s="86">
        <f>IF(J1591="EI",IF(OR(Y1591="估算法",Y1591="算法类"),"中",IF(Y1591="无法识别","低",IF(M1591&lt;2,IF(O1591&lt;16,"低","中"),IF(M1591&lt;3,IF(O1591&lt;5,"低",IF(O1591&lt;16,"中","高")),IF(O1591&lt;5,"中","高"))))),IF(OR(J1591="EO",J1591="EQ"),IF(OR(Y1591="估算法",Y1591="算法类"),"中",IF(Y1591="无法识别","低",IF(M1591&lt;2,IF(O1591&lt;20,"低","中"),IF(M1591&lt;4,IF(O1591&lt;6,"低",IF(O1591&lt;20,"中","高")),IF(O1591&lt;6,"中","高"))))),IF(OR(J1591="ILF",J1591="EIF"),IF(OR(Y1591="估算法",Y1591="算法类",Y1591="无法识别"),"低",IF(N1591&lt;2,IF(O1591&lt;51,"低","中"),IF(N1591&lt;6,IF(O1591&lt;20,"低",IF(O1591&lt;51,"中","高")),IF(O1591&lt;20,"中","高")))),"不计算")))</f>
        <v/>
      </c>
      <c r="Q1591" s="172">
        <f>IFERROR(IF(J1591="EI",IF(P1591="低",3,IF(P1591="中",4,6)),IF(J1591="EO",IF(P1591="低",4,IF(P1591="中",5,7)),IF(J1591="EQ",IF(P1591="低",3,IF(P1591="中",4,6)),IF(J1591="ILF",IF(P1591="低",7,IF(P1591="中",10,15)),IF(J1591="EIF",IF(P1591="低",5,IF(P1591="中",7,10)),"不计算")))))*R1591,"不计算")</f>
        <v/>
      </c>
      <c r="R1591" s="172" t="n">
        <v>0.333333333333333</v>
      </c>
      <c r="S1591" s="173">
        <f>调整因子!$F$13</f>
        <v/>
      </c>
      <c r="T1591" s="92" t="n">
        <v>1</v>
      </c>
      <c r="U1591" s="174">
        <f>IFERROR(Q1591*S1591,0)</f>
        <v/>
      </c>
      <c r="V1591" s="178">
        <f>U1591*T1591</f>
        <v/>
      </c>
      <c r="W1591" s="103" t="inlineStr">
        <is>
          <t>任务优先级配置表、模板参数配置表</t>
        </is>
      </c>
      <c r="X1591" s="103" t="inlineStr"/>
      <c r="Y1591" s="97" t="inlineStr">
        <is>
          <t>任务优先级配置表{任务ID、任务名称、任务类型、任务状态、创建时间、执行时间|任务ID、任务名称、任务类型}
模板参数配置表{配置ID、配置名称、配置类型、配置值、创建时间|配置ID、配置名称、配置类型}</t>
        </is>
      </c>
      <c r="Z1591" s="90" t="n"/>
      <c r="AA1591" s="90" t="n"/>
    </row>
    <row r="1592" s="112">
      <c r="A1592" s="72">
        <f>ROW()-1</f>
        <v/>
      </c>
      <c r="B1592" s="175" t="n"/>
      <c r="C1592" s="124" t="n">
        <v>2026</v>
      </c>
      <c r="E1592" s="103" t="n"/>
      <c r="F1592" s="175" t="n"/>
      <c r="G1592" s="175" t="n"/>
      <c r="H1592" s="175" t="n"/>
      <c r="I1592" s="103" t="inlineStr">
        <is>
          <t>导出漏洞图表</t>
        </is>
      </c>
      <c r="J1592" s="93" t="inlineStr">
        <is>
          <t>EO</t>
        </is>
      </c>
      <c r="K1592" s="102" t="n"/>
      <c r="L1592" s="102" t="n"/>
      <c r="M1592" s="85">
        <f>IF(OR(Y1592="估算法",Y1592="算法类",Y1592="无法识别"),"",IF(W1592="",IF(OR(J1592="EI",J1592="EO",J1592="EQ"),0,""),LEN(W1592)-LEN(SUBSTITUTE(W1592,"、",""))+1))</f>
        <v/>
      </c>
      <c r="N1592" s="85">
        <f>IF(OR(Y1592="估算法",Y1592="算法类",Y1592="无法识别"),"",IF(X1592="",IF(OR(J1592="ILF",J1592="EIF"),0,""),LEN(X1592)-LEN(SUBSTITUTE(X1592,"、",""))+1))</f>
        <v/>
      </c>
      <c r="O1592" s="85">
        <f>IF(OR(Y1592="估算法",Y1592="算法类",Y1592="无法识别"),"",IF(Y1592="",IF(OR(J1592="ILF",J1592="EIF",J1592="EI",J1592="EO",J1592="EQ"),0,""),LEN(Y1592)-LEN(SUBSTITUTE(SUBSTITUTE(SUBSTITUTE(SUBSTITUTE(SUBSTITUTE(Y1592,"|}","--"),"{|","--"),CHAR(10),""),"、",""),"|",""))+IF(AND(OR(J1592="EI",J1592="EO",J1592="EQ"),$AE$1="NESMA"),2,1)))</f>
        <v/>
      </c>
      <c r="P1592" s="86">
        <f>IF(J1592="EI",IF(OR(Y1592="估算法",Y1592="算法类"),"中",IF(Y1592="无法识别","低",IF(M1592&lt;2,IF(O1592&lt;16,"低","中"),IF(M1592&lt;3,IF(O1592&lt;5,"低",IF(O1592&lt;16,"中","高")),IF(O1592&lt;5,"中","高"))))),IF(OR(J1592="EO",J1592="EQ"),IF(OR(Y1592="估算法",Y1592="算法类"),"中",IF(Y1592="无法识别","低",IF(M1592&lt;2,IF(O1592&lt;20,"低","中"),IF(M1592&lt;4,IF(O1592&lt;6,"低",IF(O1592&lt;20,"中","高")),IF(O1592&lt;6,"中","高"))))),IF(OR(J1592="ILF",J1592="EIF"),IF(OR(Y1592="估算法",Y1592="算法类",Y1592="无法识别"),"低",IF(N1592&lt;2,IF(O1592&lt;51,"低","中"),IF(N1592&lt;6,IF(O1592&lt;20,"低",IF(O1592&lt;51,"中","高")),IF(O1592&lt;20,"中","高")))),"不计算")))</f>
        <v/>
      </c>
      <c r="Q1592" s="172">
        <f>IFERROR(IF(J1592="EI",IF(P1592="低",3,IF(P1592="中",4,6)),IF(J1592="EO",IF(P1592="低",4,IF(P1592="中",5,7)),IF(J1592="EQ",IF(P1592="低",3,IF(P1592="中",4,6)),IF(J1592="ILF",IF(P1592="低",7,IF(P1592="中",10,15)),IF(J1592="EIF",IF(P1592="低",5,IF(P1592="中",7,10)),"不计算")))))*R1592,"不计算")</f>
        <v/>
      </c>
      <c r="R1592" s="172" t="n">
        <v>1</v>
      </c>
      <c r="S1592" s="173">
        <f>调整因子!$F$13</f>
        <v/>
      </c>
      <c r="T1592" s="92" t="n">
        <v>1</v>
      </c>
      <c r="U1592" s="174">
        <f>IFERROR(Q1592*S1592,0)</f>
        <v/>
      </c>
      <c r="V1592" s="178">
        <f>U1592*T1592</f>
        <v/>
      </c>
      <c r="W1592" s="103" t="inlineStr">
        <is>
          <t>漏洞处置单表、漏洞统计数据表</t>
        </is>
      </c>
      <c r="X1592" s="103" t="inlineStr"/>
      <c r="Y1592" s="97" t="inlineStr">
        <is>
          <t>漏洞处置单表{漏洞ID、漏洞名称|漏洞ID、漏洞名称、漏洞等级、漏洞类型、CVE编号、发现时间}
漏洞统计数据表{漏洞ID、漏洞名称|漏洞ID、漏洞名称、漏洞等级、漏洞类型、CVE编号、发现时间}</t>
        </is>
      </c>
      <c r="Z1592" s="90" t="n"/>
      <c r="AA1592" s="90" t="n"/>
    </row>
    <row r="1593" s="112">
      <c r="A1593" s="72">
        <f>ROW()-1</f>
        <v/>
      </c>
      <c r="B1593" s="175" t="n"/>
      <c r="C1593" s="124" t="n">
        <v>2026</v>
      </c>
      <c r="E1593" s="103" t="n"/>
      <c r="F1593" s="175" t="n"/>
      <c r="G1593" s="175" t="n"/>
      <c r="H1593" s="175" t="n"/>
      <c r="I1593" s="103" t="inlineStr">
        <is>
          <t>查看漏洞分布</t>
        </is>
      </c>
      <c r="J1593" s="93" t="inlineStr">
        <is>
          <t>EQ</t>
        </is>
      </c>
      <c r="K1593" s="102" t="n"/>
      <c r="L1593" s="102" t="n"/>
      <c r="M1593" s="85">
        <f>IF(OR(Y1593="估算法",Y1593="算法类",Y1593="无法识别"),"",IF(W1593="",IF(OR(J1593="EI",J1593="EO",J1593="EQ"),0,""),LEN(W1593)-LEN(SUBSTITUTE(W1593,"、",""))+1))</f>
        <v/>
      </c>
      <c r="N1593" s="85">
        <f>IF(OR(Y1593="估算法",Y1593="算法类",Y1593="无法识别"),"",IF(X1593="",IF(OR(J1593="ILF",J1593="EIF"),0,""),LEN(X1593)-LEN(SUBSTITUTE(X1593,"、",""))+1))</f>
        <v/>
      </c>
      <c r="O1593" s="85">
        <f>IF(OR(Y1593="估算法",Y1593="算法类",Y1593="无法识别"),"",IF(Y1593="",IF(OR(J1593="ILF",J1593="EIF",J1593="EI",J1593="EO",J1593="EQ"),0,""),LEN(Y1593)-LEN(SUBSTITUTE(SUBSTITUTE(SUBSTITUTE(SUBSTITUTE(SUBSTITUTE(Y1593,"|}","--"),"{|","--"),CHAR(10),""),"、",""),"|",""))+IF(AND(OR(J1593="EI",J1593="EO",J1593="EQ"),$AE$1="NESMA"),2,1)))</f>
        <v/>
      </c>
      <c r="P1593" s="86">
        <f>IF(J1593="EI",IF(OR(Y1593="估算法",Y1593="算法类"),"中",IF(Y1593="无法识别","低",IF(M1593&lt;2,IF(O1593&lt;16,"低","中"),IF(M1593&lt;3,IF(O1593&lt;5,"低",IF(O1593&lt;16,"中","高")),IF(O1593&lt;5,"中","高"))))),IF(OR(J1593="EO",J1593="EQ"),IF(OR(Y1593="估算法",Y1593="算法类"),"中",IF(Y1593="无法识别","低",IF(M1593&lt;2,IF(O1593&lt;20,"低","中"),IF(M1593&lt;4,IF(O1593&lt;6,"低",IF(O1593&lt;20,"中","高")),IF(O1593&lt;6,"中","高"))))),IF(OR(J1593="ILF",J1593="EIF"),IF(OR(Y1593="估算法",Y1593="算法类",Y1593="无法识别"),"低",IF(N1593&lt;2,IF(O1593&lt;51,"低","中"),IF(N1593&lt;6,IF(O1593&lt;20,"低",IF(O1593&lt;51,"中","高")),IF(O1593&lt;20,"中","高")))),"不计算")))</f>
        <v/>
      </c>
      <c r="Q1593" s="172">
        <f>IFERROR(IF(J1593="EI",IF(P1593="低",3,IF(P1593="中",4,6)),IF(J1593="EO",IF(P1593="低",4,IF(P1593="中",5,7)),IF(J1593="EQ",IF(P1593="低",3,IF(P1593="中",4,6)),IF(J1593="ILF",IF(P1593="低",7,IF(P1593="中",10,15)),IF(J1593="EIF",IF(P1593="低",5,IF(P1593="中",7,10)),"不计算")))))*R1593,"不计算")</f>
        <v/>
      </c>
      <c r="R1593" s="172" t="n">
        <v>1</v>
      </c>
      <c r="S1593" s="173">
        <f>调整因子!$F$13</f>
        <v/>
      </c>
      <c r="T1593" s="93" t="n">
        <v>1</v>
      </c>
      <c r="U1593" s="174">
        <f>IFERROR(Q1593*S1593,0)</f>
        <v/>
      </c>
      <c r="V1593" s="178">
        <f>U1593*T1593</f>
        <v/>
      </c>
      <c r="W1593" s="103" t="inlineStr">
        <is>
          <t>漏洞处置单表、漏洞统计数据表</t>
        </is>
      </c>
      <c r="X1593" s="103" t="inlineStr"/>
      <c r="Y1593" s="97" t="inlineStr">
        <is>
          <t>漏洞处置单表{漏洞ID、漏洞名称|漏洞ID、漏洞名称、漏洞等级、漏洞类型、CVE编号、发现时间、修复状态}
漏洞统计数据表{漏洞ID、漏洞名称|漏洞ID、漏洞名称、漏洞等级、漏洞类型、CVE编号、发现时间、修复状态}</t>
        </is>
      </c>
      <c r="Z1593" s="90" t="n"/>
      <c r="AA1593" s="90" t="n"/>
    </row>
    <row r="1594" s="112">
      <c r="A1594" s="72">
        <f>ROW()-1</f>
        <v/>
      </c>
      <c r="B1594" s="175" t="n"/>
      <c r="C1594" s="124" t="n">
        <v>2026</v>
      </c>
      <c r="E1594" s="103" t="n"/>
      <c r="F1594" s="175" t="n"/>
      <c r="G1594" s="176" t="n"/>
      <c r="H1594" s="176" t="n"/>
      <c r="I1594" s="103" t="inlineStr">
        <is>
          <t>查看漏洞趋势</t>
        </is>
      </c>
      <c r="J1594" s="93" t="inlineStr">
        <is>
          <t>EQ</t>
        </is>
      </c>
      <c r="K1594" s="102" t="n"/>
      <c r="L1594" s="102" t="n"/>
      <c r="M1594" s="85">
        <f>IF(OR(Y1594="估算法",Y1594="算法类",Y1594="无法识别"),"",IF(W1594="",IF(OR(J1594="EI",J1594="EO",J1594="EQ"),0,""),LEN(W1594)-LEN(SUBSTITUTE(W1594,"、",""))+1))</f>
        <v/>
      </c>
      <c r="N1594" s="85">
        <f>IF(OR(Y1594="估算法",Y1594="算法类",Y1594="无法识别"),"",IF(X1594="",IF(OR(J1594="ILF",J1594="EIF"),0,""),LEN(X1594)-LEN(SUBSTITUTE(X1594,"、",""))+1))</f>
        <v/>
      </c>
      <c r="O1594" s="85">
        <f>IF(OR(Y1594="估算法",Y1594="算法类",Y1594="无法识别"),"",IF(Y1594="",IF(OR(J1594="ILF",J1594="EIF",J1594="EI",J1594="EO",J1594="EQ"),0,""),LEN(Y1594)-LEN(SUBSTITUTE(SUBSTITUTE(SUBSTITUTE(SUBSTITUTE(SUBSTITUTE(Y1594,"|}","--"),"{|","--"),CHAR(10),""),"、",""),"|",""))+IF(AND(OR(J1594="EI",J1594="EO",J1594="EQ"),$AE$1="NESMA"),2,1)))</f>
        <v/>
      </c>
      <c r="P1594" s="86">
        <f>IF(J1594="EI",IF(OR(Y1594="估算法",Y1594="算法类"),"中",IF(Y1594="无法识别","低",IF(M1594&lt;2,IF(O1594&lt;16,"低","中"),IF(M1594&lt;3,IF(O1594&lt;5,"低",IF(O1594&lt;16,"中","高")),IF(O1594&lt;5,"中","高"))))),IF(OR(J1594="EO",J1594="EQ"),IF(OR(Y1594="估算法",Y1594="算法类"),"中",IF(Y1594="无法识别","低",IF(M1594&lt;2,IF(O1594&lt;20,"低","中"),IF(M1594&lt;4,IF(O1594&lt;6,"低",IF(O1594&lt;20,"中","高")),IF(O1594&lt;6,"中","高"))))),IF(OR(J1594="ILF",J1594="EIF"),IF(OR(Y1594="估算法",Y1594="算法类",Y1594="无法识别"),"低",IF(N1594&lt;2,IF(O1594&lt;51,"低","中"),IF(N1594&lt;6,IF(O1594&lt;20,"低",IF(O1594&lt;51,"中","高")),IF(O1594&lt;20,"中","高")))),"不计算")))</f>
        <v/>
      </c>
      <c r="Q1594" s="172">
        <f>IFERROR(IF(J1594="EI",IF(P1594="低",3,IF(P1594="中",4,6)),IF(J1594="EO",IF(P1594="低",4,IF(P1594="中",5,7)),IF(J1594="EQ",IF(P1594="低",3,IF(P1594="中",4,6)),IF(J1594="ILF",IF(P1594="低",7,IF(P1594="中",10,15)),IF(J1594="EIF",IF(P1594="低",5,IF(P1594="中",7,10)),"不计算")))))*R1594,"不计算")</f>
        <v/>
      </c>
      <c r="R1594" s="172" t="n">
        <v>0.333333333333333</v>
      </c>
      <c r="S1594" s="173">
        <f>调整因子!$F$13</f>
        <v/>
      </c>
      <c r="T1594" s="93" t="n">
        <v>1</v>
      </c>
      <c r="U1594" s="174">
        <f>IFERROR(Q1594*S1594,0)</f>
        <v/>
      </c>
      <c r="V1594" s="178">
        <f>U1594*T1594</f>
        <v/>
      </c>
      <c r="W1594" s="103" t="inlineStr">
        <is>
          <t>漏洞处置单表、漏洞统计数据表</t>
        </is>
      </c>
      <c r="X1594" s="103" t="inlineStr"/>
      <c r="Y1594" s="97" t="inlineStr">
        <is>
          <t>漏洞处置单表{漏洞ID、漏洞名称|漏洞ID、漏洞名称、漏洞等级、漏洞类型、CVE编号、发现时间、修复状态}
漏洞统计数据表{漏洞ID、漏洞名称|漏洞ID、漏洞名称、漏洞等级、漏洞类型、CVE编号、发现时间、修复状态}</t>
        </is>
      </c>
      <c r="Z1594" s="90" t="n"/>
      <c r="AA1594" s="90" t="n"/>
    </row>
    <row r="1595" s="112">
      <c r="A1595" s="72">
        <f>ROW()-1</f>
        <v/>
      </c>
      <c r="B1595" s="175" t="n"/>
      <c r="C1595" s="124" t="n">
        <v>2026</v>
      </c>
      <c r="E1595" s="103" t="n"/>
      <c r="F1595" s="175" t="n"/>
      <c r="G1595" s="97" t="inlineStr">
        <is>
          <t>多维度统计报表</t>
        </is>
      </c>
      <c r="H1595" s="97" t="inlineStr">
        <is>
          <t>报表模板管理</t>
        </is>
      </c>
      <c r="I1595" s="103" t="inlineStr">
        <is>
          <t>报表模板表</t>
        </is>
      </c>
      <c r="J1595" s="93" t="inlineStr">
        <is>
          <t>ILF</t>
        </is>
      </c>
      <c r="K1595" s="102" t="n"/>
      <c r="L1595" s="102" t="n"/>
      <c r="M1595" s="85">
        <f>IF(OR(Y1595="估算法",Y1595="算法类",Y1595="无法识别"),"",IF(W1595="",IF(OR(J1595="EI",J1595="EO",J1595="EQ"),0,""),LEN(W1595)-LEN(SUBSTITUTE(W1595,"、",""))+1))</f>
        <v/>
      </c>
      <c r="N1595" s="85">
        <f>IF(OR(Y1595="估算法",Y1595="算法类",Y1595="无法识别"),"",IF(X1595="",IF(OR(J1595="ILF",J1595="EIF"),0,""),LEN(X1595)-LEN(SUBSTITUTE(X1595,"、",""))+1))</f>
        <v/>
      </c>
      <c r="O1595" s="85">
        <f>IF(OR(Y1595="估算法",Y1595="算法类",Y1595="无法识别"),"",IF(Y1595="",IF(OR(J1595="ILF",J1595="EIF",J1595="EI",J1595="EO",J1595="EQ"),0,""),LEN(Y1595)-LEN(SUBSTITUTE(SUBSTITUTE(SUBSTITUTE(SUBSTITUTE(SUBSTITUTE(Y1595,"|}","--"),"{|","--"),CHAR(10),""),"、",""),"|",""))+IF(AND(OR(J1595="EI",J1595="EO",J1595="EQ"),$AE$1="NESMA"),2,1)))</f>
        <v/>
      </c>
      <c r="P1595" s="86">
        <f>IF(J1595="EI",IF(OR(Y1595="估算法",Y1595="算法类"),"中",IF(Y1595="无法识别","低",IF(M1595&lt;2,IF(O1595&lt;16,"低","中"),IF(M1595&lt;3,IF(O1595&lt;5,"低",IF(O1595&lt;16,"中","高")),IF(O1595&lt;5,"中","高"))))),IF(OR(J1595="EO",J1595="EQ"),IF(OR(Y1595="估算法",Y1595="算法类"),"中",IF(Y1595="无法识别","低",IF(M1595&lt;2,IF(O1595&lt;20,"低","中"),IF(M1595&lt;4,IF(O1595&lt;6,"低",IF(O1595&lt;20,"中","高")),IF(O1595&lt;6,"中","高"))))),IF(OR(J1595="ILF",J1595="EIF"),IF(OR(Y1595="估算法",Y1595="算法类",Y1595="无法识别"),"低",IF(N1595&lt;2,IF(O1595&lt;51,"低","中"),IF(N1595&lt;6,IF(O1595&lt;20,"低",IF(O1595&lt;51,"中","高")),IF(O1595&lt;20,"中","高")))),"不计算")))</f>
        <v/>
      </c>
      <c r="Q1595" s="172">
        <f>IFERROR(IF(J1595="EI",IF(P1595="低",3,IF(P1595="中",4,6)),IF(J1595="EO",IF(P1595="低",4,IF(P1595="中",5,7)),IF(J1595="EQ",IF(P1595="低",3,IF(P1595="中",4,6)),IF(J1595="ILF",IF(P1595="低",7,IF(P1595="中",10,15)),IF(J1595="EIF",IF(P1595="低",5,IF(P1595="中",7,10)),"不计算")))))*R1595,"不计算")</f>
        <v/>
      </c>
      <c r="R1595" s="172" t="n">
        <v>1</v>
      </c>
      <c r="S1595" s="173">
        <f>调整因子!$F$13</f>
        <v/>
      </c>
      <c r="T1595" s="92" t="n">
        <v>1</v>
      </c>
      <c r="U1595" s="174">
        <f>IFERROR(Q1595*S1595,0)</f>
        <v/>
      </c>
      <c r="V1595" s="178">
        <f>U1595*T1595</f>
        <v/>
      </c>
      <c r="W1595" s="103" t="inlineStr"/>
      <c r="X1595" s="103" t="inlineStr">
        <is>
          <t>数据记录</t>
        </is>
      </c>
      <c r="Y1595" s="97" t="inlineStr">
        <is>
          <t>报表模板表{报表ID、报表名称、报表类型|报表ID、报表名称、报表类型、生成时间、报表内容}</t>
        </is>
      </c>
      <c r="Z1595" s="90">
        <f>IF(COUNTIFS(W:W,"*"&amp;I1595&amp;"*")&gt;0,"存在","不存在")</f>
        <v/>
      </c>
      <c r="AA1595" s="90">
        <f>IF(COUNTIFS(AB:AB,"*"&amp;I1595&amp;"*")&gt;0,"存在","不存在")</f>
        <v/>
      </c>
    </row>
    <row r="1596" s="112">
      <c r="A1596" s="72">
        <f>ROW()-1</f>
        <v/>
      </c>
      <c r="B1596" s="175" t="n"/>
      <c r="C1596" s="124" t="n">
        <v>2026</v>
      </c>
      <c r="E1596" s="103" t="n"/>
      <c r="F1596" s="175" t="n"/>
      <c r="G1596" s="175" t="n"/>
      <c r="H1596" s="175" t="n"/>
      <c r="I1596" s="103" t="inlineStr">
        <is>
          <t>模板配置表</t>
        </is>
      </c>
      <c r="J1596" s="93" t="inlineStr">
        <is>
          <t>ILF</t>
        </is>
      </c>
      <c r="K1596" s="102" t="n"/>
      <c r="L1596" s="102" t="n"/>
      <c r="M1596" s="85">
        <f>IF(OR(Y1596="估算法",Y1596="算法类",Y1596="无法识别"),"",IF(W1596="",IF(OR(J1596="EI",J1596="EO",J1596="EQ"),0,""),LEN(W1596)-LEN(SUBSTITUTE(W1596,"、",""))+1))</f>
        <v/>
      </c>
      <c r="N1596" s="85">
        <f>IF(OR(Y1596="估算法",Y1596="算法类",Y1596="无法识别"),"",IF(X1596="",IF(OR(J1596="ILF",J1596="EIF"),0,""),LEN(X1596)-LEN(SUBSTITUTE(X1596,"、",""))+1))</f>
        <v/>
      </c>
      <c r="O1596" s="85">
        <f>IF(OR(Y1596="估算法",Y1596="算法类",Y1596="无法识别"),"",IF(Y1596="",IF(OR(J1596="ILF",J1596="EIF",J1596="EI",J1596="EO",J1596="EQ"),0,""),LEN(Y1596)-LEN(SUBSTITUTE(SUBSTITUTE(SUBSTITUTE(SUBSTITUTE(SUBSTITUTE(Y1596,"|}","--"),"{|","--"),CHAR(10),""),"、",""),"|",""))+IF(AND(OR(J1596="EI",J1596="EO",J1596="EQ"),$AE$1="NESMA"),2,1)))</f>
        <v/>
      </c>
      <c r="P1596" s="86">
        <f>IF(J1596="EI",IF(OR(Y1596="估算法",Y1596="算法类"),"中",IF(Y1596="无法识别","低",IF(M1596&lt;2,IF(O1596&lt;16,"低","中"),IF(M1596&lt;3,IF(O1596&lt;5,"低",IF(O1596&lt;16,"中","高")),IF(O1596&lt;5,"中","高"))))),IF(OR(J1596="EO",J1596="EQ"),IF(OR(Y1596="估算法",Y1596="算法类"),"中",IF(Y1596="无法识别","低",IF(M1596&lt;2,IF(O1596&lt;20,"低","中"),IF(M1596&lt;4,IF(O1596&lt;6,"低",IF(O1596&lt;20,"中","高")),IF(O1596&lt;6,"中","高"))))),IF(OR(J1596="ILF",J1596="EIF"),IF(OR(Y1596="估算法",Y1596="算法类",Y1596="无法识别"),"低",IF(N1596&lt;2,IF(O1596&lt;51,"低","中"),IF(N1596&lt;6,IF(O1596&lt;20,"低",IF(O1596&lt;51,"中","高")),IF(O1596&lt;20,"中","高")))),"不计算")))</f>
        <v/>
      </c>
      <c r="Q1596" s="172">
        <f>IFERROR(IF(J1596="EI",IF(P1596="低",3,IF(P1596="中",4,6)),IF(J1596="EO",IF(P1596="低",4,IF(P1596="中",5,7)),IF(J1596="EQ",IF(P1596="低",3,IF(P1596="中",4,6)),IF(J1596="ILF",IF(P1596="低",7,IF(P1596="中",10,15)),IF(J1596="EIF",IF(P1596="低",5,IF(P1596="中",7,10)),"不计算")))))*R1596,"不计算")</f>
        <v/>
      </c>
      <c r="R1596" s="172" t="n">
        <v>1</v>
      </c>
      <c r="S1596" s="173">
        <f>调整因子!$F$13</f>
        <v/>
      </c>
      <c r="T1596" s="92" t="n">
        <v>1</v>
      </c>
      <c r="U1596" s="174">
        <f>IFERROR(Q1596*S1596,0)</f>
        <v/>
      </c>
      <c r="V1596" s="178">
        <f>U1596*T1596</f>
        <v/>
      </c>
      <c r="W1596" s="103" t="inlineStr"/>
      <c r="X1596" s="103" t="inlineStr">
        <is>
          <t>配置项</t>
        </is>
      </c>
      <c r="Y1596" s="97" t="inlineStr">
        <is>
          <t>模板配置表{配置ID、配置名称、配置类型|配置ID、配置名称、配置类型、配置值、创建时间}</t>
        </is>
      </c>
      <c r="Z1596" s="90">
        <f>IF(COUNTIFS(W:W,"*"&amp;I1596&amp;"*")&gt;0,"存在","不存在")</f>
        <v/>
      </c>
      <c r="AA1596" s="90">
        <f>IF(COUNTIFS(AB:AB,"*"&amp;I1596&amp;"*")&gt;0,"存在","不存在")</f>
        <v/>
      </c>
    </row>
    <row r="1597" s="112">
      <c r="A1597" s="72">
        <f>ROW()-1</f>
        <v/>
      </c>
      <c r="B1597" s="175" t="n"/>
      <c r="C1597" s="124" t="n">
        <v>2026</v>
      </c>
      <c r="E1597" s="103" t="n"/>
      <c r="F1597" s="175" t="n"/>
      <c r="G1597" s="175" t="n"/>
      <c r="H1597" s="175" t="n"/>
      <c r="I1597" s="103" t="inlineStr">
        <is>
          <t>编辑报表模板</t>
        </is>
      </c>
      <c r="J1597" s="93" t="inlineStr">
        <is>
          <t>EI</t>
        </is>
      </c>
      <c r="K1597" s="102" t="n"/>
      <c r="L1597" s="102" t="n"/>
      <c r="M1597" s="85">
        <f>IF(OR(Y1597="估算法",Y1597="算法类",Y1597="无法识别"),"",IF(W1597="",IF(OR(J1597="EI",J1597="EO",J1597="EQ"),0,""),LEN(W1597)-LEN(SUBSTITUTE(W1597,"、",""))+1))</f>
        <v/>
      </c>
      <c r="N1597" s="85">
        <f>IF(OR(Y1597="估算法",Y1597="算法类",Y1597="无法识别"),"",IF(X1597="",IF(OR(J1597="ILF",J1597="EIF"),0,""),LEN(X1597)-LEN(SUBSTITUTE(X1597,"、",""))+1))</f>
        <v/>
      </c>
      <c r="O1597" s="85">
        <f>IF(OR(Y1597="估算法",Y1597="算法类",Y1597="无法识别"),"",IF(Y1597="",IF(OR(J1597="ILF",J1597="EIF",J1597="EI",J1597="EO",J1597="EQ"),0,""),LEN(Y1597)-LEN(SUBSTITUTE(SUBSTITUTE(SUBSTITUTE(SUBSTITUTE(SUBSTITUTE(Y1597,"|}","--"),"{|","--"),CHAR(10),""),"、",""),"|",""))+IF(AND(OR(J1597="EI",J1597="EO",J1597="EQ"),$AE$1="NESMA"),2,1)))</f>
        <v/>
      </c>
      <c r="P1597" s="86">
        <f>IF(J1597="EI",IF(OR(Y1597="估算法",Y1597="算法类"),"中",IF(Y1597="无法识别","低",IF(M1597&lt;2,IF(O1597&lt;16,"低","中"),IF(M1597&lt;3,IF(O1597&lt;5,"低",IF(O1597&lt;16,"中","高")),IF(O1597&lt;5,"中","高"))))),IF(OR(J1597="EO",J1597="EQ"),IF(OR(Y1597="估算法",Y1597="算法类"),"中",IF(Y1597="无法识别","低",IF(M1597&lt;2,IF(O1597&lt;20,"低","中"),IF(M1597&lt;4,IF(O1597&lt;6,"低",IF(O1597&lt;20,"中","高")),IF(O1597&lt;6,"中","高"))))),IF(OR(J1597="ILF",J1597="EIF"),IF(OR(Y1597="估算法",Y1597="算法类",Y1597="无法识别"),"低",IF(N1597&lt;2,IF(O1597&lt;51,"低","中"),IF(N1597&lt;6,IF(O1597&lt;20,"低",IF(O1597&lt;51,"中","高")),IF(O1597&lt;20,"中","高")))),"不计算")))</f>
        <v/>
      </c>
      <c r="Q1597" s="172">
        <f>IFERROR(IF(J1597="EI",IF(P1597="低",3,IF(P1597="中",4,6)),IF(J1597="EO",IF(P1597="低",4,IF(P1597="中",5,7)),IF(J1597="EQ",IF(P1597="低",3,IF(P1597="中",4,6)),IF(J1597="ILF",IF(P1597="低",7,IF(P1597="中",10,15)),IF(J1597="EIF",IF(P1597="低",5,IF(P1597="中",7,10)),"不计算")))))*R1597,"不计算")</f>
        <v/>
      </c>
      <c r="R1597" s="172" t="n">
        <v>1</v>
      </c>
      <c r="S1597" s="173">
        <f>调整因子!$F$13</f>
        <v/>
      </c>
      <c r="T1597" s="93" t="n">
        <v>1</v>
      </c>
      <c r="U1597" s="174">
        <f>IFERROR(Q1597*S1597,0)</f>
        <v/>
      </c>
      <c r="V1597" s="178">
        <f>U1597*T1597</f>
        <v/>
      </c>
      <c r="W1597" s="103" t="inlineStr">
        <is>
          <t>报表模板表、推送失败重试表</t>
        </is>
      </c>
      <c r="X1597" s="103" t="inlineStr"/>
      <c r="Y1597" s="97" t="inlineStr">
        <is>
          <t>报表模板表{报表ID、报表名称、报表类型、生成时间、报表内容|报表ID、报表名称、报表类型}
推送失败重试表{ID、名称、类型、状态、创建时间、更新时间|ID、名称、类型}</t>
        </is>
      </c>
      <c r="Z1597" s="90" t="n"/>
      <c r="AA1597" s="90" t="n"/>
    </row>
    <row r="1598" s="112">
      <c r="A1598" s="72">
        <f>ROW()-1</f>
        <v/>
      </c>
      <c r="B1598" s="175" t="n"/>
      <c r="C1598" s="124" t="n">
        <v>2026</v>
      </c>
      <c r="E1598" s="103" t="n"/>
      <c r="F1598" s="175" t="n"/>
      <c r="G1598" s="175" t="n"/>
      <c r="H1598" s="175" t="n"/>
      <c r="I1598" s="103" t="inlineStr">
        <is>
          <t>删除报表模板</t>
        </is>
      </c>
      <c r="J1598" s="93" t="inlineStr">
        <is>
          <t>EI</t>
        </is>
      </c>
      <c r="K1598" s="102" t="n"/>
      <c r="L1598" s="102" t="n"/>
      <c r="M1598" s="85">
        <f>IF(OR(Y1598="估算法",Y1598="算法类",Y1598="无法识别"),"",IF(W1598="",IF(OR(J1598="EI",J1598="EO",J1598="EQ"),0,""),LEN(W1598)-LEN(SUBSTITUTE(W1598,"、",""))+1))</f>
        <v/>
      </c>
      <c r="N1598" s="85">
        <f>IF(OR(Y1598="估算法",Y1598="算法类",Y1598="无法识别"),"",IF(X1598="",IF(OR(J1598="ILF",J1598="EIF"),0,""),LEN(X1598)-LEN(SUBSTITUTE(X1598,"、",""))+1))</f>
        <v/>
      </c>
      <c r="O1598" s="85">
        <f>IF(OR(Y1598="估算法",Y1598="算法类",Y1598="无法识别"),"",IF(Y1598="",IF(OR(J1598="ILF",J1598="EIF",J1598="EI",J1598="EO",J1598="EQ"),0,""),LEN(Y1598)-LEN(SUBSTITUTE(SUBSTITUTE(SUBSTITUTE(SUBSTITUTE(SUBSTITUTE(Y1598,"|}","--"),"{|","--"),CHAR(10),""),"、",""),"|",""))+IF(AND(OR(J1598="EI",J1598="EO",J1598="EQ"),$AE$1="NESMA"),2,1)))</f>
        <v/>
      </c>
      <c r="P1598" s="86">
        <f>IF(J1598="EI",IF(OR(Y1598="估算法",Y1598="算法类"),"中",IF(Y1598="无法识别","低",IF(M1598&lt;2,IF(O1598&lt;16,"低","中"),IF(M1598&lt;3,IF(O1598&lt;5,"低",IF(O1598&lt;16,"中","高")),IF(O1598&lt;5,"中","高"))))),IF(OR(J1598="EO",J1598="EQ"),IF(OR(Y1598="估算法",Y1598="算法类"),"中",IF(Y1598="无法识别","低",IF(M1598&lt;2,IF(O1598&lt;20,"低","中"),IF(M1598&lt;4,IF(O1598&lt;6,"低",IF(O1598&lt;20,"中","高")),IF(O1598&lt;6,"中","高"))))),IF(OR(J1598="ILF",J1598="EIF"),IF(OR(Y1598="估算法",Y1598="算法类",Y1598="无法识别"),"低",IF(N1598&lt;2,IF(O1598&lt;51,"低","中"),IF(N1598&lt;6,IF(O1598&lt;20,"低",IF(O1598&lt;51,"中","高")),IF(O1598&lt;20,"中","高")))),"不计算")))</f>
        <v/>
      </c>
      <c r="Q1598" s="172">
        <f>IFERROR(IF(J1598="EI",IF(P1598="低",3,IF(P1598="中",4,6)),IF(J1598="EO",IF(P1598="低",4,IF(P1598="中",5,7)),IF(J1598="EQ",IF(P1598="低",3,IF(P1598="中",4,6)),IF(J1598="ILF",IF(P1598="低",7,IF(P1598="中",10,15)),IF(J1598="EIF",IF(P1598="低",5,IF(P1598="中",7,10)),"不计算")))))*R1598,"不计算")</f>
        <v/>
      </c>
      <c r="R1598" s="172" t="n">
        <v>0.333333333333333</v>
      </c>
      <c r="S1598" s="173">
        <f>调整因子!$F$13</f>
        <v/>
      </c>
      <c r="T1598" s="92" t="n">
        <v>1</v>
      </c>
      <c r="U1598" s="174">
        <f>IFERROR(Q1598*S1598,0)</f>
        <v/>
      </c>
      <c r="V1598" s="178">
        <f>U1598*T1598</f>
        <v/>
      </c>
      <c r="W1598" s="103" t="inlineStr">
        <is>
          <t>报表模板表、漏洞处置推送接口配置表</t>
        </is>
      </c>
      <c r="X1598" s="103" t="inlineStr"/>
      <c r="Y1598" s="97" t="inlineStr">
        <is>
          <t>报表模板表{报表ID、报表名称、报表类型、生成时间、报表内容|报表ID、报表名称、报表类型}
漏洞处置推送接口配置表{漏洞ID、漏洞名称、漏洞等级、漏洞类型、CVE编号、发现时间、修复状态|漏洞ID、漏洞名称、漏洞等级}</t>
        </is>
      </c>
      <c r="Z1598" s="90" t="n"/>
      <c r="AA1598" s="90" t="n"/>
    </row>
    <row r="1599" s="112">
      <c r="A1599" s="72">
        <f>ROW()-1</f>
        <v/>
      </c>
      <c r="B1599" s="175" t="n"/>
      <c r="C1599" s="124" t="n">
        <v>2026</v>
      </c>
      <c r="E1599" s="103" t="n"/>
      <c r="F1599" s="175" t="n"/>
      <c r="G1599" s="175" t="n"/>
      <c r="H1599" s="175" t="n"/>
      <c r="I1599" s="103" t="inlineStr">
        <is>
          <t>启用报表模板</t>
        </is>
      </c>
      <c r="J1599" s="93" t="inlineStr">
        <is>
          <t>EI</t>
        </is>
      </c>
      <c r="K1599" s="102" t="n"/>
      <c r="L1599" s="102" t="n"/>
      <c r="M1599" s="85">
        <f>IF(OR(Y1599="估算法",Y1599="算法类",Y1599="无法识别"),"",IF(W1599="",IF(OR(J1599="EI",J1599="EO",J1599="EQ"),0,""),LEN(W1599)-LEN(SUBSTITUTE(W1599,"、",""))+1))</f>
        <v/>
      </c>
      <c r="N1599" s="85">
        <f>IF(OR(Y1599="估算法",Y1599="算法类",Y1599="无法识别"),"",IF(X1599="",IF(OR(J1599="ILF",J1599="EIF"),0,""),LEN(X1599)-LEN(SUBSTITUTE(X1599,"、",""))+1))</f>
        <v/>
      </c>
      <c r="O1599" s="85">
        <f>IF(OR(Y1599="估算法",Y1599="算法类",Y1599="无法识别"),"",IF(Y1599="",IF(OR(J1599="ILF",J1599="EIF",J1599="EI",J1599="EO",J1599="EQ"),0,""),LEN(Y1599)-LEN(SUBSTITUTE(SUBSTITUTE(SUBSTITUTE(SUBSTITUTE(SUBSTITUTE(Y1599,"|}","--"),"{|","--"),CHAR(10),""),"、",""),"|",""))+IF(AND(OR(J1599="EI",J1599="EO",J1599="EQ"),$AE$1="NESMA"),2,1)))</f>
        <v/>
      </c>
      <c r="P1599" s="86">
        <f>IF(J1599="EI",IF(OR(Y1599="估算法",Y1599="算法类"),"中",IF(Y1599="无法识别","低",IF(M1599&lt;2,IF(O1599&lt;16,"低","中"),IF(M1599&lt;3,IF(O1599&lt;5,"低",IF(O1599&lt;16,"中","高")),IF(O1599&lt;5,"中","高"))))),IF(OR(J1599="EO",J1599="EQ"),IF(OR(Y1599="估算法",Y1599="算法类"),"中",IF(Y1599="无法识别","低",IF(M1599&lt;2,IF(O1599&lt;20,"低","中"),IF(M1599&lt;4,IF(O1599&lt;6,"低",IF(O1599&lt;20,"中","高")),IF(O1599&lt;6,"中","高"))))),IF(OR(J1599="ILF",J1599="EIF"),IF(OR(Y1599="估算法",Y1599="算法类",Y1599="无法识别"),"低",IF(N1599&lt;2,IF(O1599&lt;51,"低","中"),IF(N1599&lt;6,IF(O1599&lt;20,"低",IF(O1599&lt;51,"中","高")),IF(O1599&lt;20,"中","高")))),"不计算")))</f>
        <v/>
      </c>
      <c r="Q1599" s="172">
        <f>IFERROR(IF(J1599="EI",IF(P1599="低",3,IF(P1599="中",4,6)),IF(J1599="EO",IF(P1599="低",4,IF(P1599="中",5,7)),IF(J1599="EQ",IF(P1599="低",3,IF(P1599="中",4,6)),IF(J1599="ILF",IF(P1599="低",7,IF(P1599="中",10,15)),IF(J1599="EIF",IF(P1599="低",5,IF(P1599="中",7,10)),"不计算")))))*R1599,"不计算")</f>
        <v/>
      </c>
      <c r="R1599" s="172" t="n">
        <v>1</v>
      </c>
      <c r="S1599" s="173">
        <f>调整因子!$F$13</f>
        <v/>
      </c>
      <c r="T1599" s="92" t="n">
        <v>1</v>
      </c>
      <c r="U1599" s="174">
        <f>IFERROR(Q1599*S1599,0)</f>
        <v/>
      </c>
      <c r="V1599" s="178">
        <f>U1599*T1599</f>
        <v/>
      </c>
      <c r="W1599" s="103" t="inlineStr">
        <is>
          <t>报表模板表</t>
        </is>
      </c>
      <c r="X1599" s="103" t="inlineStr"/>
      <c r="Y1599" s="97" t="inlineStr">
        <is>
          <t>报表模板表{报表ID、报表名称、报表类型、生成时间、报表内容|报表ID、报表名称、报表类型}</t>
        </is>
      </c>
      <c r="Z1599" s="90" t="n"/>
      <c r="AA1599" s="90" t="n"/>
    </row>
    <row r="1600" s="112">
      <c r="A1600" s="72">
        <f>ROW()-1</f>
        <v/>
      </c>
      <c r="B1600" s="175" t="n"/>
      <c r="C1600" s="124" t="n">
        <v>2026</v>
      </c>
      <c r="E1600" s="103" t="n"/>
      <c r="F1600" s="175" t="n"/>
      <c r="G1600" s="175" t="n"/>
      <c r="H1600" s="175" t="n"/>
      <c r="I1600" s="103" t="inlineStr">
        <is>
          <t>停用报表模板</t>
        </is>
      </c>
      <c r="J1600" s="93" t="n"/>
      <c r="K1600" s="102" t="n"/>
      <c r="L1600" s="102" t="inlineStr">
        <is>
          <t>和上行合并，启停为相同功能</t>
        </is>
      </c>
      <c r="M1600" s="85">
        <f>IF(OR(Y1600="估算法",Y1600="算法类",Y1600="无法识别"),"",IF(W1600="",IF(OR(J1600="EI",J1600="EO",J1600="EQ"),0,""),LEN(W1600)-LEN(SUBSTITUTE(W1600,"、",""))+1))</f>
        <v/>
      </c>
      <c r="N1600" s="85">
        <f>IF(OR(Y1600="估算法",Y1600="算法类",Y1600="无法识别"),"",IF(X1600="",IF(OR(J1600="ILF",J1600="EIF"),0,""),LEN(X1600)-LEN(SUBSTITUTE(X1600,"、",""))+1))</f>
        <v/>
      </c>
      <c r="O1600" s="85">
        <f>IF(OR(Y1600="估算法",Y1600="算法类",Y1600="无法识别"),"",IF(Y1600="",IF(OR(J1600="ILF",J1600="EIF",J1600="EI",J1600="EO",J1600="EQ"),0,""),LEN(Y1600)-LEN(SUBSTITUTE(SUBSTITUTE(SUBSTITUTE(SUBSTITUTE(SUBSTITUTE(Y1600,"|}","--"),"{|","--"),CHAR(10),""),"、",""),"|",""))+IF(AND(OR(J1600="EI",J1600="EO",J1600="EQ"),$AE$1="NESMA"),2,1)))</f>
        <v/>
      </c>
      <c r="P1600" s="86">
        <f>IF(J1600="EI",IF(OR(Y1600="估算法",Y1600="算法类"),"中",IF(Y1600="无法识别","低",IF(M1600&lt;2,IF(O1600&lt;16,"低","中"),IF(M1600&lt;3,IF(O1600&lt;5,"低",IF(O1600&lt;16,"中","高")),IF(O1600&lt;5,"中","高"))))),IF(OR(J1600="EO",J1600="EQ"),IF(OR(Y1600="估算法",Y1600="算法类"),"中",IF(Y1600="无法识别","低",IF(M1600&lt;2,IF(O1600&lt;20,"低","中"),IF(M1600&lt;4,IF(O1600&lt;6,"低",IF(O1600&lt;20,"中","高")),IF(O1600&lt;6,"中","高"))))),IF(OR(J1600="ILF",J1600="EIF"),IF(OR(Y1600="估算法",Y1600="算法类",Y1600="无法识别"),"低",IF(N1600&lt;2,IF(O1600&lt;51,"低","中"),IF(N1600&lt;6,IF(O1600&lt;20,"低",IF(O1600&lt;51,"中","高")),IF(O1600&lt;20,"中","高")))),"不计算")))</f>
        <v/>
      </c>
      <c r="Q1600" s="172">
        <f>IFERROR(IF(J1600="EI",IF(P1600="低",3,IF(P1600="中",4,6)),IF(J1600="EO",IF(P1600="低",4,IF(P1600="中",5,7)),IF(J1600="EQ",IF(P1600="低",3,IF(P1600="中",4,6)),IF(J1600="ILF",IF(P1600="低",7,IF(P1600="中",10,15)),IF(J1600="EIF",IF(P1600="低",5,IF(P1600="中",7,10)),"不计算")))))*R1600,"不计算")</f>
        <v/>
      </c>
      <c r="R1600" s="172" t="n">
        <v>1</v>
      </c>
      <c r="S1600" s="173">
        <f>调整因子!$F$13</f>
        <v/>
      </c>
      <c r="T1600" s="93" t="n">
        <v>1</v>
      </c>
      <c r="U1600" s="174">
        <f>IFERROR(Q1600*S1600,0)</f>
        <v/>
      </c>
      <c r="V1600" s="178">
        <f>U1600*T1600</f>
        <v/>
      </c>
      <c r="W1600" s="103" t="inlineStr">
        <is>
          <t>报表模板表、修复步骤表</t>
        </is>
      </c>
      <c r="X1600" s="103" t="inlineStr"/>
      <c r="Y1600" s="97" t="inlineStr">
        <is>
          <t>报表模板表{报表ID、报表名称、报表类型、生成时间、报表内容|报表ID、报表名称、报表类型}
修复步骤表{ID、名称、类型、状态、创建时间、更新时间|ID、名称、类型}</t>
        </is>
      </c>
      <c r="Z1600" s="90" t="n"/>
      <c r="AA1600" s="90" t="n"/>
    </row>
    <row r="1601" s="112">
      <c r="A1601" s="72">
        <f>ROW()-1</f>
        <v/>
      </c>
      <c r="B1601" s="175" t="n"/>
      <c r="C1601" s="124" t="n">
        <v>2026</v>
      </c>
      <c r="E1601" s="103" t="n"/>
      <c r="F1601" s="175" t="n"/>
      <c r="G1601" s="175" t="n"/>
      <c r="H1601" s="175" t="n"/>
      <c r="I1601" s="103" t="inlineStr">
        <is>
          <t>导出模板配置</t>
        </is>
      </c>
      <c r="J1601" s="93" t="inlineStr">
        <is>
          <t>EO</t>
        </is>
      </c>
      <c r="K1601" s="102" t="n"/>
      <c r="L1601" s="102" t="n"/>
      <c r="M1601" s="85">
        <f>IF(OR(Y1601="估算法",Y1601="算法类",Y1601="无法识别"),"",IF(W1601="",IF(OR(J1601="EI",J1601="EO",J1601="EQ"),0,""),LEN(W1601)-LEN(SUBSTITUTE(W1601,"、",""))+1))</f>
        <v/>
      </c>
      <c r="N1601" s="85">
        <f>IF(OR(Y1601="估算法",Y1601="算法类",Y1601="无法识别"),"",IF(X1601="",IF(OR(J1601="ILF",J1601="EIF"),0,""),LEN(X1601)-LEN(SUBSTITUTE(X1601,"、",""))+1))</f>
        <v/>
      </c>
      <c r="O1601" s="85">
        <f>IF(OR(Y1601="估算法",Y1601="算法类",Y1601="无法识别"),"",IF(Y1601="",IF(OR(J1601="ILF",J1601="EIF",J1601="EI",J1601="EO",J1601="EQ"),0,""),LEN(Y1601)-LEN(SUBSTITUTE(SUBSTITUTE(SUBSTITUTE(SUBSTITUTE(SUBSTITUTE(Y1601,"|}","--"),"{|","--"),CHAR(10),""),"、",""),"|",""))+IF(AND(OR(J1601="EI",J1601="EO",J1601="EQ"),$AE$1="NESMA"),2,1)))</f>
        <v/>
      </c>
      <c r="P1601" s="86">
        <f>IF(J1601="EI",IF(OR(Y1601="估算法",Y1601="算法类"),"中",IF(Y1601="无法识别","低",IF(M1601&lt;2,IF(O1601&lt;16,"低","中"),IF(M1601&lt;3,IF(O1601&lt;5,"低",IF(O1601&lt;16,"中","高")),IF(O1601&lt;5,"中","高"))))),IF(OR(J1601="EO",J1601="EQ"),IF(OR(Y1601="估算法",Y1601="算法类"),"中",IF(Y1601="无法识别","低",IF(M1601&lt;2,IF(O1601&lt;20,"低","中"),IF(M1601&lt;4,IF(O1601&lt;6,"低",IF(O1601&lt;20,"中","高")),IF(O1601&lt;6,"中","高"))))),IF(OR(J1601="ILF",J1601="EIF"),IF(OR(Y1601="估算法",Y1601="算法类",Y1601="无法识别"),"低",IF(N1601&lt;2,IF(O1601&lt;51,"低","中"),IF(N1601&lt;6,IF(O1601&lt;20,"低",IF(O1601&lt;51,"中","高")),IF(O1601&lt;20,"中","高")))),"不计算")))</f>
        <v/>
      </c>
      <c r="Q1601" s="172">
        <f>IFERROR(IF(J1601="EI",IF(P1601="低",3,IF(P1601="中",4,6)),IF(J1601="EO",IF(P1601="低",4,IF(P1601="中",5,7)),IF(J1601="EQ",IF(P1601="低",3,IF(P1601="中",4,6)),IF(J1601="ILF",IF(P1601="低",7,IF(P1601="中",10,15)),IF(J1601="EIF",IF(P1601="低",5,IF(P1601="中",7,10)),"不计算")))))*R1601,"不计算")</f>
        <v/>
      </c>
      <c r="R1601" s="172" t="n">
        <v>1</v>
      </c>
      <c r="S1601" s="173">
        <f>调整因子!$F$13</f>
        <v/>
      </c>
      <c r="T1601" s="93" t="n">
        <v>1</v>
      </c>
      <c r="U1601" s="174">
        <f>IFERROR(Q1601*S1601,0)</f>
        <v/>
      </c>
      <c r="V1601" s="178">
        <f>U1601*T1601</f>
        <v/>
      </c>
      <c r="W1601" s="103" t="inlineStr">
        <is>
          <t>任务优先级配置表、模板参数配置表</t>
        </is>
      </c>
      <c r="X1601" s="103" t="inlineStr"/>
      <c r="Y1601" s="97" t="inlineStr">
        <is>
          <t>任务优先级配置表{任务ID、任务名称|任务ID、任务名称、任务类型、任务状态、创建时间、执行时间}
模板参数配置表{配置ID、配置名称|配置ID、配置名称、配置类型、配置值、创建时间}</t>
        </is>
      </c>
      <c r="Z1601" s="90" t="n"/>
      <c r="AA1601" s="90" t="n"/>
    </row>
    <row r="1602" s="112">
      <c r="A1602" s="72">
        <f>ROW()-1</f>
        <v/>
      </c>
      <c r="B1602" s="175" t="n"/>
      <c r="C1602" s="124" t="n">
        <v>2026</v>
      </c>
      <c r="E1602" s="103" t="n"/>
      <c r="F1602" s="175" t="n"/>
      <c r="G1602" s="175" t="n"/>
      <c r="H1602" s="175" t="n"/>
      <c r="I1602" s="103" t="inlineStr">
        <is>
          <t>查询模板列表</t>
        </is>
      </c>
      <c r="J1602" s="93" t="inlineStr">
        <is>
          <t>EO</t>
        </is>
      </c>
      <c r="K1602" s="102" t="n"/>
      <c r="L1602" s="102" t="n"/>
      <c r="M1602" s="85">
        <f>IF(OR(Y1602="估算法",Y1602="算法类",Y1602="无法识别"),"",IF(W1602="",IF(OR(J1602="EI",J1602="EO",J1602="EQ"),0,""),LEN(W1602)-LEN(SUBSTITUTE(W1602,"、",""))+1))</f>
        <v/>
      </c>
      <c r="N1602" s="85">
        <f>IF(OR(Y1602="估算法",Y1602="算法类",Y1602="无法识别"),"",IF(X1602="",IF(OR(J1602="ILF",J1602="EIF"),0,""),LEN(X1602)-LEN(SUBSTITUTE(X1602,"、",""))+1))</f>
        <v/>
      </c>
      <c r="O1602" s="85">
        <f>IF(OR(Y1602="估算法",Y1602="算法类",Y1602="无法识别"),"",IF(Y1602="",IF(OR(J1602="ILF",J1602="EIF",J1602="EI",J1602="EO",J1602="EQ"),0,""),LEN(Y1602)-LEN(SUBSTITUTE(SUBSTITUTE(SUBSTITUTE(SUBSTITUTE(SUBSTITUTE(Y1602,"|}","--"),"{|","--"),CHAR(10),""),"、",""),"|",""))+IF(AND(OR(J1602="EI",J1602="EO",J1602="EQ"),$AE$1="NESMA"),2,1)))</f>
        <v/>
      </c>
      <c r="P1602" s="86">
        <f>IF(J1602="EI",IF(OR(Y1602="估算法",Y1602="算法类"),"中",IF(Y1602="无法识别","低",IF(M1602&lt;2,IF(O1602&lt;16,"低","中"),IF(M1602&lt;3,IF(O1602&lt;5,"低",IF(O1602&lt;16,"中","高")),IF(O1602&lt;5,"中","高"))))),IF(OR(J1602="EO",J1602="EQ"),IF(OR(Y1602="估算法",Y1602="算法类"),"中",IF(Y1602="无法识别","低",IF(M1602&lt;2,IF(O1602&lt;20,"低","中"),IF(M1602&lt;4,IF(O1602&lt;6,"低",IF(O1602&lt;20,"中","高")),IF(O1602&lt;6,"中","高"))))),IF(OR(J1602="ILF",J1602="EIF"),IF(OR(Y1602="估算法",Y1602="算法类",Y1602="无法识别"),"低",IF(N1602&lt;2,IF(O1602&lt;51,"低","中"),IF(N1602&lt;6,IF(O1602&lt;20,"低",IF(O1602&lt;51,"中","高")),IF(O1602&lt;20,"中","高")))),"不计算")))</f>
        <v/>
      </c>
      <c r="Q1602" s="172">
        <f>IFERROR(IF(J1602="EI",IF(P1602="低",3,IF(P1602="中",4,6)),IF(J1602="EO",IF(P1602="低",4,IF(P1602="中",5,7)),IF(J1602="EQ",IF(P1602="低",3,IF(P1602="中",4,6)),IF(J1602="ILF",IF(P1602="低",7,IF(P1602="中",10,15)),IF(J1602="EIF",IF(P1602="低",5,IF(P1602="中",7,10)),"不计算")))))*R1602,"不计算")</f>
        <v/>
      </c>
      <c r="R1602" s="172" t="n">
        <v>1</v>
      </c>
      <c r="S1602" s="173">
        <f>调整因子!$F$13</f>
        <v/>
      </c>
      <c r="T1602" s="92" t="n">
        <v>1</v>
      </c>
      <c r="U1602" s="174">
        <f>IFERROR(Q1602*S1602,0)</f>
        <v/>
      </c>
      <c r="V1602" s="178">
        <f>U1602*T1602</f>
        <v/>
      </c>
      <c r="W1602" s="103" t="inlineStr">
        <is>
          <t>性能数据表、加密策略表</t>
        </is>
      </c>
      <c r="X1602" s="103" t="inlineStr"/>
      <c r="Y1602" s="97" t="inlineStr">
        <is>
          <t>性能数据表{ID、名称|ID、名称、类型、状态、创建时间、更新时间}
加密策略表{策略ID、策略名称|策略ID、策略名称、策略类型、策略内容、生效时间}</t>
        </is>
      </c>
      <c r="Z1602" s="90" t="n"/>
      <c r="AA1602" s="90" t="n"/>
    </row>
    <row r="1603" s="112">
      <c r="A1603" s="72">
        <f>ROW()-1</f>
        <v/>
      </c>
      <c r="B1603" s="175" t="n"/>
      <c r="C1603" s="124" t="n">
        <v>2026</v>
      </c>
      <c r="E1603" s="103" t="n"/>
      <c r="F1603" s="175" t="n"/>
      <c r="G1603" s="175" t="n"/>
      <c r="H1603" s="176" t="n"/>
      <c r="I1603" s="103" t="inlineStr">
        <is>
          <t>查看模板详情</t>
        </is>
      </c>
      <c r="J1603" s="93" t="inlineStr">
        <is>
          <t>EQ</t>
        </is>
      </c>
      <c r="K1603" s="102" t="n"/>
      <c r="L1603" s="102" t="n"/>
      <c r="M1603" s="85">
        <f>IF(OR(Y1603="估算法",Y1603="算法类",Y1603="无法识别"),"",IF(W1603="",IF(OR(J1603="EI",J1603="EO",J1603="EQ"),0,""),LEN(W1603)-LEN(SUBSTITUTE(W1603,"、",""))+1))</f>
        <v/>
      </c>
      <c r="N1603" s="85">
        <f>IF(OR(Y1603="估算法",Y1603="算法类",Y1603="无法识别"),"",IF(X1603="",IF(OR(J1603="ILF",J1603="EIF"),0,""),LEN(X1603)-LEN(SUBSTITUTE(X1603,"、",""))+1))</f>
        <v/>
      </c>
      <c r="O1603" s="85">
        <f>IF(OR(Y1603="估算法",Y1603="算法类",Y1603="无法识别"),"",IF(Y1603="",IF(OR(J1603="ILF",J1603="EIF",J1603="EI",J1603="EO",J1603="EQ"),0,""),LEN(Y1603)-LEN(SUBSTITUTE(SUBSTITUTE(SUBSTITUTE(SUBSTITUTE(SUBSTITUTE(Y1603,"|}","--"),"{|","--"),CHAR(10),""),"、",""),"|",""))+IF(AND(OR(J1603="EI",J1603="EO",J1603="EQ"),$AE$1="NESMA"),2,1)))</f>
        <v/>
      </c>
      <c r="P1603" s="86">
        <f>IF(J1603="EI",IF(OR(Y1603="估算法",Y1603="算法类"),"中",IF(Y1603="无法识别","低",IF(M1603&lt;2,IF(O1603&lt;16,"低","中"),IF(M1603&lt;3,IF(O1603&lt;5,"低",IF(O1603&lt;16,"中","高")),IF(O1603&lt;5,"中","高"))))),IF(OR(J1603="EO",J1603="EQ"),IF(OR(Y1603="估算法",Y1603="算法类"),"中",IF(Y1603="无法识别","低",IF(M1603&lt;2,IF(O1603&lt;20,"低","中"),IF(M1603&lt;4,IF(O1603&lt;6,"低",IF(O1603&lt;20,"中","高")),IF(O1603&lt;6,"中","高"))))),IF(OR(J1603="ILF",J1603="EIF"),IF(OR(Y1603="估算法",Y1603="算法类",Y1603="无法识别"),"低",IF(N1603&lt;2,IF(O1603&lt;51,"低","中"),IF(N1603&lt;6,IF(O1603&lt;20,"低",IF(O1603&lt;51,"中","高")),IF(O1603&lt;20,"中","高")))),"不计算")))</f>
        <v/>
      </c>
      <c r="Q1603" s="172">
        <f>IFERROR(IF(J1603="EI",IF(P1603="低",3,IF(P1603="中",4,6)),IF(J1603="EO",IF(P1603="低",4,IF(P1603="中",5,7)),IF(J1603="EQ",IF(P1603="低",3,IF(P1603="中",4,6)),IF(J1603="ILF",IF(P1603="低",7,IF(P1603="中",10,15)),IF(J1603="EIF",IF(P1603="低",5,IF(P1603="中",7,10)),"不计算")))))*R1603,"不计算")</f>
        <v/>
      </c>
      <c r="R1603" s="172" t="n">
        <v>1</v>
      </c>
      <c r="S1603" s="173">
        <f>调整因子!$F$13</f>
        <v/>
      </c>
      <c r="T1603" s="92" t="n">
        <v>1</v>
      </c>
      <c r="U1603" s="174">
        <f>IFERROR(Q1603*S1603,0)</f>
        <v/>
      </c>
      <c r="V1603" s="178">
        <f>U1603*T1603</f>
        <v/>
      </c>
      <c r="W1603" s="103" t="inlineStr">
        <is>
          <t>漏洞查询接口配置表</t>
        </is>
      </c>
      <c r="X1603" s="103" t="inlineStr"/>
      <c r="Y1603" s="97" t="inlineStr">
        <is>
          <t>漏洞查询接口配置表{漏洞ID、漏洞名称|漏洞ID、漏洞名称、漏洞等级、漏洞类型、CVE编号、发现时间、修复状态}</t>
        </is>
      </c>
      <c r="Z1603" s="90" t="n"/>
      <c r="AA1603" s="90" t="n"/>
    </row>
    <row r="1604" s="112">
      <c r="A1604" s="72">
        <f>ROW()-1</f>
        <v/>
      </c>
      <c r="B1604" s="175" t="n"/>
      <c r="C1604" s="124" t="n">
        <v>2026</v>
      </c>
      <c r="E1604" s="103" t="n"/>
      <c r="F1604" s="175" t="n"/>
      <c r="G1604" s="175" t="n"/>
      <c r="H1604" s="97" t="inlineStr">
        <is>
          <t>报表生成管理</t>
        </is>
      </c>
      <c r="I1604" s="103" t="inlineStr">
        <is>
          <t>编辑报表内容</t>
        </is>
      </c>
      <c r="J1604" s="93" t="inlineStr">
        <is>
          <t>EI</t>
        </is>
      </c>
      <c r="K1604" s="102" t="n"/>
      <c r="L1604" s="102" t="n"/>
      <c r="M1604" s="85">
        <f>IF(OR(Y1604="估算法",Y1604="算法类",Y1604="无法识别"),"",IF(W1604="",IF(OR(J1604="EI",J1604="EO",J1604="EQ"),0,""),LEN(W1604)-LEN(SUBSTITUTE(W1604,"、",""))+1))</f>
        <v/>
      </c>
      <c r="N1604" s="85">
        <f>IF(OR(Y1604="估算法",Y1604="算法类",Y1604="无法识别"),"",IF(X1604="",IF(OR(J1604="ILF",J1604="EIF"),0,""),LEN(X1604)-LEN(SUBSTITUTE(X1604,"、",""))+1))</f>
        <v/>
      </c>
      <c r="O1604" s="85">
        <f>IF(OR(Y1604="估算法",Y1604="算法类",Y1604="无法识别"),"",IF(Y1604="",IF(OR(J1604="ILF",J1604="EIF",J1604="EI",J1604="EO",J1604="EQ"),0,""),LEN(Y1604)-LEN(SUBSTITUTE(SUBSTITUTE(SUBSTITUTE(SUBSTITUTE(SUBSTITUTE(Y1604,"|}","--"),"{|","--"),CHAR(10),""),"、",""),"|",""))+IF(AND(OR(J1604="EI",J1604="EO",J1604="EQ"),$AE$1="NESMA"),2,1)))</f>
        <v/>
      </c>
      <c r="P1604" s="86">
        <f>IF(J1604="EI",IF(OR(Y1604="估算法",Y1604="算法类"),"中",IF(Y1604="无法识别","低",IF(M1604&lt;2,IF(O1604&lt;16,"低","中"),IF(M1604&lt;3,IF(O1604&lt;5,"低",IF(O1604&lt;16,"中","高")),IF(O1604&lt;5,"中","高"))))),IF(OR(J1604="EO",J1604="EQ"),IF(OR(Y1604="估算法",Y1604="算法类"),"中",IF(Y1604="无法识别","低",IF(M1604&lt;2,IF(O1604&lt;20,"低","中"),IF(M1604&lt;4,IF(O1604&lt;6,"低",IF(O1604&lt;20,"中","高")),IF(O1604&lt;6,"中","高"))))),IF(OR(J1604="ILF",J1604="EIF"),IF(OR(Y1604="估算法",Y1604="算法类",Y1604="无法识别"),"低",IF(N1604&lt;2,IF(O1604&lt;51,"低","中"),IF(N1604&lt;6,IF(O1604&lt;20,"低",IF(O1604&lt;51,"中","高")),IF(O1604&lt;20,"中","高")))),"不计算")))</f>
        <v/>
      </c>
      <c r="Q1604" s="172">
        <f>IFERROR(IF(J1604="EI",IF(P1604="低",3,IF(P1604="中",4,6)),IF(J1604="EO",IF(P1604="低",4,IF(P1604="中",5,7)),IF(J1604="EQ",IF(P1604="低",3,IF(P1604="中",4,6)),IF(J1604="ILF",IF(P1604="低",7,IF(P1604="中",10,15)),IF(J1604="EIF",IF(P1604="低",5,IF(P1604="中",7,10)),"不计算")))))*R1604,"不计算")</f>
        <v/>
      </c>
      <c r="R1604" s="172" t="n">
        <v>1</v>
      </c>
      <c r="S1604" s="173">
        <f>调整因子!$F$13</f>
        <v/>
      </c>
      <c r="T1604" s="93" t="n">
        <v>1</v>
      </c>
      <c r="U1604" s="174">
        <f>IFERROR(Q1604*S1604,0)</f>
        <v/>
      </c>
      <c r="V1604" s="178">
        <f>U1604*T1604</f>
        <v/>
      </c>
      <c r="W1604" s="103" t="inlineStr">
        <is>
          <t>报表模板表</t>
        </is>
      </c>
      <c r="X1604" s="103" t="inlineStr"/>
      <c r="Y1604" s="97" t="inlineStr">
        <is>
          <t>报表模板表{报表ID、报表名称、报表类型、生成时间、报表内容|报表ID、报表名称、报表类型}</t>
        </is>
      </c>
      <c r="Z1604" s="90" t="n"/>
      <c r="AA1604" s="90" t="n"/>
    </row>
    <row r="1605" s="112">
      <c r="A1605" s="72">
        <f>ROW()-1</f>
        <v/>
      </c>
      <c r="B1605" s="175" t="n"/>
      <c r="C1605" s="124" t="n">
        <v>2026</v>
      </c>
      <c r="E1605" s="103" t="n"/>
      <c r="F1605" s="175" t="n"/>
      <c r="G1605" s="175" t="n"/>
      <c r="H1605" s="175" t="n"/>
      <c r="I1605" s="103" t="inlineStr">
        <is>
          <t>删除报表记录</t>
        </is>
      </c>
      <c r="J1605" s="93" t="inlineStr">
        <is>
          <t>EI</t>
        </is>
      </c>
      <c r="K1605" s="102" t="n"/>
      <c r="L1605" s="102" t="n"/>
      <c r="M1605" s="85">
        <f>IF(OR(Y1605="估算法",Y1605="算法类",Y1605="无法识别"),"",IF(W1605="",IF(OR(J1605="EI",J1605="EO",J1605="EQ"),0,""),LEN(W1605)-LEN(SUBSTITUTE(W1605,"、",""))+1))</f>
        <v/>
      </c>
      <c r="N1605" s="85">
        <f>IF(OR(Y1605="估算法",Y1605="算法类",Y1605="无法识别"),"",IF(X1605="",IF(OR(J1605="ILF",J1605="EIF"),0,""),LEN(X1605)-LEN(SUBSTITUTE(X1605,"、",""))+1))</f>
        <v/>
      </c>
      <c r="O1605" s="85">
        <f>IF(OR(Y1605="估算法",Y1605="算法类",Y1605="无法识别"),"",IF(Y1605="",IF(OR(J1605="ILF",J1605="EIF",J1605="EI",J1605="EO",J1605="EQ"),0,""),LEN(Y1605)-LEN(SUBSTITUTE(SUBSTITUTE(SUBSTITUTE(SUBSTITUTE(SUBSTITUTE(Y1605,"|}","--"),"{|","--"),CHAR(10),""),"、",""),"|",""))+IF(AND(OR(J1605="EI",J1605="EO",J1605="EQ"),$AE$1="NESMA"),2,1)))</f>
        <v/>
      </c>
      <c r="P1605" s="86">
        <f>IF(J1605="EI",IF(OR(Y1605="估算法",Y1605="算法类"),"中",IF(Y1605="无法识别","低",IF(M1605&lt;2,IF(O1605&lt;16,"低","中"),IF(M1605&lt;3,IF(O1605&lt;5,"低",IF(O1605&lt;16,"中","高")),IF(O1605&lt;5,"中","高"))))),IF(OR(J1605="EO",J1605="EQ"),IF(OR(Y1605="估算法",Y1605="算法类"),"中",IF(Y1605="无法识别","低",IF(M1605&lt;2,IF(O1605&lt;20,"低","中"),IF(M1605&lt;4,IF(O1605&lt;6,"低",IF(O1605&lt;20,"中","高")),IF(O1605&lt;6,"中","高"))))),IF(OR(J1605="ILF",J1605="EIF"),IF(OR(Y1605="估算法",Y1605="算法类",Y1605="无法识别"),"低",IF(N1605&lt;2,IF(O1605&lt;51,"低","中"),IF(N1605&lt;6,IF(O1605&lt;20,"低",IF(O1605&lt;51,"中","高")),IF(O1605&lt;20,"中","高")))),"不计算")))</f>
        <v/>
      </c>
      <c r="Q1605" s="172">
        <f>IFERROR(IF(J1605="EI",IF(P1605="低",3,IF(P1605="中",4,6)),IF(J1605="EO",IF(P1605="低",4,IF(P1605="中",5,7)),IF(J1605="EQ",IF(P1605="低",3,IF(P1605="中",4,6)),IF(J1605="ILF",IF(P1605="低",7,IF(P1605="中",10,15)),IF(J1605="EIF",IF(P1605="低",5,IF(P1605="中",7,10)),"不计算")))))*R1605,"不计算")</f>
        <v/>
      </c>
      <c r="R1605" s="172" t="n">
        <v>0.333333333333333</v>
      </c>
      <c r="S1605" s="173">
        <f>调整因子!$F$13</f>
        <v/>
      </c>
      <c r="T1605" s="92" t="n">
        <v>1</v>
      </c>
      <c r="U1605" s="174">
        <f>IFERROR(Q1605*S1605,0)</f>
        <v/>
      </c>
      <c r="V1605" s="178">
        <f>U1605*T1605</f>
        <v/>
      </c>
      <c r="W1605" s="103" t="inlineStr">
        <is>
          <t>报表模板表、加密规则表</t>
        </is>
      </c>
      <c r="X1605" s="103" t="inlineStr"/>
      <c r="Y1605" s="97" t="inlineStr">
        <is>
          <t>报表模板表{报表ID、报表名称、报表类型、生成时间、报表内容|报表ID、报表名称、报表类型}
加密规则表{规则ID、规则名称、规则类型、规则条件、创建时间|规则ID、规则名称、规则类型}</t>
        </is>
      </c>
      <c r="Z1605" s="90" t="n"/>
      <c r="AA1605" s="90" t="n"/>
    </row>
    <row r="1606" s="112">
      <c r="A1606" s="72">
        <f>ROW()-1</f>
        <v/>
      </c>
      <c r="B1606" s="175" t="n"/>
      <c r="C1606" s="124" t="n">
        <v>2026</v>
      </c>
      <c r="E1606" s="103" t="n"/>
      <c r="F1606" s="175" t="n"/>
      <c r="G1606" s="175" t="n"/>
      <c r="H1606" s="175" t="n"/>
      <c r="I1606" s="103" t="inlineStr">
        <is>
          <t>导出报表文件</t>
        </is>
      </c>
      <c r="J1606" s="93" t="inlineStr">
        <is>
          <t>EO</t>
        </is>
      </c>
      <c r="K1606" s="102" t="n"/>
      <c r="L1606" s="102" t="n"/>
      <c r="M1606" s="85">
        <f>IF(OR(Y1606="估算法",Y1606="算法类",Y1606="无法识别"),"",IF(W1606="",IF(OR(J1606="EI",J1606="EO",J1606="EQ"),0,""),LEN(W1606)-LEN(SUBSTITUTE(W1606,"、",""))+1))</f>
        <v/>
      </c>
      <c r="N1606" s="85">
        <f>IF(OR(Y1606="估算法",Y1606="算法类",Y1606="无法识别"),"",IF(X1606="",IF(OR(J1606="ILF",J1606="EIF"),0,""),LEN(X1606)-LEN(SUBSTITUTE(X1606,"、",""))+1))</f>
        <v/>
      </c>
      <c r="O1606" s="85">
        <f>IF(OR(Y1606="估算法",Y1606="算法类",Y1606="无法识别"),"",IF(Y1606="",IF(OR(J1606="ILF",J1606="EIF",J1606="EI",J1606="EO",J1606="EQ"),0,""),LEN(Y1606)-LEN(SUBSTITUTE(SUBSTITUTE(SUBSTITUTE(SUBSTITUTE(SUBSTITUTE(Y1606,"|}","--"),"{|","--"),CHAR(10),""),"、",""),"|",""))+IF(AND(OR(J1606="EI",J1606="EO",J1606="EQ"),$AE$1="NESMA"),2,1)))</f>
        <v/>
      </c>
      <c r="P1606" s="86">
        <f>IF(J1606="EI",IF(OR(Y1606="估算法",Y1606="算法类"),"中",IF(Y1606="无法识别","低",IF(M1606&lt;2,IF(O1606&lt;16,"低","中"),IF(M1606&lt;3,IF(O1606&lt;5,"低",IF(O1606&lt;16,"中","高")),IF(O1606&lt;5,"中","高"))))),IF(OR(J1606="EO",J1606="EQ"),IF(OR(Y1606="估算法",Y1606="算法类"),"中",IF(Y1606="无法识别","低",IF(M1606&lt;2,IF(O1606&lt;20,"低","中"),IF(M1606&lt;4,IF(O1606&lt;6,"低",IF(O1606&lt;20,"中","高")),IF(O1606&lt;6,"中","高"))))),IF(OR(J1606="ILF",J1606="EIF"),IF(OR(Y1606="估算法",Y1606="算法类",Y1606="无法识别"),"低",IF(N1606&lt;2,IF(O1606&lt;51,"低","中"),IF(N1606&lt;6,IF(O1606&lt;20,"低",IF(O1606&lt;51,"中","高")),IF(O1606&lt;20,"中","高")))),"不计算")))</f>
        <v/>
      </c>
      <c r="Q1606" s="172">
        <f>IFERROR(IF(J1606="EI",IF(P1606="低",3,IF(P1606="中",4,6)),IF(J1606="EO",IF(P1606="低",4,IF(P1606="中",5,7)),IF(J1606="EQ",IF(P1606="低",3,IF(P1606="中",4,6)),IF(J1606="ILF",IF(P1606="低",7,IF(P1606="中",10,15)),IF(J1606="EIF",IF(P1606="低",5,IF(P1606="中",7,10)),"不计算")))))*R1606,"不计算")</f>
        <v/>
      </c>
      <c r="R1606" s="172" t="n">
        <v>1</v>
      </c>
      <c r="S1606" s="173">
        <f>调整因子!$F$13</f>
        <v/>
      </c>
      <c r="T1606" s="92" t="n">
        <v>1</v>
      </c>
      <c r="U1606" s="174">
        <f>IFERROR(Q1606*S1606,0)</f>
        <v/>
      </c>
      <c r="V1606" s="178">
        <f>U1606*T1606</f>
        <v/>
      </c>
      <c r="W1606" s="103" t="inlineStr">
        <is>
          <t>报表模板表、调用统计表</t>
        </is>
      </c>
      <c r="X1606" s="103" t="inlineStr"/>
      <c r="Y1606" s="97" t="inlineStr">
        <is>
          <t>报表模板表{报表ID、报表名称|报表ID、报表名称、报表类型、生成时间、报表内容}
调用统计表{ID、名称|ID、名称、类型、状态、创建时间、更新时间}</t>
        </is>
      </c>
      <c r="Z1606" s="90" t="n"/>
      <c r="AA1606" s="90" t="n"/>
    </row>
    <row r="1607" s="112">
      <c r="A1607" s="72">
        <f>ROW()-1</f>
        <v/>
      </c>
      <c r="B1607" s="175" t="n"/>
      <c r="C1607" s="124" t="n">
        <v>2026</v>
      </c>
      <c r="E1607" s="103" t="n"/>
      <c r="F1607" s="175" t="n"/>
      <c r="G1607" s="175" t="n"/>
      <c r="H1607" s="175" t="n"/>
      <c r="I1607" s="103" t="inlineStr">
        <is>
          <t>下载报表文档</t>
        </is>
      </c>
      <c r="J1607" s="93" t="inlineStr">
        <is>
          <t>EO</t>
        </is>
      </c>
      <c r="K1607" s="102" t="n"/>
      <c r="L1607" s="102" t="n"/>
      <c r="M1607" s="85">
        <f>IF(OR(Y1607="估算法",Y1607="算法类",Y1607="无法识别"),"",IF(W1607="",IF(OR(J1607="EI",J1607="EO",J1607="EQ"),0,""),LEN(W1607)-LEN(SUBSTITUTE(W1607,"、",""))+1))</f>
        <v/>
      </c>
      <c r="N1607" s="85">
        <f>IF(OR(Y1607="估算法",Y1607="算法类",Y1607="无法识别"),"",IF(X1607="",IF(OR(J1607="ILF",J1607="EIF"),0,""),LEN(X1607)-LEN(SUBSTITUTE(X1607,"、",""))+1))</f>
        <v/>
      </c>
      <c r="O1607" s="85">
        <f>IF(OR(Y1607="估算法",Y1607="算法类",Y1607="无法识别"),"",IF(Y1607="",IF(OR(J1607="ILF",J1607="EIF",J1607="EI",J1607="EO",J1607="EQ"),0,""),LEN(Y1607)-LEN(SUBSTITUTE(SUBSTITUTE(SUBSTITUTE(SUBSTITUTE(SUBSTITUTE(Y1607,"|}","--"),"{|","--"),CHAR(10),""),"、",""),"|",""))+IF(AND(OR(J1607="EI",J1607="EO",J1607="EQ"),$AE$1="NESMA"),2,1)))</f>
        <v/>
      </c>
      <c r="P1607" s="86">
        <f>IF(J1607="EI",IF(OR(Y1607="估算法",Y1607="算法类"),"中",IF(Y1607="无法识别","低",IF(M1607&lt;2,IF(O1607&lt;16,"低","中"),IF(M1607&lt;3,IF(O1607&lt;5,"低",IF(O1607&lt;16,"中","高")),IF(O1607&lt;5,"中","高"))))),IF(OR(J1607="EO",J1607="EQ"),IF(OR(Y1607="估算法",Y1607="算法类"),"中",IF(Y1607="无法识别","低",IF(M1607&lt;2,IF(O1607&lt;20,"低","中"),IF(M1607&lt;4,IF(O1607&lt;6,"低",IF(O1607&lt;20,"中","高")),IF(O1607&lt;6,"中","高"))))),IF(OR(J1607="ILF",J1607="EIF"),IF(OR(Y1607="估算法",Y1607="算法类",Y1607="无法识别"),"低",IF(N1607&lt;2,IF(O1607&lt;51,"低","中"),IF(N1607&lt;6,IF(O1607&lt;20,"低",IF(O1607&lt;51,"中","高")),IF(O1607&lt;20,"中","高")))),"不计算")))</f>
        <v/>
      </c>
      <c r="Q1607" s="172">
        <f>IFERROR(IF(J1607="EI",IF(P1607="低",3,IF(P1607="中",4,6)),IF(J1607="EO",IF(P1607="低",4,IF(P1607="中",5,7)),IF(J1607="EQ",IF(P1607="低",3,IF(P1607="中",4,6)),IF(J1607="ILF",IF(P1607="低",7,IF(P1607="中",10,15)),IF(J1607="EIF",IF(P1607="低",5,IF(P1607="中",7,10)),"不计算")))))*R1607,"不计算")</f>
        <v/>
      </c>
      <c r="R1607" s="172" t="n">
        <v>1</v>
      </c>
      <c r="S1607" s="173">
        <f>调整因子!$F$13</f>
        <v/>
      </c>
      <c r="T1607" s="93" t="n">
        <v>1</v>
      </c>
      <c r="U1607" s="174">
        <f>IFERROR(Q1607*S1607,0)</f>
        <v/>
      </c>
      <c r="V1607" s="178">
        <f>U1607*T1607</f>
        <v/>
      </c>
      <c r="W1607" s="103" t="inlineStr">
        <is>
          <t>报表模板表</t>
        </is>
      </c>
      <c r="X1607" s="103" t="inlineStr"/>
      <c r="Y1607" s="97" t="inlineStr">
        <is>
          <t>报表模板表{报表ID、报表名称|报表ID、报表名称、报表类型、生成时间、报表内容}</t>
        </is>
      </c>
      <c r="Z1607" s="90" t="n"/>
      <c r="AA1607" s="90" t="n"/>
    </row>
    <row r="1608" s="112">
      <c r="A1608" s="72">
        <f>ROW()-1</f>
        <v/>
      </c>
      <c r="B1608" s="175" t="n"/>
      <c r="C1608" s="124" t="n">
        <v>2026</v>
      </c>
      <c r="E1608" s="103" t="n"/>
      <c r="F1608" s="175" t="n"/>
      <c r="G1608" s="175" t="n"/>
      <c r="H1608" s="175" t="n"/>
      <c r="I1608" s="103" t="inlineStr">
        <is>
          <t>推送报表通知</t>
        </is>
      </c>
      <c r="J1608" s="93" t="inlineStr">
        <is>
          <t>EO</t>
        </is>
      </c>
      <c r="K1608" s="102" t="n"/>
      <c r="L1608" s="102" t="n"/>
      <c r="M1608" s="85">
        <f>IF(OR(Y1608="估算法",Y1608="算法类",Y1608="无法识别"),"",IF(W1608="",IF(OR(J1608="EI",J1608="EO",J1608="EQ"),0,""),LEN(W1608)-LEN(SUBSTITUTE(W1608,"、",""))+1))</f>
        <v/>
      </c>
      <c r="N1608" s="85">
        <f>IF(OR(Y1608="估算法",Y1608="算法类",Y1608="无法识别"),"",IF(X1608="",IF(OR(J1608="ILF",J1608="EIF"),0,""),LEN(X1608)-LEN(SUBSTITUTE(X1608,"、",""))+1))</f>
        <v/>
      </c>
      <c r="O1608" s="85">
        <f>IF(OR(Y1608="估算法",Y1608="算法类",Y1608="无法识别"),"",IF(Y1608="",IF(OR(J1608="ILF",J1608="EIF",J1608="EI",J1608="EO",J1608="EQ"),0,""),LEN(Y1608)-LEN(SUBSTITUTE(SUBSTITUTE(SUBSTITUTE(SUBSTITUTE(SUBSTITUTE(Y1608,"|}","--"),"{|","--"),CHAR(10),""),"、",""),"|",""))+IF(AND(OR(J1608="EI",J1608="EO",J1608="EQ"),$AE$1="NESMA"),2,1)))</f>
        <v/>
      </c>
      <c r="P1608" s="86">
        <f>IF(J1608="EI",IF(OR(Y1608="估算法",Y1608="算法类"),"中",IF(Y1608="无法识别","低",IF(M1608&lt;2,IF(O1608&lt;16,"低","中"),IF(M1608&lt;3,IF(O1608&lt;5,"低",IF(O1608&lt;16,"中","高")),IF(O1608&lt;5,"中","高"))))),IF(OR(J1608="EO",J1608="EQ"),IF(OR(Y1608="估算法",Y1608="算法类"),"中",IF(Y1608="无法识别","低",IF(M1608&lt;2,IF(O1608&lt;20,"低","中"),IF(M1608&lt;4,IF(O1608&lt;6,"低",IF(O1608&lt;20,"中","高")),IF(O1608&lt;6,"中","高"))))),IF(OR(J1608="ILF",J1608="EIF"),IF(OR(Y1608="估算法",Y1608="算法类",Y1608="无法识别"),"低",IF(N1608&lt;2,IF(O1608&lt;51,"低","中"),IF(N1608&lt;6,IF(O1608&lt;20,"低",IF(O1608&lt;51,"中","高")),IF(O1608&lt;20,"中","高")))),"不计算")))</f>
        <v/>
      </c>
      <c r="Q1608" s="172">
        <f>IFERROR(IF(J1608="EI",IF(P1608="低",3,IF(P1608="中",4,6)),IF(J1608="EO",IF(P1608="低",4,IF(P1608="中",5,7)),IF(J1608="EQ",IF(P1608="低",3,IF(P1608="中",4,6)),IF(J1608="ILF",IF(P1608="低",7,IF(P1608="中",10,15)),IF(J1608="EIF",IF(P1608="低",5,IF(P1608="中",7,10)),"不计算")))))*R1608,"不计算")</f>
        <v/>
      </c>
      <c r="R1608" s="172" t="n">
        <v>1</v>
      </c>
      <c r="S1608" s="173">
        <f>调整因子!$F$13</f>
        <v/>
      </c>
      <c r="T1608" s="93" t="n">
        <v>1</v>
      </c>
      <c r="U1608" s="174">
        <f>IFERROR(Q1608*S1608,0)</f>
        <v/>
      </c>
      <c r="V1608" s="178">
        <f>U1608*T1608</f>
        <v/>
      </c>
      <c r="W1608" s="103" t="inlineStr">
        <is>
          <t>报表模板表、同步任务调度表</t>
        </is>
      </c>
      <c r="X1608" s="103" t="inlineStr"/>
      <c r="Y1608" s="97" t="inlineStr">
        <is>
          <t>报表模板表{报表ID、报表名称|报表ID、报表名称、报表类型、生成时间、报表内容}
同步任务调度表{任务ID、任务名称|任务ID、任务名称、任务类型、任务状态、创建时间、执行时间}</t>
        </is>
      </c>
      <c r="Z1608" s="90" t="n"/>
      <c r="AA1608" s="90" t="n"/>
    </row>
    <row r="1609" s="112">
      <c r="A1609" s="72">
        <f>ROW()-1</f>
        <v/>
      </c>
      <c r="B1609" s="175" t="n"/>
      <c r="C1609" s="124" t="n">
        <v>2026</v>
      </c>
      <c r="E1609" s="103" t="n"/>
      <c r="F1609" s="175" t="n"/>
      <c r="G1609" s="175" t="n"/>
      <c r="H1609" s="175" t="n"/>
      <c r="I1609" s="103" t="inlineStr">
        <is>
          <t>查询报表列表</t>
        </is>
      </c>
      <c r="J1609" s="93" t="inlineStr">
        <is>
          <t>EO</t>
        </is>
      </c>
      <c r="K1609" s="102" t="n"/>
      <c r="L1609" s="102" t="n"/>
      <c r="M1609" s="85">
        <f>IF(OR(Y1609="估算法",Y1609="算法类",Y1609="无法识别"),"",IF(W1609="",IF(OR(J1609="EI",J1609="EO",J1609="EQ"),0,""),LEN(W1609)-LEN(SUBSTITUTE(W1609,"、",""))+1))</f>
        <v/>
      </c>
      <c r="N1609" s="85">
        <f>IF(OR(Y1609="估算法",Y1609="算法类",Y1609="无法识别"),"",IF(X1609="",IF(OR(J1609="ILF",J1609="EIF"),0,""),LEN(X1609)-LEN(SUBSTITUTE(X1609,"、",""))+1))</f>
        <v/>
      </c>
      <c r="O1609" s="85">
        <f>IF(OR(Y1609="估算法",Y1609="算法类",Y1609="无法识别"),"",IF(Y1609="",IF(OR(J1609="ILF",J1609="EIF",J1609="EI",J1609="EO",J1609="EQ"),0,""),LEN(Y1609)-LEN(SUBSTITUTE(SUBSTITUTE(SUBSTITUTE(SUBSTITUTE(SUBSTITUTE(Y1609,"|}","--"),"{|","--"),CHAR(10),""),"、",""),"|",""))+IF(AND(OR(J1609="EI",J1609="EO",J1609="EQ"),$AE$1="NESMA"),2,1)))</f>
        <v/>
      </c>
      <c r="P1609" s="86">
        <f>IF(J1609="EI",IF(OR(Y1609="估算法",Y1609="算法类"),"中",IF(Y1609="无法识别","低",IF(M1609&lt;2,IF(O1609&lt;16,"低","中"),IF(M1609&lt;3,IF(O1609&lt;5,"低",IF(O1609&lt;16,"中","高")),IF(O1609&lt;5,"中","高"))))),IF(OR(J1609="EO",J1609="EQ"),IF(OR(Y1609="估算法",Y1609="算法类"),"中",IF(Y1609="无法识别","低",IF(M1609&lt;2,IF(O1609&lt;20,"低","中"),IF(M1609&lt;4,IF(O1609&lt;6,"低",IF(O1609&lt;20,"中","高")),IF(O1609&lt;6,"中","高"))))),IF(OR(J1609="ILF",J1609="EIF"),IF(OR(Y1609="估算法",Y1609="算法类",Y1609="无法识别"),"低",IF(N1609&lt;2,IF(O1609&lt;51,"低","中"),IF(N1609&lt;6,IF(O1609&lt;20,"低",IF(O1609&lt;51,"中","高")),IF(O1609&lt;20,"中","高")))),"不计算")))</f>
        <v/>
      </c>
      <c r="Q1609" s="172">
        <f>IFERROR(IF(J1609="EI",IF(P1609="低",3,IF(P1609="中",4,6)),IF(J1609="EO",IF(P1609="低",4,IF(P1609="中",5,7)),IF(J1609="EQ",IF(P1609="低",3,IF(P1609="中",4,6)),IF(J1609="ILF",IF(P1609="低",7,IF(P1609="中",10,15)),IF(J1609="EIF",IF(P1609="低",5,IF(P1609="中",7,10)),"不计算")))))*R1609,"不计算")</f>
        <v/>
      </c>
      <c r="R1609" s="172" t="n">
        <v>1</v>
      </c>
      <c r="S1609" s="173">
        <f>调整因子!$F$13</f>
        <v/>
      </c>
      <c r="T1609" s="92" t="n">
        <v>1</v>
      </c>
      <c r="U1609" s="174">
        <f>IFERROR(Q1609*S1609,0)</f>
        <v/>
      </c>
      <c r="V1609" s="178">
        <f>U1609*T1609</f>
        <v/>
      </c>
      <c r="W1609" s="103" t="inlineStr">
        <is>
          <t>报表模板表、模板配置表</t>
        </is>
      </c>
      <c r="X1609" s="103" t="inlineStr"/>
      <c r="Y1609" s="97" t="inlineStr">
        <is>
          <t>报表模板表{报表ID、报表名称|报表ID、报表名称、报表类型、生成时间、报表内容}
模板配置表{配置ID、配置名称|配置ID、配置名称、配置类型、配置值、创建时间}</t>
        </is>
      </c>
      <c r="Z1609" s="90" t="n"/>
      <c r="AA1609" s="90" t="n"/>
    </row>
    <row r="1610" s="112">
      <c r="A1610" s="72">
        <f>ROW()-1</f>
        <v/>
      </c>
      <c r="B1610" s="175" t="n"/>
      <c r="C1610" s="124" t="n">
        <v>2026</v>
      </c>
      <c r="E1610" s="103" t="n"/>
      <c r="F1610" s="175" t="n"/>
      <c r="G1610" s="176" t="n"/>
      <c r="H1610" s="176" t="n"/>
      <c r="I1610" s="103" t="inlineStr">
        <is>
          <t>查看报表详情</t>
        </is>
      </c>
      <c r="J1610" s="93" t="inlineStr">
        <is>
          <t>EQ</t>
        </is>
      </c>
      <c r="K1610" s="102" t="n"/>
      <c r="L1610" s="102" t="n"/>
      <c r="M1610" s="85">
        <f>IF(OR(Y1610="估算法",Y1610="算法类",Y1610="无法识别"),"",IF(W1610="",IF(OR(J1610="EI",J1610="EO",J1610="EQ"),0,""),LEN(W1610)-LEN(SUBSTITUTE(W1610,"、",""))+1))</f>
        <v/>
      </c>
      <c r="N1610" s="85">
        <f>IF(OR(Y1610="估算法",Y1610="算法类",Y1610="无法识别"),"",IF(X1610="",IF(OR(J1610="ILF",J1610="EIF"),0,""),LEN(X1610)-LEN(SUBSTITUTE(X1610,"、",""))+1))</f>
        <v/>
      </c>
      <c r="O1610" s="85">
        <f>IF(OR(Y1610="估算法",Y1610="算法类",Y1610="无法识别"),"",IF(Y1610="",IF(OR(J1610="ILF",J1610="EIF",J1610="EI",J1610="EO",J1610="EQ"),0,""),LEN(Y1610)-LEN(SUBSTITUTE(SUBSTITUTE(SUBSTITUTE(SUBSTITUTE(SUBSTITUTE(Y1610,"|}","--"),"{|","--"),CHAR(10),""),"、",""),"|",""))+IF(AND(OR(J1610="EI",J1610="EO",J1610="EQ"),$AE$1="NESMA"),2,1)))</f>
        <v/>
      </c>
      <c r="P1610" s="86">
        <f>IF(J1610="EI",IF(OR(Y1610="估算法",Y1610="算法类"),"中",IF(Y1610="无法识别","低",IF(M1610&lt;2,IF(O1610&lt;16,"低","中"),IF(M1610&lt;3,IF(O1610&lt;5,"低",IF(O1610&lt;16,"中","高")),IF(O1610&lt;5,"中","高"))))),IF(OR(J1610="EO",J1610="EQ"),IF(OR(Y1610="估算法",Y1610="算法类"),"中",IF(Y1610="无法识别","低",IF(M1610&lt;2,IF(O1610&lt;20,"低","中"),IF(M1610&lt;4,IF(O1610&lt;6,"低",IF(O1610&lt;20,"中","高")),IF(O1610&lt;6,"中","高"))))),IF(OR(J1610="ILF",J1610="EIF"),IF(OR(Y1610="估算法",Y1610="算法类",Y1610="无法识别"),"低",IF(N1610&lt;2,IF(O1610&lt;51,"低","中"),IF(N1610&lt;6,IF(O1610&lt;20,"低",IF(O1610&lt;51,"中","高")),IF(O1610&lt;20,"中","高")))),"不计算")))</f>
        <v/>
      </c>
      <c r="Q1610" s="172">
        <f>IFERROR(IF(J1610="EI",IF(P1610="低",3,IF(P1610="中",4,6)),IF(J1610="EO",IF(P1610="低",4,IF(P1610="中",5,7)),IF(J1610="EQ",IF(P1610="低",3,IF(P1610="中",4,6)),IF(J1610="ILF",IF(P1610="低",7,IF(P1610="中",10,15)),IF(J1610="EIF",IF(P1610="低",5,IF(P1610="中",7,10)),"不计算")))))*R1610,"不计算")</f>
        <v/>
      </c>
      <c r="R1610" s="172" t="n">
        <v>1</v>
      </c>
      <c r="S1610" s="173">
        <f>调整因子!$F$13</f>
        <v/>
      </c>
      <c r="T1610" s="92" t="n">
        <v>1</v>
      </c>
      <c r="U1610" s="174">
        <f>IFERROR(Q1610*S1610,0)</f>
        <v/>
      </c>
      <c r="V1610" s="178">
        <f>U1610*T1610</f>
        <v/>
      </c>
      <c r="W1610" s="103" t="inlineStr">
        <is>
          <t>报表模板表、扫描任务接口配置表</t>
        </is>
      </c>
      <c r="X1610" s="103" t="inlineStr"/>
      <c r="Y1610" s="97" t="inlineStr">
        <is>
          <t>报表模板表{报表ID、报表名称|报表ID、报表名称、报表类型、生成时间、报表内容}
扫描任务接口配置表{任务ID、任务名称|任务ID、任务名称、任务状态、扫描器类型、开始时间、结束时间}</t>
        </is>
      </c>
      <c r="Z1610" s="90" t="n"/>
      <c r="AA1610" s="90" t="n"/>
    </row>
    <row r="1611" s="112">
      <c r="A1611" s="72">
        <f>ROW()-1</f>
        <v/>
      </c>
      <c r="B1611" s="175" t="n"/>
      <c r="C1611" s="124" t="n">
        <v>2026</v>
      </c>
      <c r="E1611" s="103" t="n"/>
      <c r="F1611" s="175" t="n"/>
      <c r="G1611" s="97" t="inlineStr">
        <is>
          <t>考核指标监控看板</t>
        </is>
      </c>
      <c r="H1611" s="97" t="inlineStr">
        <is>
          <t>指标配置管理</t>
        </is>
      </c>
      <c r="I1611" s="103" t="inlineStr">
        <is>
          <t>考核指标配置表</t>
        </is>
      </c>
      <c r="J1611" s="93" t="n"/>
      <c r="K1611" s="84" t="n"/>
      <c r="L1611" s="84" t="inlineStr">
        <is>
          <t>重复数据库表</t>
        </is>
      </c>
      <c r="M1611" s="85">
        <f>IF(OR(Y1611="估算法",Y1611="算法类",Y1611="无法识别"),"",IF(W1611="",IF(OR(J1611="EI",J1611="EO",J1611="EQ"),0,""),LEN(W1611)-LEN(SUBSTITUTE(W1611,"、",""))+1))</f>
        <v/>
      </c>
      <c r="N1611" s="85">
        <f>IF(OR(Y1611="估算法",Y1611="算法类",Y1611="无法识别"),"",IF(X1611="",IF(OR(J1611="ILF",J1611="EIF"),0,""),LEN(X1611)-LEN(SUBSTITUTE(X1611,"、",""))+1))</f>
        <v/>
      </c>
      <c r="O1611" s="85">
        <f>IF(OR(Y1611="估算法",Y1611="算法类",Y1611="无法识别"),"",IF(Y1611="",IF(OR(J1611="ILF",J1611="EIF",J1611="EI",J1611="EO",J1611="EQ"),0,""),LEN(Y1611)-LEN(SUBSTITUTE(SUBSTITUTE(SUBSTITUTE(SUBSTITUTE(SUBSTITUTE(Y1611,"|}","--"),"{|","--"),CHAR(10),""),"、",""),"|",""))+IF(AND(OR(J1611="EI",J1611="EO",J1611="EQ"),$AE$1="NESMA"),2,1)))</f>
        <v/>
      </c>
      <c r="P1611" s="86">
        <f>IF(J1611="EI",IF(OR(Y1611="估算法",Y1611="算法类"),"中",IF(Y1611="无法识别","低",IF(M1611&lt;2,IF(O1611&lt;16,"低","中"),IF(M1611&lt;3,IF(O1611&lt;5,"低",IF(O1611&lt;16,"中","高")),IF(O1611&lt;5,"中","高"))))),IF(OR(J1611="EO",J1611="EQ"),IF(OR(Y1611="估算法",Y1611="算法类"),"中",IF(Y1611="无法识别","低",IF(M1611&lt;2,IF(O1611&lt;20,"低","中"),IF(M1611&lt;4,IF(O1611&lt;6,"低",IF(O1611&lt;20,"中","高")),IF(O1611&lt;6,"中","高"))))),IF(OR(J1611="ILF",J1611="EIF"),IF(OR(Y1611="估算法",Y1611="算法类",Y1611="无法识别"),"低",IF(N1611&lt;2,IF(O1611&lt;51,"低","中"),IF(N1611&lt;6,IF(O1611&lt;20,"低",IF(O1611&lt;51,"中","高")),IF(O1611&lt;20,"中","高")))),"不计算")))</f>
        <v/>
      </c>
      <c r="Q1611" s="172">
        <f>IFERROR(IF(J1611="EI",IF(P1611="低",3,IF(P1611="中",4,6)),IF(J1611="EO",IF(P1611="低",4,IF(P1611="中",5,7)),IF(J1611="EQ",IF(P1611="低",3,IF(P1611="中",4,6)),IF(J1611="ILF",IF(P1611="低",7,IF(P1611="中",10,15)),IF(J1611="EIF",IF(P1611="低",5,IF(P1611="中",7,10)),"不计算")))))*R1611,"不计算")</f>
        <v/>
      </c>
      <c r="R1611" s="172" t="n">
        <v>1</v>
      </c>
      <c r="S1611" s="173">
        <f>调整因子!$F$13</f>
        <v/>
      </c>
      <c r="T1611" s="93" t="n">
        <v>1</v>
      </c>
      <c r="U1611" s="174">
        <f>IFERROR(Q1611*S1611,0)</f>
        <v/>
      </c>
      <c r="V1611" s="178">
        <f>U1611*T1611</f>
        <v/>
      </c>
      <c r="W1611" s="103" t="inlineStr"/>
      <c r="X1611" s="103" t="inlineStr">
        <is>
          <t>配置项</t>
        </is>
      </c>
      <c r="Y1611" s="97" t="inlineStr">
        <is>
          <t>考核指标配置表{配置ID、配置名称、配置类型|配置ID、配置名称、配置类型、配置值、创建时间}</t>
        </is>
      </c>
      <c r="Z1611" s="90">
        <f>IF(COUNTIFS(W:W,"*"&amp;I1611&amp;"*")&gt;0,"存在","不存在")</f>
        <v/>
      </c>
      <c r="AA1611" s="90">
        <f>IF(COUNTIFS(AB:AB,"*"&amp;I1611&amp;"*")&gt;0,"存在","不存在")</f>
        <v/>
      </c>
    </row>
    <row r="1612" s="112">
      <c r="A1612" s="72">
        <f>ROW()-1</f>
        <v/>
      </c>
      <c r="B1612" s="175" t="n"/>
      <c r="C1612" s="124" t="n">
        <v>2026</v>
      </c>
      <c r="E1612" s="103" t="n"/>
      <c r="F1612" s="175" t="n"/>
      <c r="G1612" s="175" t="n"/>
      <c r="H1612" s="175" t="n"/>
      <c r="I1612" s="103" t="inlineStr">
        <is>
          <t>指标阈值表</t>
        </is>
      </c>
      <c r="J1612" s="93" t="n"/>
      <c r="K1612" s="102" t="n"/>
      <c r="L1612" s="102" t="inlineStr">
        <is>
          <t>重复数据库表</t>
        </is>
      </c>
      <c r="M1612" s="85">
        <f>IF(OR(Y1612="估算法",Y1612="算法类",Y1612="无法识别"),"",IF(W1612="",IF(OR(J1612="EI",J1612="EO",J1612="EQ"),0,""),LEN(W1612)-LEN(SUBSTITUTE(W1612,"、",""))+1))</f>
        <v/>
      </c>
      <c r="N1612" s="85">
        <f>IF(OR(Y1612="估算法",Y1612="算法类",Y1612="无法识别"),"",IF(X1612="",IF(OR(J1612="ILF",J1612="EIF"),0,""),LEN(X1612)-LEN(SUBSTITUTE(X1612,"、",""))+1))</f>
        <v/>
      </c>
      <c r="O1612" s="85">
        <f>IF(OR(Y1612="估算法",Y1612="算法类",Y1612="无法识别"),"",IF(Y1612="",IF(OR(J1612="ILF",J1612="EIF",J1612="EI",J1612="EO",J1612="EQ"),0,""),LEN(Y1612)-LEN(SUBSTITUTE(SUBSTITUTE(SUBSTITUTE(SUBSTITUTE(SUBSTITUTE(Y1612,"|}","--"),"{|","--"),CHAR(10),""),"、",""),"|",""))+IF(AND(OR(J1612="EI",J1612="EO",J1612="EQ"),$AE$1="NESMA"),2,1)))</f>
        <v/>
      </c>
      <c r="P1612" s="86">
        <f>IF(J1612="EI",IF(OR(Y1612="估算法",Y1612="算法类"),"中",IF(Y1612="无法识别","低",IF(M1612&lt;2,IF(O1612&lt;16,"低","中"),IF(M1612&lt;3,IF(O1612&lt;5,"低",IF(O1612&lt;16,"中","高")),IF(O1612&lt;5,"中","高"))))),IF(OR(J1612="EO",J1612="EQ"),IF(OR(Y1612="估算法",Y1612="算法类"),"中",IF(Y1612="无法识别","低",IF(M1612&lt;2,IF(O1612&lt;20,"低","中"),IF(M1612&lt;4,IF(O1612&lt;6,"低",IF(O1612&lt;20,"中","高")),IF(O1612&lt;6,"中","高"))))),IF(OR(J1612="ILF",J1612="EIF"),IF(OR(Y1612="估算法",Y1612="算法类",Y1612="无法识别"),"低",IF(N1612&lt;2,IF(O1612&lt;51,"低","中"),IF(N1612&lt;6,IF(O1612&lt;20,"低",IF(O1612&lt;51,"中","高")),IF(O1612&lt;20,"中","高")))),"不计算")))</f>
        <v/>
      </c>
      <c r="Q1612" s="172">
        <f>IFERROR(IF(J1612="EI",IF(P1612="低",3,IF(P1612="中",4,6)),IF(J1612="EO",IF(P1612="低",4,IF(P1612="中",5,7)),IF(J1612="EQ",IF(P1612="低",3,IF(P1612="中",4,6)),IF(J1612="ILF",IF(P1612="低",7,IF(P1612="中",10,15)),IF(J1612="EIF",IF(P1612="低",5,IF(P1612="中",7,10)),"不计算")))))*R1612,"不计算")</f>
        <v/>
      </c>
      <c r="R1612" s="172" t="n">
        <v>1</v>
      </c>
      <c r="S1612" s="173">
        <f>调整因子!$F$13</f>
        <v/>
      </c>
      <c r="T1612" s="92" t="n">
        <v>1</v>
      </c>
      <c r="U1612" s="174">
        <f>IFERROR(Q1612*S1612,0)</f>
        <v/>
      </c>
      <c r="V1612" s="178">
        <f>U1612*T1612</f>
        <v/>
      </c>
      <c r="W1612" s="103" t="inlineStr"/>
      <c r="X1612" s="103" t="inlineStr">
        <is>
          <t>数据记录</t>
        </is>
      </c>
      <c r="Y1612" s="97" t="inlineStr">
        <is>
          <t>指标阈值表{ID、名称、类型|ID、名称、类型、状态、创建时间、更新时间}</t>
        </is>
      </c>
      <c r="Z1612" s="90">
        <f>IF(COUNTIFS(W:W,"*"&amp;I1612&amp;"*")&gt;0,"存在","不存在")</f>
        <v/>
      </c>
      <c r="AA1612" s="90">
        <f>IF(COUNTIFS(AB:AB,"*"&amp;I1612&amp;"*")&gt;0,"存在","不存在")</f>
        <v/>
      </c>
    </row>
    <row r="1613" s="112">
      <c r="A1613" s="72">
        <f>ROW()-1</f>
        <v/>
      </c>
      <c r="B1613" s="175" t="n"/>
      <c r="C1613" s="124" t="n">
        <v>2026</v>
      </c>
      <c r="E1613" s="103" t="n"/>
      <c r="F1613" s="175" t="n"/>
      <c r="G1613" s="175" t="n"/>
      <c r="H1613" s="175" t="n"/>
      <c r="I1613" s="103" t="inlineStr">
        <is>
          <t>配置监控指标</t>
        </is>
      </c>
      <c r="J1613" s="93" t="inlineStr">
        <is>
          <t>EI</t>
        </is>
      </c>
      <c r="K1613" s="102" t="n"/>
      <c r="L1613" s="102" t="n"/>
      <c r="M1613" s="85">
        <f>IF(OR(Y1613="估算法",Y1613="算法类",Y1613="无法识别"),"",IF(W1613="",IF(OR(J1613="EI",J1613="EO",J1613="EQ"),0,""),LEN(W1613)-LEN(SUBSTITUTE(W1613,"、",""))+1))</f>
        <v/>
      </c>
      <c r="N1613" s="85">
        <f>IF(OR(Y1613="估算法",Y1613="算法类",Y1613="无法识别"),"",IF(X1613="",IF(OR(J1613="ILF",J1613="EIF"),0,""),LEN(X1613)-LEN(SUBSTITUTE(X1613,"、",""))+1))</f>
        <v/>
      </c>
      <c r="O1613" s="85">
        <f>IF(OR(Y1613="估算法",Y1613="算法类",Y1613="无法识别"),"",IF(Y1613="",IF(OR(J1613="ILF",J1613="EIF",J1613="EI",J1613="EO",J1613="EQ"),0,""),LEN(Y1613)-LEN(SUBSTITUTE(SUBSTITUTE(SUBSTITUTE(SUBSTITUTE(SUBSTITUTE(Y1613,"|}","--"),"{|","--"),CHAR(10),""),"、",""),"|",""))+IF(AND(OR(J1613="EI",J1613="EO",J1613="EQ"),$AE$1="NESMA"),2,1)))</f>
        <v/>
      </c>
      <c r="P1613" s="86">
        <f>IF(J1613="EI",IF(OR(Y1613="估算法",Y1613="算法类"),"中",IF(Y1613="无法识别","低",IF(M1613&lt;2,IF(O1613&lt;16,"低","中"),IF(M1613&lt;3,IF(O1613&lt;5,"低",IF(O1613&lt;16,"中","高")),IF(O1613&lt;5,"中","高"))))),IF(OR(J1613="EO",J1613="EQ"),IF(OR(Y1613="估算法",Y1613="算法类"),"中",IF(Y1613="无法识别","低",IF(M1613&lt;2,IF(O1613&lt;20,"低","中"),IF(M1613&lt;4,IF(O1613&lt;6,"低",IF(O1613&lt;20,"中","高")),IF(O1613&lt;6,"中","高"))))),IF(OR(J1613="ILF",J1613="EIF"),IF(OR(Y1613="估算法",Y1613="算法类",Y1613="无法识别"),"低",IF(N1613&lt;2,IF(O1613&lt;51,"低","中"),IF(N1613&lt;6,IF(O1613&lt;20,"低",IF(O1613&lt;51,"中","高")),IF(O1613&lt;20,"中","高")))),"不计算")))</f>
        <v/>
      </c>
      <c r="Q1613" s="172">
        <f>IFERROR(IF(J1613="EI",IF(P1613="低",3,IF(P1613="中",4,6)),IF(J1613="EO",IF(P1613="低",4,IF(P1613="中",5,7)),IF(J1613="EQ",IF(P1613="低",3,IF(P1613="中",4,6)),IF(J1613="ILF",IF(P1613="低",7,IF(P1613="中",10,15)),IF(J1613="EIF",IF(P1613="低",5,IF(P1613="中",7,10)),"不计算")))))*R1613,"不计算")</f>
        <v/>
      </c>
      <c r="R1613" s="172" t="n">
        <v>1</v>
      </c>
      <c r="S1613" s="173">
        <f>调整因子!$F$13</f>
        <v/>
      </c>
      <c r="T1613" s="92" t="n">
        <v>1</v>
      </c>
      <c r="U1613" s="174">
        <f>IFERROR(Q1613*S1613,0)</f>
        <v/>
      </c>
      <c r="V1613" s="178">
        <f>U1613*T1613</f>
        <v/>
      </c>
      <c r="W1613" s="103" t="inlineStr">
        <is>
          <t>任务优先级配置表、模板参数配置表</t>
        </is>
      </c>
      <c r="X1613" s="103" t="inlineStr"/>
      <c r="Y1613" s="97" t="inlineStr">
        <is>
          <t>任务优先级配置表{任务ID、任务名称、任务类型、任务状态、创建时间、执行时间|任务ID、任务名称、任务类型}
模板参数配置表{配置ID、配置名称、配置类型、配置值、创建时间|配置ID、配置名称、配置类型}</t>
        </is>
      </c>
      <c r="Z1613" s="90" t="n"/>
      <c r="AA1613" s="90" t="n"/>
    </row>
    <row r="1614" s="112">
      <c r="A1614" s="72">
        <f>ROW()-1</f>
        <v/>
      </c>
      <c r="B1614" s="175" t="n"/>
      <c r="C1614" s="124" t="n">
        <v>2026</v>
      </c>
      <c r="E1614" s="103" t="n"/>
      <c r="F1614" s="175" t="n"/>
      <c r="G1614" s="175" t="n"/>
      <c r="H1614" s="175" t="n"/>
      <c r="I1614" s="103" t="inlineStr">
        <is>
          <t>编辑监控指标</t>
        </is>
      </c>
      <c r="J1614" s="93" t="inlineStr">
        <is>
          <t>EI</t>
        </is>
      </c>
      <c r="K1614" s="102" t="n"/>
      <c r="L1614" s="102" t="n"/>
      <c r="M1614" s="85">
        <f>IF(OR(Y1614="估算法",Y1614="算法类",Y1614="无法识别"),"",IF(W1614="",IF(OR(J1614="EI",J1614="EO",J1614="EQ"),0,""),LEN(W1614)-LEN(SUBSTITUTE(W1614,"、",""))+1))</f>
        <v/>
      </c>
      <c r="N1614" s="85">
        <f>IF(OR(Y1614="估算法",Y1614="算法类",Y1614="无法识别"),"",IF(X1614="",IF(OR(J1614="ILF",J1614="EIF"),0,""),LEN(X1614)-LEN(SUBSTITUTE(X1614,"、",""))+1))</f>
        <v/>
      </c>
      <c r="O1614" s="85">
        <f>IF(OR(Y1614="估算法",Y1614="算法类",Y1614="无法识别"),"",IF(Y1614="",IF(OR(J1614="ILF",J1614="EIF",J1614="EI",J1614="EO",J1614="EQ"),0,""),LEN(Y1614)-LEN(SUBSTITUTE(SUBSTITUTE(SUBSTITUTE(SUBSTITUTE(SUBSTITUTE(Y1614,"|}","--"),"{|","--"),CHAR(10),""),"、",""),"|",""))+IF(AND(OR(J1614="EI",J1614="EO",J1614="EQ"),$AE$1="NESMA"),2,1)))</f>
        <v/>
      </c>
      <c r="P1614" s="86">
        <f>IF(J1614="EI",IF(OR(Y1614="估算法",Y1614="算法类"),"中",IF(Y1614="无法识别","低",IF(M1614&lt;2,IF(O1614&lt;16,"低","中"),IF(M1614&lt;3,IF(O1614&lt;5,"低",IF(O1614&lt;16,"中","高")),IF(O1614&lt;5,"中","高"))))),IF(OR(J1614="EO",J1614="EQ"),IF(OR(Y1614="估算法",Y1614="算法类"),"中",IF(Y1614="无法识别","低",IF(M1614&lt;2,IF(O1614&lt;20,"低","中"),IF(M1614&lt;4,IF(O1614&lt;6,"低",IF(O1614&lt;20,"中","高")),IF(O1614&lt;6,"中","高"))))),IF(OR(J1614="ILF",J1614="EIF"),IF(OR(Y1614="估算法",Y1614="算法类",Y1614="无法识别"),"低",IF(N1614&lt;2,IF(O1614&lt;51,"低","中"),IF(N1614&lt;6,IF(O1614&lt;20,"低",IF(O1614&lt;51,"中","高")),IF(O1614&lt;20,"中","高")))),"不计算")))</f>
        <v/>
      </c>
      <c r="Q1614" s="172">
        <f>IFERROR(IF(J1614="EI",IF(P1614="低",3,IF(P1614="中",4,6)),IF(J1614="EO",IF(P1614="低",4,IF(P1614="中",5,7)),IF(J1614="EQ",IF(P1614="低",3,IF(P1614="中",4,6)),IF(J1614="ILF",IF(P1614="低",7,IF(P1614="中",10,15)),IF(J1614="EIF",IF(P1614="低",5,IF(P1614="中",7,10)),"不计算")))))*R1614,"不计算")</f>
        <v/>
      </c>
      <c r="R1614" s="172" t="n">
        <v>1</v>
      </c>
      <c r="S1614" s="173">
        <f>调整因子!$F$13</f>
        <v/>
      </c>
      <c r="T1614" s="93" t="n">
        <v>1</v>
      </c>
      <c r="U1614" s="174">
        <f>IFERROR(Q1614*S1614,0)</f>
        <v/>
      </c>
      <c r="V1614" s="178">
        <f>U1614*T1614</f>
        <v/>
      </c>
      <c r="W1614" s="103" t="inlineStr">
        <is>
          <t>任务队列表</t>
        </is>
      </c>
      <c r="X1614" s="103" t="inlineStr"/>
      <c r="Y1614" s="97" t="inlineStr">
        <is>
          <t>任务队列表{任务ID、任务名称、任务类型、任务状态、创建时间、执行时间|任务ID、任务名称、任务类型}</t>
        </is>
      </c>
      <c r="Z1614" s="90" t="n"/>
      <c r="AA1614" s="90" t="n"/>
    </row>
    <row r="1615" s="112">
      <c r="A1615" s="72">
        <f>ROW()-1</f>
        <v/>
      </c>
      <c r="B1615" s="175" t="n"/>
      <c r="C1615" s="124" t="n">
        <v>2026</v>
      </c>
      <c r="E1615" s="103" t="n"/>
      <c r="F1615" s="175" t="n"/>
      <c r="G1615" s="175" t="n"/>
      <c r="H1615" s="175" t="n"/>
      <c r="I1615" s="103" t="inlineStr">
        <is>
          <t>删除监控指标</t>
        </is>
      </c>
      <c r="J1615" s="93" t="inlineStr">
        <is>
          <t>EI</t>
        </is>
      </c>
      <c r="K1615" s="102" t="n"/>
      <c r="L1615" s="102" t="n"/>
      <c r="M1615" s="85">
        <f>IF(OR(Y1615="估算法",Y1615="算法类",Y1615="无法识别"),"",IF(W1615="",IF(OR(J1615="EI",J1615="EO",J1615="EQ"),0,""),LEN(W1615)-LEN(SUBSTITUTE(W1615,"、",""))+1))</f>
        <v/>
      </c>
      <c r="N1615" s="85">
        <f>IF(OR(Y1615="估算法",Y1615="算法类",Y1615="无法识别"),"",IF(X1615="",IF(OR(J1615="ILF",J1615="EIF"),0,""),LEN(X1615)-LEN(SUBSTITUTE(X1615,"、",""))+1))</f>
        <v/>
      </c>
      <c r="O1615" s="85">
        <f>IF(OR(Y1615="估算法",Y1615="算法类",Y1615="无法识别"),"",IF(Y1615="",IF(OR(J1615="ILF",J1615="EIF",J1615="EI",J1615="EO",J1615="EQ"),0,""),LEN(Y1615)-LEN(SUBSTITUTE(SUBSTITUTE(SUBSTITUTE(SUBSTITUTE(SUBSTITUTE(Y1615,"|}","--"),"{|","--"),CHAR(10),""),"、",""),"|",""))+IF(AND(OR(J1615="EI",J1615="EO",J1615="EQ"),$AE$1="NESMA"),2,1)))</f>
        <v/>
      </c>
      <c r="P1615" s="86">
        <f>IF(J1615="EI",IF(OR(Y1615="估算法",Y1615="算法类"),"中",IF(Y1615="无法识别","低",IF(M1615&lt;2,IF(O1615&lt;16,"低","中"),IF(M1615&lt;3,IF(O1615&lt;5,"低",IF(O1615&lt;16,"中","高")),IF(O1615&lt;5,"中","高"))))),IF(OR(J1615="EO",J1615="EQ"),IF(OR(Y1615="估算法",Y1615="算法类"),"中",IF(Y1615="无法识别","低",IF(M1615&lt;2,IF(O1615&lt;20,"低","中"),IF(M1615&lt;4,IF(O1615&lt;6,"低",IF(O1615&lt;20,"中","高")),IF(O1615&lt;6,"中","高"))))),IF(OR(J1615="ILF",J1615="EIF"),IF(OR(Y1615="估算法",Y1615="算法类",Y1615="无法识别"),"低",IF(N1615&lt;2,IF(O1615&lt;51,"低","中"),IF(N1615&lt;6,IF(O1615&lt;20,"低",IF(O1615&lt;51,"中","高")),IF(O1615&lt;20,"中","高")))),"不计算")))</f>
        <v/>
      </c>
      <c r="Q1615" s="172">
        <f>IFERROR(IF(J1615="EI",IF(P1615="低",3,IF(P1615="中",4,6)),IF(J1615="EO",IF(P1615="低",4,IF(P1615="中",5,7)),IF(J1615="EQ",IF(P1615="低",3,IF(P1615="中",4,6)),IF(J1615="ILF",IF(P1615="低",7,IF(P1615="中",10,15)),IF(J1615="EIF",IF(P1615="低",5,IF(P1615="中",7,10)),"不计算")))))*R1615,"不计算")</f>
        <v/>
      </c>
      <c r="R1615" s="172" t="n">
        <v>0.333333333333333</v>
      </c>
      <c r="S1615" s="173">
        <f>调整因子!$F$13</f>
        <v/>
      </c>
      <c r="T1615" s="93" t="n">
        <v>1</v>
      </c>
      <c r="U1615" s="174">
        <f>IFERROR(Q1615*S1615,0)</f>
        <v/>
      </c>
      <c r="V1615" s="178">
        <f>U1615*T1615</f>
        <v/>
      </c>
      <c r="W1615" s="103" t="inlineStr">
        <is>
          <t>报告模板表</t>
        </is>
      </c>
      <c r="X1615" s="103" t="inlineStr"/>
      <c r="Y1615" s="97" t="inlineStr">
        <is>
          <t>报告模板表{ID、名称、类型、状态、创建时间、更新时间|ID、名称、类型}</t>
        </is>
      </c>
      <c r="Z1615" s="90" t="n"/>
      <c r="AA1615" s="90" t="n"/>
    </row>
    <row r="1616" s="112">
      <c r="A1616" s="72">
        <f>ROW()-1</f>
        <v/>
      </c>
      <c r="B1616" s="175" t="n"/>
      <c r="C1616" s="124" t="n">
        <v>2026</v>
      </c>
      <c r="E1616" s="103" t="n"/>
      <c r="F1616" s="175" t="n"/>
      <c r="G1616" s="175" t="n"/>
      <c r="H1616" s="175" t="n"/>
      <c r="I1616" s="103" t="inlineStr">
        <is>
          <t>启用监控指标</t>
        </is>
      </c>
      <c r="J1616" s="93" t="inlineStr">
        <is>
          <t>EI</t>
        </is>
      </c>
      <c r="K1616" s="102" t="n"/>
      <c r="L1616" s="102" t="n"/>
      <c r="M1616" s="85">
        <f>IF(OR(Y1616="估算法",Y1616="算法类",Y1616="无法识别"),"",IF(W1616="",IF(OR(J1616="EI",J1616="EO",J1616="EQ"),0,""),LEN(W1616)-LEN(SUBSTITUTE(W1616,"、",""))+1))</f>
        <v/>
      </c>
      <c r="N1616" s="85">
        <f>IF(OR(Y1616="估算法",Y1616="算法类",Y1616="无法识别"),"",IF(X1616="",IF(OR(J1616="ILF",J1616="EIF"),0,""),LEN(X1616)-LEN(SUBSTITUTE(X1616,"、",""))+1))</f>
        <v/>
      </c>
      <c r="O1616" s="85">
        <f>IF(OR(Y1616="估算法",Y1616="算法类",Y1616="无法识别"),"",IF(Y1616="",IF(OR(J1616="ILF",J1616="EIF",J1616="EI",J1616="EO",J1616="EQ"),0,""),LEN(Y1616)-LEN(SUBSTITUTE(SUBSTITUTE(SUBSTITUTE(SUBSTITUTE(SUBSTITUTE(Y1616,"|}","--"),"{|","--"),CHAR(10),""),"、",""),"|",""))+IF(AND(OR(J1616="EI",J1616="EO",J1616="EQ"),$AE$1="NESMA"),2,1)))</f>
        <v/>
      </c>
      <c r="P1616" s="86">
        <f>IF(J1616="EI",IF(OR(Y1616="估算法",Y1616="算法类"),"中",IF(Y1616="无法识别","低",IF(M1616&lt;2,IF(O1616&lt;16,"低","中"),IF(M1616&lt;3,IF(O1616&lt;5,"低",IF(O1616&lt;16,"中","高")),IF(O1616&lt;5,"中","高"))))),IF(OR(J1616="EO",J1616="EQ"),IF(OR(Y1616="估算法",Y1616="算法类"),"中",IF(Y1616="无法识别","低",IF(M1616&lt;2,IF(O1616&lt;20,"低","中"),IF(M1616&lt;4,IF(O1616&lt;6,"低",IF(O1616&lt;20,"中","高")),IF(O1616&lt;6,"中","高"))))),IF(OR(J1616="ILF",J1616="EIF"),IF(OR(Y1616="估算法",Y1616="算法类",Y1616="无法识别"),"低",IF(N1616&lt;2,IF(O1616&lt;51,"低","中"),IF(N1616&lt;6,IF(O1616&lt;20,"低",IF(O1616&lt;51,"中","高")),IF(O1616&lt;20,"中","高")))),"不计算")))</f>
        <v/>
      </c>
      <c r="Q1616" s="172">
        <f>IFERROR(IF(J1616="EI",IF(P1616="低",3,IF(P1616="中",4,6)),IF(J1616="EO",IF(P1616="低",4,IF(P1616="中",5,7)),IF(J1616="EQ",IF(P1616="低",3,IF(P1616="中",4,6)),IF(J1616="ILF",IF(P1616="低",7,IF(P1616="中",10,15)),IF(J1616="EIF",IF(P1616="低",5,IF(P1616="中",7,10)),"不计算")))))*R1616,"不计算")</f>
        <v/>
      </c>
      <c r="R1616" s="172" t="n">
        <v>1</v>
      </c>
      <c r="S1616" s="173">
        <f>调整因子!$F$13</f>
        <v/>
      </c>
      <c r="T1616" s="92" t="n">
        <v>1</v>
      </c>
      <c r="U1616" s="174">
        <f>IFERROR(Q1616*S1616,0)</f>
        <v/>
      </c>
      <c r="V1616" s="178">
        <f>U1616*T1616</f>
        <v/>
      </c>
      <c r="W1616" s="103" t="inlineStr">
        <is>
          <t>任务趋势分析表</t>
        </is>
      </c>
      <c r="X1616" s="103" t="inlineStr"/>
      <c r="Y1616" s="97" t="inlineStr">
        <is>
          <t>任务趋势分析表{任务ID、任务名称、任务类型、任务状态、创建时间、执行时间|任务ID、任务名称、任务类型}</t>
        </is>
      </c>
      <c r="Z1616" s="90" t="n"/>
      <c r="AA1616" s="90" t="n"/>
    </row>
    <row r="1617" s="112">
      <c r="A1617" s="72">
        <f>ROW()-1</f>
        <v/>
      </c>
      <c r="B1617" s="175" t="n"/>
      <c r="C1617" s="124" t="n">
        <v>2026</v>
      </c>
      <c r="E1617" s="103" t="n"/>
      <c r="F1617" s="175" t="n"/>
      <c r="G1617" s="175" t="n"/>
      <c r="H1617" s="175" t="n"/>
      <c r="I1617" s="103" t="inlineStr">
        <is>
          <t>停用监控指标</t>
        </is>
      </c>
      <c r="J1617" s="93" t="n"/>
      <c r="K1617" s="102" t="n"/>
      <c r="L1617" s="102" t="inlineStr">
        <is>
          <t>和上行合并，启停为相同功能</t>
        </is>
      </c>
      <c r="M1617" s="85">
        <f>IF(OR(Y1617="估算法",Y1617="算法类",Y1617="无法识别"),"",IF(W1617="",IF(OR(J1617="EI",J1617="EO",J1617="EQ"),0,""),LEN(W1617)-LEN(SUBSTITUTE(W1617,"、",""))+1))</f>
        <v/>
      </c>
      <c r="N1617" s="85">
        <f>IF(OR(Y1617="估算法",Y1617="算法类",Y1617="无法识别"),"",IF(X1617="",IF(OR(J1617="ILF",J1617="EIF"),0,""),LEN(X1617)-LEN(SUBSTITUTE(X1617,"、",""))+1))</f>
        <v/>
      </c>
      <c r="O1617" s="85">
        <f>IF(OR(Y1617="估算法",Y1617="算法类",Y1617="无法识别"),"",IF(Y1617="",IF(OR(J1617="ILF",J1617="EIF",J1617="EI",J1617="EO",J1617="EQ"),0,""),LEN(Y1617)-LEN(SUBSTITUTE(SUBSTITUTE(SUBSTITUTE(SUBSTITUTE(SUBSTITUTE(Y1617,"|}","--"),"{|","--"),CHAR(10),""),"、",""),"|",""))+IF(AND(OR(J1617="EI",J1617="EO",J1617="EQ"),$AE$1="NESMA"),2,1)))</f>
        <v/>
      </c>
      <c r="P1617" s="86">
        <f>IF(J1617="EI",IF(OR(Y1617="估算法",Y1617="算法类"),"中",IF(Y1617="无法识别","低",IF(M1617&lt;2,IF(O1617&lt;16,"低","中"),IF(M1617&lt;3,IF(O1617&lt;5,"低",IF(O1617&lt;16,"中","高")),IF(O1617&lt;5,"中","高"))))),IF(OR(J1617="EO",J1617="EQ"),IF(OR(Y1617="估算法",Y1617="算法类"),"中",IF(Y1617="无法识别","低",IF(M1617&lt;2,IF(O1617&lt;20,"低","中"),IF(M1617&lt;4,IF(O1617&lt;6,"低",IF(O1617&lt;20,"中","高")),IF(O1617&lt;6,"中","高"))))),IF(OR(J1617="ILF",J1617="EIF"),IF(OR(Y1617="估算法",Y1617="算法类",Y1617="无法识别"),"低",IF(N1617&lt;2,IF(O1617&lt;51,"低","中"),IF(N1617&lt;6,IF(O1617&lt;20,"低",IF(O1617&lt;51,"中","高")),IF(O1617&lt;20,"中","高")))),"不计算")))</f>
        <v/>
      </c>
      <c r="Q1617" s="172">
        <f>IFERROR(IF(J1617="EI",IF(P1617="低",3,IF(P1617="中",4,6)),IF(J1617="EO",IF(P1617="低",4,IF(P1617="中",5,7)),IF(J1617="EQ",IF(P1617="低",3,IF(P1617="中",4,6)),IF(J1617="ILF",IF(P1617="低",7,IF(P1617="中",10,15)),IF(J1617="EIF",IF(P1617="低",5,IF(P1617="中",7,10)),"不计算")))))*R1617,"不计算")</f>
        <v/>
      </c>
      <c r="R1617" s="172" t="n">
        <v>1</v>
      </c>
      <c r="S1617" s="173">
        <f>调整因子!$F$13</f>
        <v/>
      </c>
      <c r="T1617" s="92" t="n">
        <v>1</v>
      </c>
      <c r="U1617" s="174">
        <f>IFERROR(Q1617*S1617,0)</f>
        <v/>
      </c>
      <c r="V1617" s="178">
        <f>U1617*T1617</f>
        <v/>
      </c>
      <c r="W1617" s="103" t="inlineStr">
        <is>
          <t>验证配置表</t>
        </is>
      </c>
      <c r="X1617" s="103" t="inlineStr"/>
      <c r="Y1617" s="97" t="inlineStr">
        <is>
          <t>验证配置表{配置ID、配置名称、配置类型、配置值、创建时间|配置ID、配置名称、配置类型}</t>
        </is>
      </c>
      <c r="Z1617" s="90" t="n"/>
      <c r="AA1617" s="90" t="n"/>
    </row>
    <row r="1618" s="112">
      <c r="A1618" s="72">
        <f>ROW()-1</f>
        <v/>
      </c>
      <c r="B1618" s="175" t="n"/>
      <c r="C1618" s="124" t="n">
        <v>2026</v>
      </c>
      <c r="E1618" s="103" t="n"/>
      <c r="F1618" s="175" t="n"/>
      <c r="G1618" s="175" t="n"/>
      <c r="H1618" s="175" t="n"/>
      <c r="I1618" s="103" t="inlineStr">
        <is>
          <t>配置指标阈值</t>
        </is>
      </c>
      <c r="J1618" s="93" t="inlineStr">
        <is>
          <t>EI</t>
        </is>
      </c>
      <c r="K1618" s="102" t="n"/>
      <c r="L1618" s="102" t="n"/>
      <c r="M1618" s="85">
        <f>IF(OR(Y1618="估算法",Y1618="算法类",Y1618="无法识别"),"",IF(W1618="",IF(OR(J1618="EI",J1618="EO",J1618="EQ"),0,""),LEN(W1618)-LEN(SUBSTITUTE(W1618,"、",""))+1))</f>
        <v/>
      </c>
      <c r="N1618" s="85">
        <f>IF(OR(Y1618="估算法",Y1618="算法类",Y1618="无法识别"),"",IF(X1618="",IF(OR(J1618="ILF",J1618="EIF"),0,""),LEN(X1618)-LEN(SUBSTITUTE(X1618,"、",""))+1))</f>
        <v/>
      </c>
      <c r="O1618" s="85">
        <f>IF(OR(Y1618="估算法",Y1618="算法类",Y1618="无法识别"),"",IF(Y1618="",IF(OR(J1618="ILF",J1618="EIF",J1618="EI",J1618="EO",J1618="EQ"),0,""),LEN(Y1618)-LEN(SUBSTITUTE(SUBSTITUTE(SUBSTITUTE(SUBSTITUTE(SUBSTITUTE(Y1618,"|}","--"),"{|","--"),CHAR(10),""),"、",""),"|",""))+IF(AND(OR(J1618="EI",J1618="EO",J1618="EQ"),$AE$1="NESMA"),2,1)))</f>
        <v/>
      </c>
      <c r="P1618" s="86">
        <f>IF(J1618="EI",IF(OR(Y1618="估算法",Y1618="算法类"),"中",IF(Y1618="无法识别","低",IF(M1618&lt;2,IF(O1618&lt;16,"低","中"),IF(M1618&lt;3,IF(O1618&lt;5,"低",IF(O1618&lt;16,"中","高")),IF(O1618&lt;5,"中","高"))))),IF(OR(J1618="EO",J1618="EQ"),IF(OR(Y1618="估算法",Y1618="算法类"),"中",IF(Y1618="无法识别","低",IF(M1618&lt;2,IF(O1618&lt;20,"低","中"),IF(M1618&lt;4,IF(O1618&lt;6,"低",IF(O1618&lt;20,"中","高")),IF(O1618&lt;6,"中","高"))))),IF(OR(J1618="ILF",J1618="EIF"),IF(OR(Y1618="估算法",Y1618="算法类",Y1618="无法识别"),"低",IF(N1618&lt;2,IF(O1618&lt;51,"低","中"),IF(N1618&lt;6,IF(O1618&lt;20,"低",IF(O1618&lt;51,"中","高")),IF(O1618&lt;20,"中","高")))),"不计算")))</f>
        <v/>
      </c>
      <c r="Q1618" s="172">
        <f>IFERROR(IF(J1618="EI",IF(P1618="低",3,IF(P1618="中",4,6)),IF(J1618="EO",IF(P1618="低",4,IF(P1618="中",5,7)),IF(J1618="EQ",IF(P1618="低",3,IF(P1618="中",4,6)),IF(J1618="ILF",IF(P1618="低",7,IF(P1618="中",10,15)),IF(J1618="EIF",IF(P1618="低",5,IF(P1618="中",7,10)),"不计算")))))*R1618,"不计算")</f>
        <v/>
      </c>
      <c r="R1618" s="172" t="n">
        <v>1</v>
      </c>
      <c r="S1618" s="173">
        <f>调整因子!$F$13</f>
        <v/>
      </c>
      <c r="T1618" s="93" t="n">
        <v>1</v>
      </c>
      <c r="U1618" s="174">
        <f>IFERROR(Q1618*S1618,0)</f>
        <v/>
      </c>
      <c r="V1618" s="178">
        <f>U1618*T1618</f>
        <v/>
      </c>
      <c r="W1618" s="103" t="inlineStr">
        <is>
          <t>任务优先级配置表</t>
        </is>
      </c>
      <c r="X1618" s="103" t="inlineStr"/>
      <c r="Y1618" s="97" t="inlineStr">
        <is>
          <t>任务优先级配置表{任务ID、任务名称、任务类型、任务状态、创建时间、执行时间|任务ID、任务名称、任务类型}</t>
        </is>
      </c>
      <c r="Z1618" s="90" t="n"/>
      <c r="AA1618" s="90" t="n"/>
    </row>
    <row r="1619" s="112">
      <c r="A1619" s="72">
        <f>ROW()-1</f>
        <v/>
      </c>
      <c r="B1619" s="175" t="n"/>
      <c r="C1619" s="124" t="n">
        <v>2026</v>
      </c>
      <c r="E1619" s="103" t="n"/>
      <c r="F1619" s="175" t="n"/>
      <c r="G1619" s="175" t="n"/>
      <c r="H1619" s="175" t="n"/>
      <c r="I1619" s="103" t="inlineStr">
        <is>
          <t>导出指标配置</t>
        </is>
      </c>
      <c r="J1619" s="93" t="inlineStr">
        <is>
          <t>EO</t>
        </is>
      </c>
      <c r="K1619" s="102" t="n"/>
      <c r="L1619" s="102" t="n"/>
      <c r="M1619" s="85">
        <f>IF(OR(Y1619="估算法",Y1619="算法类",Y1619="无法识别"),"",IF(W1619="",IF(OR(J1619="EI",J1619="EO",J1619="EQ"),0,""),LEN(W1619)-LEN(SUBSTITUTE(W1619,"、",""))+1))</f>
        <v/>
      </c>
      <c r="N1619" s="85">
        <f>IF(OR(Y1619="估算法",Y1619="算法类",Y1619="无法识别"),"",IF(X1619="",IF(OR(J1619="ILF",J1619="EIF"),0,""),LEN(X1619)-LEN(SUBSTITUTE(X1619,"、",""))+1))</f>
        <v/>
      </c>
      <c r="O1619" s="85">
        <f>IF(OR(Y1619="估算法",Y1619="算法类",Y1619="无法识别"),"",IF(Y1619="",IF(OR(J1619="ILF",J1619="EIF",J1619="EI",J1619="EO",J1619="EQ"),0,""),LEN(Y1619)-LEN(SUBSTITUTE(SUBSTITUTE(SUBSTITUTE(SUBSTITUTE(SUBSTITUTE(Y1619,"|}","--"),"{|","--"),CHAR(10),""),"、",""),"|",""))+IF(AND(OR(J1619="EI",J1619="EO",J1619="EQ"),$AE$1="NESMA"),2,1)))</f>
        <v/>
      </c>
      <c r="P1619" s="86">
        <f>IF(J1619="EI",IF(OR(Y1619="估算法",Y1619="算法类"),"中",IF(Y1619="无法识别","低",IF(M1619&lt;2,IF(O1619&lt;16,"低","中"),IF(M1619&lt;3,IF(O1619&lt;5,"低",IF(O1619&lt;16,"中","高")),IF(O1619&lt;5,"中","高"))))),IF(OR(J1619="EO",J1619="EQ"),IF(OR(Y1619="估算法",Y1619="算法类"),"中",IF(Y1619="无法识别","低",IF(M1619&lt;2,IF(O1619&lt;20,"低","中"),IF(M1619&lt;4,IF(O1619&lt;6,"低",IF(O1619&lt;20,"中","高")),IF(O1619&lt;6,"中","高"))))),IF(OR(J1619="ILF",J1619="EIF"),IF(OR(Y1619="估算法",Y1619="算法类",Y1619="无法识别"),"低",IF(N1619&lt;2,IF(O1619&lt;51,"低","中"),IF(N1619&lt;6,IF(O1619&lt;20,"低",IF(O1619&lt;51,"中","高")),IF(O1619&lt;20,"中","高")))),"不计算")))</f>
        <v/>
      </c>
      <c r="Q1619" s="172">
        <f>IFERROR(IF(J1619="EI",IF(P1619="低",3,IF(P1619="中",4,6)),IF(J1619="EO",IF(P1619="低",4,IF(P1619="中",5,7)),IF(J1619="EQ",IF(P1619="低",3,IF(P1619="中",4,6)),IF(J1619="ILF",IF(P1619="低",7,IF(P1619="中",10,15)),IF(J1619="EIF",IF(P1619="低",5,IF(P1619="中",7,10)),"不计算")))))*R1619,"不计算")</f>
        <v/>
      </c>
      <c r="R1619" s="172" t="n">
        <v>1</v>
      </c>
      <c r="S1619" s="173">
        <f>调整因子!$F$13</f>
        <v/>
      </c>
      <c r="T1619" s="92" t="n">
        <v>1</v>
      </c>
      <c r="U1619" s="174">
        <f>IFERROR(Q1619*S1619,0)</f>
        <v/>
      </c>
      <c r="V1619" s="178">
        <f>U1619*T1619</f>
        <v/>
      </c>
      <c r="W1619" s="103" t="inlineStr">
        <is>
          <t>任务优先级配置表</t>
        </is>
      </c>
      <c r="X1619" s="103" t="inlineStr"/>
      <c r="Y1619" s="97" t="inlineStr">
        <is>
          <t>任务优先级配置表{任务ID、任务名称|任务ID、任务名称、任务类型、任务状态、创建时间、执行时间}</t>
        </is>
      </c>
      <c r="Z1619" s="90" t="n"/>
      <c r="AA1619" s="90" t="n"/>
    </row>
    <row r="1620" s="112">
      <c r="A1620" s="72">
        <f>ROW()-1</f>
        <v/>
      </c>
      <c r="B1620" s="175" t="n"/>
      <c r="C1620" s="124" t="n">
        <v>2026</v>
      </c>
      <c r="E1620" s="103" t="n"/>
      <c r="F1620" s="175" t="n"/>
      <c r="G1620" s="175" t="n"/>
      <c r="H1620" s="175" t="n"/>
      <c r="I1620" s="103" t="inlineStr">
        <is>
          <t>查询指标列表</t>
        </is>
      </c>
      <c r="J1620" s="93" t="inlineStr">
        <is>
          <t>EQ</t>
        </is>
      </c>
      <c r="K1620" s="102" t="n"/>
      <c r="L1620" s="102" t="n"/>
      <c r="M1620" s="85">
        <f>IF(OR(Y1620="估算法",Y1620="算法类",Y1620="无法识别"),"",IF(W1620="",IF(OR(J1620="EI",J1620="EO",J1620="EQ"),0,""),LEN(W1620)-LEN(SUBSTITUTE(W1620,"、",""))+1))</f>
        <v/>
      </c>
      <c r="N1620" s="85">
        <f>IF(OR(Y1620="估算法",Y1620="算法类",Y1620="无法识别"),"",IF(X1620="",IF(OR(J1620="ILF",J1620="EIF"),0,""),LEN(X1620)-LEN(SUBSTITUTE(X1620,"、",""))+1))</f>
        <v/>
      </c>
      <c r="O1620" s="85">
        <f>IF(OR(Y1620="估算法",Y1620="算法类",Y1620="无法识别"),"",IF(Y1620="",IF(OR(J1620="ILF",J1620="EIF",J1620="EI",J1620="EO",J1620="EQ"),0,""),LEN(Y1620)-LEN(SUBSTITUTE(SUBSTITUTE(SUBSTITUTE(SUBSTITUTE(SUBSTITUTE(Y1620,"|}","--"),"{|","--"),CHAR(10),""),"、",""),"|",""))+IF(AND(OR(J1620="EI",J1620="EO",J1620="EQ"),$AE$1="NESMA"),2,1)))</f>
        <v/>
      </c>
      <c r="P1620" s="86">
        <f>IF(J1620="EI",IF(OR(Y1620="估算法",Y1620="算法类"),"中",IF(Y1620="无法识别","低",IF(M1620&lt;2,IF(O1620&lt;16,"低","中"),IF(M1620&lt;3,IF(O1620&lt;5,"低",IF(O1620&lt;16,"中","高")),IF(O1620&lt;5,"中","高"))))),IF(OR(J1620="EO",J1620="EQ"),IF(OR(Y1620="估算法",Y1620="算法类"),"中",IF(Y1620="无法识别","低",IF(M1620&lt;2,IF(O1620&lt;20,"低","中"),IF(M1620&lt;4,IF(O1620&lt;6,"低",IF(O1620&lt;20,"中","高")),IF(O1620&lt;6,"中","高"))))),IF(OR(J1620="ILF",J1620="EIF"),IF(OR(Y1620="估算法",Y1620="算法类",Y1620="无法识别"),"低",IF(N1620&lt;2,IF(O1620&lt;51,"低","中"),IF(N1620&lt;6,IF(O1620&lt;20,"低",IF(O1620&lt;51,"中","高")),IF(O1620&lt;20,"中","高")))),"不计算")))</f>
        <v/>
      </c>
      <c r="Q1620" s="172">
        <f>IFERROR(IF(J1620="EI",IF(P1620="低",3,IF(P1620="中",4,6)),IF(J1620="EO",IF(P1620="低",4,IF(P1620="中",5,7)),IF(J1620="EQ",IF(P1620="低",3,IF(P1620="中",4,6)),IF(J1620="ILF",IF(P1620="低",7,IF(P1620="中",10,15)),IF(J1620="EIF",IF(P1620="低",5,IF(P1620="中",7,10)),"不计算")))))*R1620,"不计算")</f>
        <v/>
      </c>
      <c r="R1620" s="172" t="n">
        <v>1</v>
      </c>
      <c r="S1620" s="173">
        <f>调整因子!$F$13</f>
        <v/>
      </c>
      <c r="T1620" s="92" t="n">
        <v>1</v>
      </c>
      <c r="U1620" s="174">
        <f>IFERROR(Q1620*S1620,0)</f>
        <v/>
      </c>
      <c r="V1620" s="178">
        <f>U1620*T1620</f>
        <v/>
      </c>
      <c r="W1620" s="103" t="inlineStr">
        <is>
          <t>性能数据表</t>
        </is>
      </c>
      <c r="X1620" s="103" t="inlineStr"/>
      <c r="Y1620" s="97" t="inlineStr">
        <is>
          <t>性能数据表{ID、名称|ID、名称、类型、状态、创建时间、更新时间}</t>
        </is>
      </c>
      <c r="Z1620" s="90" t="n"/>
      <c r="AA1620" s="90" t="n"/>
    </row>
    <row r="1621" s="112">
      <c r="A1621" s="72">
        <f>ROW()-1</f>
        <v/>
      </c>
      <c r="B1621" s="175" t="n"/>
      <c r="C1621" s="124" t="n">
        <v>2026</v>
      </c>
      <c r="E1621" s="103" t="n"/>
      <c r="F1621" s="175" t="n"/>
      <c r="G1621" s="175" t="n"/>
      <c r="H1621" s="176" t="n"/>
      <c r="I1621" s="103" t="inlineStr">
        <is>
          <t>查看指标详情</t>
        </is>
      </c>
      <c r="J1621" s="93" t="inlineStr">
        <is>
          <t>EQ</t>
        </is>
      </c>
      <c r="K1621" s="102" t="n"/>
      <c r="L1621" s="102" t="n"/>
      <c r="M1621" s="85">
        <f>IF(OR(Y1621="估算法",Y1621="算法类",Y1621="无法识别"),"",IF(W1621="",IF(OR(J1621="EI",J1621="EO",J1621="EQ"),0,""),LEN(W1621)-LEN(SUBSTITUTE(W1621,"、",""))+1))</f>
        <v/>
      </c>
      <c r="N1621" s="85">
        <f>IF(OR(Y1621="估算法",Y1621="算法类",Y1621="无法识别"),"",IF(X1621="",IF(OR(J1621="ILF",J1621="EIF"),0,""),LEN(X1621)-LEN(SUBSTITUTE(X1621,"、",""))+1))</f>
        <v/>
      </c>
      <c r="O1621" s="85">
        <f>IF(OR(Y1621="估算法",Y1621="算法类",Y1621="无法识别"),"",IF(Y1621="",IF(OR(J1621="ILF",J1621="EIF",J1621="EI",J1621="EO",J1621="EQ"),0,""),LEN(Y1621)-LEN(SUBSTITUTE(SUBSTITUTE(SUBSTITUTE(SUBSTITUTE(SUBSTITUTE(Y1621,"|}","--"),"{|","--"),CHAR(10),""),"、",""),"|",""))+IF(AND(OR(J1621="EI",J1621="EO",J1621="EQ"),$AE$1="NESMA"),2,1)))</f>
        <v/>
      </c>
      <c r="P1621" s="86">
        <f>IF(J1621="EI",IF(OR(Y1621="估算法",Y1621="算法类"),"中",IF(Y1621="无法识别","低",IF(M1621&lt;2,IF(O1621&lt;16,"低","中"),IF(M1621&lt;3,IF(O1621&lt;5,"低",IF(O1621&lt;16,"中","高")),IF(O1621&lt;5,"中","高"))))),IF(OR(J1621="EO",J1621="EQ"),IF(OR(Y1621="估算法",Y1621="算法类"),"中",IF(Y1621="无法识别","低",IF(M1621&lt;2,IF(O1621&lt;20,"低","中"),IF(M1621&lt;4,IF(O1621&lt;6,"低",IF(O1621&lt;20,"中","高")),IF(O1621&lt;6,"中","高"))))),IF(OR(J1621="ILF",J1621="EIF"),IF(OR(Y1621="估算法",Y1621="算法类",Y1621="无法识别"),"低",IF(N1621&lt;2,IF(O1621&lt;51,"低","中"),IF(N1621&lt;6,IF(O1621&lt;20,"低",IF(O1621&lt;51,"中","高")),IF(O1621&lt;20,"中","高")))),"不计算")))</f>
        <v/>
      </c>
      <c r="Q1621" s="172">
        <f>IFERROR(IF(J1621="EI",IF(P1621="低",3,IF(P1621="中",4,6)),IF(J1621="EO",IF(P1621="低",4,IF(P1621="中",5,7)),IF(J1621="EQ",IF(P1621="低",3,IF(P1621="中",4,6)),IF(J1621="ILF",IF(P1621="低",7,IF(P1621="中",10,15)),IF(J1621="EIF",IF(P1621="低",5,IF(P1621="中",7,10)),"不计算")))))*R1621,"不计算")</f>
        <v/>
      </c>
      <c r="R1621" s="172" t="n">
        <v>1</v>
      </c>
      <c r="S1621" s="173">
        <f>调整因子!$F$13</f>
        <v/>
      </c>
      <c r="T1621" s="93" t="n">
        <v>1</v>
      </c>
      <c r="U1621" s="174">
        <f>IFERROR(Q1621*S1621,0)</f>
        <v/>
      </c>
      <c r="V1621" s="178">
        <f>U1621*T1621</f>
        <v/>
      </c>
      <c r="W1621" s="103" t="inlineStr">
        <is>
          <t>脱敏规则表</t>
        </is>
      </c>
      <c r="X1621" s="103" t="inlineStr"/>
      <c r="Y1621" s="97" t="inlineStr">
        <is>
          <t>脱敏规则表{规则ID、规则名称|规则ID、规则名称、规则类型、规则条件、创建时间}</t>
        </is>
      </c>
      <c r="Z1621" s="90" t="n"/>
      <c r="AA1621" s="90" t="n"/>
    </row>
    <row r="1622" s="112">
      <c r="A1622" s="72">
        <f>ROW()-1</f>
        <v/>
      </c>
      <c r="B1622" s="175" t="n"/>
      <c r="C1622" s="124" t="n">
        <v>2026</v>
      </c>
      <c r="E1622" s="103" t="n"/>
      <c r="F1622" s="175" t="n"/>
      <c r="G1622" s="175" t="n"/>
      <c r="H1622" s="97" t="inlineStr">
        <is>
          <t>实时监控管理</t>
        </is>
      </c>
      <c r="I1622" s="103" t="inlineStr">
        <is>
          <t>启用实时监控</t>
        </is>
      </c>
      <c r="J1622" s="93" t="inlineStr">
        <is>
          <t>EI</t>
        </is>
      </c>
      <c r="K1622" s="102" t="n"/>
      <c r="L1622" s="102" t="n"/>
      <c r="M1622" s="85">
        <f>IF(OR(Y1622="估算法",Y1622="算法类",Y1622="无法识别"),"",IF(W1622="",IF(OR(J1622="EI",J1622="EO",J1622="EQ"),0,""),LEN(W1622)-LEN(SUBSTITUTE(W1622,"、",""))+1))</f>
        <v/>
      </c>
      <c r="N1622" s="85">
        <f>IF(OR(Y1622="估算法",Y1622="算法类",Y1622="无法识别"),"",IF(X1622="",IF(OR(J1622="ILF",J1622="EIF"),0,""),LEN(X1622)-LEN(SUBSTITUTE(X1622,"、",""))+1))</f>
        <v/>
      </c>
      <c r="O1622" s="85">
        <f>IF(OR(Y1622="估算法",Y1622="算法类",Y1622="无法识别"),"",IF(Y1622="",IF(OR(J1622="ILF",J1622="EIF",J1622="EI",J1622="EO",J1622="EQ"),0,""),LEN(Y1622)-LEN(SUBSTITUTE(SUBSTITUTE(SUBSTITUTE(SUBSTITUTE(SUBSTITUTE(Y1622,"|}","--"),"{|","--"),CHAR(10),""),"、",""),"|",""))+IF(AND(OR(J1622="EI",J1622="EO",J1622="EQ"),$AE$1="NESMA"),2,1)))</f>
        <v/>
      </c>
      <c r="P1622" s="86">
        <f>IF(J1622="EI",IF(OR(Y1622="估算法",Y1622="算法类"),"中",IF(Y1622="无法识别","低",IF(M1622&lt;2,IF(O1622&lt;16,"低","中"),IF(M1622&lt;3,IF(O1622&lt;5,"低",IF(O1622&lt;16,"中","高")),IF(O1622&lt;5,"中","高"))))),IF(OR(J1622="EO",J1622="EQ"),IF(OR(Y1622="估算法",Y1622="算法类"),"中",IF(Y1622="无法识别","低",IF(M1622&lt;2,IF(O1622&lt;20,"低","中"),IF(M1622&lt;4,IF(O1622&lt;6,"低",IF(O1622&lt;20,"中","高")),IF(O1622&lt;6,"中","高"))))),IF(OR(J1622="ILF",J1622="EIF"),IF(OR(Y1622="估算法",Y1622="算法类",Y1622="无法识别"),"低",IF(N1622&lt;2,IF(O1622&lt;51,"低","中"),IF(N1622&lt;6,IF(O1622&lt;20,"低",IF(O1622&lt;51,"中","高")),IF(O1622&lt;20,"中","高")))),"不计算")))</f>
        <v/>
      </c>
      <c r="Q1622" s="172">
        <f>IFERROR(IF(J1622="EI",IF(P1622="低",3,IF(P1622="中",4,6)),IF(J1622="EO",IF(P1622="低",4,IF(P1622="中",5,7)),IF(J1622="EQ",IF(P1622="低",3,IF(P1622="中",4,6)),IF(J1622="ILF",IF(P1622="低",7,IF(P1622="中",10,15)),IF(J1622="EIF",IF(P1622="低",5,IF(P1622="中",7,10)),"不计算")))))*R1622,"不计算")</f>
        <v/>
      </c>
      <c r="R1622" s="172" t="n">
        <v>1</v>
      </c>
      <c r="S1622" s="173">
        <f>调整因子!$F$13</f>
        <v/>
      </c>
      <c r="T1622" s="93" t="n">
        <v>1</v>
      </c>
      <c r="U1622" s="174">
        <f>IFERROR(Q1622*S1622,0)</f>
        <v/>
      </c>
      <c r="V1622" s="178">
        <f>U1622*T1622</f>
        <v/>
      </c>
      <c r="W1622" s="103" t="inlineStr">
        <is>
          <t>采集任务配置表</t>
        </is>
      </c>
      <c r="X1622" s="103" t="inlineStr"/>
      <c r="Y1622" s="97" t="inlineStr">
        <is>
          <t>采集任务配置表{任务ID、任务名称、任务类型、任务状态、创建时间、执行时间|任务ID、任务名称、任务类型}</t>
        </is>
      </c>
      <c r="Z1622" s="90" t="n"/>
      <c r="AA1622" s="90" t="n"/>
    </row>
    <row r="1623" s="112">
      <c r="A1623" s="72">
        <f>ROW()-1</f>
        <v/>
      </c>
      <c r="B1623" s="175" t="n"/>
      <c r="C1623" s="124" t="n">
        <v>2026</v>
      </c>
      <c r="E1623" s="103" t="n"/>
      <c r="F1623" s="175" t="n"/>
      <c r="G1623" s="175" t="n"/>
      <c r="H1623" s="175" t="n"/>
      <c r="I1623" s="103" t="inlineStr">
        <is>
          <t>停用实时监控</t>
        </is>
      </c>
      <c r="J1623" s="93" t="n"/>
      <c r="K1623" s="102" t="n"/>
      <c r="L1623" s="102" t="inlineStr">
        <is>
          <t>和上行合并，启停为相同功能</t>
        </is>
      </c>
      <c r="M1623" s="85">
        <f>IF(OR(Y1623="估算法",Y1623="算法类",Y1623="无法识别"),"",IF(W1623="",IF(OR(J1623="EI",J1623="EO",J1623="EQ"),0,""),LEN(W1623)-LEN(SUBSTITUTE(W1623,"、",""))+1))</f>
        <v/>
      </c>
      <c r="N1623" s="85">
        <f>IF(OR(Y1623="估算法",Y1623="算法类",Y1623="无法识别"),"",IF(X1623="",IF(OR(J1623="ILF",J1623="EIF"),0,""),LEN(X1623)-LEN(SUBSTITUTE(X1623,"、",""))+1))</f>
        <v/>
      </c>
      <c r="O1623" s="85">
        <f>IF(OR(Y1623="估算法",Y1623="算法类",Y1623="无法识别"),"",IF(Y1623="",IF(OR(J1623="ILF",J1623="EIF",J1623="EI",J1623="EO",J1623="EQ"),0,""),LEN(Y1623)-LEN(SUBSTITUTE(SUBSTITUTE(SUBSTITUTE(SUBSTITUTE(SUBSTITUTE(Y1623,"|}","--"),"{|","--"),CHAR(10),""),"、",""),"|",""))+IF(AND(OR(J1623="EI",J1623="EO",J1623="EQ"),$AE$1="NESMA"),2,1)))</f>
        <v/>
      </c>
      <c r="P1623" s="86">
        <f>IF(J1623="EI",IF(OR(Y1623="估算法",Y1623="算法类"),"中",IF(Y1623="无法识别","低",IF(M1623&lt;2,IF(O1623&lt;16,"低","中"),IF(M1623&lt;3,IF(O1623&lt;5,"低",IF(O1623&lt;16,"中","高")),IF(O1623&lt;5,"中","高"))))),IF(OR(J1623="EO",J1623="EQ"),IF(OR(Y1623="估算法",Y1623="算法类"),"中",IF(Y1623="无法识别","低",IF(M1623&lt;2,IF(O1623&lt;20,"低","中"),IF(M1623&lt;4,IF(O1623&lt;6,"低",IF(O1623&lt;20,"中","高")),IF(O1623&lt;6,"中","高"))))),IF(OR(J1623="ILF",J1623="EIF"),IF(OR(Y1623="估算法",Y1623="算法类",Y1623="无法识别"),"低",IF(N1623&lt;2,IF(O1623&lt;51,"低","中"),IF(N1623&lt;6,IF(O1623&lt;20,"低",IF(O1623&lt;51,"中","高")),IF(O1623&lt;20,"中","高")))),"不计算")))</f>
        <v/>
      </c>
      <c r="Q1623" s="172">
        <f>IFERROR(IF(J1623="EI",IF(P1623="低",3,IF(P1623="中",4,6)),IF(J1623="EO",IF(P1623="低",4,IF(P1623="中",5,7)),IF(J1623="EQ",IF(P1623="低",3,IF(P1623="中",4,6)),IF(J1623="ILF",IF(P1623="低",7,IF(P1623="中",10,15)),IF(J1623="EIF",IF(P1623="低",5,IF(P1623="中",7,10)),"不计算")))))*R1623,"不计算")</f>
        <v/>
      </c>
      <c r="R1623" s="172" t="n">
        <v>1</v>
      </c>
      <c r="S1623" s="173">
        <f>调整因子!$F$13</f>
        <v/>
      </c>
      <c r="T1623" s="92" t="n">
        <v>1</v>
      </c>
      <c r="U1623" s="174">
        <f>IFERROR(Q1623*S1623,0)</f>
        <v/>
      </c>
      <c r="V1623" s="178">
        <f>U1623*T1623</f>
        <v/>
      </c>
      <c r="W1623" s="103" t="inlineStr">
        <is>
          <t>漏洞统计数据表、验证配置表</t>
        </is>
      </c>
      <c r="X1623" s="103" t="inlineStr"/>
      <c r="Y1623" s="97" t="inlineStr">
        <is>
          <t>漏洞统计数据表{漏洞ID、漏洞名称、漏洞等级、漏洞类型、CVE编号、发现时间、修复状态|漏洞ID、漏洞名称、漏洞等级}
验证配置表{配置ID、配置名称、配置类型、配置值、创建时间|配置ID、配置名称、配置类型}</t>
        </is>
      </c>
      <c r="Z1623" s="90" t="n"/>
      <c r="AA1623" s="90" t="n"/>
    </row>
    <row r="1624" s="112">
      <c r="A1624" s="72">
        <f>ROW()-1</f>
        <v/>
      </c>
      <c r="B1624" s="175" t="n"/>
      <c r="C1624" s="124" t="n">
        <v>2026</v>
      </c>
      <c r="E1624" s="103" t="n"/>
      <c r="F1624" s="175" t="n"/>
      <c r="G1624" s="175" t="n"/>
      <c r="H1624" s="175" t="n"/>
      <c r="I1624" s="103" t="inlineStr">
        <is>
          <t>推送超限预警</t>
        </is>
      </c>
      <c r="J1624" s="93" t="inlineStr">
        <is>
          <t>EO</t>
        </is>
      </c>
      <c r="K1624" s="102" t="n"/>
      <c r="L1624" s="102" t="n"/>
      <c r="M1624" s="85">
        <f>IF(OR(Y1624="估算法",Y1624="算法类",Y1624="无法识别"),"",IF(W1624="",IF(OR(J1624="EI",J1624="EO",J1624="EQ"),0,""),LEN(W1624)-LEN(SUBSTITUTE(W1624,"、",""))+1))</f>
        <v/>
      </c>
      <c r="N1624" s="85">
        <f>IF(OR(Y1624="估算法",Y1624="算法类",Y1624="无法识别"),"",IF(X1624="",IF(OR(J1624="ILF",J1624="EIF"),0,""),LEN(X1624)-LEN(SUBSTITUTE(X1624,"、",""))+1))</f>
        <v/>
      </c>
      <c r="O1624" s="85">
        <f>IF(OR(Y1624="估算法",Y1624="算法类",Y1624="无法识别"),"",IF(Y1624="",IF(OR(J1624="ILF",J1624="EIF",J1624="EI",J1624="EO",J1624="EQ"),0,""),LEN(Y1624)-LEN(SUBSTITUTE(SUBSTITUTE(SUBSTITUTE(SUBSTITUTE(SUBSTITUTE(Y1624,"|}","--"),"{|","--"),CHAR(10),""),"、",""),"|",""))+IF(AND(OR(J1624="EI",J1624="EO",J1624="EQ"),$AE$1="NESMA"),2,1)))</f>
        <v/>
      </c>
      <c r="P1624" s="86">
        <f>IF(J1624="EI",IF(OR(Y1624="估算法",Y1624="算法类"),"中",IF(Y1624="无法识别","低",IF(M1624&lt;2,IF(O1624&lt;16,"低","中"),IF(M1624&lt;3,IF(O1624&lt;5,"低",IF(O1624&lt;16,"中","高")),IF(O1624&lt;5,"中","高"))))),IF(OR(J1624="EO",J1624="EQ"),IF(OR(Y1624="估算法",Y1624="算法类"),"中",IF(Y1624="无法识别","低",IF(M1624&lt;2,IF(O1624&lt;20,"低","中"),IF(M1624&lt;4,IF(O1624&lt;6,"低",IF(O1624&lt;20,"中","高")),IF(O1624&lt;6,"中","高"))))),IF(OR(J1624="ILF",J1624="EIF"),IF(OR(Y1624="估算法",Y1624="算法类",Y1624="无法识别"),"低",IF(N1624&lt;2,IF(O1624&lt;51,"低","中"),IF(N1624&lt;6,IF(O1624&lt;20,"低",IF(O1624&lt;51,"中","高")),IF(O1624&lt;20,"中","高")))),"不计算")))</f>
        <v/>
      </c>
      <c r="Q1624" s="172">
        <f>IFERROR(IF(J1624="EI",IF(P1624="低",3,IF(P1624="中",4,6)),IF(J1624="EO",IF(P1624="低",4,IF(P1624="中",5,7)),IF(J1624="EQ",IF(P1624="低",3,IF(P1624="中",4,6)),IF(J1624="ILF",IF(P1624="低",7,IF(P1624="中",10,15)),IF(J1624="EIF",IF(P1624="低",5,IF(P1624="中",7,10)),"不计算")))))*R1624,"不计算")</f>
        <v/>
      </c>
      <c r="R1624" s="172" t="n">
        <v>1</v>
      </c>
      <c r="S1624" s="173">
        <f>调整因子!$F$13</f>
        <v/>
      </c>
      <c r="T1624" s="92" t="n">
        <v>1</v>
      </c>
      <c r="U1624" s="174">
        <f>IFERROR(Q1624*S1624,0)</f>
        <v/>
      </c>
      <c r="V1624" s="178">
        <f>U1624*T1624</f>
        <v/>
      </c>
      <c r="W1624" s="103" t="inlineStr">
        <is>
          <t>日志加密配置表</t>
        </is>
      </c>
      <c r="X1624" s="103" t="inlineStr"/>
      <c r="Y1624" s="97" t="inlineStr">
        <is>
          <t>日志加密配置表{配置ID、配置名称|配置ID、配置名称、配置类型、配置值、创建时间}</t>
        </is>
      </c>
      <c r="Z1624" s="90" t="n"/>
      <c r="AA1624" s="90" t="n"/>
    </row>
    <row r="1625" s="112">
      <c r="A1625" s="72">
        <f>ROW()-1</f>
        <v/>
      </c>
      <c r="B1625" s="175" t="n"/>
      <c r="C1625" s="124" t="n">
        <v>2026</v>
      </c>
      <c r="E1625" s="103" t="n"/>
      <c r="F1625" s="175" t="n"/>
      <c r="G1625" s="175" t="n"/>
      <c r="H1625" s="175" t="n"/>
      <c r="I1625" s="103" t="inlineStr">
        <is>
          <t>查询监控状态</t>
        </is>
      </c>
      <c r="J1625" s="93" t="inlineStr">
        <is>
          <t>EQ</t>
        </is>
      </c>
      <c r="K1625" s="102" t="n"/>
      <c r="L1625" s="102" t="n"/>
      <c r="M1625" s="85">
        <f>IF(OR(Y1625="估算法",Y1625="算法类",Y1625="无法识别"),"",IF(W1625="",IF(OR(J1625="EI",J1625="EO",J1625="EQ"),0,""),LEN(W1625)-LEN(SUBSTITUTE(W1625,"、",""))+1))</f>
        <v/>
      </c>
      <c r="N1625" s="85">
        <f>IF(OR(Y1625="估算法",Y1625="算法类",Y1625="无法识别"),"",IF(X1625="",IF(OR(J1625="ILF",J1625="EIF"),0,""),LEN(X1625)-LEN(SUBSTITUTE(X1625,"、",""))+1))</f>
        <v/>
      </c>
      <c r="O1625" s="85">
        <f>IF(OR(Y1625="估算法",Y1625="算法类",Y1625="无法识别"),"",IF(Y1625="",IF(OR(J1625="ILF",J1625="EIF",J1625="EI",J1625="EO",J1625="EQ"),0,""),LEN(Y1625)-LEN(SUBSTITUTE(SUBSTITUTE(SUBSTITUTE(SUBSTITUTE(SUBSTITUTE(Y1625,"|}","--"),"{|","--"),CHAR(10),""),"、",""),"|",""))+IF(AND(OR(J1625="EI",J1625="EO",J1625="EQ"),$AE$1="NESMA"),2,1)))</f>
        <v/>
      </c>
      <c r="P1625" s="86">
        <f>IF(J1625="EI",IF(OR(Y1625="估算法",Y1625="算法类"),"中",IF(Y1625="无法识别","低",IF(M1625&lt;2,IF(O1625&lt;16,"低","中"),IF(M1625&lt;3,IF(O1625&lt;5,"低",IF(O1625&lt;16,"中","高")),IF(O1625&lt;5,"中","高"))))),IF(OR(J1625="EO",J1625="EQ"),IF(OR(Y1625="估算法",Y1625="算法类"),"中",IF(Y1625="无法识别","低",IF(M1625&lt;2,IF(O1625&lt;20,"低","中"),IF(M1625&lt;4,IF(O1625&lt;6,"低",IF(O1625&lt;20,"中","高")),IF(O1625&lt;6,"中","高"))))),IF(OR(J1625="ILF",J1625="EIF"),IF(OR(Y1625="估算法",Y1625="算法类",Y1625="无法识别"),"低",IF(N1625&lt;2,IF(O1625&lt;51,"低","中"),IF(N1625&lt;6,IF(O1625&lt;20,"低",IF(O1625&lt;51,"中","高")),IF(O1625&lt;20,"中","高")))),"不计算")))</f>
        <v/>
      </c>
      <c r="Q1625" s="172">
        <f>IFERROR(IF(J1625="EI",IF(P1625="低",3,IF(P1625="中",4,6)),IF(J1625="EO",IF(P1625="低",4,IF(P1625="中",5,7)),IF(J1625="EQ",IF(P1625="低",3,IF(P1625="中",4,6)),IF(J1625="ILF",IF(P1625="低",7,IF(P1625="中",10,15)),IF(J1625="EIF",IF(P1625="低",5,IF(P1625="中",7,10)),"不计算")))))*R1625,"不计算")</f>
        <v/>
      </c>
      <c r="R1625" s="172" t="n">
        <v>1</v>
      </c>
      <c r="S1625" s="173">
        <f>调整因子!$F$13</f>
        <v/>
      </c>
      <c r="T1625" s="93" t="n">
        <v>1</v>
      </c>
      <c r="U1625" s="174">
        <f>IFERROR(Q1625*S1625,0)</f>
        <v/>
      </c>
      <c r="V1625" s="178">
        <f>U1625*T1625</f>
        <v/>
      </c>
      <c r="W1625" s="103" t="inlineStr">
        <is>
          <t>指标权重表</t>
        </is>
      </c>
      <c r="X1625" s="103" t="inlineStr"/>
      <c r="Y1625" s="97" t="inlineStr">
        <is>
          <t>指标权重表{ID、名称|ID、名称、类型、状态、创建时间、更新时间}</t>
        </is>
      </c>
      <c r="Z1625" s="90" t="n"/>
      <c r="AA1625" s="90" t="n"/>
    </row>
    <row r="1626" s="112">
      <c r="A1626" s="72">
        <f>ROW()-1</f>
        <v/>
      </c>
      <c r="B1626" s="175" t="n"/>
      <c r="C1626" s="124" t="n">
        <v>2026</v>
      </c>
      <c r="E1626" s="103" t="n"/>
      <c r="F1626" s="175" t="n"/>
      <c r="G1626" s="176" t="n"/>
      <c r="H1626" s="176" t="n"/>
      <c r="I1626" s="103" t="inlineStr">
        <is>
          <t>查看监控趋势</t>
        </is>
      </c>
      <c r="J1626" s="93" t="inlineStr">
        <is>
          <t>EQ</t>
        </is>
      </c>
      <c r="K1626" s="102" t="n"/>
      <c r="L1626" s="102" t="n"/>
      <c r="M1626" s="85">
        <f>IF(OR(Y1626="估算法",Y1626="算法类",Y1626="无法识别"),"",IF(W1626="",IF(OR(J1626="EI",J1626="EO",J1626="EQ"),0,""),LEN(W1626)-LEN(SUBSTITUTE(W1626,"、",""))+1))</f>
        <v/>
      </c>
      <c r="N1626" s="85">
        <f>IF(OR(Y1626="估算法",Y1626="算法类",Y1626="无法识别"),"",IF(X1626="",IF(OR(J1626="ILF",J1626="EIF"),0,""),LEN(X1626)-LEN(SUBSTITUTE(X1626,"、",""))+1))</f>
        <v/>
      </c>
      <c r="O1626" s="85">
        <f>IF(OR(Y1626="估算法",Y1626="算法类",Y1626="无法识别"),"",IF(Y1626="",IF(OR(J1626="ILF",J1626="EIF",J1626="EI",J1626="EO",J1626="EQ"),0,""),LEN(Y1626)-LEN(SUBSTITUTE(SUBSTITUTE(SUBSTITUTE(SUBSTITUTE(SUBSTITUTE(Y1626,"|}","--"),"{|","--"),CHAR(10),""),"、",""),"|",""))+IF(AND(OR(J1626="EI",J1626="EO",J1626="EQ"),$AE$1="NESMA"),2,1)))</f>
        <v/>
      </c>
      <c r="P1626" s="86">
        <f>IF(J1626="EI",IF(OR(Y1626="估算法",Y1626="算法类"),"中",IF(Y1626="无法识别","低",IF(M1626&lt;2,IF(O1626&lt;16,"低","中"),IF(M1626&lt;3,IF(O1626&lt;5,"低",IF(O1626&lt;16,"中","高")),IF(O1626&lt;5,"中","高"))))),IF(OR(J1626="EO",J1626="EQ"),IF(OR(Y1626="估算法",Y1626="算法类"),"中",IF(Y1626="无法识别","低",IF(M1626&lt;2,IF(O1626&lt;20,"低","中"),IF(M1626&lt;4,IF(O1626&lt;6,"低",IF(O1626&lt;20,"中","高")),IF(O1626&lt;6,"中","高"))))),IF(OR(J1626="ILF",J1626="EIF"),IF(OR(Y1626="估算法",Y1626="算法类",Y1626="无法识别"),"低",IF(N1626&lt;2,IF(O1626&lt;51,"低","中"),IF(N1626&lt;6,IF(O1626&lt;20,"低",IF(O1626&lt;51,"中","高")),IF(O1626&lt;20,"中","高")))),"不计算")))</f>
        <v/>
      </c>
      <c r="Q1626" s="172">
        <f>IFERROR(IF(J1626="EI",IF(P1626="低",3,IF(P1626="中",4,6)),IF(J1626="EO",IF(P1626="低",4,IF(P1626="中",5,7)),IF(J1626="EQ",IF(P1626="低",3,IF(P1626="中",4,6)),IF(J1626="ILF",IF(P1626="低",7,IF(P1626="中",10,15)),IF(J1626="EIF",IF(P1626="低",5,IF(P1626="中",7,10)),"不计算")))))*R1626,"不计算")</f>
        <v/>
      </c>
      <c r="R1626" s="172" t="n">
        <v>0.333333333333333</v>
      </c>
      <c r="S1626" s="173">
        <f>调整因子!$F$13</f>
        <v/>
      </c>
      <c r="T1626" s="92" t="n">
        <v>1</v>
      </c>
      <c r="U1626" s="174">
        <f>IFERROR(Q1626*S1626,0)</f>
        <v/>
      </c>
      <c r="V1626" s="178">
        <f>U1626*T1626</f>
        <v/>
      </c>
      <c r="W1626" s="103" t="inlineStr">
        <is>
          <t>考核指标配置表、离线扫描报告表</t>
        </is>
      </c>
      <c r="X1626" s="103" t="inlineStr"/>
      <c r="Y1626" s="97" t="inlineStr">
        <is>
          <t>考核指标配置表{配置ID、配置名称|配置ID、配置名称、配置类型、配置值、创建时间}
离线扫描报告表{任务ID、任务名称|任务ID、任务名称、任务状态、扫描器类型、开始时间、结束时间、扫描结果}</t>
        </is>
      </c>
      <c r="Z1626" s="90" t="n"/>
      <c r="AA1626" s="90" t="n"/>
    </row>
    <row r="1627" s="112">
      <c r="A1627" s="72">
        <f>ROW()-1</f>
        <v/>
      </c>
      <c r="B1627" s="175" t="n"/>
      <c r="C1627" s="124" t="n">
        <v>2026</v>
      </c>
      <c r="E1627" s="103" t="n"/>
      <c r="F1627" s="175" t="n"/>
      <c r="G1627" s="97" t="inlineStr">
        <is>
          <t>漏洞处置到期提醒</t>
        </is>
      </c>
      <c r="H1627" s="97" t="inlineStr">
        <is>
          <t>提醒策略配置</t>
        </is>
      </c>
      <c r="I1627" s="103" t="inlineStr">
        <is>
          <t>提醒策略配置表</t>
        </is>
      </c>
      <c r="J1627" s="93" t="inlineStr">
        <is>
          <t>ILF</t>
        </is>
      </c>
      <c r="K1627" s="102" t="n"/>
      <c r="L1627" s="102" t="n"/>
      <c r="M1627" s="85">
        <f>IF(OR(Y1627="估算法",Y1627="算法类",Y1627="无法识别"),"",IF(W1627="",IF(OR(J1627="EI",J1627="EO",J1627="EQ"),0,""),LEN(W1627)-LEN(SUBSTITUTE(W1627,"、",""))+1))</f>
        <v/>
      </c>
      <c r="N1627" s="85">
        <f>IF(OR(Y1627="估算法",Y1627="算法类",Y1627="无法识别"),"",IF(X1627="",IF(OR(J1627="ILF",J1627="EIF"),0,""),LEN(X1627)-LEN(SUBSTITUTE(X1627,"、",""))+1))</f>
        <v/>
      </c>
      <c r="O1627" s="85">
        <f>IF(OR(Y1627="估算法",Y1627="算法类",Y1627="无法识别"),"",IF(Y1627="",IF(OR(J1627="ILF",J1627="EIF",J1627="EI",J1627="EO",J1627="EQ"),0,""),LEN(Y1627)-LEN(SUBSTITUTE(SUBSTITUTE(SUBSTITUTE(SUBSTITUTE(SUBSTITUTE(Y1627,"|}","--"),"{|","--"),CHAR(10),""),"、",""),"|",""))+IF(AND(OR(J1627="EI",J1627="EO",J1627="EQ"),$AE$1="NESMA"),2,1)))</f>
        <v/>
      </c>
      <c r="P1627" s="86">
        <f>IF(J1627="EI",IF(OR(Y1627="估算法",Y1627="算法类"),"中",IF(Y1627="无法识别","低",IF(M1627&lt;2,IF(O1627&lt;16,"低","中"),IF(M1627&lt;3,IF(O1627&lt;5,"低",IF(O1627&lt;16,"中","高")),IF(O1627&lt;5,"中","高"))))),IF(OR(J1627="EO",J1627="EQ"),IF(OR(Y1627="估算法",Y1627="算法类"),"中",IF(Y1627="无法识别","低",IF(M1627&lt;2,IF(O1627&lt;20,"低","中"),IF(M1627&lt;4,IF(O1627&lt;6,"低",IF(O1627&lt;20,"中","高")),IF(O1627&lt;6,"中","高"))))),IF(OR(J1627="ILF",J1627="EIF"),IF(OR(Y1627="估算法",Y1627="算法类",Y1627="无法识别"),"低",IF(N1627&lt;2,IF(O1627&lt;51,"低","中"),IF(N1627&lt;6,IF(O1627&lt;20,"低",IF(O1627&lt;51,"中","高")),IF(O1627&lt;20,"中","高")))),"不计算")))</f>
        <v/>
      </c>
      <c r="Q1627" s="172">
        <f>IFERROR(IF(J1627="EI",IF(P1627="低",3,IF(P1627="中",4,6)),IF(J1627="EO",IF(P1627="低",4,IF(P1627="中",5,7)),IF(J1627="EQ",IF(P1627="低",3,IF(P1627="中",4,6)),IF(J1627="ILF",IF(P1627="低",7,IF(P1627="中",10,15)),IF(J1627="EIF",IF(P1627="低",5,IF(P1627="中",7,10)),"不计算")))))*R1627,"不计算")</f>
        <v/>
      </c>
      <c r="R1627" s="172" t="n">
        <v>1</v>
      </c>
      <c r="S1627" s="173">
        <f>调整因子!$F$13</f>
        <v/>
      </c>
      <c r="T1627" s="92" t="n">
        <v>1</v>
      </c>
      <c r="U1627" s="174">
        <f>IFERROR(Q1627*S1627,0)</f>
        <v/>
      </c>
      <c r="V1627" s="178">
        <f>U1627*T1627</f>
        <v/>
      </c>
      <c r="W1627" s="103" t="inlineStr"/>
      <c r="X1627" s="103" t="inlineStr">
        <is>
          <t>配置项</t>
        </is>
      </c>
      <c r="Y1627" s="97" t="inlineStr">
        <is>
          <t>提醒策略配置表{配置ID、配置名称、配置类型|配置ID、配置名称、配置类型、配置值、创建时间}</t>
        </is>
      </c>
      <c r="Z1627" s="90">
        <f>IF(COUNTIFS(W:W,"*"&amp;I1627&amp;"*")&gt;0,"存在","不存在")</f>
        <v/>
      </c>
      <c r="AA1627" s="90">
        <f>IF(COUNTIFS(AB:AB,"*"&amp;I1627&amp;"*")&gt;0,"存在","不存在")</f>
        <v/>
      </c>
    </row>
    <row r="1628" s="112">
      <c r="A1628" s="72">
        <f>ROW()-1</f>
        <v/>
      </c>
      <c r="B1628" s="175" t="n"/>
      <c r="C1628" s="124" t="n">
        <v>2026</v>
      </c>
      <c r="E1628" s="103" t="n"/>
      <c r="F1628" s="175" t="n"/>
      <c r="G1628" s="175" t="n"/>
      <c r="H1628" s="175" t="n"/>
      <c r="I1628" s="103" t="inlineStr">
        <is>
          <t>提醒规则表</t>
        </is>
      </c>
      <c r="J1628" s="93" t="inlineStr">
        <is>
          <t>ILF</t>
        </is>
      </c>
      <c r="K1628" s="102" t="n"/>
      <c r="L1628" s="102" t="n"/>
      <c r="M1628" s="85">
        <f>IF(OR(Y1628="估算法",Y1628="算法类",Y1628="无法识别"),"",IF(W1628="",IF(OR(J1628="EI",J1628="EO",J1628="EQ"),0,""),LEN(W1628)-LEN(SUBSTITUTE(W1628,"、",""))+1))</f>
        <v/>
      </c>
      <c r="N1628" s="85">
        <f>IF(OR(Y1628="估算法",Y1628="算法类",Y1628="无法识别"),"",IF(X1628="",IF(OR(J1628="ILF",J1628="EIF"),0,""),LEN(X1628)-LEN(SUBSTITUTE(X1628,"、",""))+1))</f>
        <v/>
      </c>
      <c r="O1628" s="85">
        <f>IF(OR(Y1628="估算法",Y1628="算法类",Y1628="无法识别"),"",IF(Y1628="",IF(OR(J1628="ILF",J1628="EIF",J1628="EI",J1628="EO",J1628="EQ"),0,""),LEN(Y1628)-LEN(SUBSTITUTE(SUBSTITUTE(SUBSTITUTE(SUBSTITUTE(SUBSTITUTE(Y1628,"|}","--"),"{|","--"),CHAR(10),""),"、",""),"|",""))+IF(AND(OR(J1628="EI",J1628="EO",J1628="EQ"),$AE$1="NESMA"),2,1)))</f>
        <v/>
      </c>
      <c r="P1628" s="86">
        <f>IF(J1628="EI",IF(OR(Y1628="估算法",Y1628="算法类"),"中",IF(Y1628="无法识别","低",IF(M1628&lt;2,IF(O1628&lt;16,"低","中"),IF(M1628&lt;3,IF(O1628&lt;5,"低",IF(O1628&lt;16,"中","高")),IF(O1628&lt;5,"中","高"))))),IF(OR(J1628="EO",J1628="EQ"),IF(OR(Y1628="估算法",Y1628="算法类"),"中",IF(Y1628="无法识别","低",IF(M1628&lt;2,IF(O1628&lt;20,"低","中"),IF(M1628&lt;4,IF(O1628&lt;6,"低",IF(O1628&lt;20,"中","高")),IF(O1628&lt;6,"中","高"))))),IF(OR(J1628="ILF",J1628="EIF"),IF(OR(Y1628="估算法",Y1628="算法类",Y1628="无法识别"),"低",IF(N1628&lt;2,IF(O1628&lt;51,"低","中"),IF(N1628&lt;6,IF(O1628&lt;20,"低",IF(O1628&lt;51,"中","高")),IF(O1628&lt;20,"中","高")))),"不计算")))</f>
        <v/>
      </c>
      <c r="Q1628" s="172">
        <f>IFERROR(IF(J1628="EI",IF(P1628="低",3,IF(P1628="中",4,6)),IF(J1628="EO",IF(P1628="低",4,IF(P1628="中",5,7)),IF(J1628="EQ",IF(P1628="低",3,IF(P1628="中",4,6)),IF(J1628="ILF",IF(P1628="低",7,IF(P1628="中",10,15)),IF(J1628="EIF",IF(P1628="低",5,IF(P1628="中",7,10)),"不计算")))))*R1628,"不计算")</f>
        <v/>
      </c>
      <c r="R1628" s="172" t="n">
        <v>1</v>
      </c>
      <c r="S1628" s="173">
        <f>调整因子!$F$13</f>
        <v/>
      </c>
      <c r="T1628" s="93" t="n">
        <v>1</v>
      </c>
      <c r="U1628" s="174">
        <f>IFERROR(Q1628*S1628,0)</f>
        <v/>
      </c>
      <c r="V1628" s="178">
        <f>U1628*T1628</f>
        <v/>
      </c>
      <c r="W1628" s="103" t="inlineStr"/>
      <c r="X1628" s="103" t="inlineStr">
        <is>
          <t>数据记录</t>
        </is>
      </c>
      <c r="Y1628" s="97" t="inlineStr">
        <is>
          <t>提醒规则表{规则ID、规则名称、规则类型|规则ID、规则名称、规则类型、规则条件、创建时间}</t>
        </is>
      </c>
      <c r="Z1628" s="90">
        <f>IF(COUNTIFS(W:W,"*"&amp;I1628&amp;"*")&gt;0,"存在","不存在")</f>
        <v/>
      </c>
      <c r="AA1628" s="90">
        <f>IF(COUNTIFS(AB:AB,"*"&amp;I1628&amp;"*")&gt;0,"存在","不存在")</f>
        <v/>
      </c>
    </row>
    <row r="1629" s="112">
      <c r="A1629" s="72">
        <f>ROW()-1</f>
        <v/>
      </c>
      <c r="B1629" s="175" t="n"/>
      <c r="C1629" s="124" t="n">
        <v>2026</v>
      </c>
      <c r="E1629" s="103" t="n"/>
      <c r="F1629" s="175" t="n"/>
      <c r="G1629" s="175" t="n"/>
      <c r="H1629" s="175" t="n"/>
      <c r="I1629" s="103" t="inlineStr">
        <is>
          <t>配置提醒策略</t>
        </is>
      </c>
      <c r="J1629" s="93" t="inlineStr">
        <is>
          <t>EI</t>
        </is>
      </c>
      <c r="K1629" s="102" t="n"/>
      <c r="L1629" s="102" t="n"/>
      <c r="M1629" s="85">
        <f>IF(OR(Y1629="估算法",Y1629="算法类",Y1629="无法识别"),"",IF(W1629="",IF(OR(J1629="EI",J1629="EO",J1629="EQ"),0,""),LEN(W1629)-LEN(SUBSTITUTE(W1629,"、",""))+1))</f>
        <v/>
      </c>
      <c r="N1629" s="85">
        <f>IF(OR(Y1629="估算法",Y1629="算法类",Y1629="无法识别"),"",IF(X1629="",IF(OR(J1629="ILF",J1629="EIF"),0,""),LEN(X1629)-LEN(SUBSTITUTE(X1629,"、",""))+1))</f>
        <v/>
      </c>
      <c r="O1629" s="85">
        <f>IF(OR(Y1629="估算法",Y1629="算法类",Y1629="无法识别"),"",IF(Y1629="",IF(OR(J1629="ILF",J1629="EIF",J1629="EI",J1629="EO",J1629="EQ"),0,""),LEN(Y1629)-LEN(SUBSTITUTE(SUBSTITUTE(SUBSTITUTE(SUBSTITUTE(SUBSTITUTE(Y1629,"|}","--"),"{|","--"),CHAR(10),""),"、",""),"|",""))+IF(AND(OR(J1629="EI",J1629="EO",J1629="EQ"),$AE$1="NESMA"),2,1)))</f>
        <v/>
      </c>
      <c r="P1629" s="86">
        <f>IF(J1629="EI",IF(OR(Y1629="估算法",Y1629="算法类"),"中",IF(Y1629="无法识别","低",IF(M1629&lt;2,IF(O1629&lt;16,"低","中"),IF(M1629&lt;3,IF(O1629&lt;5,"低",IF(O1629&lt;16,"中","高")),IF(O1629&lt;5,"中","高"))))),IF(OR(J1629="EO",J1629="EQ"),IF(OR(Y1629="估算法",Y1629="算法类"),"中",IF(Y1629="无法识别","低",IF(M1629&lt;2,IF(O1629&lt;20,"低","中"),IF(M1629&lt;4,IF(O1629&lt;6,"低",IF(O1629&lt;20,"中","高")),IF(O1629&lt;6,"中","高"))))),IF(OR(J1629="ILF",J1629="EIF"),IF(OR(Y1629="估算法",Y1629="算法类",Y1629="无法识别"),"低",IF(N1629&lt;2,IF(O1629&lt;51,"低","中"),IF(N1629&lt;6,IF(O1629&lt;20,"低",IF(O1629&lt;51,"中","高")),IF(O1629&lt;20,"中","高")))),"不计算")))</f>
        <v/>
      </c>
      <c r="Q1629" s="172">
        <f>IFERROR(IF(J1629="EI",IF(P1629="低",3,IF(P1629="中",4,6)),IF(J1629="EO",IF(P1629="低",4,IF(P1629="中",5,7)),IF(J1629="EQ",IF(P1629="低",3,IF(P1629="中",4,6)),IF(J1629="ILF",IF(P1629="低",7,IF(P1629="中",10,15)),IF(J1629="EIF",IF(P1629="低",5,IF(P1629="中",7,10)),"不计算")))))*R1629,"不计算")</f>
        <v/>
      </c>
      <c r="R1629" s="172" t="n">
        <v>1</v>
      </c>
      <c r="S1629" s="173">
        <f>调整因子!$F$13</f>
        <v/>
      </c>
      <c r="T1629" s="93" t="n">
        <v>1</v>
      </c>
      <c r="U1629" s="174">
        <f>IFERROR(Q1629*S1629,0)</f>
        <v/>
      </c>
      <c r="V1629" s="178">
        <f>U1629*T1629</f>
        <v/>
      </c>
      <c r="W1629" s="103" t="inlineStr">
        <is>
          <t>任务优先级配置表</t>
        </is>
      </c>
      <c r="X1629" s="103" t="inlineStr"/>
      <c r="Y1629" s="97" t="inlineStr">
        <is>
          <t>任务优先级配置表{任务ID、任务名称、任务类型、任务状态、创建时间、执行时间|任务ID、任务名称、任务类型}</t>
        </is>
      </c>
      <c r="Z1629" s="90" t="n"/>
      <c r="AA1629" s="90" t="n"/>
    </row>
    <row r="1630" s="112">
      <c r="A1630" s="72">
        <f>ROW()-1</f>
        <v/>
      </c>
      <c r="B1630" s="175" t="n"/>
      <c r="C1630" s="124" t="n">
        <v>2026</v>
      </c>
      <c r="E1630" s="103" t="n"/>
      <c r="F1630" s="175" t="n"/>
      <c r="G1630" s="175" t="n"/>
      <c r="H1630" s="175" t="n"/>
      <c r="I1630" s="103" t="inlineStr">
        <is>
          <t>编辑提醒策略</t>
        </is>
      </c>
      <c r="J1630" s="93" t="inlineStr">
        <is>
          <t>EI</t>
        </is>
      </c>
      <c r="K1630" s="102" t="n"/>
      <c r="L1630" s="102" t="n"/>
      <c r="M1630" s="85">
        <f>IF(OR(Y1630="估算法",Y1630="算法类",Y1630="无法识别"),"",IF(W1630="",IF(OR(J1630="EI",J1630="EO",J1630="EQ"),0,""),LEN(W1630)-LEN(SUBSTITUTE(W1630,"、",""))+1))</f>
        <v/>
      </c>
      <c r="N1630" s="85">
        <f>IF(OR(Y1630="估算法",Y1630="算法类",Y1630="无法识别"),"",IF(X1630="",IF(OR(J1630="ILF",J1630="EIF"),0,""),LEN(X1630)-LEN(SUBSTITUTE(X1630,"、",""))+1))</f>
        <v/>
      </c>
      <c r="O1630" s="85">
        <f>IF(OR(Y1630="估算法",Y1630="算法类",Y1630="无法识别"),"",IF(Y1630="",IF(OR(J1630="ILF",J1630="EIF",J1630="EI",J1630="EO",J1630="EQ"),0,""),LEN(Y1630)-LEN(SUBSTITUTE(SUBSTITUTE(SUBSTITUTE(SUBSTITUTE(SUBSTITUTE(Y1630,"|}","--"),"{|","--"),CHAR(10),""),"、",""),"|",""))+IF(AND(OR(J1630="EI",J1630="EO",J1630="EQ"),$AE$1="NESMA"),2,1)))</f>
        <v/>
      </c>
      <c r="P1630" s="86">
        <f>IF(J1630="EI",IF(OR(Y1630="估算法",Y1630="算法类"),"中",IF(Y1630="无法识别","低",IF(M1630&lt;2,IF(O1630&lt;16,"低","中"),IF(M1630&lt;3,IF(O1630&lt;5,"低",IF(O1630&lt;16,"中","高")),IF(O1630&lt;5,"中","高"))))),IF(OR(J1630="EO",J1630="EQ"),IF(OR(Y1630="估算法",Y1630="算法类"),"中",IF(Y1630="无法识别","低",IF(M1630&lt;2,IF(O1630&lt;20,"低","中"),IF(M1630&lt;4,IF(O1630&lt;6,"低",IF(O1630&lt;20,"中","高")),IF(O1630&lt;6,"中","高"))))),IF(OR(J1630="ILF",J1630="EIF"),IF(OR(Y1630="估算法",Y1630="算法类",Y1630="无法识别"),"低",IF(N1630&lt;2,IF(O1630&lt;51,"低","中"),IF(N1630&lt;6,IF(O1630&lt;20,"低",IF(O1630&lt;51,"中","高")),IF(O1630&lt;20,"中","高")))),"不计算")))</f>
        <v/>
      </c>
      <c r="Q1630" s="172">
        <f>IFERROR(IF(J1630="EI",IF(P1630="低",3,IF(P1630="中",4,6)),IF(J1630="EO",IF(P1630="低",4,IF(P1630="中",5,7)),IF(J1630="EQ",IF(P1630="低",3,IF(P1630="中",4,6)),IF(J1630="ILF",IF(P1630="低",7,IF(P1630="中",10,15)),IF(J1630="EIF",IF(P1630="低",5,IF(P1630="中",7,10)),"不计算")))))*R1630,"不计算")</f>
        <v/>
      </c>
      <c r="R1630" s="172" t="n">
        <v>1</v>
      </c>
      <c r="S1630" s="173">
        <f>调整因子!$F$13</f>
        <v/>
      </c>
      <c r="T1630" s="92" t="n">
        <v>1</v>
      </c>
      <c r="U1630" s="174">
        <f>IFERROR(Q1630*S1630,0)</f>
        <v/>
      </c>
      <c r="V1630" s="178">
        <f>U1630*T1630</f>
        <v/>
      </c>
      <c r="W1630" s="103" t="inlineStr">
        <is>
          <t>扫描策略模板表</t>
        </is>
      </c>
      <c r="X1630" s="103" t="inlineStr"/>
      <c r="Y1630" s="97" t="inlineStr">
        <is>
          <t>扫描策略模板表{任务ID、任务名称、任务状态、扫描器类型、开始时间、结束时间、扫描结果|任务ID、任务名称、任务状态}</t>
        </is>
      </c>
      <c r="Z1630" s="90" t="n"/>
      <c r="AA1630" s="90" t="n"/>
    </row>
    <row r="1631" s="112">
      <c r="A1631" s="72">
        <f>ROW()-1</f>
        <v/>
      </c>
      <c r="B1631" s="175" t="n"/>
      <c r="C1631" s="124" t="n">
        <v>2026</v>
      </c>
      <c r="E1631" s="103" t="n"/>
      <c r="F1631" s="175" t="n"/>
      <c r="G1631" s="175" t="n"/>
      <c r="H1631" s="175" t="n"/>
      <c r="I1631" s="103" t="inlineStr">
        <is>
          <t>删除提醒策略</t>
        </is>
      </c>
      <c r="J1631" s="93" t="inlineStr">
        <is>
          <t>EI</t>
        </is>
      </c>
      <c r="K1631" s="102" t="n"/>
      <c r="L1631" s="102" t="n"/>
      <c r="M1631" s="85">
        <f>IF(OR(Y1631="估算法",Y1631="算法类",Y1631="无法识别"),"",IF(W1631="",IF(OR(J1631="EI",J1631="EO",J1631="EQ"),0,""),LEN(W1631)-LEN(SUBSTITUTE(W1631,"、",""))+1))</f>
        <v/>
      </c>
      <c r="N1631" s="85">
        <f>IF(OR(Y1631="估算法",Y1631="算法类",Y1631="无法识别"),"",IF(X1631="",IF(OR(J1631="ILF",J1631="EIF"),0,""),LEN(X1631)-LEN(SUBSTITUTE(X1631,"、",""))+1))</f>
        <v/>
      </c>
      <c r="O1631" s="85">
        <f>IF(OR(Y1631="估算法",Y1631="算法类",Y1631="无法识别"),"",IF(Y1631="",IF(OR(J1631="ILF",J1631="EIF",J1631="EI",J1631="EO",J1631="EQ"),0,""),LEN(Y1631)-LEN(SUBSTITUTE(SUBSTITUTE(SUBSTITUTE(SUBSTITUTE(SUBSTITUTE(Y1631,"|}","--"),"{|","--"),CHAR(10),""),"、",""),"|",""))+IF(AND(OR(J1631="EI",J1631="EO",J1631="EQ"),$AE$1="NESMA"),2,1)))</f>
        <v/>
      </c>
      <c r="P1631" s="86">
        <f>IF(J1631="EI",IF(OR(Y1631="估算法",Y1631="算法类"),"中",IF(Y1631="无法识别","低",IF(M1631&lt;2,IF(O1631&lt;16,"低","中"),IF(M1631&lt;3,IF(O1631&lt;5,"低",IF(O1631&lt;16,"中","高")),IF(O1631&lt;5,"中","高"))))),IF(OR(J1631="EO",J1631="EQ"),IF(OR(Y1631="估算法",Y1631="算法类"),"中",IF(Y1631="无法识别","低",IF(M1631&lt;2,IF(O1631&lt;20,"低","中"),IF(M1631&lt;4,IF(O1631&lt;6,"低",IF(O1631&lt;20,"中","高")),IF(O1631&lt;6,"中","高"))))),IF(OR(J1631="ILF",J1631="EIF"),IF(OR(Y1631="估算法",Y1631="算法类",Y1631="无法识别"),"低",IF(N1631&lt;2,IF(O1631&lt;51,"低","中"),IF(N1631&lt;6,IF(O1631&lt;20,"低",IF(O1631&lt;51,"中","高")),IF(O1631&lt;20,"中","高")))),"不计算")))</f>
        <v/>
      </c>
      <c r="Q1631" s="172">
        <f>IFERROR(IF(J1631="EI",IF(P1631="低",3,IF(P1631="中",4,6)),IF(J1631="EO",IF(P1631="低",4,IF(P1631="中",5,7)),IF(J1631="EQ",IF(P1631="低",3,IF(P1631="中",4,6)),IF(J1631="ILF",IF(P1631="低",7,IF(P1631="中",10,15)),IF(J1631="EIF",IF(P1631="低",5,IF(P1631="中",7,10)),"不计算")))))*R1631,"不计算")</f>
        <v/>
      </c>
      <c r="R1631" s="172" t="n">
        <v>0.333333333333333</v>
      </c>
      <c r="S1631" s="173">
        <f>调整因子!$F$13</f>
        <v/>
      </c>
      <c r="T1631" s="92" t="n">
        <v>1</v>
      </c>
      <c r="U1631" s="174">
        <f>IFERROR(Q1631*S1631,0)</f>
        <v/>
      </c>
      <c r="V1631" s="178">
        <f>U1631*T1631</f>
        <v/>
      </c>
      <c r="W1631" s="103" t="inlineStr">
        <is>
          <t>扫描策略模板表、提醒策略配置表</t>
        </is>
      </c>
      <c r="X1631" s="103" t="inlineStr"/>
      <c r="Y1631" s="97" t="inlineStr">
        <is>
          <t>扫描策略模板表{任务ID、任务名称、任务状态、扫描器类型、开始时间、结束时间、扫描结果|任务ID、任务名称、任务状态}
提醒策略配置表{配置ID、配置名称、配置类型、配置值、创建时间|配置ID、配置名称、配置类型}</t>
        </is>
      </c>
      <c r="Z1631" s="90" t="n"/>
      <c r="AA1631" s="90" t="n"/>
    </row>
    <row r="1632" s="112">
      <c r="A1632" s="72">
        <f>ROW()-1</f>
        <v/>
      </c>
      <c r="B1632" s="175" t="n"/>
      <c r="C1632" s="124" t="n">
        <v>2026</v>
      </c>
      <c r="E1632" s="103" t="n"/>
      <c r="F1632" s="175" t="n"/>
      <c r="G1632" s="175" t="n"/>
      <c r="H1632" s="175" t="n"/>
      <c r="I1632" s="103" t="inlineStr">
        <is>
          <t>启用提醒策略</t>
        </is>
      </c>
      <c r="J1632" s="93" t="inlineStr">
        <is>
          <t>EI</t>
        </is>
      </c>
      <c r="K1632" s="102" t="n"/>
      <c r="L1632" s="102" t="n"/>
      <c r="M1632" s="85">
        <f>IF(OR(Y1632="估算法",Y1632="算法类",Y1632="无法识别"),"",IF(W1632="",IF(OR(J1632="EI",J1632="EO",J1632="EQ"),0,""),LEN(W1632)-LEN(SUBSTITUTE(W1632,"、",""))+1))</f>
        <v/>
      </c>
      <c r="N1632" s="85">
        <f>IF(OR(Y1632="估算法",Y1632="算法类",Y1632="无法识别"),"",IF(X1632="",IF(OR(J1632="ILF",J1632="EIF"),0,""),LEN(X1632)-LEN(SUBSTITUTE(X1632,"、",""))+1))</f>
        <v/>
      </c>
      <c r="O1632" s="85">
        <f>IF(OR(Y1632="估算法",Y1632="算法类",Y1632="无法识别"),"",IF(Y1632="",IF(OR(J1632="ILF",J1632="EIF",J1632="EI",J1632="EO",J1632="EQ"),0,""),LEN(Y1632)-LEN(SUBSTITUTE(SUBSTITUTE(SUBSTITUTE(SUBSTITUTE(SUBSTITUTE(Y1632,"|}","--"),"{|","--"),CHAR(10),""),"、",""),"|",""))+IF(AND(OR(J1632="EI",J1632="EO",J1632="EQ"),$AE$1="NESMA"),2,1)))</f>
        <v/>
      </c>
      <c r="P1632" s="86">
        <f>IF(J1632="EI",IF(OR(Y1632="估算法",Y1632="算法类"),"中",IF(Y1632="无法识别","低",IF(M1632&lt;2,IF(O1632&lt;16,"低","中"),IF(M1632&lt;3,IF(O1632&lt;5,"低",IF(O1632&lt;16,"中","高")),IF(O1632&lt;5,"中","高"))))),IF(OR(J1632="EO",J1632="EQ"),IF(OR(Y1632="估算法",Y1632="算法类"),"中",IF(Y1632="无法识别","低",IF(M1632&lt;2,IF(O1632&lt;20,"低","中"),IF(M1632&lt;4,IF(O1632&lt;6,"低",IF(O1632&lt;20,"中","高")),IF(O1632&lt;6,"中","高"))))),IF(OR(J1632="ILF",J1632="EIF"),IF(OR(Y1632="估算法",Y1632="算法类",Y1632="无法识别"),"低",IF(N1632&lt;2,IF(O1632&lt;51,"低","中"),IF(N1632&lt;6,IF(O1632&lt;20,"低",IF(O1632&lt;51,"中","高")),IF(O1632&lt;20,"中","高")))),"不计算")))</f>
        <v/>
      </c>
      <c r="Q1632" s="172">
        <f>IFERROR(IF(J1632="EI",IF(P1632="低",3,IF(P1632="中",4,6)),IF(J1632="EO",IF(P1632="低",4,IF(P1632="中",5,7)),IF(J1632="EQ",IF(P1632="低",3,IF(P1632="中",4,6)),IF(J1632="ILF",IF(P1632="低",7,IF(P1632="中",10,15)),IF(J1632="EIF",IF(P1632="低",5,IF(P1632="中",7,10)),"不计算")))))*R1632,"不计算")</f>
        <v/>
      </c>
      <c r="R1632" s="172" t="n">
        <v>1</v>
      </c>
      <c r="S1632" s="173">
        <f>调整因子!$F$13</f>
        <v/>
      </c>
      <c r="T1632" s="93" t="n">
        <v>1</v>
      </c>
      <c r="U1632" s="174">
        <f>IFERROR(Q1632*S1632,0)</f>
        <v/>
      </c>
      <c r="V1632" s="178">
        <f>U1632*T1632</f>
        <v/>
      </c>
      <c r="W1632" s="103" t="inlineStr">
        <is>
          <t>扫描策略模板表、提醒策略配置表</t>
        </is>
      </c>
      <c r="X1632" s="103" t="inlineStr"/>
      <c r="Y1632" s="97" t="inlineStr">
        <is>
          <t>扫描策略模板表{任务ID、任务名称、任务状态、扫描器类型、开始时间、结束时间、扫描结果|任务ID、任务名称、任务状态}
提醒策略配置表{配置ID、配置名称、配置类型、配置值、创建时间|配置ID、配置名称、配置类型}</t>
        </is>
      </c>
      <c r="Z1632" s="90" t="n"/>
      <c r="AA1632" s="90" t="n"/>
    </row>
    <row r="1633" s="112">
      <c r="A1633" s="72">
        <f>ROW()-1</f>
        <v/>
      </c>
      <c r="B1633" s="175" t="n"/>
      <c r="C1633" s="124" t="n">
        <v>2026</v>
      </c>
      <c r="E1633" s="103" t="n"/>
      <c r="F1633" s="175" t="n"/>
      <c r="G1633" s="175" t="n"/>
      <c r="H1633" s="175" t="n"/>
      <c r="I1633" s="103" t="inlineStr">
        <is>
          <t>停用提醒策略</t>
        </is>
      </c>
      <c r="J1633" s="93" t="n"/>
      <c r="K1633" s="102" t="n"/>
      <c r="L1633" s="102" t="inlineStr">
        <is>
          <t>和上行合并，启停为相同功能</t>
        </is>
      </c>
      <c r="M1633" s="85">
        <f>IF(OR(Y1633="估算法",Y1633="算法类",Y1633="无法识别"),"",IF(W1633="",IF(OR(J1633="EI",J1633="EO",J1633="EQ"),0,""),LEN(W1633)-LEN(SUBSTITUTE(W1633,"、",""))+1))</f>
        <v/>
      </c>
      <c r="N1633" s="85">
        <f>IF(OR(Y1633="估算法",Y1633="算法类",Y1633="无法识别"),"",IF(X1633="",IF(OR(J1633="ILF",J1633="EIF"),0,""),LEN(X1633)-LEN(SUBSTITUTE(X1633,"、",""))+1))</f>
        <v/>
      </c>
      <c r="O1633" s="85">
        <f>IF(OR(Y1633="估算法",Y1633="算法类",Y1633="无法识别"),"",IF(Y1633="",IF(OR(J1633="ILF",J1633="EIF",J1633="EI",J1633="EO",J1633="EQ"),0,""),LEN(Y1633)-LEN(SUBSTITUTE(SUBSTITUTE(SUBSTITUTE(SUBSTITUTE(SUBSTITUTE(Y1633,"|}","--"),"{|","--"),CHAR(10),""),"、",""),"|",""))+IF(AND(OR(J1633="EI",J1633="EO",J1633="EQ"),$AE$1="NESMA"),2,1)))</f>
        <v/>
      </c>
      <c r="P1633" s="86">
        <f>IF(J1633="EI",IF(OR(Y1633="估算法",Y1633="算法类"),"中",IF(Y1633="无法识别","低",IF(M1633&lt;2,IF(O1633&lt;16,"低","中"),IF(M1633&lt;3,IF(O1633&lt;5,"低",IF(O1633&lt;16,"中","高")),IF(O1633&lt;5,"中","高"))))),IF(OR(J1633="EO",J1633="EQ"),IF(OR(Y1633="估算法",Y1633="算法类"),"中",IF(Y1633="无法识别","低",IF(M1633&lt;2,IF(O1633&lt;20,"低","中"),IF(M1633&lt;4,IF(O1633&lt;6,"低",IF(O1633&lt;20,"中","高")),IF(O1633&lt;6,"中","高"))))),IF(OR(J1633="ILF",J1633="EIF"),IF(OR(Y1633="估算法",Y1633="算法类",Y1633="无法识别"),"低",IF(N1633&lt;2,IF(O1633&lt;51,"低","中"),IF(N1633&lt;6,IF(O1633&lt;20,"低",IF(O1633&lt;51,"中","高")),IF(O1633&lt;20,"中","高")))),"不计算")))</f>
        <v/>
      </c>
      <c r="Q1633" s="172">
        <f>IFERROR(IF(J1633="EI",IF(P1633="低",3,IF(P1633="中",4,6)),IF(J1633="EO",IF(P1633="低",4,IF(P1633="中",5,7)),IF(J1633="EQ",IF(P1633="低",3,IF(P1633="中",4,6)),IF(J1633="ILF",IF(P1633="低",7,IF(P1633="中",10,15)),IF(J1633="EIF",IF(P1633="低",5,IF(P1633="中",7,10)),"不计算")))))*R1633,"不计算")</f>
        <v/>
      </c>
      <c r="R1633" s="172" t="n">
        <v>1</v>
      </c>
      <c r="S1633" s="173">
        <f>调整因子!$F$13</f>
        <v/>
      </c>
      <c r="T1633" s="92" t="n">
        <v>1</v>
      </c>
      <c r="U1633" s="174">
        <f>IFERROR(Q1633*S1633,0)</f>
        <v/>
      </c>
      <c r="V1633" s="178">
        <f>U1633*T1633</f>
        <v/>
      </c>
      <c r="W1633" s="103" t="inlineStr">
        <is>
          <t>扫描策略模板表</t>
        </is>
      </c>
      <c r="X1633" s="103" t="inlineStr"/>
      <c r="Y1633" s="97" t="inlineStr">
        <is>
          <t>扫描策略模板表{任务ID、任务名称、任务状态、扫描器类型、开始时间、结束时间、扫描结果|任务ID、任务名称、任务状态}</t>
        </is>
      </c>
      <c r="Z1633" s="90" t="n"/>
      <c r="AA1633" s="90" t="n"/>
    </row>
    <row r="1634" s="112">
      <c r="A1634" s="72">
        <f>ROW()-1</f>
        <v/>
      </c>
      <c r="B1634" s="175" t="n"/>
      <c r="C1634" s="124" t="n">
        <v>2026</v>
      </c>
      <c r="E1634" s="103" t="n"/>
      <c r="F1634" s="175" t="n"/>
      <c r="G1634" s="175" t="n"/>
      <c r="H1634" s="175" t="n"/>
      <c r="I1634" s="103" t="inlineStr">
        <is>
          <t>配置提醒规则</t>
        </is>
      </c>
      <c r="J1634" s="93" t="inlineStr">
        <is>
          <t>EI</t>
        </is>
      </c>
      <c r="K1634" s="102" t="n"/>
      <c r="L1634" s="102" t="n"/>
      <c r="M1634" s="85">
        <f>IF(OR(Y1634="估算法",Y1634="算法类",Y1634="无法识别"),"",IF(W1634="",IF(OR(J1634="EI",J1634="EO",J1634="EQ"),0,""),LEN(W1634)-LEN(SUBSTITUTE(W1634,"、",""))+1))</f>
        <v/>
      </c>
      <c r="N1634" s="85">
        <f>IF(OR(Y1634="估算法",Y1634="算法类",Y1634="无法识别"),"",IF(X1634="",IF(OR(J1634="ILF",J1634="EIF"),0,""),LEN(X1634)-LEN(SUBSTITUTE(X1634,"、",""))+1))</f>
        <v/>
      </c>
      <c r="O1634" s="85">
        <f>IF(OR(Y1634="估算法",Y1634="算法类",Y1634="无法识别"),"",IF(Y1634="",IF(OR(J1634="ILF",J1634="EIF",J1634="EI",J1634="EO",J1634="EQ"),0,""),LEN(Y1634)-LEN(SUBSTITUTE(SUBSTITUTE(SUBSTITUTE(SUBSTITUTE(SUBSTITUTE(Y1634,"|}","--"),"{|","--"),CHAR(10),""),"、",""),"|",""))+IF(AND(OR(J1634="EI",J1634="EO",J1634="EQ"),$AE$1="NESMA"),2,1)))</f>
        <v/>
      </c>
      <c r="P1634" s="86">
        <f>IF(J1634="EI",IF(OR(Y1634="估算法",Y1634="算法类"),"中",IF(Y1634="无法识别","低",IF(M1634&lt;2,IF(O1634&lt;16,"低","中"),IF(M1634&lt;3,IF(O1634&lt;5,"低",IF(O1634&lt;16,"中","高")),IF(O1634&lt;5,"中","高"))))),IF(OR(J1634="EO",J1634="EQ"),IF(OR(Y1634="估算法",Y1634="算法类"),"中",IF(Y1634="无法识别","低",IF(M1634&lt;2,IF(O1634&lt;20,"低","中"),IF(M1634&lt;4,IF(O1634&lt;6,"低",IF(O1634&lt;20,"中","高")),IF(O1634&lt;6,"中","高"))))),IF(OR(J1634="ILF",J1634="EIF"),IF(OR(Y1634="估算法",Y1634="算法类",Y1634="无法识别"),"低",IF(N1634&lt;2,IF(O1634&lt;51,"低","中"),IF(N1634&lt;6,IF(O1634&lt;20,"低",IF(O1634&lt;51,"中","高")),IF(O1634&lt;20,"中","高")))),"不计算")))</f>
        <v/>
      </c>
      <c r="Q1634" s="172">
        <f>IFERROR(IF(J1634="EI",IF(P1634="低",3,IF(P1634="中",4,6)),IF(J1634="EO",IF(P1634="低",4,IF(P1634="中",5,7)),IF(J1634="EQ",IF(P1634="低",3,IF(P1634="中",4,6)),IF(J1634="ILF",IF(P1634="低",7,IF(P1634="中",10,15)),IF(J1634="EIF",IF(P1634="低",5,IF(P1634="中",7,10)),"不计算")))))*R1634,"不计算")</f>
        <v/>
      </c>
      <c r="R1634" s="172" t="n">
        <v>1</v>
      </c>
      <c r="S1634" s="173">
        <f>调整因子!$F$13</f>
        <v/>
      </c>
      <c r="T1634" s="92" t="n">
        <v>1</v>
      </c>
      <c r="U1634" s="174">
        <f>IFERROR(Q1634*S1634,0)</f>
        <v/>
      </c>
      <c r="V1634" s="178">
        <f>U1634*T1634</f>
        <v/>
      </c>
      <c r="W1634" s="103" t="inlineStr">
        <is>
          <t>任务优先级配置表</t>
        </is>
      </c>
      <c r="X1634" s="103" t="inlineStr"/>
      <c r="Y1634" s="97" t="inlineStr">
        <is>
          <t>任务优先级配置表{任务ID、任务名称、任务类型、任务状态、创建时间、执行时间|任务ID、任务名称、任务类型}</t>
        </is>
      </c>
      <c r="Z1634" s="90" t="n"/>
      <c r="AA1634" s="90" t="n"/>
    </row>
    <row r="1635" s="112">
      <c r="A1635" s="72">
        <f>ROW()-1</f>
        <v/>
      </c>
      <c r="B1635" s="175" t="n"/>
      <c r="C1635" s="124" t="n">
        <v>2026</v>
      </c>
      <c r="E1635" s="103" t="n"/>
      <c r="F1635" s="175" t="n"/>
      <c r="G1635" s="175" t="n"/>
      <c r="H1635" s="175" t="n"/>
      <c r="I1635" s="103" t="inlineStr">
        <is>
          <t>导出提醒配置</t>
        </is>
      </c>
      <c r="J1635" s="93" t="inlineStr">
        <is>
          <t>EO</t>
        </is>
      </c>
      <c r="K1635" s="102" t="n"/>
      <c r="L1635" s="102" t="n"/>
      <c r="M1635" s="85">
        <f>IF(OR(Y1635="估算法",Y1635="算法类",Y1635="无法识别"),"",IF(W1635="",IF(OR(J1635="EI",J1635="EO",J1635="EQ"),0,""),LEN(W1635)-LEN(SUBSTITUTE(W1635,"、",""))+1))</f>
        <v/>
      </c>
      <c r="N1635" s="85">
        <f>IF(OR(Y1635="估算法",Y1635="算法类",Y1635="无法识别"),"",IF(X1635="",IF(OR(J1635="ILF",J1635="EIF"),0,""),LEN(X1635)-LEN(SUBSTITUTE(X1635,"、",""))+1))</f>
        <v/>
      </c>
      <c r="O1635" s="85">
        <f>IF(OR(Y1635="估算法",Y1635="算法类",Y1635="无法识别"),"",IF(Y1635="",IF(OR(J1635="ILF",J1635="EIF",J1635="EI",J1635="EO",J1635="EQ"),0,""),LEN(Y1635)-LEN(SUBSTITUTE(SUBSTITUTE(SUBSTITUTE(SUBSTITUTE(SUBSTITUTE(Y1635,"|}","--"),"{|","--"),CHAR(10),""),"、",""),"|",""))+IF(AND(OR(J1635="EI",J1635="EO",J1635="EQ"),$AE$1="NESMA"),2,1)))</f>
        <v/>
      </c>
      <c r="P1635" s="86">
        <f>IF(J1635="EI",IF(OR(Y1635="估算法",Y1635="算法类"),"中",IF(Y1635="无法识别","低",IF(M1635&lt;2,IF(O1635&lt;16,"低","中"),IF(M1635&lt;3,IF(O1635&lt;5,"低",IF(O1635&lt;16,"中","高")),IF(O1635&lt;5,"中","高"))))),IF(OR(J1635="EO",J1635="EQ"),IF(OR(Y1635="估算法",Y1635="算法类"),"中",IF(Y1635="无法识别","低",IF(M1635&lt;2,IF(O1635&lt;20,"低","中"),IF(M1635&lt;4,IF(O1635&lt;6,"低",IF(O1635&lt;20,"中","高")),IF(O1635&lt;6,"中","高"))))),IF(OR(J1635="ILF",J1635="EIF"),IF(OR(Y1635="估算法",Y1635="算法类",Y1635="无法识别"),"低",IF(N1635&lt;2,IF(O1635&lt;51,"低","中"),IF(N1635&lt;6,IF(O1635&lt;20,"低",IF(O1635&lt;51,"中","高")),IF(O1635&lt;20,"中","高")))),"不计算")))</f>
        <v/>
      </c>
      <c r="Q1635" s="172">
        <f>IFERROR(IF(J1635="EI",IF(P1635="低",3,IF(P1635="中",4,6)),IF(J1635="EO",IF(P1635="低",4,IF(P1635="中",5,7)),IF(J1635="EQ",IF(P1635="低",3,IF(P1635="中",4,6)),IF(J1635="ILF",IF(P1635="低",7,IF(P1635="中",10,15)),IF(J1635="EIF",IF(P1635="低",5,IF(P1635="中",7,10)),"不计算")))))*R1635,"不计算")</f>
        <v/>
      </c>
      <c r="R1635" s="172" t="n">
        <v>1</v>
      </c>
      <c r="S1635" s="173">
        <f>调整因子!$F$13</f>
        <v/>
      </c>
      <c r="T1635" s="93" t="n">
        <v>1</v>
      </c>
      <c r="U1635" s="174">
        <f>IFERROR(Q1635*S1635,0)</f>
        <v/>
      </c>
      <c r="V1635" s="178">
        <f>U1635*T1635</f>
        <v/>
      </c>
      <c r="W1635" s="103" t="inlineStr">
        <is>
          <t>任务优先级配置表、模板参数配置表</t>
        </is>
      </c>
      <c r="X1635" s="103" t="inlineStr"/>
      <c r="Y1635" s="97" t="inlineStr">
        <is>
          <t>任务优先级配置表{任务ID、任务名称|任务ID、任务名称、任务类型、任务状态、创建时间、执行时间}
模板参数配置表{配置ID、配置名称|配置ID、配置名称、配置类型、配置值、创建时间}</t>
        </is>
      </c>
      <c r="Z1635" s="90" t="n"/>
      <c r="AA1635" s="90" t="n"/>
    </row>
    <row r="1636" s="112">
      <c r="A1636" s="72">
        <f>ROW()-1</f>
        <v/>
      </c>
      <c r="B1636" s="175" t="n"/>
      <c r="C1636" s="124" t="n">
        <v>2026</v>
      </c>
      <c r="E1636" s="103" t="n"/>
      <c r="F1636" s="175" t="n"/>
      <c r="G1636" s="175" t="n"/>
      <c r="H1636" s="175" t="n"/>
      <c r="I1636" s="103" t="inlineStr">
        <is>
          <t>查询提醒策略</t>
        </is>
      </c>
      <c r="J1636" s="93" t="inlineStr">
        <is>
          <t>EQ</t>
        </is>
      </c>
      <c r="K1636" s="102" t="n"/>
      <c r="L1636" s="102" t="n"/>
      <c r="M1636" s="85">
        <f>IF(OR(Y1636="估算法",Y1636="算法类",Y1636="无法识别"),"",IF(W1636="",IF(OR(J1636="EI",J1636="EO",J1636="EQ"),0,""),LEN(W1636)-LEN(SUBSTITUTE(W1636,"、",""))+1))</f>
        <v/>
      </c>
      <c r="N1636" s="85">
        <f>IF(OR(Y1636="估算法",Y1636="算法类",Y1636="无法识别"),"",IF(X1636="",IF(OR(J1636="ILF",J1636="EIF"),0,""),LEN(X1636)-LEN(SUBSTITUTE(X1636,"、",""))+1))</f>
        <v/>
      </c>
      <c r="O1636" s="85">
        <f>IF(OR(Y1636="估算法",Y1636="算法类",Y1636="无法识别"),"",IF(Y1636="",IF(OR(J1636="ILF",J1636="EIF",J1636="EI",J1636="EO",J1636="EQ"),0,""),LEN(Y1636)-LEN(SUBSTITUTE(SUBSTITUTE(SUBSTITUTE(SUBSTITUTE(SUBSTITUTE(Y1636,"|}","--"),"{|","--"),CHAR(10),""),"、",""),"|",""))+IF(AND(OR(J1636="EI",J1636="EO",J1636="EQ"),$AE$1="NESMA"),2,1)))</f>
        <v/>
      </c>
      <c r="P1636" s="86">
        <f>IF(J1636="EI",IF(OR(Y1636="估算法",Y1636="算法类"),"中",IF(Y1636="无法识别","低",IF(M1636&lt;2,IF(O1636&lt;16,"低","中"),IF(M1636&lt;3,IF(O1636&lt;5,"低",IF(O1636&lt;16,"中","高")),IF(O1636&lt;5,"中","高"))))),IF(OR(J1636="EO",J1636="EQ"),IF(OR(Y1636="估算法",Y1636="算法类"),"中",IF(Y1636="无法识别","低",IF(M1636&lt;2,IF(O1636&lt;20,"低","中"),IF(M1636&lt;4,IF(O1636&lt;6,"低",IF(O1636&lt;20,"中","高")),IF(O1636&lt;6,"中","高"))))),IF(OR(J1636="ILF",J1636="EIF"),IF(OR(Y1636="估算法",Y1636="算法类",Y1636="无法识别"),"低",IF(N1636&lt;2,IF(O1636&lt;51,"低","中"),IF(N1636&lt;6,IF(O1636&lt;20,"低",IF(O1636&lt;51,"中","高")),IF(O1636&lt;20,"中","高")))),"不计算")))</f>
        <v/>
      </c>
      <c r="Q1636" s="172">
        <f>IFERROR(IF(J1636="EI",IF(P1636="低",3,IF(P1636="中",4,6)),IF(J1636="EO",IF(P1636="低",4,IF(P1636="中",5,7)),IF(J1636="EQ",IF(P1636="低",3,IF(P1636="中",4,6)),IF(J1636="ILF",IF(P1636="低",7,IF(P1636="中",10,15)),IF(J1636="EIF",IF(P1636="低",5,IF(P1636="中",7,10)),"不计算")))))*R1636,"不计算")</f>
        <v/>
      </c>
      <c r="R1636" s="172" t="n">
        <v>1</v>
      </c>
      <c r="S1636" s="173">
        <f>调整因子!$F$13</f>
        <v/>
      </c>
      <c r="T1636" s="93" t="n">
        <v>1</v>
      </c>
      <c r="U1636" s="174">
        <f>IFERROR(Q1636*S1636,0)</f>
        <v/>
      </c>
      <c r="V1636" s="178">
        <f>U1636*T1636</f>
        <v/>
      </c>
      <c r="W1636" s="103" t="inlineStr">
        <is>
          <t>扫描策略模板表、提醒策略配置表</t>
        </is>
      </c>
      <c r="X1636" s="103" t="inlineStr"/>
      <c r="Y1636" s="97" t="inlineStr">
        <is>
          <t>扫描策略模板表{任务ID、任务名称|任务ID、任务名称、任务状态、扫描器类型、开始时间、结束时间、扫描结果}
提醒策略配置表{配置ID、配置名称|配置ID、配置名称、配置类型、配置值、创建时间}</t>
        </is>
      </c>
      <c r="Z1636" s="90" t="n"/>
      <c r="AA1636" s="90" t="n"/>
    </row>
    <row r="1637" s="112">
      <c r="A1637" s="72">
        <f>ROW()-1</f>
        <v/>
      </c>
      <c r="B1637" s="175" t="n"/>
      <c r="C1637" s="124" t="n">
        <v>2026</v>
      </c>
      <c r="E1637" s="103" t="n"/>
      <c r="F1637" s="175" t="n"/>
      <c r="G1637" s="175" t="n"/>
      <c r="H1637" s="176" t="n"/>
      <c r="I1637" s="103" t="inlineStr">
        <is>
          <t>查看提醒规则</t>
        </is>
      </c>
      <c r="J1637" s="93" t="inlineStr">
        <is>
          <t>EQ</t>
        </is>
      </c>
      <c r="K1637" s="102" t="n"/>
      <c r="L1637" s="102" t="n"/>
      <c r="M1637" s="85">
        <f>IF(OR(Y1637="估算法",Y1637="算法类",Y1637="无法识别"),"",IF(W1637="",IF(OR(J1637="EI",J1637="EO",J1637="EQ"),0,""),LEN(W1637)-LEN(SUBSTITUTE(W1637,"、",""))+1))</f>
        <v/>
      </c>
      <c r="N1637" s="85">
        <f>IF(OR(Y1637="估算法",Y1637="算法类",Y1637="无法识别"),"",IF(X1637="",IF(OR(J1637="ILF",J1637="EIF"),0,""),LEN(X1637)-LEN(SUBSTITUTE(X1637,"、",""))+1))</f>
        <v/>
      </c>
      <c r="O1637" s="85">
        <f>IF(OR(Y1637="估算法",Y1637="算法类",Y1637="无法识别"),"",IF(Y1637="",IF(OR(J1637="ILF",J1637="EIF",J1637="EI",J1637="EO",J1637="EQ"),0,""),LEN(Y1637)-LEN(SUBSTITUTE(SUBSTITUTE(SUBSTITUTE(SUBSTITUTE(SUBSTITUTE(Y1637,"|}","--"),"{|","--"),CHAR(10),""),"、",""),"|",""))+IF(AND(OR(J1637="EI",J1637="EO",J1637="EQ"),$AE$1="NESMA"),2,1)))</f>
        <v/>
      </c>
      <c r="P1637" s="86">
        <f>IF(J1637="EI",IF(OR(Y1637="估算法",Y1637="算法类"),"中",IF(Y1637="无法识别","低",IF(M1637&lt;2,IF(O1637&lt;16,"低","中"),IF(M1637&lt;3,IF(O1637&lt;5,"低",IF(O1637&lt;16,"中","高")),IF(O1637&lt;5,"中","高"))))),IF(OR(J1637="EO",J1637="EQ"),IF(OR(Y1637="估算法",Y1637="算法类"),"中",IF(Y1637="无法识别","低",IF(M1637&lt;2,IF(O1637&lt;20,"低","中"),IF(M1637&lt;4,IF(O1637&lt;6,"低",IF(O1637&lt;20,"中","高")),IF(O1637&lt;6,"中","高"))))),IF(OR(J1637="ILF",J1637="EIF"),IF(OR(Y1637="估算法",Y1637="算法类",Y1637="无法识别"),"低",IF(N1637&lt;2,IF(O1637&lt;51,"低","中"),IF(N1637&lt;6,IF(O1637&lt;20,"低",IF(O1637&lt;51,"中","高")),IF(O1637&lt;20,"中","高")))),"不计算")))</f>
        <v/>
      </c>
      <c r="Q1637" s="172">
        <f>IFERROR(IF(J1637="EI",IF(P1637="低",3,IF(P1637="中",4,6)),IF(J1637="EO",IF(P1637="低",4,IF(P1637="中",5,7)),IF(J1637="EQ",IF(P1637="低",3,IF(P1637="中",4,6)),IF(J1637="ILF",IF(P1637="低",7,IF(P1637="中",10,15)),IF(J1637="EIF",IF(P1637="低",5,IF(P1637="中",7,10)),"不计算")))))*R1637,"不计算")</f>
        <v/>
      </c>
      <c r="R1637" s="172" t="n">
        <v>1</v>
      </c>
      <c r="S1637" s="173">
        <f>调整因子!$F$13</f>
        <v/>
      </c>
      <c r="T1637" s="92" t="n">
        <v>1</v>
      </c>
      <c r="U1637" s="174">
        <f>IFERROR(Q1637*S1637,0)</f>
        <v/>
      </c>
      <c r="V1637" s="178">
        <f>U1637*T1637</f>
        <v/>
      </c>
      <c r="W1637" s="103" t="inlineStr">
        <is>
          <t>推送规则表</t>
        </is>
      </c>
      <c r="X1637" s="103" t="inlineStr"/>
      <c r="Y1637" s="97" t="inlineStr">
        <is>
          <t>推送规则表{规则ID、规则名称|规则ID、规则名称、规则类型、规则条件、创建时间}</t>
        </is>
      </c>
      <c r="Z1637" s="90" t="n"/>
      <c r="AA1637" s="90" t="n"/>
    </row>
    <row r="1638" s="112">
      <c r="A1638" s="72">
        <f>ROW()-1</f>
        <v/>
      </c>
      <c r="B1638" s="175" t="n"/>
      <c r="C1638" s="124" t="n">
        <v>2026</v>
      </c>
      <c r="E1638" s="103" t="n"/>
      <c r="F1638" s="175" t="n"/>
      <c r="G1638" s="175" t="n"/>
      <c r="H1638" s="97" t="inlineStr">
        <is>
          <t>提醒通知管理</t>
        </is>
      </c>
      <c r="I1638" s="103" t="inlineStr">
        <is>
          <t>启用提醒通知</t>
        </is>
      </c>
      <c r="J1638" s="93" t="inlineStr">
        <is>
          <t>EI</t>
        </is>
      </c>
      <c r="K1638" s="102" t="n"/>
      <c r="L1638" s="102" t="n"/>
      <c r="M1638" s="85">
        <f>IF(OR(Y1638="估算法",Y1638="算法类",Y1638="无法识别"),"",IF(W1638="",IF(OR(J1638="EI",J1638="EO",J1638="EQ"),0,""),LEN(W1638)-LEN(SUBSTITUTE(W1638,"、",""))+1))</f>
        <v/>
      </c>
      <c r="N1638" s="85">
        <f>IF(OR(Y1638="估算法",Y1638="算法类",Y1638="无法识别"),"",IF(X1638="",IF(OR(J1638="ILF",J1638="EIF"),0,""),LEN(X1638)-LEN(SUBSTITUTE(X1638,"、",""))+1))</f>
        <v/>
      </c>
      <c r="O1638" s="85">
        <f>IF(OR(Y1638="估算法",Y1638="算法类",Y1638="无法识别"),"",IF(Y1638="",IF(OR(J1638="ILF",J1638="EIF",J1638="EI",J1638="EO",J1638="EQ"),0,""),LEN(Y1638)-LEN(SUBSTITUTE(SUBSTITUTE(SUBSTITUTE(SUBSTITUTE(SUBSTITUTE(Y1638,"|}","--"),"{|","--"),CHAR(10),""),"、",""),"|",""))+IF(AND(OR(J1638="EI",J1638="EO",J1638="EQ"),$AE$1="NESMA"),2,1)))</f>
        <v/>
      </c>
      <c r="P1638" s="86">
        <f>IF(J1638="EI",IF(OR(Y1638="估算法",Y1638="算法类"),"中",IF(Y1638="无法识别","低",IF(M1638&lt;2,IF(O1638&lt;16,"低","中"),IF(M1638&lt;3,IF(O1638&lt;5,"低",IF(O1638&lt;16,"中","高")),IF(O1638&lt;5,"中","高"))))),IF(OR(J1638="EO",J1638="EQ"),IF(OR(Y1638="估算法",Y1638="算法类"),"中",IF(Y1638="无法识别","低",IF(M1638&lt;2,IF(O1638&lt;20,"低","中"),IF(M1638&lt;4,IF(O1638&lt;6,"低",IF(O1638&lt;20,"中","高")),IF(O1638&lt;6,"中","高"))))),IF(OR(J1638="ILF",J1638="EIF"),IF(OR(Y1638="估算法",Y1638="算法类",Y1638="无法识别"),"低",IF(N1638&lt;2,IF(O1638&lt;51,"低","中"),IF(N1638&lt;6,IF(O1638&lt;20,"低",IF(O1638&lt;51,"中","高")),IF(O1638&lt;20,"中","高")))),"不计算")))</f>
        <v/>
      </c>
      <c r="Q1638" s="172">
        <f>IFERROR(IF(J1638="EI",IF(P1638="低",3,IF(P1638="中",4,6)),IF(J1638="EO",IF(P1638="低",4,IF(P1638="中",5,7)),IF(J1638="EQ",IF(P1638="低",3,IF(P1638="中",4,6)),IF(J1638="ILF",IF(P1638="低",7,IF(P1638="中",10,15)),IF(J1638="EIF",IF(P1638="低",5,IF(P1638="中",7,10)),"不计算")))))*R1638,"不计算")</f>
        <v/>
      </c>
      <c r="R1638" s="172" t="n">
        <v>1</v>
      </c>
      <c r="S1638" s="173">
        <f>调整因子!$F$13</f>
        <v/>
      </c>
      <c r="T1638" s="92" t="n">
        <v>1</v>
      </c>
      <c r="U1638" s="174">
        <f>IFERROR(Q1638*S1638,0)</f>
        <v/>
      </c>
      <c r="V1638" s="178">
        <f>U1638*T1638</f>
        <v/>
      </c>
      <c r="W1638" s="103" t="inlineStr">
        <is>
          <t>漏洞查询接口配置表、处置单关联表</t>
        </is>
      </c>
      <c r="X1638" s="103" t="inlineStr"/>
      <c r="Y1638" s="97" t="inlineStr">
        <is>
          <t>漏洞查询接口配置表{漏洞ID、漏洞名称、漏洞等级、漏洞类型、CVE编号、发现时间、修复状态|漏洞ID、漏洞名称、漏洞等级}
处置单关联表{ID、名称、类型、状态、创建时间、更新时间|ID、名称、类型}</t>
        </is>
      </c>
      <c r="Z1638" s="90" t="n"/>
      <c r="AA1638" s="90" t="n"/>
    </row>
    <row r="1639" s="112">
      <c r="A1639" s="72">
        <f>ROW()-1</f>
        <v/>
      </c>
      <c r="B1639" s="175" t="n"/>
      <c r="C1639" s="124" t="n">
        <v>2026</v>
      </c>
      <c r="E1639" s="103" t="n"/>
      <c r="F1639" s="175" t="n"/>
      <c r="G1639" s="175" t="n"/>
      <c r="H1639" s="175" t="n"/>
      <c r="I1639" s="103" t="inlineStr">
        <is>
          <t>停用提醒通知</t>
        </is>
      </c>
      <c r="J1639" s="93" t="n"/>
      <c r="K1639" s="102" t="n"/>
      <c r="L1639" s="102" t="inlineStr">
        <is>
          <t>和上行合并，启停为相同功能</t>
        </is>
      </c>
      <c r="M1639" s="85">
        <f>IF(OR(Y1639="估算法",Y1639="算法类",Y1639="无法识别"),"",IF(W1639="",IF(OR(J1639="EI",J1639="EO",J1639="EQ"),0,""),LEN(W1639)-LEN(SUBSTITUTE(W1639,"、",""))+1))</f>
        <v/>
      </c>
      <c r="N1639" s="85">
        <f>IF(OR(Y1639="估算法",Y1639="算法类",Y1639="无法识别"),"",IF(X1639="",IF(OR(J1639="ILF",J1639="EIF"),0,""),LEN(X1639)-LEN(SUBSTITUTE(X1639,"、",""))+1))</f>
        <v/>
      </c>
      <c r="O1639" s="85">
        <f>IF(OR(Y1639="估算法",Y1639="算法类",Y1639="无法识别"),"",IF(Y1639="",IF(OR(J1639="ILF",J1639="EIF",J1639="EI",J1639="EO",J1639="EQ"),0,""),LEN(Y1639)-LEN(SUBSTITUTE(SUBSTITUTE(SUBSTITUTE(SUBSTITUTE(SUBSTITUTE(Y1639,"|}","--"),"{|","--"),CHAR(10),""),"、",""),"|",""))+IF(AND(OR(J1639="EI",J1639="EO",J1639="EQ"),$AE$1="NESMA"),2,1)))</f>
        <v/>
      </c>
      <c r="P1639" s="86">
        <f>IF(J1639="EI",IF(OR(Y1639="估算法",Y1639="算法类"),"中",IF(Y1639="无法识别","低",IF(M1639&lt;2,IF(O1639&lt;16,"低","中"),IF(M1639&lt;3,IF(O1639&lt;5,"低",IF(O1639&lt;16,"中","高")),IF(O1639&lt;5,"中","高"))))),IF(OR(J1639="EO",J1639="EQ"),IF(OR(Y1639="估算法",Y1639="算法类"),"中",IF(Y1639="无法识别","低",IF(M1639&lt;2,IF(O1639&lt;20,"低","中"),IF(M1639&lt;4,IF(O1639&lt;6,"低",IF(O1639&lt;20,"中","高")),IF(O1639&lt;6,"中","高"))))),IF(OR(J1639="ILF",J1639="EIF"),IF(OR(Y1639="估算法",Y1639="算法类",Y1639="无法识别"),"低",IF(N1639&lt;2,IF(O1639&lt;51,"低","中"),IF(N1639&lt;6,IF(O1639&lt;20,"低",IF(O1639&lt;51,"中","高")),IF(O1639&lt;20,"中","高")))),"不计算")))</f>
        <v/>
      </c>
      <c r="Q1639" s="172">
        <f>IFERROR(IF(J1639="EI",IF(P1639="低",3,IF(P1639="中",4,6)),IF(J1639="EO",IF(P1639="低",4,IF(P1639="中",5,7)),IF(J1639="EQ",IF(P1639="低",3,IF(P1639="中",4,6)),IF(J1639="ILF",IF(P1639="低",7,IF(P1639="中",10,15)),IF(J1639="EIF",IF(P1639="低",5,IF(P1639="中",7,10)),"不计算")))))*R1639,"不计算")</f>
        <v/>
      </c>
      <c r="R1639" s="172" t="n">
        <v>1</v>
      </c>
      <c r="S1639" s="173">
        <f>调整因子!$F$13</f>
        <v/>
      </c>
      <c r="T1639" s="93" t="n">
        <v>1</v>
      </c>
      <c r="U1639" s="174">
        <f>IFERROR(Q1639*S1639,0)</f>
        <v/>
      </c>
      <c r="V1639" s="178">
        <f>U1639*T1639</f>
        <v/>
      </c>
      <c r="W1639" s="103" t="inlineStr">
        <is>
          <t>任务优先级配置表</t>
        </is>
      </c>
      <c r="X1639" s="103" t="inlineStr"/>
      <c r="Y1639" s="97" t="inlineStr">
        <is>
          <t>任务优先级配置表{任务ID、任务名称、任务类型、任务状态、创建时间、执行时间|任务ID、任务名称、任务类型}</t>
        </is>
      </c>
      <c r="Z1639" s="90" t="n"/>
      <c r="AA1639" s="90" t="n"/>
    </row>
    <row r="1640" s="112">
      <c r="A1640" s="72">
        <f>ROW()-1</f>
        <v/>
      </c>
      <c r="B1640" s="175" t="n"/>
      <c r="C1640" s="124" t="n">
        <v>2026</v>
      </c>
      <c r="E1640" s="103" t="n"/>
      <c r="F1640" s="175" t="n"/>
      <c r="G1640" s="175" t="n"/>
      <c r="H1640" s="175" t="n"/>
      <c r="I1640" s="103" t="inlineStr">
        <is>
          <t>推送提醒通知</t>
        </is>
      </c>
      <c r="J1640" s="93" t="inlineStr">
        <is>
          <t>EO</t>
        </is>
      </c>
      <c r="K1640" s="102" t="n"/>
      <c r="L1640" s="102" t="n"/>
      <c r="M1640" s="85">
        <f>IF(OR(Y1640="估算法",Y1640="算法类",Y1640="无法识别"),"",IF(W1640="",IF(OR(J1640="EI",J1640="EO",J1640="EQ"),0,""),LEN(W1640)-LEN(SUBSTITUTE(W1640,"、",""))+1))</f>
        <v/>
      </c>
      <c r="N1640" s="85">
        <f>IF(OR(Y1640="估算法",Y1640="算法类",Y1640="无法识别"),"",IF(X1640="",IF(OR(J1640="ILF",J1640="EIF"),0,""),LEN(X1640)-LEN(SUBSTITUTE(X1640,"、",""))+1))</f>
        <v/>
      </c>
      <c r="O1640" s="85">
        <f>IF(OR(Y1640="估算法",Y1640="算法类",Y1640="无法识别"),"",IF(Y1640="",IF(OR(J1640="ILF",J1640="EIF",J1640="EI",J1640="EO",J1640="EQ"),0,""),LEN(Y1640)-LEN(SUBSTITUTE(SUBSTITUTE(SUBSTITUTE(SUBSTITUTE(SUBSTITUTE(Y1640,"|}","--"),"{|","--"),CHAR(10),""),"、",""),"|",""))+IF(AND(OR(J1640="EI",J1640="EO",J1640="EQ"),$AE$1="NESMA"),2,1)))</f>
        <v/>
      </c>
      <c r="P1640" s="86">
        <f>IF(J1640="EI",IF(OR(Y1640="估算法",Y1640="算法类"),"中",IF(Y1640="无法识别","低",IF(M1640&lt;2,IF(O1640&lt;16,"低","中"),IF(M1640&lt;3,IF(O1640&lt;5,"低",IF(O1640&lt;16,"中","高")),IF(O1640&lt;5,"中","高"))))),IF(OR(J1640="EO",J1640="EQ"),IF(OR(Y1640="估算法",Y1640="算法类"),"中",IF(Y1640="无法识别","低",IF(M1640&lt;2,IF(O1640&lt;20,"低","中"),IF(M1640&lt;4,IF(O1640&lt;6,"低",IF(O1640&lt;20,"中","高")),IF(O1640&lt;6,"中","高"))))),IF(OR(J1640="ILF",J1640="EIF"),IF(OR(Y1640="估算法",Y1640="算法类",Y1640="无法识别"),"低",IF(N1640&lt;2,IF(O1640&lt;51,"低","中"),IF(N1640&lt;6,IF(O1640&lt;20,"低",IF(O1640&lt;51,"中","高")),IF(O1640&lt;20,"中","高")))),"不计算")))</f>
        <v/>
      </c>
      <c r="Q1640" s="172">
        <f>IFERROR(IF(J1640="EI",IF(P1640="低",3,IF(P1640="中",4,6)),IF(J1640="EO",IF(P1640="低",4,IF(P1640="中",5,7)),IF(J1640="EQ",IF(P1640="低",3,IF(P1640="中",4,6)),IF(J1640="ILF",IF(P1640="低",7,IF(P1640="中",10,15)),IF(J1640="EIF",IF(P1640="低",5,IF(P1640="中",7,10)),"不计算")))))*R1640,"不计算")</f>
        <v/>
      </c>
      <c r="R1640" s="172" t="n">
        <v>1</v>
      </c>
      <c r="S1640" s="173">
        <f>调整因子!$F$13</f>
        <v/>
      </c>
      <c r="T1640" s="92" t="n">
        <v>1</v>
      </c>
      <c r="U1640" s="174">
        <f>IFERROR(Q1640*S1640,0)</f>
        <v/>
      </c>
      <c r="V1640" s="178">
        <f>U1640*T1640</f>
        <v/>
      </c>
      <c r="W1640" s="103" t="inlineStr">
        <is>
          <t>接口参数表、漏洞处置单表</t>
        </is>
      </c>
      <c r="X1640" s="103" t="inlineStr"/>
      <c r="Y1640" s="97" t="inlineStr">
        <is>
          <t>接口参数表{接口ID、接口名称|接口ID、接口名称、接口类型、接口地址、调用时间}
漏洞处置单表{漏洞ID、漏洞名称|漏洞ID、漏洞名称、漏洞等级、漏洞类型、CVE编号、发现时间、修复状态}</t>
        </is>
      </c>
      <c r="Z1640" s="90" t="n"/>
      <c r="AA1640" s="90" t="n"/>
    </row>
    <row r="1641" s="112">
      <c r="A1641" s="72">
        <f>ROW()-1</f>
        <v/>
      </c>
      <c r="B1641" s="175" t="n"/>
      <c r="C1641" s="124" t="n">
        <v>2026</v>
      </c>
      <c r="E1641" s="103" t="n"/>
      <c r="F1641" s="175" t="n"/>
      <c r="G1641" s="175" t="n"/>
      <c r="H1641" s="175" t="n"/>
      <c r="I1641" s="103" t="inlineStr">
        <is>
          <t>导出提醒记录</t>
        </is>
      </c>
      <c r="J1641" s="93" t="inlineStr">
        <is>
          <t>EO</t>
        </is>
      </c>
      <c r="K1641" s="102" t="n"/>
      <c r="L1641" s="102" t="n"/>
      <c r="M1641" s="85">
        <f>IF(OR(Y1641="估算法",Y1641="算法类",Y1641="无法识别"),"",IF(W1641="",IF(OR(J1641="EI",J1641="EO",J1641="EQ"),0,""),LEN(W1641)-LEN(SUBSTITUTE(W1641,"、",""))+1))</f>
        <v/>
      </c>
      <c r="N1641" s="85">
        <f>IF(OR(Y1641="估算法",Y1641="算法类",Y1641="无法识别"),"",IF(X1641="",IF(OR(J1641="ILF",J1641="EIF"),0,""),LEN(X1641)-LEN(SUBSTITUTE(X1641,"、",""))+1))</f>
        <v/>
      </c>
      <c r="O1641" s="85">
        <f>IF(OR(Y1641="估算法",Y1641="算法类",Y1641="无法识别"),"",IF(Y1641="",IF(OR(J1641="ILF",J1641="EIF",J1641="EI",J1641="EO",J1641="EQ"),0,""),LEN(Y1641)-LEN(SUBSTITUTE(SUBSTITUTE(SUBSTITUTE(SUBSTITUTE(SUBSTITUTE(Y1641,"|}","--"),"{|","--"),CHAR(10),""),"、",""),"|",""))+IF(AND(OR(J1641="EI",J1641="EO",J1641="EQ"),$AE$1="NESMA"),2,1)))</f>
        <v/>
      </c>
      <c r="P1641" s="86">
        <f>IF(J1641="EI",IF(OR(Y1641="估算法",Y1641="算法类"),"中",IF(Y1641="无法识别","低",IF(M1641&lt;2,IF(O1641&lt;16,"低","中"),IF(M1641&lt;3,IF(O1641&lt;5,"低",IF(O1641&lt;16,"中","高")),IF(O1641&lt;5,"中","高"))))),IF(OR(J1641="EO",J1641="EQ"),IF(OR(Y1641="估算法",Y1641="算法类"),"中",IF(Y1641="无法识别","低",IF(M1641&lt;2,IF(O1641&lt;20,"低","中"),IF(M1641&lt;4,IF(O1641&lt;6,"低",IF(O1641&lt;20,"中","高")),IF(O1641&lt;6,"中","高"))))),IF(OR(J1641="ILF",J1641="EIF"),IF(OR(Y1641="估算法",Y1641="算法类",Y1641="无法识别"),"低",IF(N1641&lt;2,IF(O1641&lt;51,"低","中"),IF(N1641&lt;6,IF(O1641&lt;20,"低",IF(O1641&lt;51,"中","高")),IF(O1641&lt;20,"中","高")))),"不计算")))</f>
        <v/>
      </c>
      <c r="Q1641" s="172">
        <f>IFERROR(IF(J1641="EI",IF(P1641="低",3,IF(P1641="中",4,6)),IF(J1641="EO",IF(P1641="低",4,IF(P1641="中",5,7)),IF(J1641="EQ",IF(P1641="低",3,IF(P1641="中",4,6)),IF(J1641="ILF",IF(P1641="低",7,IF(P1641="中",10,15)),IF(J1641="EIF",IF(P1641="低",5,IF(P1641="中",7,10)),"不计算")))))*R1641,"不计算")</f>
        <v/>
      </c>
      <c r="R1641" s="172" t="n">
        <v>1</v>
      </c>
      <c r="S1641" s="173">
        <f>调整因子!$F$13</f>
        <v/>
      </c>
      <c r="T1641" s="92" t="n">
        <v>1</v>
      </c>
      <c r="U1641" s="174">
        <f>IFERROR(Q1641*S1641,0)</f>
        <v/>
      </c>
      <c r="V1641" s="178">
        <f>U1641*T1641</f>
        <v/>
      </c>
      <c r="W1641" s="103" t="inlineStr">
        <is>
          <t>标签定义表、数据清洗任务表</t>
        </is>
      </c>
      <c r="X1641" s="103" t="inlineStr"/>
      <c r="Y1641" s="97" t="inlineStr">
        <is>
          <t>标签定义表{ID、名称|ID、名称、类型、状态、创建时间、更新时间}
数据清洗任务表{任务ID、任务名称|任务ID、任务名称、任务类型、任务状态、创建时间、执行时间}</t>
        </is>
      </c>
      <c r="Z1641" s="90" t="n"/>
      <c r="AA1641" s="90" t="n"/>
    </row>
    <row r="1642" s="112">
      <c r="A1642" s="72">
        <f>ROW()-1</f>
        <v/>
      </c>
      <c r="B1642" s="175" t="n"/>
      <c r="C1642" s="124" t="n">
        <v>2026</v>
      </c>
      <c r="E1642" s="103" t="n"/>
      <c r="F1642" s="176" t="n"/>
      <c r="G1642" s="176" t="n"/>
      <c r="H1642" s="176" t="n"/>
      <c r="I1642" s="103" t="inlineStr">
        <is>
          <t>查询提醒记录</t>
        </is>
      </c>
      <c r="J1642" s="93" t="inlineStr">
        <is>
          <t>EQ</t>
        </is>
      </c>
      <c r="K1642" s="102" t="n"/>
      <c r="L1642" s="102" t="n"/>
      <c r="M1642" s="85">
        <f>IF(OR(Y1642="估算法",Y1642="算法类",Y1642="无法识别"),"",IF(W1642="",IF(OR(J1642="EI",J1642="EO",J1642="EQ"),0,""),LEN(W1642)-LEN(SUBSTITUTE(W1642,"、",""))+1))</f>
        <v/>
      </c>
      <c r="N1642" s="85">
        <f>IF(OR(Y1642="估算法",Y1642="算法类",Y1642="无法识别"),"",IF(X1642="",IF(OR(J1642="ILF",J1642="EIF"),0,""),LEN(X1642)-LEN(SUBSTITUTE(X1642,"、",""))+1))</f>
        <v/>
      </c>
      <c r="O1642" s="85">
        <f>IF(OR(Y1642="估算法",Y1642="算法类",Y1642="无法识别"),"",IF(Y1642="",IF(OR(J1642="ILF",J1642="EIF",J1642="EI",J1642="EO",J1642="EQ"),0,""),LEN(Y1642)-LEN(SUBSTITUTE(SUBSTITUTE(SUBSTITUTE(SUBSTITUTE(SUBSTITUTE(Y1642,"|}","--"),"{|","--"),CHAR(10),""),"、",""),"|",""))+IF(AND(OR(J1642="EI",J1642="EO",J1642="EQ"),$AE$1="NESMA"),2,1)))</f>
        <v/>
      </c>
      <c r="P1642" s="86">
        <f>IF(J1642="EI",IF(OR(Y1642="估算法",Y1642="算法类"),"中",IF(Y1642="无法识别","低",IF(M1642&lt;2,IF(O1642&lt;16,"低","中"),IF(M1642&lt;3,IF(O1642&lt;5,"低",IF(O1642&lt;16,"中","高")),IF(O1642&lt;5,"中","高"))))),IF(OR(J1642="EO",J1642="EQ"),IF(OR(Y1642="估算法",Y1642="算法类"),"中",IF(Y1642="无法识别","低",IF(M1642&lt;2,IF(O1642&lt;20,"低","中"),IF(M1642&lt;4,IF(O1642&lt;6,"低",IF(O1642&lt;20,"中","高")),IF(O1642&lt;6,"中","高"))))),IF(OR(J1642="ILF",J1642="EIF"),IF(OR(Y1642="估算法",Y1642="算法类",Y1642="无法识别"),"低",IF(N1642&lt;2,IF(O1642&lt;51,"低","中"),IF(N1642&lt;6,IF(O1642&lt;20,"低",IF(O1642&lt;51,"中","高")),IF(O1642&lt;20,"中","高")))),"不计算")))</f>
        <v/>
      </c>
      <c r="Q1642" s="172">
        <f>IFERROR(IF(J1642="EI",IF(P1642="低",3,IF(P1642="中",4,6)),IF(J1642="EO",IF(P1642="低",4,IF(P1642="中",5,7)),IF(J1642="EQ",IF(P1642="低",3,IF(P1642="中",4,6)),IF(J1642="ILF",IF(P1642="低",7,IF(P1642="中",10,15)),IF(J1642="EIF",IF(P1642="低",5,IF(P1642="中",7,10)),"不计算")))))*R1642,"不计算")</f>
        <v/>
      </c>
      <c r="R1642" s="172" t="n">
        <v>1</v>
      </c>
      <c r="S1642" s="173">
        <f>调整因子!$F$13</f>
        <v/>
      </c>
      <c r="T1642" s="93" t="n">
        <v>1</v>
      </c>
      <c r="U1642" s="174">
        <f>IFERROR(Q1642*S1642,0)</f>
        <v/>
      </c>
      <c r="V1642" s="178">
        <f>U1642*T1642</f>
        <v/>
      </c>
      <c r="W1642" s="103" t="inlineStr">
        <is>
          <t>模板参数配置表</t>
        </is>
      </c>
      <c r="X1642" s="103" t="inlineStr"/>
      <c r="Y1642" s="97" t="inlineStr">
        <is>
          <t>模板参数配置表{配置ID、配置名称|配置ID、配置名称、配置类型、配置值、创建时间}</t>
        </is>
      </c>
      <c r="Z1642" s="90" t="n"/>
      <c r="AA1642" s="90" t="n"/>
    </row>
    <row r="1643" s="112">
      <c r="A1643" s="72">
        <f>ROW()-1</f>
        <v/>
      </c>
      <c r="B1643" s="175" t="n"/>
      <c r="C1643" s="124" t="n">
        <v>2026</v>
      </c>
      <c r="E1643" s="103" t="n"/>
      <c r="F1643" s="97" t="inlineStr">
        <is>
          <t>数据安全及数据库国产化</t>
        </is>
      </c>
      <c r="G1643" s="97" t="inlineStr">
        <is>
          <t>敏感信息页面脱敏</t>
        </is>
      </c>
      <c r="H1643" s="97" t="inlineStr">
        <is>
          <t>脱敏规则配置管理</t>
        </is>
      </c>
      <c r="I1643" s="103" t="inlineStr">
        <is>
          <t>脱敏规则表</t>
        </is>
      </c>
      <c r="J1643" s="93" t="inlineStr">
        <is>
          <t>ILF</t>
        </is>
      </c>
      <c r="K1643" s="102" t="n"/>
      <c r="L1643" s="102" t="n"/>
      <c r="M1643" s="85">
        <f>IF(OR(Y1643="估算法",Y1643="算法类",Y1643="无法识别"),"",IF(W1643="",IF(OR(J1643="EI",J1643="EO",J1643="EQ"),0,""),LEN(W1643)-LEN(SUBSTITUTE(W1643,"、",""))+1))</f>
        <v/>
      </c>
      <c r="N1643" s="85">
        <f>IF(OR(Y1643="估算法",Y1643="算法类",Y1643="无法识别"),"",IF(X1643="",IF(OR(J1643="ILF",J1643="EIF"),0,""),LEN(X1643)-LEN(SUBSTITUTE(X1643,"、",""))+1))</f>
        <v/>
      </c>
      <c r="O1643" s="85">
        <f>IF(OR(Y1643="估算法",Y1643="算法类",Y1643="无法识别"),"",IF(Y1643="",IF(OR(J1643="ILF",J1643="EIF",J1643="EI",J1643="EO",J1643="EQ"),0,""),LEN(Y1643)-LEN(SUBSTITUTE(SUBSTITUTE(SUBSTITUTE(SUBSTITUTE(SUBSTITUTE(Y1643,"|}","--"),"{|","--"),CHAR(10),""),"、",""),"|",""))+IF(AND(OR(J1643="EI",J1643="EO",J1643="EQ"),$AE$1="NESMA"),2,1)))</f>
        <v/>
      </c>
      <c r="P1643" s="86">
        <f>IF(J1643="EI",IF(OR(Y1643="估算法",Y1643="算法类"),"中",IF(Y1643="无法识别","低",IF(M1643&lt;2,IF(O1643&lt;16,"低","中"),IF(M1643&lt;3,IF(O1643&lt;5,"低",IF(O1643&lt;16,"中","高")),IF(O1643&lt;5,"中","高"))))),IF(OR(J1643="EO",J1643="EQ"),IF(OR(Y1643="估算法",Y1643="算法类"),"中",IF(Y1643="无法识别","低",IF(M1643&lt;2,IF(O1643&lt;20,"低","中"),IF(M1643&lt;4,IF(O1643&lt;6,"低",IF(O1643&lt;20,"中","高")),IF(O1643&lt;6,"中","高"))))),IF(OR(J1643="ILF",J1643="EIF"),IF(OR(Y1643="估算法",Y1643="算法类",Y1643="无法识别"),"低",IF(N1643&lt;2,IF(O1643&lt;51,"低","中"),IF(N1643&lt;6,IF(O1643&lt;20,"低",IF(O1643&lt;51,"中","高")),IF(O1643&lt;20,"中","高")))),"不计算")))</f>
        <v/>
      </c>
      <c r="Q1643" s="172">
        <f>IFERROR(IF(J1643="EI",IF(P1643="低",3,IF(P1643="中",4,6)),IF(J1643="EO",IF(P1643="低",4,IF(P1643="中",5,7)),IF(J1643="EQ",IF(P1643="低",3,IF(P1643="中",4,6)),IF(J1643="ILF",IF(P1643="低",7,IF(P1643="中",10,15)),IF(J1643="EIF",IF(P1643="低",5,IF(P1643="中",7,10)),"不计算")))))*R1643,"不计算")</f>
        <v/>
      </c>
      <c r="R1643" s="172" t="n">
        <v>1</v>
      </c>
      <c r="S1643" s="173">
        <f>调整因子!$F$13</f>
        <v/>
      </c>
      <c r="T1643" s="93" t="n">
        <v>1</v>
      </c>
      <c r="U1643" s="174">
        <f>IFERROR(Q1643*S1643,0)</f>
        <v/>
      </c>
      <c r="V1643" s="178">
        <f>U1643*T1643</f>
        <v/>
      </c>
      <c r="W1643" s="103" t="inlineStr"/>
      <c r="X1643" s="103" t="inlineStr">
        <is>
          <t>数据记录</t>
        </is>
      </c>
      <c r="Y1643" s="97" t="inlineStr">
        <is>
          <t>脱敏规则表{规则ID、规则名称、规则类型|规则ID、规则名称、规则类型、规则条件、创建时间}</t>
        </is>
      </c>
      <c r="Z1643" s="90">
        <f>IF(COUNTIFS(W:W,"*"&amp;I1643&amp;"*")&gt;0,"存在","不存在")</f>
        <v/>
      </c>
      <c r="AA1643" s="90">
        <f>IF(COUNTIFS(AB:AB,"*"&amp;I1643&amp;"*")&gt;0,"存在","不存在")</f>
        <v/>
      </c>
    </row>
    <row r="1644" s="112">
      <c r="A1644" s="72">
        <f>ROW()-1</f>
        <v/>
      </c>
      <c r="B1644" s="175" t="n"/>
      <c r="C1644" s="124" t="n">
        <v>2026</v>
      </c>
      <c r="E1644" s="103" t="n"/>
      <c r="F1644" s="175" t="n"/>
      <c r="G1644" s="175" t="n"/>
      <c r="H1644" s="175" t="n"/>
      <c r="I1644" s="103" t="inlineStr">
        <is>
          <t>编辑脱敏规则</t>
        </is>
      </c>
      <c r="J1644" s="93" t="inlineStr">
        <is>
          <t>EI</t>
        </is>
      </c>
      <c r="K1644" s="102" t="n"/>
      <c r="L1644" s="102" t="n"/>
      <c r="M1644" s="85">
        <f>IF(OR(Y1644="估算法",Y1644="算法类",Y1644="无法识别"),"",IF(W1644="",IF(OR(J1644="EI",J1644="EO",J1644="EQ"),0,""),LEN(W1644)-LEN(SUBSTITUTE(W1644,"、",""))+1))</f>
        <v/>
      </c>
      <c r="N1644" s="85">
        <f>IF(OR(Y1644="估算法",Y1644="算法类",Y1644="无法识别"),"",IF(X1644="",IF(OR(J1644="ILF",J1644="EIF"),0,""),LEN(X1644)-LEN(SUBSTITUTE(X1644,"、",""))+1))</f>
        <v/>
      </c>
      <c r="O1644" s="85">
        <f>IF(OR(Y1644="估算法",Y1644="算法类",Y1644="无法识别"),"",IF(Y1644="",IF(OR(J1644="ILF",J1644="EIF",J1644="EI",J1644="EO",J1644="EQ"),0,""),LEN(Y1644)-LEN(SUBSTITUTE(SUBSTITUTE(SUBSTITUTE(SUBSTITUTE(SUBSTITUTE(Y1644,"|}","--"),"{|","--"),CHAR(10),""),"、",""),"|",""))+IF(AND(OR(J1644="EI",J1644="EO",J1644="EQ"),$AE$1="NESMA"),2,1)))</f>
        <v/>
      </c>
      <c r="P1644" s="86">
        <f>IF(J1644="EI",IF(OR(Y1644="估算法",Y1644="算法类"),"中",IF(Y1644="无法识别","低",IF(M1644&lt;2,IF(O1644&lt;16,"低","中"),IF(M1644&lt;3,IF(O1644&lt;5,"低",IF(O1644&lt;16,"中","高")),IF(O1644&lt;5,"中","高"))))),IF(OR(J1644="EO",J1644="EQ"),IF(OR(Y1644="估算法",Y1644="算法类"),"中",IF(Y1644="无法识别","低",IF(M1644&lt;2,IF(O1644&lt;20,"低","中"),IF(M1644&lt;4,IF(O1644&lt;6,"低",IF(O1644&lt;20,"中","高")),IF(O1644&lt;6,"中","高"))))),IF(OR(J1644="ILF",J1644="EIF"),IF(OR(Y1644="估算法",Y1644="算法类",Y1644="无法识别"),"低",IF(N1644&lt;2,IF(O1644&lt;51,"低","中"),IF(N1644&lt;6,IF(O1644&lt;20,"低",IF(O1644&lt;51,"中","高")),IF(O1644&lt;20,"中","高")))),"不计算")))</f>
        <v/>
      </c>
      <c r="Q1644" s="172">
        <f>IFERROR(IF(J1644="EI",IF(P1644="低",3,IF(P1644="中",4,6)),IF(J1644="EO",IF(P1644="低",4,IF(P1644="中",5,7)),IF(J1644="EQ",IF(P1644="低",3,IF(P1644="中",4,6)),IF(J1644="ILF",IF(P1644="低",7,IF(P1644="中",10,15)),IF(J1644="EIF",IF(P1644="低",5,IF(P1644="中",7,10)),"不计算")))))*R1644,"不计算")</f>
        <v/>
      </c>
      <c r="R1644" s="172" t="n">
        <v>1</v>
      </c>
      <c r="S1644" s="173">
        <f>调整因子!$F$13</f>
        <v/>
      </c>
      <c r="T1644" s="92" t="n">
        <v>1</v>
      </c>
      <c r="U1644" s="174">
        <f>IFERROR(Q1644*S1644,0)</f>
        <v/>
      </c>
      <c r="V1644" s="178">
        <f>U1644*T1644</f>
        <v/>
      </c>
      <c r="W1644" s="103" t="inlineStr">
        <is>
          <t>推送规则表</t>
        </is>
      </c>
      <c r="X1644" s="103" t="inlineStr"/>
      <c r="Y1644" s="97" t="inlineStr">
        <is>
          <t>推送规则表{规则ID、规则名称、规则类型、规则条件、创建时间|规则ID、规则名称、规则类型}</t>
        </is>
      </c>
      <c r="Z1644" s="90" t="n"/>
      <c r="AA1644" s="90" t="n"/>
    </row>
    <row r="1645" s="112">
      <c r="A1645" s="72">
        <f>ROW()-1</f>
        <v/>
      </c>
      <c r="B1645" s="175" t="n"/>
      <c r="C1645" s="124" t="n">
        <v>2026</v>
      </c>
      <c r="E1645" s="103" t="n"/>
      <c r="F1645" s="175" t="n"/>
      <c r="G1645" s="175" t="n"/>
      <c r="H1645" s="175" t="n"/>
      <c r="I1645" s="103" t="inlineStr">
        <is>
          <t>删除脱敏规则</t>
        </is>
      </c>
      <c r="J1645" s="93" t="inlineStr">
        <is>
          <t>EI</t>
        </is>
      </c>
      <c r="K1645" s="102" t="n"/>
      <c r="L1645" s="102" t="n"/>
      <c r="M1645" s="85">
        <f>IF(OR(Y1645="估算法",Y1645="算法类",Y1645="无法识别"),"",IF(W1645="",IF(OR(J1645="EI",J1645="EO",J1645="EQ"),0,""),LEN(W1645)-LEN(SUBSTITUTE(W1645,"、",""))+1))</f>
        <v/>
      </c>
      <c r="N1645" s="85">
        <f>IF(OR(Y1645="估算法",Y1645="算法类",Y1645="无法识别"),"",IF(X1645="",IF(OR(J1645="ILF",J1645="EIF"),0,""),LEN(X1645)-LEN(SUBSTITUTE(X1645,"、",""))+1))</f>
        <v/>
      </c>
      <c r="O1645" s="85">
        <f>IF(OR(Y1645="估算法",Y1645="算法类",Y1645="无法识别"),"",IF(Y1645="",IF(OR(J1645="ILF",J1645="EIF",J1645="EI",J1645="EO",J1645="EQ"),0,""),LEN(Y1645)-LEN(SUBSTITUTE(SUBSTITUTE(SUBSTITUTE(SUBSTITUTE(SUBSTITUTE(Y1645,"|}","--"),"{|","--"),CHAR(10),""),"、",""),"|",""))+IF(AND(OR(J1645="EI",J1645="EO",J1645="EQ"),$AE$1="NESMA"),2,1)))</f>
        <v/>
      </c>
      <c r="P1645" s="86">
        <f>IF(J1645="EI",IF(OR(Y1645="估算法",Y1645="算法类"),"中",IF(Y1645="无法识别","低",IF(M1645&lt;2,IF(O1645&lt;16,"低","中"),IF(M1645&lt;3,IF(O1645&lt;5,"低",IF(O1645&lt;16,"中","高")),IF(O1645&lt;5,"中","高"))))),IF(OR(J1645="EO",J1645="EQ"),IF(OR(Y1645="估算法",Y1645="算法类"),"中",IF(Y1645="无法识别","低",IF(M1645&lt;2,IF(O1645&lt;20,"低","中"),IF(M1645&lt;4,IF(O1645&lt;6,"低",IF(O1645&lt;20,"中","高")),IF(O1645&lt;6,"中","高"))))),IF(OR(J1645="ILF",J1645="EIF"),IF(OR(Y1645="估算法",Y1645="算法类",Y1645="无法识别"),"低",IF(N1645&lt;2,IF(O1645&lt;51,"低","中"),IF(N1645&lt;6,IF(O1645&lt;20,"低",IF(O1645&lt;51,"中","高")),IF(O1645&lt;20,"中","高")))),"不计算")))</f>
        <v/>
      </c>
      <c r="Q1645" s="172">
        <f>IFERROR(IF(J1645="EI",IF(P1645="低",3,IF(P1645="中",4,6)),IF(J1645="EO",IF(P1645="低",4,IF(P1645="中",5,7)),IF(J1645="EQ",IF(P1645="低",3,IF(P1645="中",4,6)),IF(J1645="ILF",IF(P1645="低",7,IF(P1645="中",10,15)),IF(J1645="EIF",IF(P1645="低",5,IF(P1645="中",7,10)),"不计算")))))*R1645,"不计算")</f>
        <v/>
      </c>
      <c r="R1645" s="172" t="n">
        <v>0.333333333333333</v>
      </c>
      <c r="S1645" s="173">
        <f>调整因子!$F$13</f>
        <v/>
      </c>
      <c r="T1645" s="92" t="n">
        <v>1</v>
      </c>
      <c r="U1645" s="174">
        <f>IFERROR(Q1645*S1645,0)</f>
        <v/>
      </c>
      <c r="V1645" s="178">
        <f>U1645*T1645</f>
        <v/>
      </c>
      <c r="W1645" s="103" t="inlineStr">
        <is>
          <t>推送规则表</t>
        </is>
      </c>
      <c r="X1645" s="103" t="inlineStr"/>
      <c r="Y1645" s="97" t="inlineStr">
        <is>
          <t>推送规则表{规则ID、规则名称、规则类型、规则条件、创建时间|规则ID、规则名称、规则类型}</t>
        </is>
      </c>
      <c r="Z1645" s="90" t="n"/>
      <c r="AA1645" s="90" t="n"/>
    </row>
    <row r="1646" s="112">
      <c r="A1646" s="72">
        <f>ROW()-1</f>
        <v/>
      </c>
      <c r="B1646" s="175" t="n"/>
      <c r="C1646" s="124" t="n">
        <v>2026</v>
      </c>
      <c r="E1646" s="103" t="n"/>
      <c r="F1646" s="175" t="n"/>
      <c r="G1646" s="175" t="n"/>
      <c r="H1646" s="175" t="n"/>
      <c r="I1646" s="103" t="inlineStr">
        <is>
          <t>启用脱敏规则</t>
        </is>
      </c>
      <c r="J1646" s="93" t="inlineStr">
        <is>
          <t>EI</t>
        </is>
      </c>
      <c r="K1646" s="102" t="n"/>
      <c r="L1646" s="102" t="n"/>
      <c r="M1646" s="85">
        <f>IF(OR(Y1646="估算法",Y1646="算法类",Y1646="无法识别"),"",IF(W1646="",IF(OR(J1646="EI",J1646="EO",J1646="EQ"),0,""),LEN(W1646)-LEN(SUBSTITUTE(W1646,"、",""))+1))</f>
        <v/>
      </c>
      <c r="N1646" s="85">
        <f>IF(OR(Y1646="估算法",Y1646="算法类",Y1646="无法识别"),"",IF(X1646="",IF(OR(J1646="ILF",J1646="EIF"),0,""),LEN(X1646)-LEN(SUBSTITUTE(X1646,"、",""))+1))</f>
        <v/>
      </c>
      <c r="O1646" s="85">
        <f>IF(OR(Y1646="估算法",Y1646="算法类",Y1646="无法识别"),"",IF(Y1646="",IF(OR(J1646="ILF",J1646="EIF",J1646="EI",J1646="EO",J1646="EQ"),0,""),LEN(Y1646)-LEN(SUBSTITUTE(SUBSTITUTE(SUBSTITUTE(SUBSTITUTE(SUBSTITUTE(Y1646,"|}","--"),"{|","--"),CHAR(10),""),"、",""),"|",""))+IF(AND(OR(J1646="EI",J1646="EO",J1646="EQ"),$AE$1="NESMA"),2,1)))</f>
        <v/>
      </c>
      <c r="P1646" s="86">
        <f>IF(J1646="EI",IF(OR(Y1646="估算法",Y1646="算法类"),"中",IF(Y1646="无法识别","低",IF(M1646&lt;2,IF(O1646&lt;16,"低","中"),IF(M1646&lt;3,IF(O1646&lt;5,"低",IF(O1646&lt;16,"中","高")),IF(O1646&lt;5,"中","高"))))),IF(OR(J1646="EO",J1646="EQ"),IF(OR(Y1646="估算法",Y1646="算法类"),"中",IF(Y1646="无法识别","低",IF(M1646&lt;2,IF(O1646&lt;20,"低","中"),IF(M1646&lt;4,IF(O1646&lt;6,"低",IF(O1646&lt;20,"中","高")),IF(O1646&lt;6,"中","高"))))),IF(OR(J1646="ILF",J1646="EIF"),IF(OR(Y1646="估算法",Y1646="算法类",Y1646="无法识别"),"低",IF(N1646&lt;2,IF(O1646&lt;51,"低","中"),IF(N1646&lt;6,IF(O1646&lt;20,"低",IF(O1646&lt;51,"中","高")),IF(O1646&lt;20,"中","高")))),"不计算")))</f>
        <v/>
      </c>
      <c r="Q1646" s="172">
        <f>IFERROR(IF(J1646="EI",IF(P1646="低",3,IF(P1646="中",4,6)),IF(J1646="EO",IF(P1646="低",4,IF(P1646="中",5,7)),IF(J1646="EQ",IF(P1646="低",3,IF(P1646="中",4,6)),IF(J1646="ILF",IF(P1646="低",7,IF(P1646="中",10,15)),IF(J1646="EIF",IF(P1646="低",5,IF(P1646="中",7,10)),"不计算")))))*R1646,"不计算")</f>
        <v/>
      </c>
      <c r="R1646" s="172" t="n">
        <v>1</v>
      </c>
      <c r="S1646" s="173">
        <f>调整因子!$F$13</f>
        <v/>
      </c>
      <c r="T1646" s="93" t="n">
        <v>1</v>
      </c>
      <c r="U1646" s="174">
        <f>IFERROR(Q1646*S1646,0)</f>
        <v/>
      </c>
      <c r="V1646" s="178">
        <f>U1646*T1646</f>
        <v/>
      </c>
      <c r="W1646" s="103" t="inlineStr">
        <is>
          <t>推送规则表</t>
        </is>
      </c>
      <c r="X1646" s="103" t="inlineStr"/>
      <c r="Y1646" s="97" t="inlineStr">
        <is>
          <t>推送规则表{规则ID、规则名称、规则类型、规则条件、创建时间|规则ID、规则名称、规则类型}</t>
        </is>
      </c>
      <c r="Z1646" s="90" t="n"/>
      <c r="AA1646" s="90" t="n"/>
    </row>
    <row r="1647" s="112">
      <c r="A1647" s="72">
        <f>ROW()-1</f>
        <v/>
      </c>
      <c r="B1647" s="175" t="n"/>
      <c r="C1647" s="124" t="n">
        <v>2026</v>
      </c>
      <c r="E1647" s="103" t="n"/>
      <c r="F1647" s="175" t="n"/>
      <c r="G1647" s="175" t="n"/>
      <c r="H1647" s="175" t="n"/>
      <c r="I1647" s="103" t="inlineStr">
        <is>
          <t>停用脱敏规则</t>
        </is>
      </c>
      <c r="J1647" s="93" t="n"/>
      <c r="K1647" s="102" t="n"/>
      <c r="L1647" s="102" t="inlineStr">
        <is>
          <t>和上行合并，启停为相同功能</t>
        </is>
      </c>
      <c r="M1647" s="85">
        <f>IF(OR(Y1647="估算法",Y1647="算法类",Y1647="无法识别"),"",IF(W1647="",IF(OR(J1647="EI",J1647="EO",J1647="EQ"),0,""),LEN(W1647)-LEN(SUBSTITUTE(W1647,"、",""))+1))</f>
        <v/>
      </c>
      <c r="N1647" s="85">
        <f>IF(OR(Y1647="估算法",Y1647="算法类",Y1647="无法识别"),"",IF(X1647="",IF(OR(J1647="ILF",J1647="EIF"),0,""),LEN(X1647)-LEN(SUBSTITUTE(X1647,"、",""))+1))</f>
        <v/>
      </c>
      <c r="O1647" s="85">
        <f>IF(OR(Y1647="估算法",Y1647="算法类",Y1647="无法识别"),"",IF(Y1647="",IF(OR(J1647="ILF",J1647="EIF",J1647="EI",J1647="EO",J1647="EQ"),0,""),LEN(Y1647)-LEN(SUBSTITUTE(SUBSTITUTE(SUBSTITUTE(SUBSTITUTE(SUBSTITUTE(Y1647,"|}","--"),"{|","--"),CHAR(10),""),"、",""),"|",""))+IF(AND(OR(J1647="EI",J1647="EO",J1647="EQ"),$AE$1="NESMA"),2,1)))</f>
        <v/>
      </c>
      <c r="P1647" s="86">
        <f>IF(J1647="EI",IF(OR(Y1647="估算法",Y1647="算法类"),"中",IF(Y1647="无法识别","低",IF(M1647&lt;2,IF(O1647&lt;16,"低","中"),IF(M1647&lt;3,IF(O1647&lt;5,"低",IF(O1647&lt;16,"中","高")),IF(O1647&lt;5,"中","高"))))),IF(OR(J1647="EO",J1647="EQ"),IF(OR(Y1647="估算法",Y1647="算法类"),"中",IF(Y1647="无法识别","低",IF(M1647&lt;2,IF(O1647&lt;20,"低","中"),IF(M1647&lt;4,IF(O1647&lt;6,"低",IF(O1647&lt;20,"中","高")),IF(O1647&lt;6,"中","高"))))),IF(OR(J1647="ILF",J1647="EIF"),IF(OR(Y1647="估算法",Y1647="算法类",Y1647="无法识别"),"低",IF(N1647&lt;2,IF(O1647&lt;51,"低","中"),IF(N1647&lt;6,IF(O1647&lt;20,"低",IF(O1647&lt;51,"中","高")),IF(O1647&lt;20,"中","高")))),"不计算")))</f>
        <v/>
      </c>
      <c r="Q1647" s="172">
        <f>IFERROR(IF(J1647="EI",IF(P1647="低",3,IF(P1647="中",4,6)),IF(J1647="EO",IF(P1647="低",4,IF(P1647="中",5,7)),IF(J1647="EQ",IF(P1647="低",3,IF(P1647="中",4,6)),IF(J1647="ILF",IF(P1647="低",7,IF(P1647="中",10,15)),IF(J1647="EIF",IF(P1647="低",5,IF(P1647="中",7,10)),"不计算")))))*R1647,"不计算")</f>
        <v/>
      </c>
      <c r="R1647" s="172" t="n">
        <v>1</v>
      </c>
      <c r="S1647" s="173">
        <f>调整因子!$F$13</f>
        <v/>
      </c>
      <c r="T1647" s="92" t="n">
        <v>1</v>
      </c>
      <c r="U1647" s="174">
        <f>IFERROR(Q1647*S1647,0)</f>
        <v/>
      </c>
      <c r="V1647" s="178">
        <f>U1647*T1647</f>
        <v/>
      </c>
      <c r="W1647" s="103" t="inlineStr">
        <is>
          <t>推送规则表</t>
        </is>
      </c>
      <c r="X1647" s="103" t="inlineStr"/>
      <c r="Y1647" s="97" t="inlineStr">
        <is>
          <t>推送规则表{规则ID、规则名称、规则类型、规则条件、创建时间|规则ID、规则名称、规则类型}</t>
        </is>
      </c>
      <c r="Z1647" s="90" t="n"/>
      <c r="AA1647" s="90" t="n"/>
    </row>
    <row r="1648" s="112">
      <c r="A1648" s="72">
        <f>ROW()-1</f>
        <v/>
      </c>
      <c r="B1648" s="175" t="n"/>
      <c r="C1648" s="124" t="n">
        <v>2026</v>
      </c>
      <c r="E1648" s="103" t="n"/>
      <c r="F1648" s="175" t="n"/>
      <c r="G1648" s="175" t="n"/>
      <c r="H1648" s="175" t="n"/>
      <c r="I1648" s="103" t="inlineStr">
        <is>
          <t>导出脱敏规则</t>
        </is>
      </c>
      <c r="J1648" s="93" t="inlineStr">
        <is>
          <t>EO</t>
        </is>
      </c>
      <c r="K1648" s="102" t="n"/>
      <c r="L1648" s="102" t="n"/>
      <c r="M1648" s="85">
        <f>IF(OR(Y1648="估算法",Y1648="算法类",Y1648="无法识别"),"",IF(W1648="",IF(OR(J1648="EI",J1648="EO",J1648="EQ"),0,""),LEN(W1648)-LEN(SUBSTITUTE(W1648,"、",""))+1))</f>
        <v/>
      </c>
      <c r="N1648" s="85">
        <f>IF(OR(Y1648="估算法",Y1648="算法类",Y1648="无法识别"),"",IF(X1648="",IF(OR(J1648="ILF",J1648="EIF"),0,""),LEN(X1648)-LEN(SUBSTITUTE(X1648,"、",""))+1))</f>
        <v/>
      </c>
      <c r="O1648" s="85">
        <f>IF(OR(Y1648="估算法",Y1648="算法类",Y1648="无法识别"),"",IF(Y1648="",IF(OR(J1648="ILF",J1648="EIF",J1648="EI",J1648="EO",J1648="EQ"),0,""),LEN(Y1648)-LEN(SUBSTITUTE(SUBSTITUTE(SUBSTITUTE(SUBSTITUTE(SUBSTITUTE(Y1648,"|}","--"),"{|","--"),CHAR(10),""),"、",""),"|",""))+IF(AND(OR(J1648="EI",J1648="EO",J1648="EQ"),$AE$1="NESMA"),2,1)))</f>
        <v/>
      </c>
      <c r="P1648" s="86">
        <f>IF(J1648="EI",IF(OR(Y1648="估算法",Y1648="算法类"),"中",IF(Y1648="无法识别","低",IF(M1648&lt;2,IF(O1648&lt;16,"低","中"),IF(M1648&lt;3,IF(O1648&lt;5,"低",IF(O1648&lt;16,"中","高")),IF(O1648&lt;5,"中","高"))))),IF(OR(J1648="EO",J1648="EQ"),IF(OR(Y1648="估算法",Y1648="算法类"),"中",IF(Y1648="无法识别","低",IF(M1648&lt;2,IF(O1648&lt;20,"低","中"),IF(M1648&lt;4,IF(O1648&lt;6,"低",IF(O1648&lt;20,"中","高")),IF(O1648&lt;6,"中","高"))))),IF(OR(J1648="ILF",J1648="EIF"),IF(OR(Y1648="估算法",Y1648="算法类",Y1648="无法识别"),"低",IF(N1648&lt;2,IF(O1648&lt;51,"低","中"),IF(N1648&lt;6,IF(O1648&lt;20,"低",IF(O1648&lt;51,"中","高")),IF(O1648&lt;20,"中","高")))),"不计算")))</f>
        <v/>
      </c>
      <c r="Q1648" s="172">
        <f>IFERROR(IF(J1648="EI",IF(P1648="低",3,IF(P1648="中",4,6)),IF(J1648="EO",IF(P1648="低",4,IF(P1648="中",5,7)),IF(J1648="EQ",IF(P1648="低",3,IF(P1648="中",4,6)),IF(J1648="ILF",IF(P1648="低",7,IF(P1648="中",10,15)),IF(J1648="EIF",IF(P1648="低",5,IF(P1648="中",7,10)),"不计算")))))*R1648,"不计算")</f>
        <v/>
      </c>
      <c r="R1648" s="172" t="n">
        <v>1</v>
      </c>
      <c r="S1648" s="173">
        <f>调整因子!$F$13</f>
        <v/>
      </c>
      <c r="T1648" s="92" t="n">
        <v>1</v>
      </c>
      <c r="U1648" s="174">
        <f>IFERROR(Q1648*S1648,0)</f>
        <v/>
      </c>
      <c r="V1648" s="178">
        <f>U1648*T1648</f>
        <v/>
      </c>
      <c r="W1648" s="103" t="inlineStr">
        <is>
          <t>推送规则表、提醒规则表</t>
        </is>
      </c>
      <c r="X1648" s="103" t="inlineStr"/>
      <c r="Y1648" s="97" t="inlineStr">
        <is>
          <t>推送规则表{规则ID、规则名称|规则ID、规则名称、规则类型、规则条件、创建时间}
提醒规则表{规则ID、规则名称|规则ID、规则名称、规则类型、规则条件、创建时间}</t>
        </is>
      </c>
      <c r="Z1648" s="90" t="n"/>
      <c r="AA1648" s="90" t="n"/>
    </row>
    <row r="1649" s="112">
      <c r="A1649" s="72">
        <f>ROW()-1</f>
        <v/>
      </c>
      <c r="B1649" s="175" t="n"/>
      <c r="C1649" s="124" t="n">
        <v>2026</v>
      </c>
      <c r="E1649" s="103" t="n"/>
      <c r="F1649" s="175" t="n"/>
      <c r="G1649" s="175" t="n"/>
      <c r="H1649" s="175" t="n"/>
      <c r="I1649" s="103" t="inlineStr">
        <is>
          <t>下载规则模板</t>
        </is>
      </c>
      <c r="J1649" s="93" t="inlineStr">
        <is>
          <t>EO</t>
        </is>
      </c>
      <c r="K1649" s="102" t="n"/>
      <c r="L1649" s="102" t="n"/>
      <c r="M1649" s="85">
        <f>IF(OR(Y1649="估算法",Y1649="算法类",Y1649="无法识别"),"",IF(W1649="",IF(OR(J1649="EI",J1649="EO",J1649="EQ"),0,""),LEN(W1649)-LEN(SUBSTITUTE(W1649,"、",""))+1))</f>
        <v/>
      </c>
      <c r="N1649" s="85">
        <f>IF(OR(Y1649="估算法",Y1649="算法类",Y1649="无法识别"),"",IF(X1649="",IF(OR(J1649="ILF",J1649="EIF"),0,""),LEN(X1649)-LEN(SUBSTITUTE(X1649,"、",""))+1))</f>
        <v/>
      </c>
      <c r="O1649" s="85">
        <f>IF(OR(Y1649="估算法",Y1649="算法类",Y1649="无法识别"),"",IF(Y1649="",IF(OR(J1649="ILF",J1649="EIF",J1649="EI",J1649="EO",J1649="EQ"),0,""),LEN(Y1649)-LEN(SUBSTITUTE(SUBSTITUTE(SUBSTITUTE(SUBSTITUTE(SUBSTITUTE(Y1649,"|}","--"),"{|","--"),CHAR(10),""),"、",""),"|",""))+IF(AND(OR(J1649="EI",J1649="EO",J1649="EQ"),$AE$1="NESMA"),2,1)))</f>
        <v/>
      </c>
      <c r="P1649" s="86">
        <f>IF(J1649="EI",IF(OR(Y1649="估算法",Y1649="算法类"),"中",IF(Y1649="无法识别","低",IF(M1649&lt;2,IF(O1649&lt;16,"低","中"),IF(M1649&lt;3,IF(O1649&lt;5,"低",IF(O1649&lt;16,"中","高")),IF(O1649&lt;5,"中","高"))))),IF(OR(J1649="EO",J1649="EQ"),IF(OR(Y1649="估算法",Y1649="算法类"),"中",IF(Y1649="无法识别","低",IF(M1649&lt;2,IF(O1649&lt;20,"低","中"),IF(M1649&lt;4,IF(O1649&lt;6,"低",IF(O1649&lt;20,"中","高")),IF(O1649&lt;6,"中","高"))))),IF(OR(J1649="ILF",J1649="EIF"),IF(OR(Y1649="估算法",Y1649="算法类",Y1649="无法识别"),"低",IF(N1649&lt;2,IF(O1649&lt;51,"低","中"),IF(N1649&lt;6,IF(O1649&lt;20,"低",IF(O1649&lt;51,"中","高")),IF(O1649&lt;20,"中","高")))),"不计算")))</f>
        <v/>
      </c>
      <c r="Q1649" s="172">
        <f>IFERROR(IF(J1649="EI",IF(P1649="低",3,IF(P1649="中",4,6)),IF(J1649="EO",IF(P1649="低",4,IF(P1649="中",5,7)),IF(J1649="EQ",IF(P1649="低",3,IF(P1649="中",4,6)),IF(J1649="ILF",IF(P1649="低",7,IF(P1649="中",10,15)),IF(J1649="EIF",IF(P1649="低",5,IF(P1649="中",7,10)),"不计算")))))*R1649,"不计算")</f>
        <v/>
      </c>
      <c r="R1649" s="172" t="n">
        <v>1</v>
      </c>
      <c r="S1649" s="173">
        <f>调整因子!$F$13</f>
        <v/>
      </c>
      <c r="T1649" s="93" t="n">
        <v>1</v>
      </c>
      <c r="U1649" s="174">
        <f>IFERROR(Q1649*S1649,0)</f>
        <v/>
      </c>
      <c r="V1649" s="178">
        <f>U1649*T1649</f>
        <v/>
      </c>
      <c r="W1649" s="103" t="inlineStr">
        <is>
          <t>推送规则表、提醒规则表</t>
        </is>
      </c>
      <c r="X1649" s="103" t="inlineStr"/>
      <c r="Y1649" s="97" t="inlineStr">
        <is>
          <t>推送规则表{规则ID、规则名称|规则ID、规则名称、规则类型、规则条件、创建时间}
提醒规则表{规则ID、规则名称|规则ID、规则名称、规则类型、规则条件、创建时间}</t>
        </is>
      </c>
      <c r="Z1649" s="90" t="n"/>
      <c r="AA1649" s="90" t="n"/>
    </row>
    <row r="1650" s="112">
      <c r="A1650" s="72">
        <f>ROW()-1</f>
        <v/>
      </c>
      <c r="B1650" s="175" t="n"/>
      <c r="C1650" s="124" t="n">
        <v>2026</v>
      </c>
      <c r="E1650" s="103" t="n"/>
      <c r="F1650" s="175" t="n"/>
      <c r="G1650" s="175" t="n"/>
      <c r="H1650" s="175" t="n"/>
      <c r="I1650" s="103" t="inlineStr">
        <is>
          <t>查询脱敏规则</t>
        </is>
      </c>
      <c r="J1650" s="93" t="inlineStr">
        <is>
          <t>EQ</t>
        </is>
      </c>
      <c r="K1650" s="102" t="n"/>
      <c r="L1650" s="102" t="n"/>
      <c r="M1650" s="85">
        <f>IF(OR(Y1650="估算法",Y1650="算法类",Y1650="无法识别"),"",IF(W1650="",IF(OR(J1650="EI",J1650="EO",J1650="EQ"),0,""),LEN(W1650)-LEN(SUBSTITUTE(W1650,"、",""))+1))</f>
        <v/>
      </c>
      <c r="N1650" s="85">
        <f>IF(OR(Y1650="估算法",Y1650="算法类",Y1650="无法识别"),"",IF(X1650="",IF(OR(J1650="ILF",J1650="EIF"),0,""),LEN(X1650)-LEN(SUBSTITUTE(X1650,"、",""))+1))</f>
        <v/>
      </c>
      <c r="O1650" s="85">
        <f>IF(OR(Y1650="估算法",Y1650="算法类",Y1650="无法识别"),"",IF(Y1650="",IF(OR(J1650="ILF",J1650="EIF",J1650="EI",J1650="EO",J1650="EQ"),0,""),LEN(Y1650)-LEN(SUBSTITUTE(SUBSTITUTE(SUBSTITUTE(SUBSTITUTE(SUBSTITUTE(Y1650,"|}","--"),"{|","--"),CHAR(10),""),"、",""),"|",""))+IF(AND(OR(J1650="EI",J1650="EO",J1650="EQ"),$AE$1="NESMA"),2,1)))</f>
        <v/>
      </c>
      <c r="P1650" s="86">
        <f>IF(J1650="EI",IF(OR(Y1650="估算法",Y1650="算法类"),"中",IF(Y1650="无法识别","低",IF(M1650&lt;2,IF(O1650&lt;16,"低","中"),IF(M1650&lt;3,IF(O1650&lt;5,"低",IF(O1650&lt;16,"中","高")),IF(O1650&lt;5,"中","高"))))),IF(OR(J1650="EO",J1650="EQ"),IF(OR(Y1650="估算法",Y1650="算法类"),"中",IF(Y1650="无法识别","低",IF(M1650&lt;2,IF(O1650&lt;20,"低","中"),IF(M1650&lt;4,IF(O1650&lt;6,"低",IF(O1650&lt;20,"中","高")),IF(O1650&lt;6,"中","高"))))),IF(OR(J1650="ILF",J1650="EIF"),IF(OR(Y1650="估算法",Y1650="算法类",Y1650="无法识别"),"低",IF(N1650&lt;2,IF(O1650&lt;51,"低","中"),IF(N1650&lt;6,IF(O1650&lt;20,"低",IF(O1650&lt;51,"中","高")),IF(O1650&lt;20,"中","高")))),"不计算")))</f>
        <v/>
      </c>
      <c r="Q1650" s="172">
        <f>IFERROR(IF(J1650="EI",IF(P1650="低",3,IF(P1650="中",4,6)),IF(J1650="EO",IF(P1650="低",4,IF(P1650="中",5,7)),IF(J1650="EQ",IF(P1650="低",3,IF(P1650="中",4,6)),IF(J1650="ILF",IF(P1650="低",7,IF(P1650="中",10,15)),IF(J1650="EIF",IF(P1650="低",5,IF(P1650="中",7,10)),"不计算")))))*R1650,"不计算")</f>
        <v/>
      </c>
      <c r="R1650" s="172" t="n">
        <v>1</v>
      </c>
      <c r="S1650" s="173">
        <f>调整因子!$F$13</f>
        <v/>
      </c>
      <c r="T1650" s="93" t="n">
        <v>1</v>
      </c>
      <c r="U1650" s="174">
        <f>IFERROR(Q1650*S1650,0)</f>
        <v/>
      </c>
      <c r="V1650" s="178">
        <f>U1650*T1650</f>
        <v/>
      </c>
      <c r="W1650" s="103" t="inlineStr">
        <is>
          <t>推送规则表、提醒规则表</t>
        </is>
      </c>
      <c r="X1650" s="103" t="inlineStr"/>
      <c r="Y1650" s="97" t="inlineStr">
        <is>
          <t>推送规则表{规则ID、规则名称|规则ID、规则名称、规则类型、规则条件、创建时间}
提醒规则表{规则ID、规则名称|规则ID、规则名称、规则类型、规则条件、创建时间}</t>
        </is>
      </c>
      <c r="Z1650" s="90" t="n"/>
      <c r="AA1650" s="90" t="n"/>
    </row>
    <row r="1651" s="112">
      <c r="A1651" s="72">
        <f>ROW()-1</f>
        <v/>
      </c>
      <c r="B1651" s="175" t="n"/>
      <c r="C1651" s="124" t="n">
        <v>2026</v>
      </c>
      <c r="E1651" s="103" t="n"/>
      <c r="F1651" s="175" t="n"/>
      <c r="G1651" s="175" t="n"/>
      <c r="H1651" s="176" t="n"/>
      <c r="I1651" s="103" t="inlineStr">
        <is>
          <t>查看规则详情</t>
        </is>
      </c>
      <c r="J1651" s="93" t="inlineStr">
        <is>
          <t>EQ</t>
        </is>
      </c>
      <c r="K1651" s="102" t="n"/>
      <c r="L1651" s="102" t="n"/>
      <c r="M1651" s="85">
        <f>IF(OR(Y1651="估算法",Y1651="算法类",Y1651="无法识别"),"",IF(W1651="",IF(OR(J1651="EI",J1651="EO",J1651="EQ"),0,""),LEN(W1651)-LEN(SUBSTITUTE(W1651,"、",""))+1))</f>
        <v/>
      </c>
      <c r="N1651" s="85">
        <f>IF(OR(Y1651="估算法",Y1651="算法类",Y1651="无法识别"),"",IF(X1651="",IF(OR(J1651="ILF",J1651="EIF"),0,""),LEN(X1651)-LEN(SUBSTITUTE(X1651,"、",""))+1))</f>
        <v/>
      </c>
      <c r="O1651" s="85">
        <f>IF(OR(Y1651="估算法",Y1651="算法类",Y1651="无法识别"),"",IF(Y1651="",IF(OR(J1651="ILF",J1651="EIF",J1651="EI",J1651="EO",J1651="EQ"),0,""),LEN(Y1651)-LEN(SUBSTITUTE(SUBSTITUTE(SUBSTITUTE(SUBSTITUTE(SUBSTITUTE(Y1651,"|}","--"),"{|","--"),CHAR(10),""),"、",""),"|",""))+IF(AND(OR(J1651="EI",J1651="EO",J1651="EQ"),$AE$1="NESMA"),2,1)))</f>
        <v/>
      </c>
      <c r="P1651" s="86">
        <f>IF(J1651="EI",IF(OR(Y1651="估算法",Y1651="算法类"),"中",IF(Y1651="无法识别","低",IF(M1651&lt;2,IF(O1651&lt;16,"低","中"),IF(M1651&lt;3,IF(O1651&lt;5,"低",IF(O1651&lt;16,"中","高")),IF(O1651&lt;5,"中","高"))))),IF(OR(J1651="EO",J1651="EQ"),IF(OR(Y1651="估算法",Y1651="算法类"),"中",IF(Y1651="无法识别","低",IF(M1651&lt;2,IF(O1651&lt;20,"低","中"),IF(M1651&lt;4,IF(O1651&lt;6,"低",IF(O1651&lt;20,"中","高")),IF(O1651&lt;6,"中","高"))))),IF(OR(J1651="ILF",J1651="EIF"),IF(OR(Y1651="估算法",Y1651="算法类",Y1651="无法识别"),"低",IF(N1651&lt;2,IF(O1651&lt;51,"低","中"),IF(N1651&lt;6,IF(O1651&lt;20,"低",IF(O1651&lt;51,"中","高")),IF(O1651&lt;20,"中","高")))),"不计算")))</f>
        <v/>
      </c>
      <c r="Q1651" s="172">
        <f>IFERROR(IF(J1651="EI",IF(P1651="低",3,IF(P1651="中",4,6)),IF(J1651="EO",IF(P1651="低",4,IF(P1651="中",5,7)),IF(J1651="EQ",IF(P1651="低",3,IF(P1651="中",4,6)),IF(J1651="ILF",IF(P1651="低",7,IF(P1651="中",10,15)),IF(J1651="EIF",IF(P1651="低",5,IF(P1651="中",7,10)),"不计算")))))*R1651,"不计算")</f>
        <v/>
      </c>
      <c r="R1651" s="172" t="n">
        <v>1</v>
      </c>
      <c r="S1651" s="173">
        <f>调整因子!$F$13</f>
        <v/>
      </c>
      <c r="T1651" s="92" t="n">
        <v>1</v>
      </c>
      <c r="U1651" s="174">
        <f>IFERROR(Q1651*S1651,0)</f>
        <v/>
      </c>
      <c r="V1651" s="178">
        <f>U1651*T1651</f>
        <v/>
      </c>
      <c r="W1651" s="103" t="inlineStr">
        <is>
          <t>推送规则表</t>
        </is>
      </c>
      <c r="X1651" s="103" t="inlineStr"/>
      <c r="Y1651" s="97" t="inlineStr">
        <is>
          <t>推送规则表{规则ID、规则名称|规则ID、规则名称、规则类型、规则条件、创建时间}</t>
        </is>
      </c>
      <c r="Z1651" s="90" t="n"/>
      <c r="AA1651" s="90" t="n"/>
    </row>
    <row r="1652" s="112">
      <c r="A1652" s="72">
        <f>ROW()-1</f>
        <v/>
      </c>
      <c r="B1652" s="175" t="n"/>
      <c r="C1652" s="124" t="n">
        <v>2026</v>
      </c>
      <c r="E1652" s="103" t="n"/>
      <c r="F1652" s="175" t="n"/>
      <c r="G1652" s="175" t="n"/>
      <c r="H1652" s="97" t="inlineStr">
        <is>
          <t>脱敏策略应用管理</t>
        </is>
      </c>
      <c r="I1652" s="103" t="inlineStr">
        <is>
          <t>编辑脱敏应用</t>
        </is>
      </c>
      <c r="J1652" s="93" t="inlineStr">
        <is>
          <t>EI</t>
        </is>
      </c>
      <c r="K1652" s="102" t="n"/>
      <c r="L1652" s="102" t="n"/>
      <c r="M1652" s="85">
        <f>IF(OR(Y1652="估算法",Y1652="算法类",Y1652="无法识别"),"",IF(W1652="",IF(OR(J1652="EI",J1652="EO",J1652="EQ"),0,""),LEN(W1652)-LEN(SUBSTITUTE(W1652,"、",""))+1))</f>
        <v/>
      </c>
      <c r="N1652" s="85">
        <f>IF(OR(Y1652="估算法",Y1652="算法类",Y1652="无法识别"),"",IF(X1652="",IF(OR(J1652="ILF",J1652="EIF"),0,""),LEN(X1652)-LEN(SUBSTITUTE(X1652,"、",""))+1))</f>
        <v/>
      </c>
      <c r="O1652" s="85">
        <f>IF(OR(Y1652="估算法",Y1652="算法类",Y1652="无法识别"),"",IF(Y1652="",IF(OR(J1652="ILF",J1652="EIF",J1652="EI",J1652="EO",J1652="EQ"),0,""),LEN(Y1652)-LEN(SUBSTITUTE(SUBSTITUTE(SUBSTITUTE(SUBSTITUTE(SUBSTITUTE(Y1652,"|}","--"),"{|","--"),CHAR(10),""),"、",""),"|",""))+IF(AND(OR(J1652="EI",J1652="EO",J1652="EQ"),$AE$1="NESMA"),2,1)))</f>
        <v/>
      </c>
      <c r="P1652" s="86">
        <f>IF(J1652="EI",IF(OR(Y1652="估算法",Y1652="算法类"),"中",IF(Y1652="无法识别","低",IF(M1652&lt;2,IF(O1652&lt;16,"低","中"),IF(M1652&lt;3,IF(O1652&lt;5,"低",IF(O1652&lt;16,"中","高")),IF(O1652&lt;5,"中","高"))))),IF(OR(J1652="EO",J1652="EQ"),IF(OR(Y1652="估算法",Y1652="算法类"),"中",IF(Y1652="无法识别","低",IF(M1652&lt;2,IF(O1652&lt;20,"低","中"),IF(M1652&lt;4,IF(O1652&lt;6,"低",IF(O1652&lt;20,"中","高")),IF(O1652&lt;6,"中","高"))))),IF(OR(J1652="ILF",J1652="EIF"),IF(OR(Y1652="估算法",Y1652="算法类",Y1652="无法识别"),"低",IF(N1652&lt;2,IF(O1652&lt;51,"低","中"),IF(N1652&lt;6,IF(O1652&lt;20,"低",IF(O1652&lt;51,"中","高")),IF(O1652&lt;20,"中","高")))),"不计算")))</f>
        <v/>
      </c>
      <c r="Q1652" s="172">
        <f>IFERROR(IF(J1652="EI",IF(P1652="低",3,IF(P1652="中",4,6)),IF(J1652="EO",IF(P1652="低",4,IF(P1652="中",5,7)),IF(J1652="EQ",IF(P1652="低",3,IF(P1652="中",4,6)),IF(J1652="ILF",IF(P1652="低",7,IF(P1652="中",10,15)),IF(J1652="EIF",IF(P1652="低",5,IF(P1652="中",7,10)),"不计算")))))*R1652,"不计算")</f>
        <v/>
      </c>
      <c r="R1652" s="172" t="n">
        <v>1</v>
      </c>
      <c r="S1652" s="173">
        <f>调整因子!$F$13</f>
        <v/>
      </c>
      <c r="T1652" s="92" t="n">
        <v>1</v>
      </c>
      <c r="U1652" s="174">
        <f>IFERROR(Q1652*S1652,0)</f>
        <v/>
      </c>
      <c r="V1652" s="178">
        <f>U1652*T1652</f>
        <v/>
      </c>
      <c r="W1652" s="103" t="inlineStr">
        <is>
          <t>报告导入记录表</t>
        </is>
      </c>
      <c r="X1652" s="103" t="inlineStr"/>
      <c r="Y1652" s="97" t="inlineStr">
        <is>
          <t>报告导入记录表{ID、名称、类型、状态、创建时间、更新时间|ID、名称、类型}</t>
        </is>
      </c>
      <c r="Z1652" s="90" t="n"/>
      <c r="AA1652" s="90" t="n"/>
    </row>
    <row r="1653" s="112">
      <c r="A1653" s="72">
        <f>ROW()-1</f>
        <v/>
      </c>
      <c r="B1653" s="175" t="n"/>
      <c r="C1653" s="124" t="n">
        <v>2026</v>
      </c>
      <c r="E1653" s="103" t="n"/>
      <c r="F1653" s="175" t="n"/>
      <c r="G1653" s="175" t="n"/>
      <c r="H1653" s="175" t="n"/>
      <c r="I1653" s="103" t="inlineStr">
        <is>
          <t>删除脱敏应用</t>
        </is>
      </c>
      <c r="J1653" s="93" t="inlineStr">
        <is>
          <t>EI</t>
        </is>
      </c>
      <c r="K1653" s="102" t="n"/>
      <c r="L1653" s="102" t="n"/>
      <c r="M1653" s="85">
        <f>IF(OR(Y1653="估算法",Y1653="算法类",Y1653="无法识别"),"",IF(W1653="",IF(OR(J1653="EI",J1653="EO",J1653="EQ"),0,""),LEN(W1653)-LEN(SUBSTITUTE(W1653,"、",""))+1))</f>
        <v/>
      </c>
      <c r="N1653" s="85">
        <f>IF(OR(Y1653="估算法",Y1653="算法类",Y1653="无法识别"),"",IF(X1653="",IF(OR(J1653="ILF",J1653="EIF"),0,""),LEN(X1653)-LEN(SUBSTITUTE(X1653,"、",""))+1))</f>
        <v/>
      </c>
      <c r="O1653" s="85">
        <f>IF(OR(Y1653="估算法",Y1653="算法类",Y1653="无法识别"),"",IF(Y1653="",IF(OR(J1653="ILF",J1653="EIF",J1653="EI",J1653="EO",J1653="EQ"),0,""),LEN(Y1653)-LEN(SUBSTITUTE(SUBSTITUTE(SUBSTITUTE(SUBSTITUTE(SUBSTITUTE(Y1653,"|}","--"),"{|","--"),CHAR(10),""),"、",""),"|",""))+IF(AND(OR(J1653="EI",J1653="EO",J1653="EQ"),$AE$1="NESMA"),2,1)))</f>
        <v/>
      </c>
      <c r="P1653" s="86">
        <f>IF(J1653="EI",IF(OR(Y1653="估算法",Y1653="算法类"),"中",IF(Y1653="无法识别","低",IF(M1653&lt;2,IF(O1653&lt;16,"低","中"),IF(M1653&lt;3,IF(O1653&lt;5,"低",IF(O1653&lt;16,"中","高")),IF(O1653&lt;5,"中","高"))))),IF(OR(J1653="EO",J1653="EQ"),IF(OR(Y1653="估算法",Y1653="算法类"),"中",IF(Y1653="无法识别","低",IF(M1653&lt;2,IF(O1653&lt;20,"低","中"),IF(M1653&lt;4,IF(O1653&lt;6,"低",IF(O1653&lt;20,"中","高")),IF(O1653&lt;6,"中","高"))))),IF(OR(J1653="ILF",J1653="EIF"),IF(OR(Y1653="估算法",Y1653="算法类",Y1653="无法识别"),"低",IF(N1653&lt;2,IF(O1653&lt;51,"低","中"),IF(N1653&lt;6,IF(O1653&lt;20,"低",IF(O1653&lt;51,"中","高")),IF(O1653&lt;20,"中","高")))),"不计算")))</f>
        <v/>
      </c>
      <c r="Q1653" s="172">
        <f>IFERROR(IF(J1653="EI",IF(P1653="低",3,IF(P1653="中",4,6)),IF(J1653="EO",IF(P1653="低",4,IF(P1653="中",5,7)),IF(J1653="EQ",IF(P1653="低",3,IF(P1653="中",4,6)),IF(J1653="ILF",IF(P1653="低",7,IF(P1653="中",10,15)),IF(J1653="EIF",IF(P1653="低",5,IF(P1653="中",7,10)),"不计算")))))*R1653,"不计算")</f>
        <v/>
      </c>
      <c r="R1653" s="172" t="n">
        <v>0.333333333333333</v>
      </c>
      <c r="S1653" s="173">
        <f>调整因子!$F$13</f>
        <v/>
      </c>
      <c r="T1653" s="93" t="n">
        <v>1</v>
      </c>
      <c r="U1653" s="174">
        <f>IFERROR(Q1653*S1653,0)</f>
        <v/>
      </c>
      <c r="V1653" s="178">
        <f>U1653*T1653</f>
        <v/>
      </c>
      <c r="W1653" s="103" t="inlineStr">
        <is>
          <t>任务趋势分析表</t>
        </is>
      </c>
      <c r="X1653" s="103" t="inlineStr"/>
      <c r="Y1653" s="97" t="inlineStr">
        <is>
          <t>任务趋势分析表{任务ID、任务名称、任务类型、任务状态、创建时间、执行时间|任务ID、任务名称、任务类型}</t>
        </is>
      </c>
      <c r="Z1653" s="90" t="n"/>
      <c r="AA1653" s="90" t="n"/>
    </row>
    <row r="1654" s="112">
      <c r="A1654" s="72">
        <f>ROW()-1</f>
        <v/>
      </c>
      <c r="B1654" s="175" t="n"/>
      <c r="C1654" s="124" t="n">
        <v>2026</v>
      </c>
      <c r="E1654" s="103" t="n"/>
      <c r="F1654" s="175" t="n"/>
      <c r="G1654" s="175" t="n"/>
      <c r="H1654" s="175" t="n"/>
      <c r="I1654" s="103" t="inlineStr">
        <is>
          <t>启用脱敏应用</t>
        </is>
      </c>
      <c r="J1654" s="93" t="inlineStr">
        <is>
          <t>EI</t>
        </is>
      </c>
      <c r="K1654" s="102" t="n"/>
      <c r="L1654" s="102" t="n"/>
      <c r="M1654" s="85">
        <f>IF(OR(Y1654="估算法",Y1654="算法类",Y1654="无法识别"),"",IF(W1654="",IF(OR(J1654="EI",J1654="EO",J1654="EQ"),0,""),LEN(W1654)-LEN(SUBSTITUTE(W1654,"、",""))+1))</f>
        <v/>
      </c>
      <c r="N1654" s="85">
        <f>IF(OR(Y1654="估算法",Y1654="算法类",Y1654="无法识别"),"",IF(X1654="",IF(OR(J1654="ILF",J1654="EIF"),0,""),LEN(X1654)-LEN(SUBSTITUTE(X1654,"、",""))+1))</f>
        <v/>
      </c>
      <c r="O1654" s="85">
        <f>IF(OR(Y1654="估算法",Y1654="算法类",Y1654="无法识别"),"",IF(Y1654="",IF(OR(J1654="ILF",J1654="EIF",J1654="EI",J1654="EO",J1654="EQ"),0,""),LEN(Y1654)-LEN(SUBSTITUTE(SUBSTITUTE(SUBSTITUTE(SUBSTITUTE(SUBSTITUTE(Y1654,"|}","--"),"{|","--"),CHAR(10),""),"、",""),"|",""))+IF(AND(OR(J1654="EI",J1654="EO",J1654="EQ"),$AE$1="NESMA"),2,1)))</f>
        <v/>
      </c>
      <c r="P1654" s="86">
        <f>IF(J1654="EI",IF(OR(Y1654="估算法",Y1654="算法类"),"中",IF(Y1654="无法识别","低",IF(M1654&lt;2,IF(O1654&lt;16,"低","中"),IF(M1654&lt;3,IF(O1654&lt;5,"低",IF(O1654&lt;16,"中","高")),IF(O1654&lt;5,"中","高"))))),IF(OR(J1654="EO",J1654="EQ"),IF(OR(Y1654="估算法",Y1654="算法类"),"中",IF(Y1654="无法识别","低",IF(M1654&lt;2,IF(O1654&lt;20,"低","中"),IF(M1654&lt;4,IF(O1654&lt;6,"低",IF(O1654&lt;20,"中","高")),IF(O1654&lt;6,"中","高"))))),IF(OR(J1654="ILF",J1654="EIF"),IF(OR(Y1654="估算法",Y1654="算法类",Y1654="无法识别"),"低",IF(N1654&lt;2,IF(O1654&lt;51,"低","中"),IF(N1654&lt;6,IF(O1654&lt;20,"低",IF(O1654&lt;51,"中","高")),IF(O1654&lt;20,"中","高")))),"不计算")))</f>
        <v/>
      </c>
      <c r="Q1654" s="172">
        <f>IFERROR(IF(J1654="EI",IF(P1654="低",3,IF(P1654="中",4,6)),IF(J1654="EO",IF(P1654="低",4,IF(P1654="中",5,7)),IF(J1654="EQ",IF(P1654="低",3,IF(P1654="中",4,6)),IF(J1654="ILF",IF(P1654="低",7,IF(P1654="中",10,15)),IF(J1654="EIF",IF(P1654="低",5,IF(P1654="中",7,10)),"不计算")))))*R1654,"不计算")</f>
        <v/>
      </c>
      <c r="R1654" s="172" t="n">
        <v>1</v>
      </c>
      <c r="S1654" s="173">
        <f>调整因子!$F$13</f>
        <v/>
      </c>
      <c r="T1654" s="92" t="n">
        <v>1</v>
      </c>
      <c r="U1654" s="174">
        <f>IFERROR(Q1654*S1654,0)</f>
        <v/>
      </c>
      <c r="V1654" s="178">
        <f>U1654*T1654</f>
        <v/>
      </c>
      <c r="W1654" s="103" t="inlineStr">
        <is>
          <t>扫描任务接口配置表</t>
        </is>
      </c>
      <c r="X1654" s="103" t="inlineStr"/>
      <c r="Y1654" s="97" t="inlineStr">
        <is>
          <t>扫描任务接口配置表{任务ID、任务名称、任务状态、扫描器类型、开始时间、结束时间、扫描结果|任务ID、任务名称、任务状态}</t>
        </is>
      </c>
      <c r="Z1654" s="90" t="n"/>
      <c r="AA1654" s="90" t="n"/>
    </row>
    <row r="1655" s="112">
      <c r="A1655" s="72">
        <f>ROW()-1</f>
        <v/>
      </c>
      <c r="B1655" s="175" t="n"/>
      <c r="C1655" s="124" t="n">
        <v>2026</v>
      </c>
      <c r="E1655" s="103" t="n"/>
      <c r="F1655" s="175" t="n"/>
      <c r="G1655" s="175" t="n"/>
      <c r="H1655" s="175" t="n"/>
      <c r="I1655" s="103" t="inlineStr">
        <is>
          <t>停用脱敏应用</t>
        </is>
      </c>
      <c r="J1655" s="93" t="n"/>
      <c r="K1655" s="102" t="n"/>
      <c r="L1655" s="102" t="inlineStr">
        <is>
          <t>和上行合并，启停为相同功能</t>
        </is>
      </c>
      <c r="M1655" s="85">
        <f>IF(OR(Y1655="估算法",Y1655="算法类",Y1655="无法识别"),"",IF(W1655="",IF(OR(J1655="EI",J1655="EO",J1655="EQ"),0,""),LEN(W1655)-LEN(SUBSTITUTE(W1655,"、",""))+1))</f>
        <v/>
      </c>
      <c r="N1655" s="85">
        <f>IF(OR(Y1655="估算法",Y1655="算法类",Y1655="无法识别"),"",IF(X1655="",IF(OR(J1655="ILF",J1655="EIF"),0,""),LEN(X1655)-LEN(SUBSTITUTE(X1655,"、",""))+1))</f>
        <v/>
      </c>
      <c r="O1655" s="85">
        <f>IF(OR(Y1655="估算法",Y1655="算法类",Y1655="无法识别"),"",IF(Y1655="",IF(OR(J1655="ILF",J1655="EIF",J1655="EI",J1655="EO",J1655="EQ"),0,""),LEN(Y1655)-LEN(SUBSTITUTE(SUBSTITUTE(SUBSTITUTE(SUBSTITUTE(SUBSTITUTE(Y1655,"|}","--"),"{|","--"),CHAR(10),""),"、",""),"|",""))+IF(AND(OR(J1655="EI",J1655="EO",J1655="EQ"),$AE$1="NESMA"),2,1)))</f>
        <v/>
      </c>
      <c r="P1655" s="86">
        <f>IF(J1655="EI",IF(OR(Y1655="估算法",Y1655="算法类"),"中",IF(Y1655="无法识别","低",IF(M1655&lt;2,IF(O1655&lt;16,"低","中"),IF(M1655&lt;3,IF(O1655&lt;5,"低",IF(O1655&lt;16,"中","高")),IF(O1655&lt;5,"中","高"))))),IF(OR(J1655="EO",J1655="EQ"),IF(OR(Y1655="估算法",Y1655="算法类"),"中",IF(Y1655="无法识别","低",IF(M1655&lt;2,IF(O1655&lt;20,"低","中"),IF(M1655&lt;4,IF(O1655&lt;6,"低",IF(O1655&lt;20,"中","高")),IF(O1655&lt;6,"中","高"))))),IF(OR(J1655="ILF",J1655="EIF"),IF(OR(Y1655="估算法",Y1655="算法类",Y1655="无法识别"),"低",IF(N1655&lt;2,IF(O1655&lt;51,"低","中"),IF(N1655&lt;6,IF(O1655&lt;20,"低",IF(O1655&lt;51,"中","高")),IF(O1655&lt;20,"中","高")))),"不计算")))</f>
        <v/>
      </c>
      <c r="Q1655" s="172">
        <f>IFERROR(IF(J1655="EI",IF(P1655="低",3,IF(P1655="中",4,6)),IF(J1655="EO",IF(P1655="低",4,IF(P1655="中",5,7)),IF(J1655="EQ",IF(P1655="低",3,IF(P1655="中",4,6)),IF(J1655="ILF",IF(P1655="低",7,IF(P1655="中",10,15)),IF(J1655="EIF",IF(P1655="低",5,IF(P1655="中",7,10)),"不计算")))))*R1655,"不计算")</f>
        <v/>
      </c>
      <c r="R1655" s="172" t="n">
        <v>1</v>
      </c>
      <c r="S1655" s="173">
        <f>调整因子!$F$13</f>
        <v/>
      </c>
      <c r="T1655" s="92" t="n">
        <v>1</v>
      </c>
      <c r="U1655" s="174">
        <f>IFERROR(Q1655*S1655,0)</f>
        <v/>
      </c>
      <c r="V1655" s="178">
        <f>U1655*T1655</f>
        <v/>
      </c>
      <c r="W1655" s="103" t="inlineStr">
        <is>
          <t>复测配置表</t>
        </is>
      </c>
      <c r="X1655" s="103" t="inlineStr"/>
      <c r="Y1655" s="97" t="inlineStr">
        <is>
          <t>复测配置表{配置ID、配置名称、配置类型、配置值、创建时间|配置ID、配置名称、配置类型}</t>
        </is>
      </c>
      <c r="Z1655" s="90" t="n"/>
      <c r="AA1655" s="90" t="n"/>
    </row>
    <row r="1656" s="112">
      <c r="A1656" s="72">
        <f>ROW()-1</f>
        <v/>
      </c>
      <c r="B1656" s="175" t="n"/>
      <c r="C1656" s="124" t="n">
        <v>2026</v>
      </c>
      <c r="E1656" s="103" t="n"/>
      <c r="F1656" s="175" t="n"/>
      <c r="G1656" s="175" t="n"/>
      <c r="H1656" s="175" t="n"/>
      <c r="I1656" s="103" t="inlineStr">
        <is>
          <t>导出应用配置</t>
        </is>
      </c>
      <c r="J1656" s="93" t="inlineStr">
        <is>
          <t>EO</t>
        </is>
      </c>
      <c r="K1656" s="102" t="n"/>
      <c r="L1656" s="102" t="n"/>
      <c r="M1656" s="85">
        <f>IF(OR(Y1656="估算法",Y1656="算法类",Y1656="无法识别"),"",IF(W1656="",IF(OR(J1656="EI",J1656="EO",J1656="EQ"),0,""),LEN(W1656)-LEN(SUBSTITUTE(W1656,"、",""))+1))</f>
        <v/>
      </c>
      <c r="N1656" s="85">
        <f>IF(OR(Y1656="估算法",Y1656="算法类",Y1656="无法识别"),"",IF(X1656="",IF(OR(J1656="ILF",J1656="EIF"),0,""),LEN(X1656)-LEN(SUBSTITUTE(X1656,"、",""))+1))</f>
        <v/>
      </c>
      <c r="O1656" s="85">
        <f>IF(OR(Y1656="估算法",Y1656="算法类",Y1656="无法识别"),"",IF(Y1656="",IF(OR(J1656="ILF",J1656="EIF",J1656="EI",J1656="EO",J1656="EQ"),0,""),LEN(Y1656)-LEN(SUBSTITUTE(SUBSTITUTE(SUBSTITUTE(SUBSTITUTE(SUBSTITUTE(Y1656,"|}","--"),"{|","--"),CHAR(10),""),"、",""),"|",""))+IF(AND(OR(J1656="EI",J1656="EO",J1656="EQ"),$AE$1="NESMA"),2,1)))</f>
        <v/>
      </c>
      <c r="P1656" s="86">
        <f>IF(J1656="EI",IF(OR(Y1656="估算法",Y1656="算法类"),"中",IF(Y1656="无法识别","低",IF(M1656&lt;2,IF(O1656&lt;16,"低","中"),IF(M1656&lt;3,IF(O1656&lt;5,"低",IF(O1656&lt;16,"中","高")),IF(O1656&lt;5,"中","高"))))),IF(OR(J1656="EO",J1656="EQ"),IF(OR(Y1656="估算法",Y1656="算法类"),"中",IF(Y1656="无法识别","低",IF(M1656&lt;2,IF(O1656&lt;20,"低","中"),IF(M1656&lt;4,IF(O1656&lt;6,"低",IF(O1656&lt;20,"中","高")),IF(O1656&lt;6,"中","高"))))),IF(OR(J1656="ILF",J1656="EIF"),IF(OR(Y1656="估算法",Y1656="算法类",Y1656="无法识别"),"低",IF(N1656&lt;2,IF(O1656&lt;51,"低","中"),IF(N1656&lt;6,IF(O1656&lt;20,"低",IF(O1656&lt;51,"中","高")),IF(O1656&lt;20,"中","高")))),"不计算")))</f>
        <v/>
      </c>
      <c r="Q1656" s="172">
        <f>IFERROR(IF(J1656="EI",IF(P1656="低",3,IF(P1656="中",4,6)),IF(J1656="EO",IF(P1656="低",4,IF(P1656="中",5,7)),IF(J1656="EQ",IF(P1656="低",3,IF(P1656="中",4,6)),IF(J1656="ILF",IF(P1656="低",7,IF(P1656="中",10,15)),IF(J1656="EIF",IF(P1656="低",5,IF(P1656="中",7,10)),"不计算")))))*R1656,"不计算")</f>
        <v/>
      </c>
      <c r="R1656" s="172" t="n">
        <v>1</v>
      </c>
      <c r="S1656" s="173">
        <f>调整因子!$F$13</f>
        <v/>
      </c>
      <c r="T1656" s="93" t="n">
        <v>1</v>
      </c>
      <c r="U1656" s="174">
        <f>IFERROR(Q1656*S1656,0)</f>
        <v/>
      </c>
      <c r="V1656" s="178">
        <f>U1656*T1656</f>
        <v/>
      </c>
      <c r="W1656" s="103" t="inlineStr">
        <is>
          <t>任务优先级配置表、模板参数配置表</t>
        </is>
      </c>
      <c r="X1656" s="103" t="inlineStr"/>
      <c r="Y1656" s="97" t="inlineStr">
        <is>
          <t>任务优先级配置表{任务ID、任务名称|任务ID、任务名称、任务类型、任务状态、创建时间、执行时间}
模板参数配置表{配置ID、配置名称|配置ID、配置名称、配置类型、配置值、创建时间}</t>
        </is>
      </c>
      <c r="Z1656" s="90" t="n"/>
      <c r="AA1656" s="90" t="n"/>
    </row>
    <row r="1657" s="112">
      <c r="A1657" s="72">
        <f>ROW()-1</f>
        <v/>
      </c>
      <c r="B1657" s="175" t="n"/>
      <c r="C1657" s="124" t="n">
        <v>2026</v>
      </c>
      <c r="E1657" s="103" t="n"/>
      <c r="F1657" s="175" t="n"/>
      <c r="G1657" s="175" t="n"/>
      <c r="H1657" s="175" t="n"/>
      <c r="I1657" s="103" t="inlineStr">
        <is>
          <t>查询应用列表</t>
        </is>
      </c>
      <c r="J1657" s="93" t="inlineStr">
        <is>
          <t>EO</t>
        </is>
      </c>
      <c r="K1657" s="102" t="n"/>
      <c r="L1657" s="102" t="n"/>
      <c r="M1657" s="85">
        <f>IF(OR(Y1657="估算法",Y1657="算法类",Y1657="无法识别"),"",IF(W1657="",IF(OR(J1657="EI",J1657="EO",J1657="EQ"),0,""),LEN(W1657)-LEN(SUBSTITUTE(W1657,"、",""))+1))</f>
        <v/>
      </c>
      <c r="N1657" s="85">
        <f>IF(OR(Y1657="估算法",Y1657="算法类",Y1657="无法识别"),"",IF(X1657="",IF(OR(J1657="ILF",J1657="EIF"),0,""),LEN(X1657)-LEN(SUBSTITUTE(X1657,"、",""))+1))</f>
        <v/>
      </c>
      <c r="O1657" s="85">
        <f>IF(OR(Y1657="估算法",Y1657="算法类",Y1657="无法识别"),"",IF(Y1657="",IF(OR(J1657="ILF",J1657="EIF",J1657="EI",J1657="EO",J1657="EQ"),0,""),LEN(Y1657)-LEN(SUBSTITUTE(SUBSTITUTE(SUBSTITUTE(SUBSTITUTE(SUBSTITUTE(Y1657,"|}","--"),"{|","--"),CHAR(10),""),"、",""),"|",""))+IF(AND(OR(J1657="EI",J1657="EO",J1657="EQ"),$AE$1="NESMA"),2,1)))</f>
        <v/>
      </c>
      <c r="P1657" s="86">
        <f>IF(J1657="EI",IF(OR(Y1657="估算法",Y1657="算法类"),"中",IF(Y1657="无法识别","低",IF(M1657&lt;2,IF(O1657&lt;16,"低","中"),IF(M1657&lt;3,IF(O1657&lt;5,"低",IF(O1657&lt;16,"中","高")),IF(O1657&lt;5,"中","高"))))),IF(OR(J1657="EO",J1657="EQ"),IF(OR(Y1657="估算法",Y1657="算法类"),"中",IF(Y1657="无法识别","低",IF(M1657&lt;2,IF(O1657&lt;20,"低","中"),IF(M1657&lt;4,IF(O1657&lt;6,"低",IF(O1657&lt;20,"中","高")),IF(O1657&lt;6,"中","高"))))),IF(OR(J1657="ILF",J1657="EIF"),IF(OR(Y1657="估算法",Y1657="算法类",Y1657="无法识别"),"低",IF(N1657&lt;2,IF(O1657&lt;51,"低","中"),IF(N1657&lt;6,IF(O1657&lt;20,"低",IF(O1657&lt;51,"中","高")),IF(O1657&lt;20,"中","高")))),"不计算")))</f>
        <v/>
      </c>
      <c r="Q1657" s="172">
        <f>IFERROR(IF(J1657="EI",IF(P1657="低",3,IF(P1657="中",4,6)),IF(J1657="EO",IF(P1657="低",4,IF(P1657="中",5,7)),IF(J1657="EQ",IF(P1657="低",3,IF(P1657="中",4,6)),IF(J1657="ILF",IF(P1657="低",7,IF(P1657="中",10,15)),IF(J1657="EIF",IF(P1657="低",5,IF(P1657="中",7,10)),"不计算")))))*R1657,"不计算")</f>
        <v/>
      </c>
      <c r="R1657" s="172" t="n">
        <v>1</v>
      </c>
      <c r="S1657" s="173">
        <f>调整因子!$F$13</f>
        <v/>
      </c>
      <c r="T1657" s="93" t="n">
        <v>1</v>
      </c>
      <c r="U1657" s="174">
        <f>IFERROR(Q1657*S1657,0)</f>
        <v/>
      </c>
      <c r="V1657" s="178">
        <f>U1657*T1657</f>
        <v/>
      </c>
      <c r="W1657" s="103" t="inlineStr">
        <is>
          <t>接口参数配置表</t>
        </is>
      </c>
      <c r="X1657" s="103" t="inlineStr"/>
      <c r="Y1657" s="97" t="inlineStr">
        <is>
          <t>接口参数配置表{配置ID、配置名称|配置ID、配置名称、配置类型、配置值、创建时间}</t>
        </is>
      </c>
      <c r="Z1657" s="90" t="n"/>
      <c r="AA1657" s="90" t="n"/>
    </row>
    <row r="1658" s="112">
      <c r="A1658" s="72">
        <f>ROW()-1</f>
        <v/>
      </c>
      <c r="B1658" s="175" t="n"/>
      <c r="C1658" s="124" t="n">
        <v>2026</v>
      </c>
      <c r="E1658" s="103" t="n"/>
      <c r="F1658" s="175" t="n"/>
      <c r="G1658" s="176" t="n"/>
      <c r="H1658" s="176" t="n"/>
      <c r="I1658" s="103" t="inlineStr">
        <is>
          <t>查看应用详情</t>
        </is>
      </c>
      <c r="J1658" s="93" t="inlineStr">
        <is>
          <t>EQ</t>
        </is>
      </c>
      <c r="K1658" s="102" t="n"/>
      <c r="L1658" s="102" t="n"/>
      <c r="M1658" s="85">
        <f>IF(OR(Y1658="估算法",Y1658="算法类",Y1658="无法识别"),"",IF(W1658="",IF(OR(J1658="EI",J1658="EO",J1658="EQ"),0,""),LEN(W1658)-LEN(SUBSTITUTE(W1658,"、",""))+1))</f>
        <v/>
      </c>
      <c r="N1658" s="85">
        <f>IF(OR(Y1658="估算法",Y1658="算法类",Y1658="无法识别"),"",IF(X1658="",IF(OR(J1658="ILF",J1658="EIF"),0,""),LEN(X1658)-LEN(SUBSTITUTE(X1658,"、",""))+1))</f>
        <v/>
      </c>
      <c r="O1658" s="85">
        <f>IF(OR(Y1658="估算法",Y1658="算法类",Y1658="无法识别"),"",IF(Y1658="",IF(OR(J1658="ILF",J1658="EIF",J1658="EI",J1658="EO",J1658="EQ"),0,""),LEN(Y1658)-LEN(SUBSTITUTE(SUBSTITUTE(SUBSTITUTE(SUBSTITUTE(SUBSTITUTE(Y1658,"|}","--"),"{|","--"),CHAR(10),""),"、",""),"|",""))+IF(AND(OR(J1658="EI",J1658="EO",J1658="EQ"),$AE$1="NESMA"),2,1)))</f>
        <v/>
      </c>
      <c r="P1658" s="86">
        <f>IF(J1658="EI",IF(OR(Y1658="估算法",Y1658="算法类"),"中",IF(Y1658="无法识别","低",IF(M1658&lt;2,IF(O1658&lt;16,"低","中"),IF(M1658&lt;3,IF(O1658&lt;5,"低",IF(O1658&lt;16,"中","高")),IF(O1658&lt;5,"中","高"))))),IF(OR(J1658="EO",J1658="EQ"),IF(OR(Y1658="估算法",Y1658="算法类"),"中",IF(Y1658="无法识别","低",IF(M1658&lt;2,IF(O1658&lt;20,"低","中"),IF(M1658&lt;4,IF(O1658&lt;6,"低",IF(O1658&lt;20,"中","高")),IF(O1658&lt;6,"中","高"))))),IF(OR(J1658="ILF",J1658="EIF"),IF(OR(Y1658="估算法",Y1658="算法类",Y1658="无法识别"),"低",IF(N1658&lt;2,IF(O1658&lt;51,"低","中"),IF(N1658&lt;6,IF(O1658&lt;20,"低",IF(O1658&lt;51,"中","高")),IF(O1658&lt;20,"中","高")))),"不计算")))</f>
        <v/>
      </c>
      <c r="Q1658" s="172">
        <f>IFERROR(IF(J1658="EI",IF(P1658="低",3,IF(P1658="中",4,6)),IF(J1658="EO",IF(P1658="低",4,IF(P1658="中",5,7)),IF(J1658="EQ",IF(P1658="低",3,IF(P1658="中",4,6)),IF(J1658="ILF",IF(P1658="低",7,IF(P1658="中",10,15)),IF(J1658="EIF",IF(P1658="低",5,IF(P1658="中",7,10)),"不计算")))))*R1658,"不计算")</f>
        <v/>
      </c>
      <c r="R1658" s="172" t="n">
        <v>1</v>
      </c>
      <c r="S1658" s="173">
        <f>调整因子!$F$13</f>
        <v/>
      </c>
      <c r="T1658" s="92" t="n">
        <v>1</v>
      </c>
      <c r="U1658" s="174">
        <f>IFERROR(Q1658*S1658,0)</f>
        <v/>
      </c>
      <c r="V1658" s="178">
        <f>U1658*T1658</f>
        <v/>
      </c>
      <c r="W1658" s="103" t="inlineStr">
        <is>
          <t>采集记录表</t>
        </is>
      </c>
      <c r="X1658" s="103" t="inlineStr"/>
      <c r="Y1658" s="97" t="inlineStr">
        <is>
          <t>采集记录表{ID、名称|ID、名称、类型}</t>
        </is>
      </c>
      <c r="Z1658" s="90" t="n"/>
      <c r="AA1658" s="90" t="n"/>
    </row>
    <row r="1659" s="112">
      <c r="A1659" s="72">
        <f>ROW()-1</f>
        <v/>
      </c>
      <c r="B1659" s="175" t="n"/>
      <c r="C1659" s="124" t="n">
        <v>2026</v>
      </c>
      <c r="E1659" s="103" t="n"/>
      <c r="F1659" s="175" t="n"/>
      <c r="G1659" s="97" t="inlineStr">
        <is>
          <t>数据表加密存储</t>
        </is>
      </c>
      <c r="H1659" s="97" t="inlineStr">
        <is>
          <t>加密策略配置管理</t>
        </is>
      </c>
      <c r="I1659" s="103" t="inlineStr">
        <is>
          <t>加密策略表</t>
        </is>
      </c>
      <c r="J1659" s="93" t="inlineStr">
        <is>
          <t>ILF</t>
        </is>
      </c>
      <c r="K1659" s="102" t="n"/>
      <c r="L1659" s="102" t="n"/>
      <c r="M1659" s="85">
        <f>IF(OR(Y1659="估算法",Y1659="算法类",Y1659="无法识别"),"",IF(W1659="",IF(OR(J1659="EI",J1659="EO",J1659="EQ"),0,""),LEN(W1659)-LEN(SUBSTITUTE(W1659,"、",""))+1))</f>
        <v/>
      </c>
      <c r="N1659" s="85">
        <f>IF(OR(Y1659="估算法",Y1659="算法类",Y1659="无法识别"),"",IF(X1659="",IF(OR(J1659="ILF",J1659="EIF"),0,""),LEN(X1659)-LEN(SUBSTITUTE(X1659,"、",""))+1))</f>
        <v/>
      </c>
      <c r="O1659" s="85">
        <f>IF(OR(Y1659="估算法",Y1659="算法类",Y1659="无法识别"),"",IF(Y1659="",IF(OR(J1659="ILF",J1659="EIF",J1659="EI",J1659="EO",J1659="EQ"),0,""),LEN(Y1659)-LEN(SUBSTITUTE(SUBSTITUTE(SUBSTITUTE(SUBSTITUTE(SUBSTITUTE(Y1659,"|}","--"),"{|","--"),CHAR(10),""),"、",""),"|",""))+IF(AND(OR(J1659="EI",J1659="EO",J1659="EQ"),$AE$1="NESMA"),2,1)))</f>
        <v/>
      </c>
      <c r="P1659" s="86">
        <f>IF(J1659="EI",IF(OR(Y1659="估算法",Y1659="算法类"),"中",IF(Y1659="无法识别","低",IF(M1659&lt;2,IF(O1659&lt;16,"低","中"),IF(M1659&lt;3,IF(O1659&lt;5,"低",IF(O1659&lt;16,"中","高")),IF(O1659&lt;5,"中","高"))))),IF(OR(J1659="EO",J1659="EQ"),IF(OR(Y1659="估算法",Y1659="算法类"),"中",IF(Y1659="无法识别","低",IF(M1659&lt;2,IF(O1659&lt;20,"低","中"),IF(M1659&lt;4,IF(O1659&lt;6,"低",IF(O1659&lt;20,"中","高")),IF(O1659&lt;6,"中","高"))))),IF(OR(J1659="ILF",J1659="EIF"),IF(OR(Y1659="估算法",Y1659="算法类",Y1659="无法识别"),"低",IF(N1659&lt;2,IF(O1659&lt;51,"低","中"),IF(N1659&lt;6,IF(O1659&lt;20,"低",IF(O1659&lt;51,"中","高")),IF(O1659&lt;20,"中","高")))),"不计算")))</f>
        <v/>
      </c>
      <c r="Q1659" s="172">
        <f>IFERROR(IF(J1659="EI",IF(P1659="低",3,IF(P1659="中",4,6)),IF(J1659="EO",IF(P1659="低",4,IF(P1659="中",5,7)),IF(J1659="EQ",IF(P1659="低",3,IF(P1659="中",4,6)),IF(J1659="ILF",IF(P1659="低",7,IF(P1659="中",10,15)),IF(J1659="EIF",IF(P1659="低",5,IF(P1659="中",7,10)),"不计算")))))*R1659,"不计算")</f>
        <v/>
      </c>
      <c r="R1659" s="172" t="n">
        <v>1</v>
      </c>
      <c r="S1659" s="173">
        <f>调整因子!$F$13</f>
        <v/>
      </c>
      <c r="T1659" s="92" t="n">
        <v>1</v>
      </c>
      <c r="U1659" s="174">
        <f>IFERROR(Q1659*S1659,0)</f>
        <v/>
      </c>
      <c r="V1659" s="178">
        <f>U1659*T1659</f>
        <v/>
      </c>
      <c r="W1659" s="103" t="inlineStr"/>
      <c r="X1659" s="103" t="inlineStr">
        <is>
          <t>配置项</t>
        </is>
      </c>
      <c r="Y1659" s="97" t="inlineStr">
        <is>
          <t>加密策略表{策略ID、策略名称、策略类型|策略ID、策略名称、策略类型、策略内容、生效时间}</t>
        </is>
      </c>
      <c r="Z1659" s="90">
        <f>IF(COUNTIFS(W:W,"*"&amp;I1659&amp;"*")&gt;0,"存在","不存在")</f>
        <v/>
      </c>
      <c r="AA1659" s="90">
        <f>IF(COUNTIFS(AB:AB,"*"&amp;I1659&amp;"*")&gt;0,"存在","不存在")</f>
        <v/>
      </c>
    </row>
    <row r="1660" s="112">
      <c r="A1660" s="72">
        <f>ROW()-1</f>
        <v/>
      </c>
      <c r="B1660" s="175" t="n"/>
      <c r="C1660" s="124" t="n">
        <v>2026</v>
      </c>
      <c r="E1660" s="103" t="n"/>
      <c r="F1660" s="175" t="n"/>
      <c r="G1660" s="175" t="n"/>
      <c r="H1660" s="175" t="n"/>
      <c r="I1660" s="103" t="inlineStr">
        <is>
          <t>加密算法表</t>
        </is>
      </c>
      <c r="J1660" s="93" t="inlineStr">
        <is>
          <t>ILF</t>
        </is>
      </c>
      <c r="K1660" s="102" t="n"/>
      <c r="L1660" s="102" t="n"/>
      <c r="M1660" s="85">
        <f>IF(OR(Y1660="估算法",Y1660="算法类",Y1660="无法识别"),"",IF(W1660="",IF(OR(J1660="EI",J1660="EO",J1660="EQ"),0,""),LEN(W1660)-LEN(SUBSTITUTE(W1660,"、",""))+1))</f>
        <v/>
      </c>
      <c r="N1660" s="85">
        <f>IF(OR(Y1660="估算法",Y1660="算法类",Y1660="无法识别"),"",IF(X1660="",IF(OR(J1660="ILF",J1660="EIF"),0,""),LEN(X1660)-LEN(SUBSTITUTE(X1660,"、",""))+1))</f>
        <v/>
      </c>
      <c r="O1660" s="85">
        <f>IF(OR(Y1660="估算法",Y1660="算法类",Y1660="无法识别"),"",IF(Y1660="",IF(OR(J1660="ILF",J1660="EIF",J1660="EI",J1660="EO",J1660="EQ"),0,""),LEN(Y1660)-LEN(SUBSTITUTE(SUBSTITUTE(SUBSTITUTE(SUBSTITUTE(SUBSTITUTE(Y1660,"|}","--"),"{|","--"),CHAR(10),""),"、",""),"|",""))+IF(AND(OR(J1660="EI",J1660="EO",J1660="EQ"),$AE$1="NESMA"),2,1)))</f>
        <v/>
      </c>
      <c r="P1660" s="86">
        <f>IF(J1660="EI",IF(OR(Y1660="估算法",Y1660="算法类"),"中",IF(Y1660="无法识别","低",IF(M1660&lt;2,IF(O1660&lt;16,"低","中"),IF(M1660&lt;3,IF(O1660&lt;5,"低",IF(O1660&lt;16,"中","高")),IF(O1660&lt;5,"中","高"))))),IF(OR(J1660="EO",J1660="EQ"),IF(OR(Y1660="估算法",Y1660="算法类"),"中",IF(Y1660="无法识别","低",IF(M1660&lt;2,IF(O1660&lt;20,"低","中"),IF(M1660&lt;4,IF(O1660&lt;6,"低",IF(O1660&lt;20,"中","高")),IF(O1660&lt;6,"中","高"))))),IF(OR(J1660="ILF",J1660="EIF"),IF(OR(Y1660="估算法",Y1660="算法类",Y1660="无法识别"),"低",IF(N1660&lt;2,IF(O1660&lt;51,"低","中"),IF(N1660&lt;6,IF(O1660&lt;20,"低",IF(O1660&lt;51,"中","高")),IF(O1660&lt;20,"中","高")))),"不计算")))</f>
        <v/>
      </c>
      <c r="Q1660" s="172">
        <f>IFERROR(IF(J1660="EI",IF(P1660="低",3,IF(P1660="中",4,6)),IF(J1660="EO",IF(P1660="低",4,IF(P1660="中",5,7)),IF(J1660="EQ",IF(P1660="低",3,IF(P1660="中",4,6)),IF(J1660="ILF",IF(P1660="低",7,IF(P1660="中",10,15)),IF(J1660="EIF",IF(P1660="低",5,IF(P1660="中",7,10)),"不计算")))))*R1660,"不计算")</f>
        <v/>
      </c>
      <c r="R1660" s="172" t="n">
        <v>1</v>
      </c>
      <c r="S1660" s="173">
        <f>调整因子!$F$13</f>
        <v/>
      </c>
      <c r="T1660" s="93" t="n">
        <v>1</v>
      </c>
      <c r="U1660" s="174">
        <f>IFERROR(Q1660*S1660,0)</f>
        <v/>
      </c>
      <c r="V1660" s="178">
        <f>U1660*T1660</f>
        <v/>
      </c>
      <c r="W1660" s="103" t="inlineStr"/>
      <c r="X1660" s="103" t="inlineStr">
        <is>
          <t>数据记录</t>
        </is>
      </c>
      <c r="Y1660" s="97" t="inlineStr">
        <is>
          <t>加密算法表{ID、名称、类型|ID、名称、类型、状态、创建时间、更新时间}</t>
        </is>
      </c>
      <c r="Z1660" s="90">
        <f>IF(COUNTIFS(W:W,"*"&amp;I1660&amp;"*")&gt;0,"存在","不存在")</f>
        <v/>
      </c>
      <c r="AA1660" s="90">
        <f>IF(COUNTIFS(AB:AB,"*"&amp;I1660&amp;"*")&gt;0,"存在","不存在")</f>
        <v/>
      </c>
    </row>
    <row r="1661" s="112">
      <c r="A1661" s="72">
        <f>ROW()-1</f>
        <v/>
      </c>
      <c r="B1661" s="175" t="n"/>
      <c r="C1661" s="124" t="n">
        <v>2026</v>
      </c>
      <c r="E1661" s="103" t="n"/>
      <c r="F1661" s="175" t="n"/>
      <c r="G1661" s="175" t="n"/>
      <c r="H1661" s="175" t="n"/>
      <c r="I1661" s="103" t="inlineStr">
        <is>
          <t>编辑加密策略</t>
        </is>
      </c>
      <c r="J1661" s="93" t="inlineStr">
        <is>
          <t>EI</t>
        </is>
      </c>
      <c r="K1661" s="102" t="n"/>
      <c r="L1661" s="102" t="n"/>
      <c r="M1661" s="85">
        <f>IF(OR(Y1661="估算法",Y1661="算法类",Y1661="无法识别"),"",IF(W1661="",IF(OR(J1661="EI",J1661="EO",J1661="EQ"),0,""),LEN(W1661)-LEN(SUBSTITUTE(W1661,"、",""))+1))</f>
        <v/>
      </c>
      <c r="N1661" s="85">
        <f>IF(OR(Y1661="估算法",Y1661="算法类",Y1661="无法识别"),"",IF(X1661="",IF(OR(J1661="ILF",J1661="EIF"),0,""),LEN(X1661)-LEN(SUBSTITUTE(X1661,"、",""))+1))</f>
        <v/>
      </c>
      <c r="O1661" s="85">
        <f>IF(OR(Y1661="估算法",Y1661="算法类",Y1661="无法识别"),"",IF(Y1661="",IF(OR(J1661="ILF",J1661="EIF",J1661="EI",J1661="EO",J1661="EQ"),0,""),LEN(Y1661)-LEN(SUBSTITUTE(SUBSTITUTE(SUBSTITUTE(SUBSTITUTE(SUBSTITUTE(Y1661,"|}","--"),"{|","--"),CHAR(10),""),"、",""),"|",""))+IF(AND(OR(J1661="EI",J1661="EO",J1661="EQ"),$AE$1="NESMA"),2,1)))</f>
        <v/>
      </c>
      <c r="P1661" s="86">
        <f>IF(J1661="EI",IF(OR(Y1661="估算法",Y1661="算法类"),"中",IF(Y1661="无法识别","低",IF(M1661&lt;2,IF(O1661&lt;16,"低","中"),IF(M1661&lt;3,IF(O1661&lt;5,"低",IF(O1661&lt;16,"中","高")),IF(O1661&lt;5,"中","高"))))),IF(OR(J1661="EO",J1661="EQ"),IF(OR(Y1661="估算法",Y1661="算法类"),"中",IF(Y1661="无法识别","低",IF(M1661&lt;2,IF(O1661&lt;20,"低","中"),IF(M1661&lt;4,IF(O1661&lt;6,"低",IF(O1661&lt;20,"中","高")),IF(O1661&lt;6,"中","高"))))),IF(OR(J1661="ILF",J1661="EIF"),IF(OR(Y1661="估算法",Y1661="算法类",Y1661="无法识别"),"低",IF(N1661&lt;2,IF(O1661&lt;51,"低","中"),IF(N1661&lt;6,IF(O1661&lt;20,"低",IF(O1661&lt;51,"中","高")),IF(O1661&lt;20,"中","高")))),"不计算")))</f>
        <v/>
      </c>
      <c r="Q1661" s="172">
        <f>IFERROR(IF(J1661="EI",IF(P1661="低",3,IF(P1661="中",4,6)),IF(J1661="EO",IF(P1661="低",4,IF(P1661="中",5,7)),IF(J1661="EQ",IF(P1661="低",3,IF(P1661="中",4,6)),IF(J1661="ILF",IF(P1661="低",7,IF(P1661="中",10,15)),IF(J1661="EIF",IF(P1661="低",5,IF(P1661="中",7,10)),"不计算")))))*R1661,"不计算")</f>
        <v/>
      </c>
      <c r="R1661" s="172" t="n">
        <v>1</v>
      </c>
      <c r="S1661" s="173">
        <f>调整因子!$F$13</f>
        <v/>
      </c>
      <c r="T1661" s="92" t="n">
        <v>1</v>
      </c>
      <c r="U1661" s="174">
        <f>IFERROR(Q1661*S1661,0)</f>
        <v/>
      </c>
      <c r="V1661" s="178">
        <f>U1661*T1661</f>
        <v/>
      </c>
      <c r="W1661" s="103" t="inlineStr">
        <is>
          <t>扫描策略模板表</t>
        </is>
      </c>
      <c r="X1661" s="103" t="inlineStr"/>
      <c r="Y1661" s="97" t="inlineStr">
        <is>
          <t>扫描策略模板表{任务ID、任务名称、任务状态、扫描器类型、开始时间、结束时间、扫描结果|任务ID、任务名称、任务状态}</t>
        </is>
      </c>
      <c r="Z1661" s="90" t="n"/>
      <c r="AA1661" s="90" t="n"/>
    </row>
    <row r="1662" s="112">
      <c r="A1662" s="72">
        <f>ROW()-1</f>
        <v/>
      </c>
      <c r="B1662" s="175" t="n"/>
      <c r="C1662" s="124" t="n">
        <v>2026</v>
      </c>
      <c r="E1662" s="103" t="n"/>
      <c r="F1662" s="175" t="n"/>
      <c r="G1662" s="175" t="n"/>
      <c r="H1662" s="175" t="n"/>
      <c r="I1662" s="103" t="inlineStr">
        <is>
          <t>删除加密策略</t>
        </is>
      </c>
      <c r="J1662" s="93" t="inlineStr">
        <is>
          <t>EI</t>
        </is>
      </c>
      <c r="K1662" s="102" t="n"/>
      <c r="L1662" s="102" t="n"/>
      <c r="M1662" s="85">
        <f>IF(OR(Y1662="估算法",Y1662="算法类",Y1662="无法识别"),"",IF(W1662="",IF(OR(J1662="EI",J1662="EO",J1662="EQ"),0,""),LEN(W1662)-LEN(SUBSTITUTE(W1662,"、",""))+1))</f>
        <v/>
      </c>
      <c r="N1662" s="85">
        <f>IF(OR(Y1662="估算法",Y1662="算法类",Y1662="无法识别"),"",IF(X1662="",IF(OR(J1662="ILF",J1662="EIF"),0,""),LEN(X1662)-LEN(SUBSTITUTE(X1662,"、",""))+1))</f>
        <v/>
      </c>
      <c r="O1662" s="85">
        <f>IF(OR(Y1662="估算法",Y1662="算法类",Y1662="无法识别"),"",IF(Y1662="",IF(OR(J1662="ILF",J1662="EIF",J1662="EI",J1662="EO",J1662="EQ"),0,""),LEN(Y1662)-LEN(SUBSTITUTE(SUBSTITUTE(SUBSTITUTE(SUBSTITUTE(SUBSTITUTE(Y1662,"|}","--"),"{|","--"),CHAR(10),""),"、",""),"|",""))+IF(AND(OR(J1662="EI",J1662="EO",J1662="EQ"),$AE$1="NESMA"),2,1)))</f>
        <v/>
      </c>
      <c r="P1662" s="86">
        <f>IF(J1662="EI",IF(OR(Y1662="估算法",Y1662="算法类"),"中",IF(Y1662="无法识别","低",IF(M1662&lt;2,IF(O1662&lt;16,"低","中"),IF(M1662&lt;3,IF(O1662&lt;5,"低",IF(O1662&lt;16,"中","高")),IF(O1662&lt;5,"中","高"))))),IF(OR(J1662="EO",J1662="EQ"),IF(OR(Y1662="估算法",Y1662="算法类"),"中",IF(Y1662="无法识别","低",IF(M1662&lt;2,IF(O1662&lt;20,"低","中"),IF(M1662&lt;4,IF(O1662&lt;6,"低",IF(O1662&lt;20,"中","高")),IF(O1662&lt;6,"中","高"))))),IF(OR(J1662="ILF",J1662="EIF"),IF(OR(Y1662="估算法",Y1662="算法类",Y1662="无法识别"),"低",IF(N1662&lt;2,IF(O1662&lt;51,"低","中"),IF(N1662&lt;6,IF(O1662&lt;20,"低",IF(O1662&lt;51,"中","高")),IF(O1662&lt;20,"中","高")))),"不计算")))</f>
        <v/>
      </c>
      <c r="Q1662" s="172">
        <f>IFERROR(IF(J1662="EI",IF(P1662="低",3,IF(P1662="中",4,6)),IF(J1662="EO",IF(P1662="低",4,IF(P1662="中",5,7)),IF(J1662="EQ",IF(P1662="低",3,IF(P1662="中",4,6)),IF(J1662="ILF",IF(P1662="低",7,IF(P1662="中",10,15)),IF(J1662="EIF",IF(P1662="低",5,IF(P1662="中",7,10)),"不计算")))))*R1662,"不计算")</f>
        <v/>
      </c>
      <c r="R1662" s="172" t="n">
        <v>0.333333333333333</v>
      </c>
      <c r="S1662" s="173">
        <f>调整因子!$F$13</f>
        <v/>
      </c>
      <c r="T1662" s="92" t="n">
        <v>1</v>
      </c>
      <c r="U1662" s="174">
        <f>IFERROR(Q1662*S1662,0)</f>
        <v/>
      </c>
      <c r="V1662" s="178">
        <f>U1662*T1662</f>
        <v/>
      </c>
      <c r="W1662" s="103" t="inlineStr">
        <is>
          <t>扫描策略模板表</t>
        </is>
      </c>
      <c r="X1662" s="103" t="inlineStr"/>
      <c r="Y1662" s="97" t="inlineStr">
        <is>
          <t>扫描策略模板表{任务ID、任务名称、任务状态、扫描器类型、开始时间、结束时间、扫描结果|任务ID、任务名称、任务状态}</t>
        </is>
      </c>
      <c r="Z1662" s="90" t="n"/>
      <c r="AA1662" s="90" t="n"/>
    </row>
    <row r="1663" s="112">
      <c r="A1663" s="72">
        <f>ROW()-1</f>
        <v/>
      </c>
      <c r="B1663" s="175" t="n"/>
      <c r="C1663" s="124" t="n">
        <v>2026</v>
      </c>
      <c r="E1663" s="103" t="n"/>
      <c r="F1663" s="175" t="n"/>
      <c r="G1663" s="175" t="n"/>
      <c r="H1663" s="175" t="n"/>
      <c r="I1663" s="103" t="inlineStr">
        <is>
          <t>启用加密策略</t>
        </is>
      </c>
      <c r="J1663" s="93" t="inlineStr">
        <is>
          <t>EI</t>
        </is>
      </c>
      <c r="K1663" s="102" t="n"/>
      <c r="L1663" s="102" t="n"/>
      <c r="M1663" s="85">
        <f>IF(OR(Y1663="估算法",Y1663="算法类",Y1663="无法识别"),"",IF(W1663="",IF(OR(J1663="EI",J1663="EO",J1663="EQ"),0,""),LEN(W1663)-LEN(SUBSTITUTE(W1663,"、",""))+1))</f>
        <v/>
      </c>
      <c r="N1663" s="85">
        <f>IF(OR(Y1663="估算法",Y1663="算法类",Y1663="无法识别"),"",IF(X1663="",IF(OR(J1663="ILF",J1663="EIF"),0,""),LEN(X1663)-LEN(SUBSTITUTE(X1663,"、",""))+1))</f>
        <v/>
      </c>
      <c r="O1663" s="85">
        <f>IF(OR(Y1663="估算法",Y1663="算法类",Y1663="无法识别"),"",IF(Y1663="",IF(OR(J1663="ILF",J1663="EIF",J1663="EI",J1663="EO",J1663="EQ"),0,""),LEN(Y1663)-LEN(SUBSTITUTE(SUBSTITUTE(SUBSTITUTE(SUBSTITUTE(SUBSTITUTE(Y1663,"|}","--"),"{|","--"),CHAR(10),""),"、",""),"|",""))+IF(AND(OR(J1663="EI",J1663="EO",J1663="EQ"),$AE$1="NESMA"),2,1)))</f>
        <v/>
      </c>
      <c r="P1663" s="86">
        <f>IF(J1663="EI",IF(OR(Y1663="估算法",Y1663="算法类"),"中",IF(Y1663="无法识别","低",IF(M1663&lt;2,IF(O1663&lt;16,"低","中"),IF(M1663&lt;3,IF(O1663&lt;5,"低",IF(O1663&lt;16,"中","高")),IF(O1663&lt;5,"中","高"))))),IF(OR(J1663="EO",J1663="EQ"),IF(OR(Y1663="估算法",Y1663="算法类"),"中",IF(Y1663="无法识别","低",IF(M1663&lt;2,IF(O1663&lt;20,"低","中"),IF(M1663&lt;4,IF(O1663&lt;6,"低",IF(O1663&lt;20,"中","高")),IF(O1663&lt;6,"中","高"))))),IF(OR(J1663="ILF",J1663="EIF"),IF(OR(Y1663="估算法",Y1663="算法类",Y1663="无法识别"),"低",IF(N1663&lt;2,IF(O1663&lt;51,"低","中"),IF(N1663&lt;6,IF(O1663&lt;20,"低",IF(O1663&lt;51,"中","高")),IF(O1663&lt;20,"中","高")))),"不计算")))</f>
        <v/>
      </c>
      <c r="Q1663" s="172">
        <f>IFERROR(IF(J1663="EI",IF(P1663="低",3,IF(P1663="中",4,6)),IF(J1663="EO",IF(P1663="低",4,IF(P1663="中",5,7)),IF(J1663="EQ",IF(P1663="低",3,IF(P1663="中",4,6)),IF(J1663="ILF",IF(P1663="低",7,IF(P1663="中",10,15)),IF(J1663="EIF",IF(P1663="低",5,IF(P1663="中",7,10)),"不计算")))))*R1663,"不计算")</f>
        <v/>
      </c>
      <c r="R1663" s="172" t="n">
        <v>1</v>
      </c>
      <c r="S1663" s="173">
        <f>调整因子!$F$13</f>
        <v/>
      </c>
      <c r="T1663" s="93" t="n">
        <v>1</v>
      </c>
      <c r="U1663" s="174">
        <f>IFERROR(Q1663*S1663,0)</f>
        <v/>
      </c>
      <c r="V1663" s="178">
        <f>U1663*T1663</f>
        <v/>
      </c>
      <c r="W1663" s="103" t="inlineStr">
        <is>
          <t>扫描策略模板表</t>
        </is>
      </c>
      <c r="X1663" s="103" t="inlineStr"/>
      <c r="Y1663" s="97" t="inlineStr">
        <is>
          <t>扫描策略模板表{任务ID、任务名称、任务状态、扫描器类型、开始时间|任务ID、任务名称、任务状态}</t>
        </is>
      </c>
      <c r="Z1663" s="90" t="n"/>
      <c r="AA1663" s="90" t="n"/>
    </row>
    <row r="1664" s="112">
      <c r="A1664" s="72">
        <f>ROW()-1</f>
        <v/>
      </c>
      <c r="B1664" s="175" t="n"/>
      <c r="C1664" s="124" t="n">
        <v>2026</v>
      </c>
      <c r="E1664" s="103" t="n"/>
      <c r="F1664" s="175" t="n"/>
      <c r="G1664" s="175" t="n"/>
      <c r="H1664" s="175" t="n"/>
      <c r="I1664" s="103" t="inlineStr">
        <is>
          <t>停用加密策略</t>
        </is>
      </c>
      <c r="J1664" s="93" t="n"/>
      <c r="K1664" s="102" t="n"/>
      <c r="L1664" s="102" t="inlineStr">
        <is>
          <t>和上行合并，启停为相同功能</t>
        </is>
      </c>
      <c r="M1664" s="85">
        <f>IF(OR(Y1664="估算法",Y1664="算法类",Y1664="无法识别"),"",IF(W1664="",IF(OR(J1664="EI",J1664="EO",J1664="EQ"),0,""),LEN(W1664)-LEN(SUBSTITUTE(W1664,"、",""))+1))</f>
        <v/>
      </c>
      <c r="N1664" s="85">
        <f>IF(OR(Y1664="估算法",Y1664="算法类",Y1664="无法识别"),"",IF(X1664="",IF(OR(J1664="ILF",J1664="EIF"),0,""),LEN(X1664)-LEN(SUBSTITUTE(X1664,"、",""))+1))</f>
        <v/>
      </c>
      <c r="O1664" s="85">
        <f>IF(OR(Y1664="估算法",Y1664="算法类",Y1664="无法识别"),"",IF(Y1664="",IF(OR(J1664="ILF",J1664="EIF",J1664="EI",J1664="EO",J1664="EQ"),0,""),LEN(Y1664)-LEN(SUBSTITUTE(SUBSTITUTE(SUBSTITUTE(SUBSTITUTE(SUBSTITUTE(Y1664,"|}","--"),"{|","--"),CHAR(10),""),"、",""),"|",""))+IF(AND(OR(J1664="EI",J1664="EO",J1664="EQ"),$AE$1="NESMA"),2,1)))</f>
        <v/>
      </c>
      <c r="P1664" s="86">
        <f>IF(J1664="EI",IF(OR(Y1664="估算法",Y1664="算法类"),"中",IF(Y1664="无法识别","低",IF(M1664&lt;2,IF(O1664&lt;16,"低","中"),IF(M1664&lt;3,IF(O1664&lt;5,"低",IF(O1664&lt;16,"中","高")),IF(O1664&lt;5,"中","高"))))),IF(OR(J1664="EO",J1664="EQ"),IF(OR(Y1664="估算法",Y1664="算法类"),"中",IF(Y1664="无法识别","低",IF(M1664&lt;2,IF(O1664&lt;20,"低","中"),IF(M1664&lt;4,IF(O1664&lt;6,"低",IF(O1664&lt;20,"中","高")),IF(O1664&lt;6,"中","高"))))),IF(OR(J1664="ILF",J1664="EIF"),IF(OR(Y1664="估算法",Y1664="算法类",Y1664="无法识别"),"低",IF(N1664&lt;2,IF(O1664&lt;51,"低","中"),IF(N1664&lt;6,IF(O1664&lt;20,"低",IF(O1664&lt;51,"中","高")),IF(O1664&lt;20,"中","高")))),"不计算")))</f>
        <v/>
      </c>
      <c r="Q1664" s="172">
        <f>IFERROR(IF(J1664="EI",IF(P1664="低",3,IF(P1664="中",4,6)),IF(J1664="EO",IF(P1664="低",4,IF(P1664="中",5,7)),IF(J1664="EQ",IF(P1664="低",3,IF(P1664="中",4,6)),IF(J1664="ILF",IF(P1664="低",7,IF(P1664="中",10,15)),IF(J1664="EIF",IF(P1664="低",5,IF(P1664="中",7,10)),"不计算")))))*R1664,"不计算")</f>
        <v/>
      </c>
      <c r="R1664" s="172" t="n">
        <v>1</v>
      </c>
      <c r="S1664" s="173">
        <f>调整因子!$F$13</f>
        <v/>
      </c>
      <c r="T1664" s="93" t="n">
        <v>1</v>
      </c>
      <c r="U1664" s="174">
        <f>IFERROR(Q1664*S1664,0)</f>
        <v/>
      </c>
      <c r="V1664" s="178">
        <f>U1664*T1664</f>
        <v/>
      </c>
      <c r="W1664" s="103" t="inlineStr">
        <is>
          <t>扫描策略模板表</t>
        </is>
      </c>
      <c r="X1664" s="103" t="inlineStr"/>
      <c r="Y1664" s="97" t="inlineStr">
        <is>
          <t>扫描策略模板表{任务ID、任务名称、任务状态、扫描器类型、开始时间、结束时间、扫描结果|任务ID、任务名称、任务状态}</t>
        </is>
      </c>
      <c r="Z1664" s="90" t="n"/>
      <c r="AA1664" s="90" t="n"/>
    </row>
    <row r="1665" s="112">
      <c r="A1665" s="72">
        <f>ROW()-1</f>
        <v/>
      </c>
      <c r="B1665" s="175" t="n"/>
      <c r="C1665" s="124" t="n">
        <v>2026</v>
      </c>
      <c r="E1665" s="103" t="n"/>
      <c r="F1665" s="175" t="n"/>
      <c r="G1665" s="175" t="n"/>
      <c r="H1665" s="175" t="n"/>
      <c r="I1665" s="103" t="inlineStr">
        <is>
          <t>导出加密配置</t>
        </is>
      </c>
      <c r="J1665" s="93" t="inlineStr">
        <is>
          <t>EO</t>
        </is>
      </c>
      <c r="K1665" s="102" t="n"/>
      <c r="L1665" s="102" t="n"/>
      <c r="M1665" s="85">
        <f>IF(OR(Y1665="估算法",Y1665="算法类",Y1665="无法识别"),"",IF(W1665="",IF(OR(J1665="EI",J1665="EO",J1665="EQ"),0,""),LEN(W1665)-LEN(SUBSTITUTE(W1665,"、",""))+1))</f>
        <v/>
      </c>
      <c r="N1665" s="85">
        <f>IF(OR(Y1665="估算法",Y1665="算法类",Y1665="无法识别"),"",IF(X1665="",IF(OR(J1665="ILF",J1665="EIF"),0,""),LEN(X1665)-LEN(SUBSTITUTE(X1665,"、",""))+1))</f>
        <v/>
      </c>
      <c r="O1665" s="85">
        <f>IF(OR(Y1665="估算法",Y1665="算法类",Y1665="无法识别"),"",IF(Y1665="",IF(OR(J1665="ILF",J1665="EIF",J1665="EI",J1665="EO",J1665="EQ"),0,""),LEN(Y1665)-LEN(SUBSTITUTE(SUBSTITUTE(SUBSTITUTE(SUBSTITUTE(SUBSTITUTE(Y1665,"|}","--"),"{|","--"),CHAR(10),""),"、",""),"|",""))+IF(AND(OR(J1665="EI",J1665="EO",J1665="EQ"),$AE$1="NESMA"),2,1)))</f>
        <v/>
      </c>
      <c r="P1665" s="86">
        <f>IF(J1665="EI",IF(OR(Y1665="估算法",Y1665="算法类"),"中",IF(Y1665="无法识别","低",IF(M1665&lt;2,IF(O1665&lt;16,"低","中"),IF(M1665&lt;3,IF(O1665&lt;5,"低",IF(O1665&lt;16,"中","高")),IF(O1665&lt;5,"中","高"))))),IF(OR(J1665="EO",J1665="EQ"),IF(OR(Y1665="估算法",Y1665="算法类"),"中",IF(Y1665="无法识别","低",IF(M1665&lt;2,IF(O1665&lt;20,"低","中"),IF(M1665&lt;4,IF(O1665&lt;6,"低",IF(O1665&lt;20,"中","高")),IF(O1665&lt;6,"中","高"))))),IF(OR(J1665="ILF",J1665="EIF"),IF(OR(Y1665="估算法",Y1665="算法类",Y1665="无法识别"),"低",IF(N1665&lt;2,IF(O1665&lt;51,"低","中"),IF(N1665&lt;6,IF(O1665&lt;20,"低",IF(O1665&lt;51,"中","高")),IF(O1665&lt;20,"中","高")))),"不计算")))</f>
        <v/>
      </c>
      <c r="Q1665" s="172">
        <f>IFERROR(IF(J1665="EI",IF(P1665="低",3,IF(P1665="中",4,6)),IF(J1665="EO",IF(P1665="低",4,IF(P1665="中",5,7)),IF(J1665="EQ",IF(P1665="低",3,IF(P1665="中",4,6)),IF(J1665="ILF",IF(P1665="低",7,IF(P1665="中",10,15)),IF(J1665="EIF",IF(P1665="低",5,IF(P1665="中",7,10)),"不计算")))))*R1665,"不计算")</f>
        <v/>
      </c>
      <c r="R1665" s="172" t="n">
        <v>1</v>
      </c>
      <c r="S1665" s="173">
        <f>调整因子!$F$13</f>
        <v/>
      </c>
      <c r="T1665" s="92" t="n">
        <v>1</v>
      </c>
      <c r="U1665" s="174">
        <f>IFERROR(Q1665*S1665,0)</f>
        <v/>
      </c>
      <c r="V1665" s="178">
        <f>U1665*T1665</f>
        <v/>
      </c>
      <c r="W1665" s="103" t="inlineStr">
        <is>
          <t>任务优先级配置表</t>
        </is>
      </c>
      <c r="X1665" s="103" t="inlineStr"/>
      <c r="Y1665" s="97" t="inlineStr">
        <is>
          <t>任务优先级配置表{任务ID、任务名称|任务ID、任务名称、任务类型、任务状态}</t>
        </is>
      </c>
      <c r="Z1665" s="90" t="n"/>
      <c r="AA1665" s="90" t="n"/>
    </row>
    <row r="1666" s="112">
      <c r="A1666" s="72">
        <f>ROW()-1</f>
        <v/>
      </c>
      <c r="B1666" s="175" t="n"/>
      <c r="C1666" s="124" t="n">
        <v>2026</v>
      </c>
      <c r="E1666" s="103" t="n"/>
      <c r="F1666" s="175" t="n"/>
      <c r="G1666" s="175" t="n"/>
      <c r="H1666" s="175" t="n"/>
      <c r="I1666" s="103" t="inlineStr">
        <is>
          <t>查询加密策略</t>
        </is>
      </c>
      <c r="J1666" s="93" t="inlineStr">
        <is>
          <t>EQ</t>
        </is>
      </c>
      <c r="K1666" s="102" t="n"/>
      <c r="L1666" s="102" t="n"/>
      <c r="M1666" s="85">
        <f>IF(OR(Y1666="估算法",Y1666="算法类",Y1666="无法识别"),"",IF(W1666="",IF(OR(J1666="EI",J1666="EO",J1666="EQ"),0,""),LEN(W1666)-LEN(SUBSTITUTE(W1666,"、",""))+1))</f>
        <v/>
      </c>
      <c r="N1666" s="85">
        <f>IF(OR(Y1666="估算法",Y1666="算法类",Y1666="无法识别"),"",IF(X1666="",IF(OR(J1666="ILF",J1666="EIF"),0,""),LEN(X1666)-LEN(SUBSTITUTE(X1666,"、",""))+1))</f>
        <v/>
      </c>
      <c r="O1666" s="85">
        <f>IF(OR(Y1666="估算法",Y1666="算法类",Y1666="无法识别"),"",IF(Y1666="",IF(OR(J1666="ILF",J1666="EIF",J1666="EI",J1666="EO",J1666="EQ"),0,""),LEN(Y1666)-LEN(SUBSTITUTE(SUBSTITUTE(SUBSTITUTE(SUBSTITUTE(SUBSTITUTE(Y1666,"|}","--"),"{|","--"),CHAR(10),""),"、",""),"|",""))+IF(AND(OR(J1666="EI",J1666="EO",J1666="EQ"),$AE$1="NESMA"),2,1)))</f>
        <v/>
      </c>
      <c r="P1666" s="86">
        <f>IF(J1666="EI",IF(OR(Y1666="估算法",Y1666="算法类"),"中",IF(Y1666="无法识别","低",IF(M1666&lt;2,IF(O1666&lt;16,"低","中"),IF(M1666&lt;3,IF(O1666&lt;5,"低",IF(O1666&lt;16,"中","高")),IF(O1666&lt;5,"中","高"))))),IF(OR(J1666="EO",J1666="EQ"),IF(OR(Y1666="估算法",Y1666="算法类"),"中",IF(Y1666="无法识别","低",IF(M1666&lt;2,IF(O1666&lt;20,"低","中"),IF(M1666&lt;4,IF(O1666&lt;6,"低",IF(O1666&lt;20,"中","高")),IF(O1666&lt;6,"中","高"))))),IF(OR(J1666="ILF",J1666="EIF"),IF(OR(Y1666="估算法",Y1666="算法类",Y1666="无法识别"),"低",IF(N1666&lt;2,IF(O1666&lt;51,"低","中"),IF(N1666&lt;6,IF(O1666&lt;20,"低",IF(O1666&lt;51,"中","高")),IF(O1666&lt;20,"中","高")))),"不计算")))</f>
        <v/>
      </c>
      <c r="Q1666" s="172">
        <f>IFERROR(IF(J1666="EI",IF(P1666="低",3,IF(P1666="中",4,6)),IF(J1666="EO",IF(P1666="低",4,IF(P1666="中",5,7)),IF(J1666="EQ",IF(P1666="低",3,IF(P1666="中",4,6)),IF(J1666="ILF",IF(P1666="低",7,IF(P1666="中",10,15)),IF(J1666="EIF",IF(P1666="低",5,IF(P1666="中",7,10)),"不计算")))))*R1666,"不计算")</f>
        <v/>
      </c>
      <c r="R1666" s="172" t="n">
        <v>1</v>
      </c>
      <c r="S1666" s="173">
        <f>调整因子!$F$13</f>
        <v/>
      </c>
      <c r="T1666" s="92" t="n">
        <v>1</v>
      </c>
      <c r="U1666" s="174">
        <f>IFERROR(Q1666*S1666,0)</f>
        <v/>
      </c>
      <c r="V1666" s="178">
        <f>U1666*T1666</f>
        <v/>
      </c>
      <c r="W1666" s="103" t="inlineStr">
        <is>
          <t>扫描策略模板表</t>
        </is>
      </c>
      <c r="X1666" s="103" t="inlineStr"/>
      <c r="Y1666" s="97" t="inlineStr">
        <is>
          <t>扫描策略模板表{任务ID、任务名称|任务ID、任务名称、任务状态、扫描器类型}</t>
        </is>
      </c>
      <c r="Z1666" s="90" t="n"/>
      <c r="AA1666" s="90" t="n"/>
    </row>
    <row r="1667" s="112">
      <c r="A1667" s="72">
        <f>ROW()-1</f>
        <v/>
      </c>
      <c r="B1667" s="175" t="n"/>
      <c r="C1667" s="124" t="n">
        <v>2026</v>
      </c>
      <c r="E1667" s="103" t="n"/>
      <c r="F1667" s="175" t="n"/>
      <c r="G1667" s="175" t="n"/>
      <c r="H1667" s="176" t="n"/>
      <c r="I1667" s="103" t="inlineStr">
        <is>
          <t>查看加密详情</t>
        </is>
      </c>
      <c r="J1667" s="93" t="inlineStr">
        <is>
          <t>EQ</t>
        </is>
      </c>
      <c r="K1667" s="102" t="n"/>
      <c r="L1667" s="102" t="n"/>
      <c r="M1667" s="85">
        <f>IF(OR(Y1667="估算法",Y1667="算法类",Y1667="无法识别"),"",IF(W1667="",IF(OR(J1667="EI",J1667="EO",J1667="EQ"),0,""),LEN(W1667)-LEN(SUBSTITUTE(W1667,"、",""))+1))</f>
        <v/>
      </c>
      <c r="N1667" s="85">
        <f>IF(OR(Y1667="估算法",Y1667="算法类",Y1667="无法识别"),"",IF(X1667="",IF(OR(J1667="ILF",J1667="EIF"),0,""),LEN(X1667)-LEN(SUBSTITUTE(X1667,"、",""))+1))</f>
        <v/>
      </c>
      <c r="O1667" s="85">
        <f>IF(OR(Y1667="估算法",Y1667="算法类",Y1667="无法识别"),"",IF(Y1667="",IF(OR(J1667="ILF",J1667="EIF",J1667="EI",J1667="EO",J1667="EQ"),0,""),LEN(Y1667)-LEN(SUBSTITUTE(SUBSTITUTE(SUBSTITUTE(SUBSTITUTE(SUBSTITUTE(Y1667,"|}","--"),"{|","--"),CHAR(10),""),"、",""),"|",""))+IF(AND(OR(J1667="EI",J1667="EO",J1667="EQ"),$AE$1="NESMA"),2,1)))</f>
        <v/>
      </c>
      <c r="P1667" s="86">
        <f>IF(J1667="EI",IF(OR(Y1667="估算法",Y1667="算法类"),"中",IF(Y1667="无法识别","低",IF(M1667&lt;2,IF(O1667&lt;16,"低","中"),IF(M1667&lt;3,IF(O1667&lt;5,"低",IF(O1667&lt;16,"中","高")),IF(O1667&lt;5,"中","高"))))),IF(OR(J1667="EO",J1667="EQ"),IF(OR(Y1667="估算法",Y1667="算法类"),"中",IF(Y1667="无法识别","低",IF(M1667&lt;2,IF(O1667&lt;20,"低","中"),IF(M1667&lt;4,IF(O1667&lt;6,"低",IF(O1667&lt;20,"中","高")),IF(O1667&lt;6,"中","高"))))),IF(OR(J1667="ILF",J1667="EIF"),IF(OR(Y1667="估算法",Y1667="算法类",Y1667="无法识别"),"低",IF(N1667&lt;2,IF(O1667&lt;51,"低","中"),IF(N1667&lt;6,IF(O1667&lt;20,"低",IF(O1667&lt;51,"中","高")),IF(O1667&lt;20,"中","高")))),"不计算")))</f>
        <v/>
      </c>
      <c r="Q1667" s="172">
        <f>IFERROR(IF(J1667="EI",IF(P1667="低",3,IF(P1667="中",4,6)),IF(J1667="EO",IF(P1667="低",4,IF(P1667="中",5,7)),IF(J1667="EQ",IF(P1667="低",3,IF(P1667="中",4,6)),IF(J1667="ILF",IF(P1667="低",7,IF(P1667="中",10,15)),IF(J1667="EIF",IF(P1667="低",5,IF(P1667="中",7,10)),"不计算")))))*R1667,"不计算")</f>
        <v/>
      </c>
      <c r="R1667" s="172" t="n">
        <v>1</v>
      </c>
      <c r="S1667" s="173">
        <f>调整因子!$F$13</f>
        <v/>
      </c>
      <c r="T1667" s="93" t="n">
        <v>1</v>
      </c>
      <c r="U1667" s="174">
        <f>IFERROR(Q1667*S1667,0)</f>
        <v/>
      </c>
      <c r="V1667" s="178">
        <f>U1667*T1667</f>
        <v/>
      </c>
      <c r="W1667" s="103" t="inlineStr">
        <is>
          <t>日志查询记录表</t>
        </is>
      </c>
      <c r="X1667" s="103" t="inlineStr"/>
      <c r="Y1667" s="97" t="inlineStr">
        <is>
          <t>日志查询记录表{日志ID、操作人|日志ID、操作人、操作类型、操作时间}</t>
        </is>
      </c>
      <c r="Z1667" s="90" t="n"/>
      <c r="AA1667" s="90" t="n"/>
    </row>
    <row r="1668" s="112">
      <c r="A1668" s="72">
        <f>ROW()-1</f>
        <v/>
      </c>
      <c r="B1668" s="175" t="n"/>
      <c r="C1668" s="124" t="n">
        <v>2026</v>
      </c>
      <c r="E1668" s="103" t="n"/>
      <c r="F1668" s="175" t="n"/>
      <c r="G1668" s="175" t="n"/>
      <c r="H1668" s="97" t="inlineStr">
        <is>
          <t>密钥管理</t>
        </is>
      </c>
      <c r="I1668" s="103" t="inlineStr">
        <is>
          <t>编辑加密密钥</t>
        </is>
      </c>
      <c r="J1668" s="93" t="inlineStr">
        <is>
          <t>EI</t>
        </is>
      </c>
      <c r="K1668" s="102" t="n"/>
      <c r="L1668" s="102" t="n"/>
      <c r="M1668" s="85">
        <f>IF(OR(Y1668="估算法",Y1668="算法类",Y1668="无法识别"),"",IF(W1668="",IF(OR(J1668="EI",J1668="EO",J1668="EQ"),0,""),LEN(W1668)-LEN(SUBSTITUTE(W1668,"、",""))+1))</f>
        <v/>
      </c>
      <c r="N1668" s="85">
        <f>IF(OR(Y1668="估算法",Y1668="算法类",Y1668="无法识别"),"",IF(X1668="",IF(OR(J1668="ILF",J1668="EIF"),0,""),LEN(X1668)-LEN(SUBSTITUTE(X1668,"、",""))+1))</f>
        <v/>
      </c>
      <c r="O1668" s="85">
        <f>IF(OR(Y1668="估算法",Y1668="算法类",Y1668="无法识别"),"",IF(Y1668="",IF(OR(J1668="ILF",J1668="EIF",J1668="EI",J1668="EO",J1668="EQ"),0,""),LEN(Y1668)-LEN(SUBSTITUTE(SUBSTITUTE(SUBSTITUTE(SUBSTITUTE(SUBSTITUTE(Y1668,"|}","--"),"{|","--"),CHAR(10),""),"、",""),"|",""))+IF(AND(OR(J1668="EI",J1668="EO",J1668="EQ"),$AE$1="NESMA"),2,1)))</f>
        <v/>
      </c>
      <c r="P1668" s="86">
        <f>IF(J1668="EI",IF(OR(Y1668="估算法",Y1668="算法类"),"中",IF(Y1668="无法识别","低",IF(M1668&lt;2,IF(O1668&lt;16,"低","中"),IF(M1668&lt;3,IF(O1668&lt;5,"低",IF(O1668&lt;16,"中","高")),IF(O1668&lt;5,"中","高"))))),IF(OR(J1668="EO",J1668="EQ"),IF(OR(Y1668="估算法",Y1668="算法类"),"中",IF(Y1668="无法识别","低",IF(M1668&lt;2,IF(O1668&lt;20,"低","中"),IF(M1668&lt;4,IF(O1668&lt;6,"低",IF(O1668&lt;20,"中","高")),IF(O1668&lt;6,"中","高"))))),IF(OR(J1668="ILF",J1668="EIF"),IF(OR(Y1668="估算法",Y1668="算法类",Y1668="无法识别"),"低",IF(N1668&lt;2,IF(O1668&lt;51,"低","中"),IF(N1668&lt;6,IF(O1668&lt;20,"低",IF(O1668&lt;51,"中","高")),IF(O1668&lt;20,"中","高")))),"不计算")))</f>
        <v/>
      </c>
      <c r="Q1668" s="172">
        <f>IFERROR(IF(J1668="EI",IF(P1668="低",3,IF(P1668="中",4,6)),IF(J1668="EO",IF(P1668="低",4,IF(P1668="中",5,7)),IF(J1668="EQ",IF(P1668="低",3,IF(P1668="中",4,6)),IF(J1668="ILF",IF(P1668="低",7,IF(P1668="中",10,15)),IF(J1668="EIF",IF(P1668="低",5,IF(P1668="中",7,10)),"不计算")))))*R1668,"不计算")</f>
        <v/>
      </c>
      <c r="R1668" s="172" t="n">
        <v>1</v>
      </c>
      <c r="S1668" s="173">
        <f>调整因子!$F$13</f>
        <v/>
      </c>
      <c r="T1668" s="92" t="n">
        <v>1</v>
      </c>
      <c r="U1668" s="174">
        <f>IFERROR(Q1668*S1668,0)</f>
        <v/>
      </c>
      <c r="V1668" s="178">
        <f>U1668*T1668</f>
        <v/>
      </c>
      <c r="W1668" s="103" t="inlineStr">
        <is>
          <t>调用统计表</t>
        </is>
      </c>
      <c r="X1668" s="103" t="inlineStr"/>
      <c r="Y1668" s="97" t="inlineStr">
        <is>
          <t>调用统计表{ID、名称、类型、状态、创建时间、更新时间|ID、名称、类型}</t>
        </is>
      </c>
      <c r="Z1668" s="90" t="n"/>
      <c r="AA1668" s="90" t="n"/>
    </row>
    <row r="1669" s="112">
      <c r="A1669" s="72">
        <f>ROW()-1</f>
        <v/>
      </c>
      <c r="B1669" s="175" t="n"/>
      <c r="C1669" s="124" t="n">
        <v>2026</v>
      </c>
      <c r="E1669" s="103" t="n"/>
      <c r="F1669" s="175" t="n"/>
      <c r="G1669" s="175" t="n"/>
      <c r="H1669" s="175" t="n"/>
      <c r="I1669" s="103" t="inlineStr">
        <is>
          <t>删除加密密钥</t>
        </is>
      </c>
      <c r="J1669" s="93" t="inlineStr">
        <is>
          <t>EI</t>
        </is>
      </c>
      <c r="K1669" s="102" t="n"/>
      <c r="L1669" s="102" t="n"/>
      <c r="M1669" s="85">
        <f>IF(OR(Y1669="估算法",Y1669="算法类",Y1669="无法识别"),"",IF(W1669="",IF(OR(J1669="EI",J1669="EO",J1669="EQ"),0,""),LEN(W1669)-LEN(SUBSTITUTE(W1669,"、",""))+1))</f>
        <v/>
      </c>
      <c r="N1669" s="85">
        <f>IF(OR(Y1669="估算法",Y1669="算法类",Y1669="无法识别"),"",IF(X1669="",IF(OR(J1669="ILF",J1669="EIF"),0,""),LEN(X1669)-LEN(SUBSTITUTE(X1669,"、",""))+1))</f>
        <v/>
      </c>
      <c r="O1669" s="85">
        <f>IF(OR(Y1669="估算法",Y1669="算法类",Y1669="无法识别"),"",IF(Y1669="",IF(OR(J1669="ILF",J1669="EIF",J1669="EI",J1669="EO",J1669="EQ"),0,""),LEN(Y1669)-LEN(SUBSTITUTE(SUBSTITUTE(SUBSTITUTE(SUBSTITUTE(SUBSTITUTE(Y1669,"|}","--"),"{|","--"),CHAR(10),""),"、",""),"|",""))+IF(AND(OR(J1669="EI",J1669="EO",J1669="EQ"),$AE$1="NESMA"),2,1)))</f>
        <v/>
      </c>
      <c r="P1669" s="86">
        <f>IF(J1669="EI",IF(OR(Y1669="估算法",Y1669="算法类"),"中",IF(Y1669="无法识别","低",IF(M1669&lt;2,IF(O1669&lt;16,"低","中"),IF(M1669&lt;3,IF(O1669&lt;5,"低",IF(O1669&lt;16,"中","高")),IF(O1669&lt;5,"中","高"))))),IF(OR(J1669="EO",J1669="EQ"),IF(OR(Y1669="估算法",Y1669="算法类"),"中",IF(Y1669="无法识别","低",IF(M1669&lt;2,IF(O1669&lt;20,"低","中"),IF(M1669&lt;4,IF(O1669&lt;6,"低",IF(O1669&lt;20,"中","高")),IF(O1669&lt;6,"中","高"))))),IF(OR(J1669="ILF",J1669="EIF"),IF(OR(Y1669="估算法",Y1669="算法类",Y1669="无法识别"),"低",IF(N1669&lt;2,IF(O1669&lt;51,"低","中"),IF(N1669&lt;6,IF(O1669&lt;20,"低",IF(O1669&lt;51,"中","高")),IF(O1669&lt;20,"中","高")))),"不计算")))</f>
        <v/>
      </c>
      <c r="Q1669" s="172">
        <f>IFERROR(IF(J1669="EI",IF(P1669="低",3,IF(P1669="中",4,6)),IF(J1669="EO",IF(P1669="低",4,IF(P1669="中",5,7)),IF(J1669="EQ",IF(P1669="低",3,IF(P1669="中",4,6)),IF(J1669="ILF",IF(P1669="低",7,IF(P1669="中",10,15)),IF(J1669="EIF",IF(P1669="低",5,IF(P1669="中",7,10)),"不计算")))))*R1669,"不计算")</f>
        <v/>
      </c>
      <c r="R1669" s="172" t="n">
        <v>0.333333333333333</v>
      </c>
      <c r="S1669" s="173">
        <f>调整因子!$F$13</f>
        <v/>
      </c>
      <c r="T1669" s="92" t="n">
        <v>1</v>
      </c>
      <c r="U1669" s="174">
        <f>IFERROR(Q1669*S1669,0)</f>
        <v/>
      </c>
      <c r="V1669" s="178">
        <f>U1669*T1669</f>
        <v/>
      </c>
      <c r="W1669" s="103" t="inlineStr">
        <is>
          <t>资产查询接口配置表</t>
        </is>
      </c>
      <c r="X1669" s="103" t="inlineStr"/>
      <c r="Y1669" s="97" t="inlineStr">
        <is>
          <t>资产查询接口配置表{资产ID、资产名称、IP地址、资产类型、资产状态、创建时间、更新时间|资产ID、资产名称、IP地址}</t>
        </is>
      </c>
      <c r="Z1669" s="90" t="n"/>
      <c r="AA1669" s="90" t="n"/>
    </row>
    <row r="1670" s="112">
      <c r="A1670" s="72">
        <f>ROW()-1</f>
        <v/>
      </c>
      <c r="B1670" s="175" t="n"/>
      <c r="C1670" s="124" t="n">
        <v>2026</v>
      </c>
      <c r="E1670" s="103" t="n"/>
      <c r="F1670" s="175" t="n"/>
      <c r="G1670" s="175" t="n"/>
      <c r="H1670" s="175" t="n"/>
      <c r="I1670" s="103" t="inlineStr">
        <is>
          <t>启用加密密钥</t>
        </is>
      </c>
      <c r="J1670" s="93" t="inlineStr">
        <is>
          <t>EI</t>
        </is>
      </c>
      <c r="K1670" s="102" t="n"/>
      <c r="L1670" s="102" t="n"/>
      <c r="M1670" s="85">
        <f>IF(OR(Y1670="估算法",Y1670="算法类",Y1670="无法识别"),"",IF(W1670="",IF(OR(J1670="EI",J1670="EO",J1670="EQ"),0,""),LEN(W1670)-LEN(SUBSTITUTE(W1670,"、",""))+1))</f>
        <v/>
      </c>
      <c r="N1670" s="85">
        <f>IF(OR(Y1670="估算法",Y1670="算法类",Y1670="无法识别"),"",IF(X1670="",IF(OR(J1670="ILF",J1670="EIF"),0,""),LEN(X1670)-LEN(SUBSTITUTE(X1670,"、",""))+1))</f>
        <v/>
      </c>
      <c r="O1670" s="85">
        <f>IF(OR(Y1670="估算法",Y1670="算法类",Y1670="无法识别"),"",IF(Y1670="",IF(OR(J1670="ILF",J1670="EIF",J1670="EI",J1670="EO",J1670="EQ"),0,""),LEN(Y1670)-LEN(SUBSTITUTE(SUBSTITUTE(SUBSTITUTE(SUBSTITUTE(SUBSTITUTE(Y1670,"|}","--"),"{|","--"),CHAR(10),""),"、",""),"|",""))+IF(AND(OR(J1670="EI",J1670="EO",J1670="EQ"),$AE$1="NESMA"),2,1)))</f>
        <v/>
      </c>
      <c r="P1670" s="86">
        <f>IF(J1670="EI",IF(OR(Y1670="估算法",Y1670="算法类"),"中",IF(Y1670="无法识别","低",IF(M1670&lt;2,IF(O1670&lt;16,"低","中"),IF(M1670&lt;3,IF(O1670&lt;5,"低",IF(O1670&lt;16,"中","高")),IF(O1670&lt;5,"中","高"))))),IF(OR(J1670="EO",J1670="EQ"),IF(OR(Y1670="估算法",Y1670="算法类"),"中",IF(Y1670="无法识别","低",IF(M1670&lt;2,IF(O1670&lt;20,"低","中"),IF(M1670&lt;4,IF(O1670&lt;6,"低",IF(O1670&lt;20,"中","高")),IF(O1670&lt;6,"中","高"))))),IF(OR(J1670="ILF",J1670="EIF"),IF(OR(Y1670="估算法",Y1670="算法类",Y1670="无法识别"),"低",IF(N1670&lt;2,IF(O1670&lt;51,"低","中"),IF(N1670&lt;6,IF(O1670&lt;20,"低",IF(O1670&lt;51,"中","高")),IF(O1670&lt;20,"中","高")))),"不计算")))</f>
        <v/>
      </c>
      <c r="Q1670" s="172">
        <f>IFERROR(IF(J1670="EI",IF(P1670="低",3,IF(P1670="中",4,6)),IF(J1670="EO",IF(P1670="低",4,IF(P1670="中",5,7)),IF(J1670="EQ",IF(P1670="低",3,IF(P1670="中",4,6)),IF(J1670="ILF",IF(P1670="低",7,IF(P1670="中",10,15)),IF(J1670="EIF",IF(P1670="低",5,IF(P1670="中",7,10)),"不计算")))))*R1670,"不计算")</f>
        <v/>
      </c>
      <c r="R1670" s="172" t="n">
        <v>1</v>
      </c>
      <c r="S1670" s="173">
        <f>调整因子!$F$13</f>
        <v/>
      </c>
      <c r="T1670" s="93" t="n">
        <v>1</v>
      </c>
      <c r="U1670" s="174">
        <f>IFERROR(Q1670*S1670,0)</f>
        <v/>
      </c>
      <c r="V1670" s="178">
        <f>U1670*T1670</f>
        <v/>
      </c>
      <c r="W1670" s="103" t="inlineStr">
        <is>
          <t>漏洞查询接口配置表</t>
        </is>
      </c>
      <c r="X1670" s="103" t="inlineStr"/>
      <c r="Y1670" s="97" t="inlineStr">
        <is>
          <t>漏洞查询接口配置表{漏洞ID、漏洞名称、漏洞等级、漏洞类型、CVE编号、发现时间、修复状态|漏洞ID、漏洞名称、漏洞等级}</t>
        </is>
      </c>
      <c r="Z1670" s="90" t="n"/>
      <c r="AA1670" s="90" t="n"/>
    </row>
    <row r="1671" s="112">
      <c r="A1671" s="72">
        <f>ROW()-1</f>
        <v/>
      </c>
      <c r="B1671" s="175" t="n"/>
      <c r="C1671" s="124" t="n">
        <v>2026</v>
      </c>
      <c r="E1671" s="103" t="n"/>
      <c r="F1671" s="175" t="n"/>
      <c r="G1671" s="175" t="n"/>
      <c r="H1671" s="175" t="n"/>
      <c r="I1671" s="103" t="inlineStr">
        <is>
          <t>停用加密密钥</t>
        </is>
      </c>
      <c r="J1671" s="93" t="n"/>
      <c r="K1671" s="102" t="n"/>
      <c r="L1671" s="102" t="inlineStr">
        <is>
          <t>和上行合并，启停为相同功能</t>
        </is>
      </c>
      <c r="M1671" s="85">
        <f>IF(OR(Y1671="估算法",Y1671="算法类",Y1671="无法识别"),"",IF(W1671="",IF(OR(J1671="EI",J1671="EO",J1671="EQ"),0,""),LEN(W1671)-LEN(SUBSTITUTE(W1671,"、",""))+1))</f>
        <v/>
      </c>
      <c r="N1671" s="85">
        <f>IF(OR(Y1671="估算法",Y1671="算法类",Y1671="无法识别"),"",IF(X1671="",IF(OR(J1671="ILF",J1671="EIF"),0,""),LEN(X1671)-LEN(SUBSTITUTE(X1671,"、",""))+1))</f>
        <v/>
      </c>
      <c r="O1671" s="85">
        <f>IF(OR(Y1671="估算法",Y1671="算法类",Y1671="无法识别"),"",IF(Y1671="",IF(OR(J1671="ILF",J1671="EIF",J1671="EI",J1671="EO",J1671="EQ"),0,""),LEN(Y1671)-LEN(SUBSTITUTE(SUBSTITUTE(SUBSTITUTE(SUBSTITUTE(SUBSTITUTE(Y1671,"|}","--"),"{|","--"),CHAR(10),""),"、",""),"|",""))+IF(AND(OR(J1671="EI",J1671="EO",J1671="EQ"),$AE$1="NESMA"),2,1)))</f>
        <v/>
      </c>
      <c r="P1671" s="86">
        <f>IF(J1671="EI",IF(OR(Y1671="估算法",Y1671="算法类"),"中",IF(Y1671="无法识别","低",IF(M1671&lt;2,IF(O1671&lt;16,"低","中"),IF(M1671&lt;3,IF(O1671&lt;5,"低",IF(O1671&lt;16,"中","高")),IF(O1671&lt;5,"中","高"))))),IF(OR(J1671="EO",J1671="EQ"),IF(OR(Y1671="估算法",Y1671="算法类"),"中",IF(Y1671="无法识别","低",IF(M1671&lt;2,IF(O1671&lt;20,"低","中"),IF(M1671&lt;4,IF(O1671&lt;6,"低",IF(O1671&lt;20,"中","高")),IF(O1671&lt;6,"中","高"))))),IF(OR(J1671="ILF",J1671="EIF"),IF(OR(Y1671="估算法",Y1671="算法类",Y1671="无法识别"),"低",IF(N1671&lt;2,IF(O1671&lt;51,"低","中"),IF(N1671&lt;6,IF(O1671&lt;20,"低",IF(O1671&lt;51,"中","高")),IF(O1671&lt;20,"中","高")))),"不计算")))</f>
        <v/>
      </c>
      <c r="Q1671" s="172">
        <f>IFERROR(IF(J1671="EI",IF(P1671="低",3,IF(P1671="中",4,6)),IF(J1671="EO",IF(P1671="低",4,IF(P1671="中",5,7)),IF(J1671="EQ",IF(P1671="低",3,IF(P1671="中",4,6)),IF(J1671="ILF",IF(P1671="低",7,IF(P1671="中",10,15)),IF(J1671="EIF",IF(P1671="低",5,IF(P1671="中",7,10)),"不计算")))))*R1671,"不计算")</f>
        <v/>
      </c>
      <c r="R1671" s="172" t="n">
        <v>1</v>
      </c>
      <c r="S1671" s="173">
        <f>调整因子!$F$13</f>
        <v/>
      </c>
      <c r="T1671" s="93" t="n">
        <v>1</v>
      </c>
      <c r="U1671" s="174">
        <f>IFERROR(Q1671*S1671,0)</f>
        <v/>
      </c>
      <c r="V1671" s="178">
        <f>U1671*T1671</f>
        <v/>
      </c>
      <c r="W1671" s="103" t="inlineStr">
        <is>
          <t>离线扫描报告表</t>
        </is>
      </c>
      <c r="X1671" s="103" t="inlineStr"/>
      <c r="Y1671" s="97" t="inlineStr">
        <is>
          <t>离线扫描报告表{任务ID、任务名称、任务状态、扫描器类型、开始时间、结束时间、扫描结果|任务ID、任务名称、任务状态}</t>
        </is>
      </c>
      <c r="Z1671" s="90" t="n"/>
      <c r="AA1671" s="90" t="n"/>
    </row>
    <row r="1672" s="112">
      <c r="A1672" s="72">
        <f>ROW()-1</f>
        <v/>
      </c>
      <c r="B1672" s="175" t="n"/>
      <c r="C1672" s="124" t="n">
        <v>2026</v>
      </c>
      <c r="E1672" s="103" t="n"/>
      <c r="F1672" s="175" t="n"/>
      <c r="G1672" s="175" t="n"/>
      <c r="H1672" s="175" t="n"/>
      <c r="I1672" s="103" t="inlineStr">
        <is>
          <t>导出密钥配置</t>
        </is>
      </c>
      <c r="J1672" s="93" t="inlineStr">
        <is>
          <t>EO</t>
        </is>
      </c>
      <c r="K1672" s="102" t="n"/>
      <c r="L1672" s="102" t="n"/>
      <c r="M1672" s="85">
        <f>IF(OR(Y1672="估算法",Y1672="算法类",Y1672="无法识别"),"",IF(W1672="",IF(OR(J1672="EI",J1672="EO",J1672="EQ"),0,""),LEN(W1672)-LEN(SUBSTITUTE(W1672,"、",""))+1))</f>
        <v/>
      </c>
      <c r="N1672" s="85">
        <f>IF(OR(Y1672="估算法",Y1672="算法类",Y1672="无法识别"),"",IF(X1672="",IF(OR(J1672="ILF",J1672="EIF"),0,""),LEN(X1672)-LEN(SUBSTITUTE(X1672,"、",""))+1))</f>
        <v/>
      </c>
      <c r="O1672" s="85">
        <f>IF(OR(Y1672="估算法",Y1672="算法类",Y1672="无法识别"),"",IF(Y1672="",IF(OR(J1672="ILF",J1672="EIF",J1672="EI",J1672="EO",J1672="EQ"),0,""),LEN(Y1672)-LEN(SUBSTITUTE(SUBSTITUTE(SUBSTITUTE(SUBSTITUTE(SUBSTITUTE(Y1672,"|}","--"),"{|","--"),CHAR(10),""),"、",""),"|",""))+IF(AND(OR(J1672="EI",J1672="EO",J1672="EQ"),$AE$1="NESMA"),2,1)))</f>
        <v/>
      </c>
      <c r="P1672" s="86">
        <f>IF(J1672="EI",IF(OR(Y1672="估算法",Y1672="算法类"),"中",IF(Y1672="无法识别","低",IF(M1672&lt;2,IF(O1672&lt;16,"低","中"),IF(M1672&lt;3,IF(O1672&lt;5,"低",IF(O1672&lt;16,"中","高")),IF(O1672&lt;5,"中","高"))))),IF(OR(J1672="EO",J1672="EQ"),IF(OR(Y1672="估算法",Y1672="算法类"),"中",IF(Y1672="无法识别","低",IF(M1672&lt;2,IF(O1672&lt;20,"低","中"),IF(M1672&lt;4,IF(O1672&lt;6,"低",IF(O1672&lt;20,"中","高")),IF(O1672&lt;6,"中","高"))))),IF(OR(J1672="ILF",J1672="EIF"),IF(OR(Y1672="估算法",Y1672="算法类",Y1672="无法识别"),"低",IF(N1672&lt;2,IF(O1672&lt;51,"低","中"),IF(N1672&lt;6,IF(O1672&lt;20,"低",IF(O1672&lt;51,"中","高")),IF(O1672&lt;20,"中","高")))),"不计算")))</f>
        <v/>
      </c>
      <c r="Q1672" s="172">
        <f>IFERROR(IF(J1672="EI",IF(P1672="低",3,IF(P1672="中",4,6)),IF(J1672="EO",IF(P1672="低",4,IF(P1672="中",5,7)),IF(J1672="EQ",IF(P1672="低",3,IF(P1672="中",4,6)),IF(J1672="ILF",IF(P1672="低",7,IF(P1672="中",10,15)),IF(J1672="EIF",IF(P1672="低",5,IF(P1672="中",7,10)),"不计算")))))*R1672,"不计算")</f>
        <v/>
      </c>
      <c r="R1672" s="172" t="n">
        <v>1</v>
      </c>
      <c r="S1672" s="173">
        <f>调整因子!$F$13</f>
        <v/>
      </c>
      <c r="T1672" s="92" t="n">
        <v>1</v>
      </c>
      <c r="U1672" s="174">
        <f>IFERROR(Q1672*S1672,0)</f>
        <v/>
      </c>
      <c r="V1672" s="178">
        <f>U1672*T1672</f>
        <v/>
      </c>
      <c r="W1672" s="103" t="inlineStr">
        <is>
          <t>任务优先级配置表</t>
        </is>
      </c>
      <c r="X1672" s="103" t="inlineStr"/>
      <c r="Y1672" s="97" t="inlineStr">
        <is>
          <t>任务优先级配置表{任务ID、任务名称|任务ID、任务名称、任务类型、任务状态}</t>
        </is>
      </c>
      <c r="Z1672" s="90" t="n"/>
      <c r="AA1672" s="90" t="n"/>
    </row>
    <row r="1673" s="112">
      <c r="A1673" s="72">
        <f>ROW()-1</f>
        <v/>
      </c>
      <c r="B1673" s="175" t="n"/>
      <c r="C1673" s="124" t="n">
        <v>2026</v>
      </c>
      <c r="E1673" s="103" t="n"/>
      <c r="F1673" s="175" t="n"/>
      <c r="G1673" s="175" t="n"/>
      <c r="H1673" s="175" t="n"/>
      <c r="I1673" s="103" t="inlineStr">
        <is>
          <t>查询密钥列表</t>
        </is>
      </c>
      <c r="J1673" s="93" t="inlineStr">
        <is>
          <t>EO</t>
        </is>
      </c>
      <c r="K1673" s="102" t="n"/>
      <c r="L1673" s="102" t="n"/>
      <c r="M1673" s="85">
        <f>IF(OR(Y1673="估算法",Y1673="算法类",Y1673="无法识别"),"",IF(W1673="",IF(OR(J1673="EI",J1673="EO",J1673="EQ"),0,""),LEN(W1673)-LEN(SUBSTITUTE(W1673,"、",""))+1))</f>
        <v/>
      </c>
      <c r="N1673" s="85">
        <f>IF(OR(Y1673="估算法",Y1673="算法类",Y1673="无法识别"),"",IF(X1673="",IF(OR(J1673="ILF",J1673="EIF"),0,""),LEN(X1673)-LEN(SUBSTITUTE(X1673,"、",""))+1))</f>
        <v/>
      </c>
      <c r="O1673" s="85">
        <f>IF(OR(Y1673="估算法",Y1673="算法类",Y1673="无法识别"),"",IF(Y1673="",IF(OR(J1673="ILF",J1673="EIF",J1673="EI",J1673="EO",J1673="EQ"),0,""),LEN(Y1673)-LEN(SUBSTITUTE(SUBSTITUTE(SUBSTITUTE(SUBSTITUTE(SUBSTITUTE(Y1673,"|}","--"),"{|","--"),CHAR(10),""),"、",""),"|",""))+IF(AND(OR(J1673="EI",J1673="EO",J1673="EQ"),$AE$1="NESMA"),2,1)))</f>
        <v/>
      </c>
      <c r="P1673" s="86">
        <f>IF(J1673="EI",IF(OR(Y1673="估算法",Y1673="算法类"),"中",IF(Y1673="无法识别","低",IF(M1673&lt;2,IF(O1673&lt;16,"低","中"),IF(M1673&lt;3,IF(O1673&lt;5,"低",IF(O1673&lt;16,"中","高")),IF(O1673&lt;5,"中","高"))))),IF(OR(J1673="EO",J1673="EQ"),IF(OR(Y1673="估算法",Y1673="算法类"),"中",IF(Y1673="无法识别","低",IF(M1673&lt;2,IF(O1673&lt;20,"低","中"),IF(M1673&lt;4,IF(O1673&lt;6,"低",IF(O1673&lt;20,"中","高")),IF(O1673&lt;6,"中","高"))))),IF(OR(J1673="ILF",J1673="EIF"),IF(OR(Y1673="估算法",Y1673="算法类",Y1673="无法识别"),"低",IF(N1673&lt;2,IF(O1673&lt;51,"低","中"),IF(N1673&lt;6,IF(O1673&lt;20,"低",IF(O1673&lt;51,"中","高")),IF(O1673&lt;20,"中","高")))),"不计算")))</f>
        <v/>
      </c>
      <c r="Q1673" s="172">
        <f>IFERROR(IF(J1673="EI",IF(P1673="低",3,IF(P1673="中",4,6)),IF(J1673="EO",IF(P1673="低",4,IF(P1673="中",5,7)),IF(J1673="EQ",IF(P1673="低",3,IF(P1673="中",4,6)),IF(J1673="ILF",IF(P1673="低",7,IF(P1673="中",10,15)),IF(J1673="EIF",IF(P1673="低",5,IF(P1673="中",7,10)),"不计算")))))*R1673,"不计算")</f>
        <v/>
      </c>
      <c r="R1673" s="172" t="n">
        <v>1</v>
      </c>
      <c r="S1673" s="173">
        <f>调整因子!$F$13</f>
        <v/>
      </c>
      <c r="T1673" s="92" t="n">
        <v>1</v>
      </c>
      <c r="U1673" s="174">
        <f>IFERROR(Q1673*S1673,0)</f>
        <v/>
      </c>
      <c r="V1673" s="178">
        <f>U1673*T1673</f>
        <v/>
      </c>
      <c r="W1673" s="103" t="inlineStr">
        <is>
          <t>指标权重表</t>
        </is>
      </c>
      <c r="X1673" s="103" t="inlineStr"/>
      <c r="Y1673" s="97" t="inlineStr">
        <is>
          <t>指标权重表{ID、名称|ID、名称、类型}</t>
        </is>
      </c>
      <c r="Z1673" s="90" t="n"/>
      <c r="AA1673" s="90" t="n"/>
    </row>
    <row r="1674" s="112">
      <c r="A1674" s="72">
        <f>ROW()-1</f>
        <v/>
      </c>
      <c r="B1674" s="175" t="n"/>
      <c r="C1674" s="124" t="n">
        <v>2026</v>
      </c>
      <c r="E1674" s="103" t="n"/>
      <c r="F1674" s="175" t="n"/>
      <c r="G1674" s="176" t="n"/>
      <c r="H1674" s="176" t="n"/>
      <c r="I1674" s="103" t="inlineStr">
        <is>
          <t>查看密钥详情</t>
        </is>
      </c>
      <c r="J1674" s="93" t="inlineStr">
        <is>
          <t>EQ</t>
        </is>
      </c>
      <c r="K1674" s="102" t="n"/>
      <c r="L1674" s="102" t="n"/>
      <c r="M1674" s="85">
        <f>IF(OR(Y1674="估算法",Y1674="算法类",Y1674="无法识别"),"",IF(W1674="",IF(OR(J1674="EI",J1674="EO",J1674="EQ"),0,""),LEN(W1674)-LEN(SUBSTITUTE(W1674,"、",""))+1))</f>
        <v/>
      </c>
      <c r="N1674" s="85">
        <f>IF(OR(Y1674="估算法",Y1674="算法类",Y1674="无法识别"),"",IF(X1674="",IF(OR(J1674="ILF",J1674="EIF"),0,""),LEN(X1674)-LEN(SUBSTITUTE(X1674,"、",""))+1))</f>
        <v/>
      </c>
      <c r="O1674" s="85">
        <f>IF(OR(Y1674="估算法",Y1674="算法类",Y1674="无法识别"),"",IF(Y1674="",IF(OR(J1674="ILF",J1674="EIF",J1674="EI",J1674="EO",J1674="EQ"),0,""),LEN(Y1674)-LEN(SUBSTITUTE(SUBSTITUTE(SUBSTITUTE(SUBSTITUTE(SUBSTITUTE(Y1674,"|}","--"),"{|","--"),CHAR(10),""),"、",""),"|",""))+IF(AND(OR(J1674="EI",J1674="EO",J1674="EQ"),$AE$1="NESMA"),2,1)))</f>
        <v/>
      </c>
      <c r="P1674" s="86">
        <f>IF(J1674="EI",IF(OR(Y1674="估算法",Y1674="算法类"),"中",IF(Y1674="无法识别","低",IF(M1674&lt;2,IF(O1674&lt;16,"低","中"),IF(M1674&lt;3,IF(O1674&lt;5,"低",IF(O1674&lt;16,"中","高")),IF(O1674&lt;5,"中","高"))))),IF(OR(J1674="EO",J1674="EQ"),IF(OR(Y1674="估算法",Y1674="算法类"),"中",IF(Y1674="无法识别","低",IF(M1674&lt;2,IF(O1674&lt;20,"低","中"),IF(M1674&lt;4,IF(O1674&lt;6,"低",IF(O1674&lt;20,"中","高")),IF(O1674&lt;6,"中","高"))))),IF(OR(J1674="ILF",J1674="EIF"),IF(OR(Y1674="估算法",Y1674="算法类",Y1674="无法识别"),"低",IF(N1674&lt;2,IF(O1674&lt;51,"低","中"),IF(N1674&lt;6,IF(O1674&lt;20,"低",IF(O1674&lt;51,"中","高")),IF(O1674&lt;20,"中","高")))),"不计算")))</f>
        <v/>
      </c>
      <c r="Q1674" s="172">
        <f>IFERROR(IF(J1674="EI",IF(P1674="低",3,IF(P1674="中",4,6)),IF(J1674="EO",IF(P1674="低",4,IF(P1674="中",5,7)),IF(J1674="EQ",IF(P1674="低",3,IF(P1674="中",4,6)),IF(J1674="ILF",IF(P1674="低",7,IF(P1674="中",10,15)),IF(J1674="EIF",IF(P1674="低",5,IF(P1674="中",7,10)),"不计算")))))*R1674,"不计算")</f>
        <v/>
      </c>
      <c r="R1674" s="172" t="n">
        <v>1</v>
      </c>
      <c r="S1674" s="173">
        <f>调整因子!$F$13</f>
        <v/>
      </c>
      <c r="T1674" s="93" t="n">
        <v>1</v>
      </c>
      <c r="U1674" s="174">
        <f>IFERROR(Q1674*S1674,0)</f>
        <v/>
      </c>
      <c r="V1674" s="178">
        <f>U1674*T1674</f>
        <v/>
      </c>
      <c r="W1674" s="103" t="inlineStr">
        <is>
          <t>模板参数配置表</t>
        </is>
      </c>
      <c r="X1674" s="103" t="inlineStr"/>
      <c r="Y1674" s="97" t="inlineStr">
        <is>
          <t>模板参数配置表{配置ID、配置名称|配置ID、配置名称、配置类型}</t>
        </is>
      </c>
      <c r="Z1674" s="90" t="n"/>
      <c r="AA1674" s="90" t="n"/>
    </row>
    <row r="1675" s="112">
      <c r="A1675" s="72">
        <f>ROW()-1</f>
        <v/>
      </c>
      <c r="B1675" s="175" t="n"/>
      <c r="C1675" s="124" t="n">
        <v>2026</v>
      </c>
      <c r="E1675" s="103" t="n"/>
      <c r="F1675" s="175" t="n"/>
      <c r="G1675" s="97" t="inlineStr">
        <is>
          <t>日志账号口令加密留存</t>
        </is>
      </c>
      <c r="H1675" s="97" t="inlineStr">
        <is>
          <t>日志加密配置管理</t>
        </is>
      </c>
      <c r="I1675" s="103" t="inlineStr">
        <is>
          <t>日志加密配置表</t>
        </is>
      </c>
      <c r="J1675" s="93" t="n"/>
      <c r="K1675" s="102" t="n"/>
      <c r="L1675" s="102" t="inlineStr">
        <is>
          <t>非ILF - 日志表</t>
        </is>
      </c>
      <c r="M1675" s="85">
        <f>IF(OR(Y1675="估算法",Y1675="算法类",Y1675="无法识别"),"",IF(W1675="",IF(OR(J1675="EI",J1675="EO",J1675="EQ"),0,""),LEN(W1675)-LEN(SUBSTITUTE(W1675,"、",""))+1))</f>
        <v/>
      </c>
      <c r="N1675" s="85">
        <f>IF(OR(Y1675="估算法",Y1675="算法类",Y1675="无法识别"),"",IF(X1675="",IF(OR(J1675="ILF",J1675="EIF"),0,""),LEN(X1675)-LEN(SUBSTITUTE(X1675,"、",""))+1))</f>
        <v/>
      </c>
      <c r="O1675" s="85">
        <f>IF(OR(Y1675="估算法",Y1675="算法类",Y1675="无法识别"),"",IF(Y1675="",IF(OR(J1675="ILF",J1675="EIF",J1675="EI",J1675="EO",J1675="EQ"),0,""),LEN(Y1675)-LEN(SUBSTITUTE(SUBSTITUTE(SUBSTITUTE(SUBSTITUTE(SUBSTITUTE(Y1675,"|}","--"),"{|","--"),CHAR(10),""),"、",""),"|",""))+IF(AND(OR(J1675="EI",J1675="EO",J1675="EQ"),$AE$1="NESMA"),2,1)))</f>
        <v/>
      </c>
      <c r="P1675" s="86">
        <f>IF(J1675="EI",IF(OR(Y1675="估算法",Y1675="算法类"),"中",IF(Y1675="无法识别","低",IF(M1675&lt;2,IF(O1675&lt;16,"低","中"),IF(M1675&lt;3,IF(O1675&lt;5,"低",IF(O1675&lt;16,"中","高")),IF(O1675&lt;5,"中","高"))))),IF(OR(J1675="EO",J1675="EQ"),IF(OR(Y1675="估算法",Y1675="算法类"),"中",IF(Y1675="无法识别","低",IF(M1675&lt;2,IF(O1675&lt;20,"低","中"),IF(M1675&lt;4,IF(O1675&lt;6,"低",IF(O1675&lt;20,"中","高")),IF(O1675&lt;6,"中","高"))))),IF(OR(J1675="ILF",J1675="EIF"),IF(OR(Y1675="估算法",Y1675="算法类",Y1675="无法识别"),"低",IF(N1675&lt;2,IF(O1675&lt;51,"低","中"),IF(N1675&lt;6,IF(O1675&lt;20,"低",IF(O1675&lt;51,"中","高")),IF(O1675&lt;20,"中","高")))),"不计算")))</f>
        <v/>
      </c>
      <c r="Q1675" s="172">
        <f>IFERROR(IF(J1675="EI",IF(P1675="低",3,IF(P1675="中",4,6)),IF(J1675="EO",IF(P1675="低",4,IF(P1675="中",5,7)),IF(J1675="EQ",IF(P1675="低",3,IF(P1675="中",4,6)),IF(J1675="ILF",IF(P1675="低",7,IF(P1675="中",10,15)),IF(J1675="EIF",IF(P1675="低",5,IF(P1675="中",7,10)),"不计算")))))*R1675,"不计算")</f>
        <v/>
      </c>
      <c r="R1675" s="172" t="n">
        <v>1</v>
      </c>
      <c r="S1675" s="173">
        <f>调整因子!$F$13</f>
        <v/>
      </c>
      <c r="T1675" s="92" t="n">
        <v>1</v>
      </c>
      <c r="U1675" s="174">
        <f>IFERROR(Q1675*S1675,0)</f>
        <v/>
      </c>
      <c r="V1675" s="178">
        <f>U1675*T1675</f>
        <v/>
      </c>
      <c r="W1675" s="103" t="inlineStr"/>
      <c r="X1675" s="103" t="inlineStr">
        <is>
          <t>配置项</t>
        </is>
      </c>
      <c r="Y1675" s="97" t="inlineStr">
        <is>
          <t>日志加密配置表{配置ID、配置名称、配置类型|配置ID、配置名称、配置类型、配置值、创建时间}</t>
        </is>
      </c>
      <c r="Z1675" s="90">
        <f>IF(COUNTIFS(W:W,"*"&amp;I1675&amp;"*")&gt;0,"存在","不存在")</f>
        <v/>
      </c>
      <c r="AA1675" s="90">
        <f>IF(COUNTIFS(AB:AB,"*"&amp;I1675&amp;"*")&gt;0,"存在","不存在")</f>
        <v/>
      </c>
    </row>
    <row r="1676" s="112">
      <c r="A1676" s="72">
        <f>ROW()-1</f>
        <v/>
      </c>
      <c r="B1676" s="175" t="n"/>
      <c r="C1676" s="124" t="n">
        <v>2026</v>
      </c>
      <c r="E1676" s="103" t="n"/>
      <c r="F1676" s="175" t="n"/>
      <c r="G1676" s="175" t="n"/>
      <c r="H1676" s="175" t="n"/>
      <c r="I1676" s="103" t="inlineStr">
        <is>
          <t>加密规则表</t>
        </is>
      </c>
      <c r="J1676" s="93" t="inlineStr">
        <is>
          <t>ILF</t>
        </is>
      </c>
      <c r="K1676" s="102" t="n"/>
      <c r="L1676" s="102" t="n"/>
      <c r="M1676" s="85">
        <f>IF(OR(Y1676="估算法",Y1676="算法类",Y1676="无法识别"),"",IF(W1676="",IF(OR(J1676="EI",J1676="EO",J1676="EQ"),0,""),LEN(W1676)-LEN(SUBSTITUTE(W1676,"、",""))+1))</f>
        <v/>
      </c>
      <c r="N1676" s="85">
        <f>IF(OR(Y1676="估算法",Y1676="算法类",Y1676="无法识别"),"",IF(X1676="",IF(OR(J1676="ILF",J1676="EIF"),0,""),LEN(X1676)-LEN(SUBSTITUTE(X1676,"、",""))+1))</f>
        <v/>
      </c>
      <c r="O1676" s="85">
        <f>IF(OR(Y1676="估算法",Y1676="算法类",Y1676="无法识别"),"",IF(Y1676="",IF(OR(J1676="ILF",J1676="EIF",J1676="EI",J1676="EO",J1676="EQ"),0,""),LEN(Y1676)-LEN(SUBSTITUTE(SUBSTITUTE(SUBSTITUTE(SUBSTITUTE(SUBSTITUTE(Y1676,"|}","--"),"{|","--"),CHAR(10),""),"、",""),"|",""))+IF(AND(OR(J1676="EI",J1676="EO",J1676="EQ"),$AE$1="NESMA"),2,1)))</f>
        <v/>
      </c>
      <c r="P1676" s="86">
        <f>IF(J1676="EI",IF(OR(Y1676="估算法",Y1676="算法类"),"中",IF(Y1676="无法识别","低",IF(M1676&lt;2,IF(O1676&lt;16,"低","中"),IF(M1676&lt;3,IF(O1676&lt;5,"低",IF(O1676&lt;16,"中","高")),IF(O1676&lt;5,"中","高"))))),IF(OR(J1676="EO",J1676="EQ"),IF(OR(Y1676="估算法",Y1676="算法类"),"中",IF(Y1676="无法识别","低",IF(M1676&lt;2,IF(O1676&lt;20,"低","中"),IF(M1676&lt;4,IF(O1676&lt;6,"低",IF(O1676&lt;20,"中","高")),IF(O1676&lt;6,"中","高"))))),IF(OR(J1676="ILF",J1676="EIF"),IF(OR(Y1676="估算法",Y1676="算法类",Y1676="无法识别"),"低",IF(N1676&lt;2,IF(O1676&lt;51,"低","中"),IF(N1676&lt;6,IF(O1676&lt;20,"低",IF(O1676&lt;51,"中","高")),IF(O1676&lt;20,"中","高")))),"不计算")))</f>
        <v/>
      </c>
      <c r="Q1676" s="172">
        <f>IFERROR(IF(J1676="EI",IF(P1676="低",3,IF(P1676="中",4,6)),IF(J1676="EO",IF(P1676="低",4,IF(P1676="中",5,7)),IF(J1676="EQ",IF(P1676="低",3,IF(P1676="中",4,6)),IF(J1676="ILF",IF(P1676="低",7,IF(P1676="中",10,15)),IF(J1676="EIF",IF(P1676="低",5,IF(P1676="中",7,10)),"不计算")))))*R1676,"不计算")</f>
        <v/>
      </c>
      <c r="R1676" s="172" t="n">
        <v>1</v>
      </c>
      <c r="S1676" s="173">
        <f>调整因子!$F$13</f>
        <v/>
      </c>
      <c r="T1676" s="92" t="n">
        <v>1</v>
      </c>
      <c r="U1676" s="174">
        <f>IFERROR(Q1676*S1676,0)</f>
        <v/>
      </c>
      <c r="V1676" s="178">
        <f>U1676*T1676</f>
        <v/>
      </c>
      <c r="W1676" s="103" t="inlineStr"/>
      <c r="X1676" s="103" t="inlineStr">
        <is>
          <t>数据记录</t>
        </is>
      </c>
      <c r="Y1676" s="97" t="inlineStr">
        <is>
          <t>加密规则表{规则ID、规则名称、规则类型|规则ID、规则名称、规则类型、规则条件、创建时间}</t>
        </is>
      </c>
      <c r="Z1676" s="90">
        <f>IF(COUNTIFS(W:W,"*"&amp;I1676&amp;"*")&gt;0,"存在","不存在")</f>
        <v/>
      </c>
      <c r="AA1676" s="90">
        <f>IF(COUNTIFS(AB:AB,"*"&amp;I1676&amp;"*")&gt;0,"存在","不存在")</f>
        <v/>
      </c>
    </row>
    <row r="1677" s="112">
      <c r="A1677" s="72">
        <f>ROW()-1</f>
        <v/>
      </c>
      <c r="B1677" s="175" t="n"/>
      <c r="C1677" s="124" t="n">
        <v>2026</v>
      </c>
      <c r="E1677" s="103" t="n"/>
      <c r="F1677" s="175" t="n"/>
      <c r="G1677" s="175" t="n"/>
      <c r="H1677" s="175" t="n"/>
      <c r="I1677" s="103" t="inlineStr">
        <is>
          <t>配置日志加密</t>
        </is>
      </c>
      <c r="J1677" s="93" t="inlineStr">
        <is>
          <t>EI</t>
        </is>
      </c>
      <c r="K1677" s="102" t="n"/>
      <c r="L1677" s="102" t="n"/>
      <c r="M1677" s="85">
        <f>IF(OR(Y1677="估算法",Y1677="算法类",Y1677="无法识别"),"",IF(W1677="",IF(OR(J1677="EI",J1677="EO",J1677="EQ"),0,""),LEN(W1677)-LEN(SUBSTITUTE(W1677,"、",""))+1))</f>
        <v/>
      </c>
      <c r="N1677" s="85">
        <f>IF(OR(Y1677="估算法",Y1677="算法类",Y1677="无法识别"),"",IF(X1677="",IF(OR(J1677="ILF",J1677="EIF"),0,""),LEN(X1677)-LEN(SUBSTITUTE(X1677,"、",""))+1))</f>
        <v/>
      </c>
      <c r="O1677" s="85">
        <f>IF(OR(Y1677="估算法",Y1677="算法类",Y1677="无法识别"),"",IF(Y1677="",IF(OR(J1677="ILF",J1677="EIF",J1677="EI",J1677="EO",J1677="EQ"),0,""),LEN(Y1677)-LEN(SUBSTITUTE(SUBSTITUTE(SUBSTITUTE(SUBSTITUTE(SUBSTITUTE(Y1677,"|}","--"),"{|","--"),CHAR(10),""),"、",""),"|",""))+IF(AND(OR(J1677="EI",J1677="EO",J1677="EQ"),$AE$1="NESMA"),2,1)))</f>
        <v/>
      </c>
      <c r="P1677" s="86">
        <f>IF(J1677="EI",IF(OR(Y1677="估算法",Y1677="算法类"),"中",IF(Y1677="无法识别","低",IF(M1677&lt;2,IF(O1677&lt;16,"低","中"),IF(M1677&lt;3,IF(O1677&lt;5,"低",IF(O1677&lt;16,"中","高")),IF(O1677&lt;5,"中","高"))))),IF(OR(J1677="EO",J1677="EQ"),IF(OR(Y1677="估算法",Y1677="算法类"),"中",IF(Y1677="无法识别","低",IF(M1677&lt;2,IF(O1677&lt;20,"低","中"),IF(M1677&lt;4,IF(O1677&lt;6,"低",IF(O1677&lt;20,"中","高")),IF(O1677&lt;6,"中","高"))))),IF(OR(J1677="ILF",J1677="EIF"),IF(OR(Y1677="估算法",Y1677="算法类",Y1677="无法识别"),"低",IF(N1677&lt;2,IF(O1677&lt;51,"低","中"),IF(N1677&lt;6,IF(O1677&lt;20,"低",IF(O1677&lt;51,"中","高")),IF(O1677&lt;20,"中","高")))),"不计算")))</f>
        <v/>
      </c>
      <c r="Q1677" s="172">
        <f>IFERROR(IF(J1677="EI",IF(P1677="低",3,IF(P1677="中",4,6)),IF(J1677="EO",IF(P1677="低",4,IF(P1677="中",5,7)),IF(J1677="EQ",IF(P1677="低",3,IF(P1677="中",4,6)),IF(J1677="ILF",IF(P1677="低",7,IF(P1677="中",10,15)),IF(J1677="EIF",IF(P1677="低",5,IF(P1677="中",7,10)),"不计算")))))*R1677,"不计算")</f>
        <v/>
      </c>
      <c r="R1677" s="172" t="n">
        <v>1</v>
      </c>
      <c r="S1677" s="173">
        <f>调整因子!$F$13</f>
        <v/>
      </c>
      <c r="T1677" s="93" t="n">
        <v>1</v>
      </c>
      <c r="U1677" s="174">
        <f>IFERROR(Q1677*S1677,0)</f>
        <v/>
      </c>
      <c r="V1677" s="178">
        <f>U1677*T1677</f>
        <v/>
      </c>
      <c r="W1677" s="103" t="inlineStr">
        <is>
          <t>任务日志表</t>
        </is>
      </c>
      <c r="X1677" s="103" t="inlineStr"/>
      <c r="Y1677" s="97" t="inlineStr">
        <is>
          <t>任务日志表{任务ID、任务名称、任务类型、任务状态、创建时间、执行时间|任务ID、任务名称、任务类型}</t>
        </is>
      </c>
      <c r="Z1677" s="90" t="n"/>
      <c r="AA1677" s="90" t="n"/>
    </row>
    <row r="1678" s="112">
      <c r="A1678" s="72">
        <f>ROW()-1</f>
        <v/>
      </c>
      <c r="B1678" s="175" t="n"/>
      <c r="C1678" s="124" t="n">
        <v>2026</v>
      </c>
      <c r="E1678" s="103" t="n"/>
      <c r="F1678" s="175" t="n"/>
      <c r="G1678" s="175" t="n"/>
      <c r="H1678" s="175" t="n"/>
      <c r="I1678" s="103" t="inlineStr">
        <is>
          <t>编辑日志加密</t>
        </is>
      </c>
      <c r="J1678" s="93" t="inlineStr">
        <is>
          <t>EI</t>
        </is>
      </c>
      <c r="K1678" s="102" t="n"/>
      <c r="L1678" s="102" t="n"/>
      <c r="M1678" s="85">
        <f>IF(OR(Y1678="估算法",Y1678="算法类",Y1678="无法识别"),"",IF(W1678="",IF(OR(J1678="EI",J1678="EO",J1678="EQ"),0,""),LEN(W1678)-LEN(SUBSTITUTE(W1678,"、",""))+1))</f>
        <v/>
      </c>
      <c r="N1678" s="85">
        <f>IF(OR(Y1678="估算法",Y1678="算法类",Y1678="无法识别"),"",IF(X1678="",IF(OR(J1678="ILF",J1678="EIF"),0,""),LEN(X1678)-LEN(SUBSTITUTE(X1678,"、",""))+1))</f>
        <v/>
      </c>
      <c r="O1678" s="85">
        <f>IF(OR(Y1678="估算法",Y1678="算法类",Y1678="无法识别"),"",IF(Y1678="",IF(OR(J1678="ILF",J1678="EIF",J1678="EI",J1678="EO",J1678="EQ"),0,""),LEN(Y1678)-LEN(SUBSTITUTE(SUBSTITUTE(SUBSTITUTE(SUBSTITUTE(SUBSTITUTE(Y1678,"|}","--"),"{|","--"),CHAR(10),""),"、",""),"|",""))+IF(AND(OR(J1678="EI",J1678="EO",J1678="EQ"),$AE$1="NESMA"),2,1)))</f>
        <v/>
      </c>
      <c r="P1678" s="86">
        <f>IF(J1678="EI",IF(OR(Y1678="估算法",Y1678="算法类"),"中",IF(Y1678="无法识别","低",IF(M1678&lt;2,IF(O1678&lt;16,"低","中"),IF(M1678&lt;3,IF(O1678&lt;5,"低",IF(O1678&lt;16,"中","高")),IF(O1678&lt;5,"中","高"))))),IF(OR(J1678="EO",J1678="EQ"),IF(OR(Y1678="估算法",Y1678="算法类"),"中",IF(Y1678="无法识别","低",IF(M1678&lt;2,IF(O1678&lt;20,"低","中"),IF(M1678&lt;4,IF(O1678&lt;6,"低",IF(O1678&lt;20,"中","高")),IF(O1678&lt;6,"中","高"))))),IF(OR(J1678="ILF",J1678="EIF"),IF(OR(Y1678="估算法",Y1678="算法类",Y1678="无法识别"),"低",IF(N1678&lt;2,IF(O1678&lt;51,"低","中"),IF(N1678&lt;6,IF(O1678&lt;20,"低",IF(O1678&lt;51,"中","高")),IF(O1678&lt;20,"中","高")))),"不计算")))</f>
        <v/>
      </c>
      <c r="Q1678" s="172">
        <f>IFERROR(IF(J1678="EI",IF(P1678="低",3,IF(P1678="中",4,6)),IF(J1678="EO",IF(P1678="低",4,IF(P1678="中",5,7)),IF(J1678="EQ",IF(P1678="低",3,IF(P1678="中",4,6)),IF(J1678="ILF",IF(P1678="低",7,IF(P1678="中",10,15)),IF(J1678="EIF",IF(P1678="低",5,IF(P1678="中",7,10)),"不计算")))))*R1678,"不计算")</f>
        <v/>
      </c>
      <c r="R1678" s="172" t="n">
        <v>1</v>
      </c>
      <c r="S1678" s="173">
        <f>调整因子!$F$13</f>
        <v/>
      </c>
      <c r="T1678" s="93" t="n">
        <v>1</v>
      </c>
      <c r="U1678" s="174">
        <f>IFERROR(Q1678*S1678,0)</f>
        <v/>
      </c>
      <c r="V1678" s="178">
        <f>U1678*T1678</f>
        <v/>
      </c>
      <c r="W1678" s="103" t="inlineStr">
        <is>
          <t>任务日志表</t>
        </is>
      </c>
      <c r="X1678" s="103" t="inlineStr"/>
      <c r="Y1678" s="97" t="inlineStr">
        <is>
          <t>任务日志表{任务ID、任务名称、任务类型、任务状态、创建时间、执行时间|任务ID、任务名称、任务类型}</t>
        </is>
      </c>
      <c r="Z1678" s="90" t="n"/>
      <c r="AA1678" s="90" t="n"/>
    </row>
    <row r="1679" s="112">
      <c r="A1679" s="72">
        <f>ROW()-1</f>
        <v/>
      </c>
      <c r="B1679" s="175" t="n"/>
      <c r="C1679" s="124" t="n">
        <v>2026</v>
      </c>
      <c r="E1679" s="103" t="n"/>
      <c r="F1679" s="175" t="n"/>
      <c r="G1679" s="175" t="n"/>
      <c r="H1679" s="175" t="n"/>
      <c r="I1679" s="103" t="inlineStr">
        <is>
          <t>删除日志加密</t>
        </is>
      </c>
      <c r="J1679" s="93" t="inlineStr">
        <is>
          <t>EI</t>
        </is>
      </c>
      <c r="K1679" s="102" t="n"/>
      <c r="L1679" s="102" t="n"/>
      <c r="M1679" s="85">
        <f>IF(OR(Y1679="估算法",Y1679="算法类",Y1679="无法识别"),"",IF(W1679="",IF(OR(J1679="EI",J1679="EO",J1679="EQ"),0,""),LEN(W1679)-LEN(SUBSTITUTE(W1679,"、",""))+1))</f>
        <v/>
      </c>
      <c r="N1679" s="85">
        <f>IF(OR(Y1679="估算法",Y1679="算法类",Y1679="无法识别"),"",IF(X1679="",IF(OR(J1679="ILF",J1679="EIF"),0,""),LEN(X1679)-LEN(SUBSTITUTE(X1679,"、",""))+1))</f>
        <v/>
      </c>
      <c r="O1679" s="85">
        <f>IF(OR(Y1679="估算法",Y1679="算法类",Y1679="无法识别"),"",IF(Y1679="",IF(OR(J1679="ILF",J1679="EIF",J1679="EI",J1679="EO",J1679="EQ"),0,""),LEN(Y1679)-LEN(SUBSTITUTE(SUBSTITUTE(SUBSTITUTE(SUBSTITUTE(SUBSTITUTE(Y1679,"|}","--"),"{|","--"),CHAR(10),""),"、",""),"|",""))+IF(AND(OR(J1679="EI",J1679="EO",J1679="EQ"),$AE$1="NESMA"),2,1)))</f>
        <v/>
      </c>
      <c r="P1679" s="86">
        <f>IF(J1679="EI",IF(OR(Y1679="估算法",Y1679="算法类"),"中",IF(Y1679="无法识别","低",IF(M1679&lt;2,IF(O1679&lt;16,"低","中"),IF(M1679&lt;3,IF(O1679&lt;5,"低",IF(O1679&lt;16,"中","高")),IF(O1679&lt;5,"中","高"))))),IF(OR(J1679="EO",J1679="EQ"),IF(OR(Y1679="估算法",Y1679="算法类"),"中",IF(Y1679="无法识别","低",IF(M1679&lt;2,IF(O1679&lt;20,"低","中"),IF(M1679&lt;4,IF(O1679&lt;6,"低",IF(O1679&lt;20,"中","高")),IF(O1679&lt;6,"中","高"))))),IF(OR(J1679="ILF",J1679="EIF"),IF(OR(Y1679="估算法",Y1679="算法类",Y1679="无法识别"),"低",IF(N1679&lt;2,IF(O1679&lt;51,"低","中"),IF(N1679&lt;6,IF(O1679&lt;20,"低",IF(O1679&lt;51,"中","高")),IF(O1679&lt;20,"中","高")))),"不计算")))</f>
        <v/>
      </c>
      <c r="Q1679" s="172">
        <f>IFERROR(IF(J1679="EI",IF(P1679="低",3,IF(P1679="中",4,6)),IF(J1679="EO",IF(P1679="低",4,IF(P1679="中",5,7)),IF(J1679="EQ",IF(P1679="低",3,IF(P1679="中",4,6)),IF(J1679="ILF",IF(P1679="低",7,IF(P1679="中",10,15)),IF(J1679="EIF",IF(P1679="低",5,IF(P1679="中",7,10)),"不计算")))))*R1679,"不计算")</f>
        <v/>
      </c>
      <c r="R1679" s="172" t="n">
        <v>0.333333333333333</v>
      </c>
      <c r="S1679" s="173">
        <f>调整因子!$F$13</f>
        <v/>
      </c>
      <c r="T1679" s="92" t="n">
        <v>1</v>
      </c>
      <c r="U1679" s="174">
        <f>IFERROR(Q1679*S1679,0)</f>
        <v/>
      </c>
      <c r="V1679" s="178">
        <f>U1679*T1679</f>
        <v/>
      </c>
      <c r="W1679" s="103" t="inlineStr">
        <is>
          <t>任务日志表</t>
        </is>
      </c>
      <c r="X1679" s="103" t="inlineStr"/>
      <c r="Y1679" s="97" t="inlineStr">
        <is>
          <t>任务日志表{任务ID、任务名称、任务类型、任务状态、创建时间、执行时间|任务ID、任务名称、任务类型}</t>
        </is>
      </c>
      <c r="Z1679" s="90" t="n"/>
      <c r="AA1679" s="90" t="n"/>
    </row>
    <row r="1680" s="112">
      <c r="A1680" s="72">
        <f>ROW()-1</f>
        <v/>
      </c>
      <c r="B1680" s="175" t="n"/>
      <c r="C1680" s="124" t="n">
        <v>2026</v>
      </c>
      <c r="E1680" s="103" t="n"/>
      <c r="F1680" s="175" t="n"/>
      <c r="G1680" s="175" t="n"/>
      <c r="H1680" s="175" t="n"/>
      <c r="I1680" s="103" t="inlineStr">
        <is>
          <t>启用日志加密</t>
        </is>
      </c>
      <c r="J1680" s="93" t="inlineStr">
        <is>
          <t>EI</t>
        </is>
      </c>
      <c r="K1680" s="102" t="n"/>
      <c r="L1680" s="102" t="n"/>
      <c r="M1680" s="85">
        <f>IF(OR(Y1680="估算法",Y1680="算法类",Y1680="无法识别"),"",IF(W1680="",IF(OR(J1680="EI",J1680="EO",J1680="EQ"),0,""),LEN(W1680)-LEN(SUBSTITUTE(W1680,"、",""))+1))</f>
        <v/>
      </c>
      <c r="N1680" s="85">
        <f>IF(OR(Y1680="估算法",Y1680="算法类",Y1680="无法识别"),"",IF(X1680="",IF(OR(J1680="ILF",J1680="EIF"),0,""),LEN(X1680)-LEN(SUBSTITUTE(X1680,"、",""))+1))</f>
        <v/>
      </c>
      <c r="O1680" s="85">
        <f>IF(OR(Y1680="估算法",Y1680="算法类",Y1680="无法识别"),"",IF(Y1680="",IF(OR(J1680="ILF",J1680="EIF",J1680="EI",J1680="EO",J1680="EQ"),0,""),LEN(Y1680)-LEN(SUBSTITUTE(SUBSTITUTE(SUBSTITUTE(SUBSTITUTE(SUBSTITUTE(Y1680,"|}","--"),"{|","--"),CHAR(10),""),"、",""),"|",""))+IF(AND(OR(J1680="EI",J1680="EO",J1680="EQ"),$AE$1="NESMA"),2,1)))</f>
        <v/>
      </c>
      <c r="P1680" s="86">
        <f>IF(J1680="EI",IF(OR(Y1680="估算法",Y1680="算法类"),"中",IF(Y1680="无法识别","低",IF(M1680&lt;2,IF(O1680&lt;16,"低","中"),IF(M1680&lt;3,IF(O1680&lt;5,"低",IF(O1680&lt;16,"中","高")),IF(O1680&lt;5,"中","高"))))),IF(OR(J1680="EO",J1680="EQ"),IF(OR(Y1680="估算法",Y1680="算法类"),"中",IF(Y1680="无法识别","低",IF(M1680&lt;2,IF(O1680&lt;20,"低","中"),IF(M1680&lt;4,IF(O1680&lt;6,"低",IF(O1680&lt;20,"中","高")),IF(O1680&lt;6,"中","高"))))),IF(OR(J1680="ILF",J1680="EIF"),IF(OR(Y1680="估算法",Y1680="算法类",Y1680="无法识别"),"低",IF(N1680&lt;2,IF(O1680&lt;51,"低","中"),IF(N1680&lt;6,IF(O1680&lt;20,"低",IF(O1680&lt;51,"中","高")),IF(O1680&lt;20,"中","高")))),"不计算")))</f>
        <v/>
      </c>
      <c r="Q1680" s="172">
        <f>IFERROR(IF(J1680="EI",IF(P1680="低",3,IF(P1680="中",4,6)),IF(J1680="EO",IF(P1680="低",4,IF(P1680="中",5,7)),IF(J1680="EQ",IF(P1680="低",3,IF(P1680="中",4,6)),IF(J1680="ILF",IF(P1680="低",7,IF(P1680="中",10,15)),IF(J1680="EIF",IF(P1680="低",5,IF(P1680="中",7,10)),"不计算")))))*R1680,"不计算")</f>
        <v/>
      </c>
      <c r="R1680" s="172" t="n">
        <v>1</v>
      </c>
      <c r="S1680" s="173">
        <f>调整因子!$F$13</f>
        <v/>
      </c>
      <c r="T1680" s="92" t="n">
        <v>1</v>
      </c>
      <c r="U1680" s="174">
        <f>IFERROR(Q1680*S1680,0)</f>
        <v/>
      </c>
      <c r="V1680" s="178">
        <f>U1680*T1680</f>
        <v/>
      </c>
      <c r="W1680" s="103" t="inlineStr">
        <is>
          <t>任务日志表</t>
        </is>
      </c>
      <c r="X1680" s="103" t="inlineStr"/>
      <c r="Y1680" s="97" t="inlineStr">
        <is>
          <t>任务日志表{任务ID、任务名称、任务类型、任务状态、创建时间、执行时间|任务ID、任务名称、任务类型}</t>
        </is>
      </c>
      <c r="Z1680" s="90" t="n"/>
      <c r="AA1680" s="90" t="n"/>
    </row>
    <row r="1681" s="112">
      <c r="A1681" s="72">
        <f>ROW()-1</f>
        <v/>
      </c>
      <c r="B1681" s="175" t="n"/>
      <c r="C1681" s="124" t="n">
        <v>2026</v>
      </c>
      <c r="E1681" s="103" t="n"/>
      <c r="F1681" s="175" t="n"/>
      <c r="G1681" s="175" t="n"/>
      <c r="H1681" s="175" t="n"/>
      <c r="I1681" s="103" t="inlineStr">
        <is>
          <t>停用日志加密</t>
        </is>
      </c>
      <c r="J1681" s="93" t="n"/>
      <c r="K1681" s="102" t="n"/>
      <c r="L1681" s="102" t="inlineStr">
        <is>
          <t>和上行合并，启停为相同功能</t>
        </is>
      </c>
      <c r="M1681" s="85">
        <f>IF(OR(Y1681="估算法",Y1681="算法类",Y1681="无法识别"),"",IF(W1681="",IF(OR(J1681="EI",J1681="EO",J1681="EQ"),0,""),LEN(W1681)-LEN(SUBSTITUTE(W1681,"、",""))+1))</f>
        <v/>
      </c>
      <c r="N1681" s="85">
        <f>IF(OR(Y1681="估算法",Y1681="算法类",Y1681="无法识别"),"",IF(X1681="",IF(OR(J1681="ILF",J1681="EIF"),0,""),LEN(X1681)-LEN(SUBSTITUTE(X1681,"、",""))+1))</f>
        <v/>
      </c>
      <c r="O1681" s="85">
        <f>IF(OR(Y1681="估算法",Y1681="算法类",Y1681="无法识别"),"",IF(Y1681="",IF(OR(J1681="ILF",J1681="EIF",J1681="EI",J1681="EO",J1681="EQ"),0,""),LEN(Y1681)-LEN(SUBSTITUTE(SUBSTITUTE(SUBSTITUTE(SUBSTITUTE(SUBSTITUTE(Y1681,"|}","--"),"{|","--"),CHAR(10),""),"、",""),"|",""))+IF(AND(OR(J1681="EI",J1681="EO",J1681="EQ"),$AE$1="NESMA"),2,1)))</f>
        <v/>
      </c>
      <c r="P1681" s="86">
        <f>IF(J1681="EI",IF(OR(Y1681="估算法",Y1681="算法类"),"中",IF(Y1681="无法识别","低",IF(M1681&lt;2,IF(O1681&lt;16,"低","中"),IF(M1681&lt;3,IF(O1681&lt;5,"低",IF(O1681&lt;16,"中","高")),IF(O1681&lt;5,"中","高"))))),IF(OR(J1681="EO",J1681="EQ"),IF(OR(Y1681="估算法",Y1681="算法类"),"中",IF(Y1681="无法识别","低",IF(M1681&lt;2,IF(O1681&lt;20,"低","中"),IF(M1681&lt;4,IF(O1681&lt;6,"低",IF(O1681&lt;20,"中","高")),IF(O1681&lt;6,"中","高"))))),IF(OR(J1681="ILF",J1681="EIF"),IF(OR(Y1681="估算法",Y1681="算法类",Y1681="无法识别"),"低",IF(N1681&lt;2,IF(O1681&lt;51,"低","中"),IF(N1681&lt;6,IF(O1681&lt;20,"低",IF(O1681&lt;51,"中","高")),IF(O1681&lt;20,"中","高")))),"不计算")))</f>
        <v/>
      </c>
      <c r="Q1681" s="172">
        <f>IFERROR(IF(J1681="EI",IF(P1681="低",3,IF(P1681="中",4,6)),IF(J1681="EO",IF(P1681="低",4,IF(P1681="中",5,7)),IF(J1681="EQ",IF(P1681="低",3,IF(P1681="中",4,6)),IF(J1681="ILF",IF(P1681="低",7,IF(P1681="中",10,15)),IF(J1681="EIF",IF(P1681="低",5,IF(P1681="中",7,10)),"不计算")))))*R1681,"不计算")</f>
        <v/>
      </c>
      <c r="R1681" s="172" t="n">
        <v>1</v>
      </c>
      <c r="S1681" s="173">
        <f>调整因子!$F$13</f>
        <v/>
      </c>
      <c r="T1681" s="93" t="n">
        <v>1</v>
      </c>
      <c r="U1681" s="174">
        <f>IFERROR(Q1681*S1681,0)</f>
        <v/>
      </c>
      <c r="V1681" s="178">
        <f>U1681*T1681</f>
        <v/>
      </c>
      <c r="W1681" s="103" t="inlineStr">
        <is>
          <t>任务日志表</t>
        </is>
      </c>
      <c r="X1681" s="103" t="inlineStr"/>
      <c r="Y1681" s="97" t="inlineStr">
        <is>
          <t>任务日志表{任务ID、任务名称、任务类型、任务状态、创建时间、执行时间|任务ID、任务名称、任务类型}</t>
        </is>
      </c>
      <c r="Z1681" s="90" t="n"/>
      <c r="AA1681" s="90" t="n"/>
    </row>
    <row r="1682" s="112">
      <c r="A1682" s="72">
        <f>ROW()-1</f>
        <v/>
      </c>
      <c r="B1682" s="175" t="n"/>
      <c r="C1682" s="124" t="n">
        <v>2026</v>
      </c>
      <c r="E1682" s="103" t="n"/>
      <c r="F1682" s="175" t="n"/>
      <c r="G1682" s="175" t="n"/>
      <c r="H1682" s="175" t="n"/>
      <c r="I1682" s="103" t="inlineStr">
        <is>
          <t>导出加密配置</t>
        </is>
      </c>
      <c r="J1682" s="93" t="inlineStr">
        <is>
          <t>EO</t>
        </is>
      </c>
      <c r="K1682" s="102" t="n"/>
      <c r="L1682" s="102" t="n"/>
      <c r="M1682" s="85">
        <f>IF(OR(Y1682="估算法",Y1682="算法类",Y1682="无法识别"),"",IF(W1682="",IF(OR(J1682="EI",J1682="EO",J1682="EQ"),0,""),LEN(W1682)-LEN(SUBSTITUTE(W1682,"、",""))+1))</f>
        <v/>
      </c>
      <c r="N1682" s="85">
        <f>IF(OR(Y1682="估算法",Y1682="算法类",Y1682="无法识别"),"",IF(X1682="",IF(OR(J1682="ILF",J1682="EIF"),0,""),LEN(X1682)-LEN(SUBSTITUTE(X1682,"、",""))+1))</f>
        <v/>
      </c>
      <c r="O1682" s="85">
        <f>IF(OR(Y1682="估算法",Y1682="算法类",Y1682="无法识别"),"",IF(Y1682="",IF(OR(J1682="ILF",J1682="EIF",J1682="EI",J1682="EO",J1682="EQ"),0,""),LEN(Y1682)-LEN(SUBSTITUTE(SUBSTITUTE(SUBSTITUTE(SUBSTITUTE(SUBSTITUTE(Y1682,"|}","--"),"{|","--"),CHAR(10),""),"、",""),"|",""))+IF(AND(OR(J1682="EI",J1682="EO",J1682="EQ"),$AE$1="NESMA"),2,1)))</f>
        <v/>
      </c>
      <c r="P1682" s="86">
        <f>IF(J1682="EI",IF(OR(Y1682="估算法",Y1682="算法类"),"中",IF(Y1682="无法识别","低",IF(M1682&lt;2,IF(O1682&lt;16,"低","中"),IF(M1682&lt;3,IF(O1682&lt;5,"低",IF(O1682&lt;16,"中","高")),IF(O1682&lt;5,"中","高"))))),IF(OR(J1682="EO",J1682="EQ"),IF(OR(Y1682="估算法",Y1682="算法类"),"中",IF(Y1682="无法识别","低",IF(M1682&lt;2,IF(O1682&lt;20,"低","中"),IF(M1682&lt;4,IF(O1682&lt;6,"低",IF(O1682&lt;20,"中","高")),IF(O1682&lt;6,"中","高"))))),IF(OR(J1682="ILF",J1682="EIF"),IF(OR(Y1682="估算法",Y1682="算法类",Y1682="无法识别"),"低",IF(N1682&lt;2,IF(O1682&lt;51,"低","中"),IF(N1682&lt;6,IF(O1682&lt;20,"低",IF(O1682&lt;51,"中","高")),IF(O1682&lt;20,"中","高")))),"不计算")))</f>
        <v/>
      </c>
      <c r="Q1682" s="172">
        <f>IFERROR(IF(J1682="EI",IF(P1682="低",3,IF(P1682="中",4,6)),IF(J1682="EO",IF(P1682="低",4,IF(P1682="中",5,7)),IF(J1682="EQ",IF(P1682="低",3,IF(P1682="中",4,6)),IF(J1682="ILF",IF(P1682="低",7,IF(P1682="中",10,15)),IF(J1682="EIF",IF(P1682="低",5,IF(P1682="中",7,10)),"不计算")))))*R1682,"不计算")</f>
        <v/>
      </c>
      <c r="R1682" s="172" t="n">
        <v>1</v>
      </c>
      <c r="S1682" s="173">
        <f>调整因子!$F$13</f>
        <v/>
      </c>
      <c r="T1682" s="92" t="n">
        <v>1</v>
      </c>
      <c r="U1682" s="174">
        <f>IFERROR(Q1682*S1682,0)</f>
        <v/>
      </c>
      <c r="V1682" s="178">
        <f>U1682*T1682</f>
        <v/>
      </c>
      <c r="W1682" s="103" t="inlineStr">
        <is>
          <t>任务优先级配置表</t>
        </is>
      </c>
      <c r="X1682" s="103" t="inlineStr"/>
      <c r="Y1682" s="97" t="inlineStr">
        <is>
          <t>任务优先级配置表{任务ID、任务名称|任务ID、任务名称、任务类型}</t>
        </is>
      </c>
      <c r="Z1682" s="90" t="n"/>
      <c r="AA1682" s="90" t="n"/>
    </row>
    <row r="1683" s="112">
      <c r="A1683" s="72">
        <f>ROW()-1</f>
        <v/>
      </c>
      <c r="B1683" s="175" t="n"/>
      <c r="C1683" s="124" t="n">
        <v>2026</v>
      </c>
      <c r="E1683" s="103" t="n"/>
      <c r="F1683" s="175" t="n"/>
      <c r="G1683" s="175" t="n"/>
      <c r="H1683" s="175" t="n"/>
      <c r="I1683" s="103" t="inlineStr">
        <is>
          <t>查询加密规则</t>
        </is>
      </c>
      <c r="J1683" s="93" t="inlineStr">
        <is>
          <t>EQ</t>
        </is>
      </c>
      <c r="K1683" s="102" t="n"/>
      <c r="L1683" s="102" t="n"/>
      <c r="M1683" s="85">
        <f>IF(OR(Y1683="估算法",Y1683="算法类",Y1683="无法识别"),"",IF(W1683="",IF(OR(J1683="EI",J1683="EO",J1683="EQ"),0,""),LEN(W1683)-LEN(SUBSTITUTE(W1683,"、",""))+1))</f>
        <v/>
      </c>
      <c r="N1683" s="85">
        <f>IF(OR(Y1683="估算法",Y1683="算法类",Y1683="无法识别"),"",IF(X1683="",IF(OR(J1683="ILF",J1683="EIF"),0,""),LEN(X1683)-LEN(SUBSTITUTE(X1683,"、",""))+1))</f>
        <v/>
      </c>
      <c r="O1683" s="85">
        <f>IF(OR(Y1683="估算法",Y1683="算法类",Y1683="无法识别"),"",IF(Y1683="",IF(OR(J1683="ILF",J1683="EIF",J1683="EI",J1683="EO",J1683="EQ"),0,""),LEN(Y1683)-LEN(SUBSTITUTE(SUBSTITUTE(SUBSTITUTE(SUBSTITUTE(SUBSTITUTE(Y1683,"|}","--"),"{|","--"),CHAR(10),""),"、",""),"|",""))+IF(AND(OR(J1683="EI",J1683="EO",J1683="EQ"),$AE$1="NESMA"),2,1)))</f>
        <v/>
      </c>
      <c r="P1683" s="86">
        <f>IF(J1683="EI",IF(OR(Y1683="估算法",Y1683="算法类"),"中",IF(Y1683="无法识别","低",IF(M1683&lt;2,IF(O1683&lt;16,"低","中"),IF(M1683&lt;3,IF(O1683&lt;5,"低",IF(O1683&lt;16,"中","高")),IF(O1683&lt;5,"中","高"))))),IF(OR(J1683="EO",J1683="EQ"),IF(OR(Y1683="估算法",Y1683="算法类"),"中",IF(Y1683="无法识别","低",IF(M1683&lt;2,IF(O1683&lt;20,"低","中"),IF(M1683&lt;4,IF(O1683&lt;6,"低",IF(O1683&lt;20,"中","高")),IF(O1683&lt;6,"中","高"))))),IF(OR(J1683="ILF",J1683="EIF"),IF(OR(Y1683="估算法",Y1683="算法类",Y1683="无法识别"),"低",IF(N1683&lt;2,IF(O1683&lt;51,"低","中"),IF(N1683&lt;6,IF(O1683&lt;20,"低",IF(O1683&lt;51,"中","高")),IF(O1683&lt;20,"中","高")))),"不计算")))</f>
        <v/>
      </c>
      <c r="Q1683" s="172">
        <f>IFERROR(IF(J1683="EI",IF(P1683="低",3,IF(P1683="中",4,6)),IF(J1683="EO",IF(P1683="低",4,IF(P1683="中",5,7)),IF(J1683="EQ",IF(P1683="低",3,IF(P1683="中",4,6)),IF(J1683="ILF",IF(P1683="低",7,IF(P1683="中",10,15)),IF(J1683="EIF",IF(P1683="低",5,IF(P1683="中",7,10)),"不计算")))))*R1683,"不计算")</f>
        <v/>
      </c>
      <c r="R1683" s="172" t="n">
        <v>1</v>
      </c>
      <c r="S1683" s="173">
        <f>调整因子!$F$13</f>
        <v/>
      </c>
      <c r="T1683" s="92" t="n">
        <v>1</v>
      </c>
      <c r="U1683" s="174">
        <f>IFERROR(Q1683*S1683,0)</f>
        <v/>
      </c>
      <c r="V1683" s="178">
        <f>U1683*T1683</f>
        <v/>
      </c>
      <c r="W1683" s="103" t="inlineStr">
        <is>
          <t>推送规则表</t>
        </is>
      </c>
      <c r="X1683" s="103" t="inlineStr"/>
      <c r="Y1683" s="97" t="inlineStr">
        <is>
          <t>推送规则表{规则ID、规则名称|规则ID、规则名称、规则类型、规则条件}</t>
        </is>
      </c>
      <c r="Z1683" s="90" t="n"/>
      <c r="AA1683" s="90" t="n"/>
    </row>
    <row r="1684" s="112">
      <c r="A1684" s="72">
        <f>ROW()-1</f>
        <v/>
      </c>
      <c r="B1684" s="175" t="n"/>
      <c r="C1684" s="124" t="n">
        <v>2026</v>
      </c>
      <c r="E1684" s="103" t="n"/>
      <c r="F1684" s="175" t="n"/>
      <c r="G1684" s="175" t="n"/>
      <c r="H1684" s="176" t="n"/>
      <c r="I1684" s="103" t="inlineStr">
        <is>
          <t>查看加密详情</t>
        </is>
      </c>
      <c r="J1684" s="93" t="inlineStr">
        <is>
          <t>EQ</t>
        </is>
      </c>
      <c r="K1684" s="102" t="n"/>
      <c r="L1684" s="102" t="n"/>
      <c r="M1684" s="85">
        <f>IF(OR(Y1684="估算法",Y1684="算法类",Y1684="无法识别"),"",IF(W1684="",IF(OR(J1684="EI",J1684="EO",J1684="EQ"),0,""),LEN(W1684)-LEN(SUBSTITUTE(W1684,"、",""))+1))</f>
        <v/>
      </c>
      <c r="N1684" s="85">
        <f>IF(OR(Y1684="估算法",Y1684="算法类",Y1684="无法识别"),"",IF(X1684="",IF(OR(J1684="ILF",J1684="EIF"),0,""),LEN(X1684)-LEN(SUBSTITUTE(X1684,"、",""))+1))</f>
        <v/>
      </c>
      <c r="O1684" s="85">
        <f>IF(OR(Y1684="估算法",Y1684="算法类",Y1684="无法识别"),"",IF(Y1684="",IF(OR(J1684="ILF",J1684="EIF",J1684="EI",J1684="EO",J1684="EQ"),0,""),LEN(Y1684)-LEN(SUBSTITUTE(SUBSTITUTE(SUBSTITUTE(SUBSTITUTE(SUBSTITUTE(Y1684,"|}","--"),"{|","--"),CHAR(10),""),"、",""),"|",""))+IF(AND(OR(J1684="EI",J1684="EO",J1684="EQ"),$AE$1="NESMA"),2,1)))</f>
        <v/>
      </c>
      <c r="P1684" s="86">
        <f>IF(J1684="EI",IF(OR(Y1684="估算法",Y1684="算法类"),"中",IF(Y1684="无法识别","低",IF(M1684&lt;2,IF(O1684&lt;16,"低","中"),IF(M1684&lt;3,IF(O1684&lt;5,"低",IF(O1684&lt;16,"中","高")),IF(O1684&lt;5,"中","高"))))),IF(OR(J1684="EO",J1684="EQ"),IF(OR(Y1684="估算法",Y1684="算法类"),"中",IF(Y1684="无法识别","低",IF(M1684&lt;2,IF(O1684&lt;20,"低","中"),IF(M1684&lt;4,IF(O1684&lt;6,"低",IF(O1684&lt;20,"中","高")),IF(O1684&lt;6,"中","高"))))),IF(OR(J1684="ILF",J1684="EIF"),IF(OR(Y1684="估算法",Y1684="算法类",Y1684="无法识别"),"低",IF(N1684&lt;2,IF(O1684&lt;51,"低","中"),IF(N1684&lt;6,IF(O1684&lt;20,"低",IF(O1684&lt;51,"中","高")),IF(O1684&lt;20,"中","高")))),"不计算")))</f>
        <v/>
      </c>
      <c r="Q1684" s="172">
        <f>IFERROR(IF(J1684="EI",IF(P1684="低",3,IF(P1684="中",4,6)),IF(J1684="EO",IF(P1684="低",4,IF(P1684="中",5,7)),IF(J1684="EQ",IF(P1684="低",3,IF(P1684="中",4,6)),IF(J1684="ILF",IF(P1684="低",7,IF(P1684="中",10,15)),IF(J1684="EIF",IF(P1684="低",5,IF(P1684="中",7,10)),"不计算")))))*R1684,"不计算")</f>
        <v/>
      </c>
      <c r="R1684" s="172" t="n">
        <v>1</v>
      </c>
      <c r="S1684" s="173">
        <f>调整因子!$F$13</f>
        <v/>
      </c>
      <c r="T1684" s="93" t="n">
        <v>1</v>
      </c>
      <c r="U1684" s="174">
        <f>IFERROR(Q1684*S1684,0)</f>
        <v/>
      </c>
      <c r="V1684" s="178">
        <f>U1684*T1684</f>
        <v/>
      </c>
      <c r="W1684" s="103" t="inlineStr">
        <is>
          <t>漏洞处置单表</t>
        </is>
      </c>
      <c r="X1684" s="103" t="inlineStr"/>
      <c r="Y1684" s="97" t="inlineStr">
        <is>
          <t>漏洞处置单表{漏洞ID、漏洞名称|漏洞ID、漏洞名称、漏洞等级、漏洞类型}</t>
        </is>
      </c>
      <c r="Z1684" s="90" t="n"/>
      <c r="AA1684" s="90" t="n"/>
    </row>
    <row r="1685" s="112">
      <c r="A1685" s="72">
        <f>ROW()-1</f>
        <v/>
      </c>
      <c r="B1685" s="175" t="n"/>
      <c r="C1685" s="124" t="n">
        <v>2026</v>
      </c>
      <c r="E1685" s="103" t="n"/>
      <c r="F1685" s="175" t="n"/>
      <c r="G1685" s="175" t="n"/>
      <c r="H1685" s="97" t="inlineStr">
        <is>
          <t>日志加密存储管理</t>
        </is>
      </c>
      <c r="I1685" s="103" t="inlineStr">
        <is>
          <t>查询加密日志</t>
        </is>
      </c>
      <c r="J1685" s="93" t="inlineStr">
        <is>
          <t>EI</t>
        </is>
      </c>
      <c r="K1685" s="102" t="n"/>
      <c r="L1685" s="102" t="n"/>
      <c r="M1685" s="85">
        <f>IF(OR(Y1685="估算法",Y1685="算法类",Y1685="无法识别"),"",IF(W1685="",IF(OR(J1685="EI",J1685="EO",J1685="EQ"),0,""),LEN(W1685)-LEN(SUBSTITUTE(W1685,"、",""))+1))</f>
        <v/>
      </c>
      <c r="N1685" s="85">
        <f>IF(OR(Y1685="估算法",Y1685="算法类",Y1685="无法识别"),"",IF(X1685="",IF(OR(J1685="ILF",J1685="EIF"),0,""),LEN(X1685)-LEN(SUBSTITUTE(X1685,"、",""))+1))</f>
        <v/>
      </c>
      <c r="O1685" s="85">
        <f>IF(OR(Y1685="估算法",Y1685="算法类",Y1685="无法识别"),"",IF(Y1685="",IF(OR(J1685="ILF",J1685="EIF",J1685="EI",J1685="EO",J1685="EQ"),0,""),LEN(Y1685)-LEN(SUBSTITUTE(SUBSTITUTE(SUBSTITUTE(SUBSTITUTE(SUBSTITUTE(Y1685,"|}","--"),"{|","--"),CHAR(10),""),"、",""),"|",""))+IF(AND(OR(J1685="EI",J1685="EO",J1685="EQ"),$AE$1="NESMA"),2,1)))</f>
        <v/>
      </c>
      <c r="P1685" s="86">
        <f>IF(J1685="EI",IF(OR(Y1685="估算法",Y1685="算法类"),"中",IF(Y1685="无法识别","低",IF(M1685&lt;2,IF(O1685&lt;16,"低","中"),IF(M1685&lt;3,IF(O1685&lt;5,"低",IF(O1685&lt;16,"中","高")),IF(O1685&lt;5,"中","高"))))),IF(OR(J1685="EO",J1685="EQ"),IF(OR(Y1685="估算法",Y1685="算法类"),"中",IF(Y1685="无法识别","低",IF(M1685&lt;2,IF(O1685&lt;20,"低","中"),IF(M1685&lt;4,IF(O1685&lt;6,"低",IF(O1685&lt;20,"中","高")),IF(O1685&lt;6,"中","高"))))),IF(OR(J1685="ILF",J1685="EIF"),IF(OR(Y1685="估算法",Y1685="算法类",Y1685="无法识别"),"低",IF(N1685&lt;2,IF(O1685&lt;51,"低","中"),IF(N1685&lt;6,IF(O1685&lt;20,"低",IF(O1685&lt;51,"中","高")),IF(O1685&lt;20,"中","高")))),"不计算")))</f>
        <v/>
      </c>
      <c r="Q1685" s="172">
        <f>IFERROR(IF(J1685="EI",IF(P1685="低",3,IF(P1685="中",4,6)),IF(J1685="EO",IF(P1685="低",4,IF(P1685="中",5,7)),IF(J1685="EQ",IF(P1685="低",3,IF(P1685="中",4,6)),IF(J1685="ILF",IF(P1685="低",7,IF(P1685="中",10,15)),IF(J1685="EIF",IF(P1685="低",5,IF(P1685="中",7,10)),"不计算")))))*R1685,"不计算")</f>
        <v/>
      </c>
      <c r="R1685" s="172" t="n">
        <v>1</v>
      </c>
      <c r="S1685" s="173">
        <f>调整因子!$F$13</f>
        <v/>
      </c>
      <c r="T1685" s="93" t="n">
        <v>1</v>
      </c>
      <c r="U1685" s="174">
        <f>IFERROR(Q1685*S1685,0)</f>
        <v/>
      </c>
      <c r="V1685" s="178">
        <f>U1685*T1685</f>
        <v/>
      </c>
      <c r="W1685" s="103" t="inlineStr">
        <is>
          <t>任务日志表</t>
        </is>
      </c>
      <c r="X1685" s="103" t="inlineStr"/>
      <c r="Y1685" s="97" t="inlineStr">
        <is>
          <t>任务日志表{任务ID、任务名称、任务类型、任务状态、创建时间、执行时间|任务ID、任务名称、任务类型}</t>
        </is>
      </c>
      <c r="Z1685" s="90" t="n"/>
      <c r="AA1685" s="90" t="n"/>
    </row>
    <row r="1686" s="112">
      <c r="A1686" s="72">
        <f>ROW()-1</f>
        <v/>
      </c>
      <c r="B1686" s="175" t="n"/>
      <c r="C1686" s="124" t="n">
        <v>2026</v>
      </c>
      <c r="E1686" s="103" t="n"/>
      <c r="F1686" s="175" t="n"/>
      <c r="G1686" s="175" t="n"/>
      <c r="H1686" s="175" t="n"/>
      <c r="I1686" s="103" t="inlineStr">
        <is>
          <t>导出加密日志</t>
        </is>
      </c>
      <c r="J1686" s="93" t="inlineStr">
        <is>
          <t>EI</t>
        </is>
      </c>
      <c r="K1686" s="102" t="n"/>
      <c r="L1686" s="102" t="n"/>
      <c r="M1686" s="85">
        <f>IF(OR(Y1686="估算法",Y1686="算法类",Y1686="无法识别"),"",IF(W1686="",IF(OR(J1686="EI",J1686="EO",J1686="EQ"),0,""),LEN(W1686)-LEN(SUBSTITUTE(W1686,"、",""))+1))</f>
        <v/>
      </c>
      <c r="N1686" s="85">
        <f>IF(OR(Y1686="估算法",Y1686="算法类",Y1686="无法识别"),"",IF(X1686="",IF(OR(J1686="ILF",J1686="EIF"),0,""),LEN(X1686)-LEN(SUBSTITUTE(X1686,"、",""))+1))</f>
        <v/>
      </c>
      <c r="O1686" s="85">
        <f>IF(OR(Y1686="估算法",Y1686="算法类",Y1686="无法识别"),"",IF(Y1686="",IF(OR(J1686="ILF",J1686="EIF",J1686="EI",J1686="EO",J1686="EQ"),0,""),LEN(Y1686)-LEN(SUBSTITUTE(SUBSTITUTE(SUBSTITUTE(SUBSTITUTE(SUBSTITUTE(Y1686,"|}","--"),"{|","--"),CHAR(10),""),"、",""),"|",""))+IF(AND(OR(J1686="EI",J1686="EO",J1686="EQ"),$AE$1="NESMA"),2,1)))</f>
        <v/>
      </c>
      <c r="P1686" s="86">
        <f>IF(J1686="EI",IF(OR(Y1686="估算法",Y1686="算法类"),"中",IF(Y1686="无法识别","低",IF(M1686&lt;2,IF(O1686&lt;16,"低","中"),IF(M1686&lt;3,IF(O1686&lt;5,"低",IF(O1686&lt;16,"中","高")),IF(O1686&lt;5,"中","高"))))),IF(OR(J1686="EO",J1686="EQ"),IF(OR(Y1686="估算法",Y1686="算法类"),"中",IF(Y1686="无法识别","低",IF(M1686&lt;2,IF(O1686&lt;20,"低","中"),IF(M1686&lt;4,IF(O1686&lt;6,"低",IF(O1686&lt;20,"中","高")),IF(O1686&lt;6,"中","高"))))),IF(OR(J1686="ILF",J1686="EIF"),IF(OR(Y1686="估算法",Y1686="算法类",Y1686="无法识别"),"低",IF(N1686&lt;2,IF(O1686&lt;51,"低","中"),IF(N1686&lt;6,IF(O1686&lt;20,"低",IF(O1686&lt;51,"中","高")),IF(O1686&lt;20,"中","高")))),"不计算")))</f>
        <v/>
      </c>
      <c r="Q1686" s="172">
        <f>IFERROR(IF(J1686="EI",IF(P1686="低",3,IF(P1686="中",4,6)),IF(J1686="EO",IF(P1686="低",4,IF(P1686="中",5,7)),IF(J1686="EQ",IF(P1686="低",3,IF(P1686="中",4,6)),IF(J1686="ILF",IF(P1686="低",7,IF(P1686="中",10,15)),IF(J1686="EIF",IF(P1686="低",5,IF(P1686="中",7,10)),"不计算")))))*R1686,"不计算")</f>
        <v/>
      </c>
      <c r="R1686" s="172" t="n">
        <v>1</v>
      </c>
      <c r="S1686" s="173">
        <f>调整因子!$F$13</f>
        <v/>
      </c>
      <c r="T1686" s="92" t="n">
        <v>1</v>
      </c>
      <c r="U1686" s="174">
        <f>IFERROR(Q1686*S1686,0)</f>
        <v/>
      </c>
      <c r="V1686" s="178">
        <f>U1686*T1686</f>
        <v/>
      </c>
      <c r="W1686" s="103" t="inlineStr">
        <is>
          <t>任务日志表</t>
        </is>
      </c>
      <c r="X1686" s="103" t="inlineStr"/>
      <c r="Y1686" s="97" t="inlineStr">
        <is>
          <t>任务日志表{任务ID、任务名称、任务类型、任务状态、创建时间、执行时间|任务ID、任务名称、任务类型}</t>
        </is>
      </c>
      <c r="Z1686" s="90" t="n"/>
      <c r="AA1686" s="90" t="n"/>
    </row>
    <row r="1687" s="112">
      <c r="A1687" s="72">
        <f>ROW()-1</f>
        <v/>
      </c>
      <c r="B1687" s="175" t="n"/>
      <c r="C1687" s="124" t="n">
        <v>2026</v>
      </c>
      <c r="E1687" s="103" t="n"/>
      <c r="F1687" s="175" t="n"/>
      <c r="G1687" s="175" t="n"/>
      <c r="H1687" s="175" t="n"/>
      <c r="I1687" s="103" t="inlineStr">
        <is>
          <t>下载解密日志</t>
        </is>
      </c>
      <c r="J1687" s="93" t="inlineStr">
        <is>
          <t>EO</t>
        </is>
      </c>
      <c r="K1687" s="102" t="n"/>
      <c r="L1687" s="102" t="n"/>
      <c r="M1687" s="85">
        <f>IF(OR(Y1687="估算法",Y1687="算法类",Y1687="无法识别"),"",IF(W1687="",IF(OR(J1687="EI",J1687="EO",J1687="EQ"),0,""),LEN(W1687)-LEN(SUBSTITUTE(W1687,"、",""))+1))</f>
        <v/>
      </c>
      <c r="N1687" s="85">
        <f>IF(OR(Y1687="估算法",Y1687="算法类",Y1687="无法识别"),"",IF(X1687="",IF(OR(J1687="ILF",J1687="EIF"),0,""),LEN(X1687)-LEN(SUBSTITUTE(X1687,"、",""))+1))</f>
        <v/>
      </c>
      <c r="O1687" s="85">
        <f>IF(OR(Y1687="估算法",Y1687="算法类",Y1687="无法识别"),"",IF(Y1687="",IF(OR(J1687="ILF",J1687="EIF",J1687="EI",J1687="EO",J1687="EQ"),0,""),LEN(Y1687)-LEN(SUBSTITUTE(SUBSTITUTE(SUBSTITUTE(SUBSTITUTE(SUBSTITUTE(Y1687,"|}","--"),"{|","--"),CHAR(10),""),"、",""),"|",""))+IF(AND(OR(J1687="EI",J1687="EO",J1687="EQ"),$AE$1="NESMA"),2,1)))</f>
        <v/>
      </c>
      <c r="P1687" s="86">
        <f>IF(J1687="EI",IF(OR(Y1687="估算法",Y1687="算法类"),"中",IF(Y1687="无法识别","低",IF(M1687&lt;2,IF(O1687&lt;16,"低","中"),IF(M1687&lt;3,IF(O1687&lt;5,"低",IF(O1687&lt;16,"中","高")),IF(O1687&lt;5,"中","高"))))),IF(OR(J1687="EO",J1687="EQ"),IF(OR(Y1687="估算法",Y1687="算法类"),"中",IF(Y1687="无法识别","低",IF(M1687&lt;2,IF(O1687&lt;20,"低","中"),IF(M1687&lt;4,IF(O1687&lt;6,"低",IF(O1687&lt;20,"中","高")),IF(O1687&lt;6,"中","高"))))),IF(OR(J1687="ILF",J1687="EIF"),IF(OR(Y1687="估算法",Y1687="算法类",Y1687="无法识别"),"低",IF(N1687&lt;2,IF(O1687&lt;51,"低","中"),IF(N1687&lt;6,IF(O1687&lt;20,"低",IF(O1687&lt;51,"中","高")),IF(O1687&lt;20,"中","高")))),"不计算")))</f>
        <v/>
      </c>
      <c r="Q1687" s="172">
        <f>IFERROR(IF(J1687="EI",IF(P1687="低",3,IF(P1687="中",4,6)),IF(J1687="EO",IF(P1687="低",4,IF(P1687="中",5,7)),IF(J1687="EQ",IF(P1687="低",3,IF(P1687="中",4,6)),IF(J1687="ILF",IF(P1687="低",7,IF(P1687="中",10,15)),IF(J1687="EIF",IF(P1687="低",5,IF(P1687="中",7,10)),"不计算")))))*R1687,"不计算")</f>
        <v/>
      </c>
      <c r="R1687" s="172" t="n">
        <v>1</v>
      </c>
      <c r="S1687" s="173">
        <f>调整因子!$F$13</f>
        <v/>
      </c>
      <c r="T1687" s="92" t="n">
        <v>1</v>
      </c>
      <c r="U1687" s="174">
        <f>IFERROR(Q1687*S1687,0)</f>
        <v/>
      </c>
      <c r="V1687" s="178">
        <f>U1687*T1687</f>
        <v/>
      </c>
      <c r="W1687" s="103" t="inlineStr">
        <is>
          <t>任务日志表</t>
        </is>
      </c>
      <c r="X1687" s="103" t="inlineStr"/>
      <c r="Y1687" s="97" t="inlineStr">
        <is>
          <t>任务日志表{任务ID、任务名称|任务ID、任务名称、任务类型、任务状态}</t>
        </is>
      </c>
      <c r="Z1687" s="90" t="n"/>
      <c r="AA1687" s="90" t="n"/>
    </row>
    <row r="1688" s="112">
      <c r="A1688" s="72">
        <f>ROW()-1</f>
        <v/>
      </c>
      <c r="B1688" s="175" t="n"/>
      <c r="C1688" s="124" t="n">
        <v>2026</v>
      </c>
      <c r="E1688" s="103" t="n"/>
      <c r="F1688" s="175" t="n"/>
      <c r="G1688" s="175" t="n"/>
      <c r="H1688" s="175" t="n"/>
      <c r="I1688" s="103" t="inlineStr">
        <is>
          <t>推送加密日志</t>
        </is>
      </c>
      <c r="J1688" s="93" t="inlineStr">
        <is>
          <t>EO</t>
        </is>
      </c>
      <c r="K1688" s="102" t="n"/>
      <c r="L1688" s="102" t="n"/>
      <c r="M1688" s="85">
        <f>IF(OR(Y1688="估算法",Y1688="算法类",Y1688="无法识别"),"",IF(W1688="",IF(OR(J1688="EI",J1688="EO",J1688="EQ"),0,""),LEN(W1688)-LEN(SUBSTITUTE(W1688,"、",""))+1))</f>
        <v/>
      </c>
      <c r="N1688" s="85">
        <f>IF(OR(Y1688="估算法",Y1688="算法类",Y1688="无法识别"),"",IF(X1688="",IF(OR(J1688="ILF",J1688="EIF"),0,""),LEN(X1688)-LEN(SUBSTITUTE(X1688,"、",""))+1))</f>
        <v/>
      </c>
      <c r="O1688" s="85">
        <f>IF(OR(Y1688="估算法",Y1688="算法类",Y1688="无法识别"),"",IF(Y1688="",IF(OR(J1688="ILF",J1688="EIF",J1688="EI",J1688="EO",J1688="EQ"),0,""),LEN(Y1688)-LEN(SUBSTITUTE(SUBSTITUTE(SUBSTITUTE(SUBSTITUTE(SUBSTITUTE(Y1688,"|}","--"),"{|","--"),CHAR(10),""),"、",""),"|",""))+IF(AND(OR(J1688="EI",J1688="EO",J1688="EQ"),$AE$1="NESMA"),2,1)))</f>
        <v/>
      </c>
      <c r="P1688" s="86">
        <f>IF(J1688="EI",IF(OR(Y1688="估算法",Y1688="算法类"),"中",IF(Y1688="无法识别","低",IF(M1688&lt;2,IF(O1688&lt;16,"低","中"),IF(M1688&lt;3,IF(O1688&lt;5,"低",IF(O1688&lt;16,"中","高")),IF(O1688&lt;5,"中","高"))))),IF(OR(J1688="EO",J1688="EQ"),IF(OR(Y1688="估算法",Y1688="算法类"),"中",IF(Y1688="无法识别","低",IF(M1688&lt;2,IF(O1688&lt;20,"低","中"),IF(M1688&lt;4,IF(O1688&lt;6,"低",IF(O1688&lt;20,"中","高")),IF(O1688&lt;6,"中","高"))))),IF(OR(J1688="ILF",J1688="EIF"),IF(OR(Y1688="估算法",Y1688="算法类",Y1688="无法识别"),"低",IF(N1688&lt;2,IF(O1688&lt;51,"低","中"),IF(N1688&lt;6,IF(O1688&lt;20,"低",IF(O1688&lt;51,"中","高")),IF(O1688&lt;20,"中","高")))),"不计算")))</f>
        <v/>
      </c>
      <c r="Q1688" s="172">
        <f>IFERROR(IF(J1688="EI",IF(P1688="低",3,IF(P1688="中",4,6)),IF(J1688="EO",IF(P1688="低",4,IF(P1688="中",5,7)),IF(J1688="EQ",IF(P1688="低",3,IF(P1688="中",4,6)),IF(J1688="ILF",IF(P1688="低",7,IF(P1688="中",10,15)),IF(J1688="EIF",IF(P1688="低",5,IF(P1688="中",7,10)),"不计算")))))*R1688,"不计算")</f>
        <v/>
      </c>
      <c r="R1688" s="172" t="n">
        <v>1</v>
      </c>
      <c r="S1688" s="173">
        <f>调整因子!$F$13</f>
        <v/>
      </c>
      <c r="T1688" s="93" t="n">
        <v>1</v>
      </c>
      <c r="U1688" s="174">
        <f>IFERROR(Q1688*S1688,0)</f>
        <v/>
      </c>
      <c r="V1688" s="178">
        <f>U1688*T1688</f>
        <v/>
      </c>
      <c r="W1688" s="103" t="inlineStr">
        <is>
          <t>任务日志表</t>
        </is>
      </c>
      <c r="X1688" s="103" t="inlineStr"/>
      <c r="Y1688" s="97" t="inlineStr">
        <is>
          <t>任务日志表{任务ID、任务名称|任务ID、任务名称、任务类型、任务状态、创建时间}</t>
        </is>
      </c>
      <c r="Z1688" s="90" t="n"/>
      <c r="AA1688" s="90" t="n"/>
    </row>
    <row r="1689" s="112">
      <c r="A1689" s="72">
        <f>ROW()-1</f>
        <v/>
      </c>
      <c r="B1689" s="175" t="n"/>
      <c r="C1689" s="124" t="n">
        <v>2026</v>
      </c>
      <c r="E1689" s="103" t="n"/>
      <c r="F1689" s="175" t="n"/>
      <c r="G1689" s="175" t="n"/>
      <c r="H1689" s="175" t="n"/>
      <c r="I1689" s="103" t="inlineStr">
        <is>
          <t>查询日志状态</t>
        </is>
      </c>
      <c r="J1689" s="93" t="inlineStr">
        <is>
          <t>EQ</t>
        </is>
      </c>
      <c r="K1689" s="102" t="n"/>
      <c r="L1689" s="102" t="n"/>
      <c r="M1689" s="85">
        <f>IF(OR(Y1689="估算法",Y1689="算法类",Y1689="无法识别"),"",IF(W1689="",IF(OR(J1689="EI",J1689="EO",J1689="EQ"),0,""),LEN(W1689)-LEN(SUBSTITUTE(W1689,"、",""))+1))</f>
        <v/>
      </c>
      <c r="N1689" s="85">
        <f>IF(OR(Y1689="估算法",Y1689="算法类",Y1689="无法识别"),"",IF(X1689="",IF(OR(J1689="ILF",J1689="EIF"),0,""),LEN(X1689)-LEN(SUBSTITUTE(X1689,"、",""))+1))</f>
        <v/>
      </c>
      <c r="O1689" s="85">
        <f>IF(OR(Y1689="估算法",Y1689="算法类",Y1689="无法识别"),"",IF(Y1689="",IF(OR(J1689="ILF",J1689="EIF",J1689="EI",J1689="EO",J1689="EQ"),0,""),LEN(Y1689)-LEN(SUBSTITUTE(SUBSTITUTE(SUBSTITUTE(SUBSTITUTE(SUBSTITUTE(Y1689,"|}","--"),"{|","--"),CHAR(10),""),"、",""),"|",""))+IF(AND(OR(J1689="EI",J1689="EO",J1689="EQ"),$AE$1="NESMA"),2,1)))</f>
        <v/>
      </c>
      <c r="P1689" s="86">
        <f>IF(J1689="EI",IF(OR(Y1689="估算法",Y1689="算法类"),"中",IF(Y1689="无法识别","低",IF(M1689&lt;2,IF(O1689&lt;16,"低","中"),IF(M1689&lt;3,IF(O1689&lt;5,"低",IF(O1689&lt;16,"中","高")),IF(O1689&lt;5,"中","高"))))),IF(OR(J1689="EO",J1689="EQ"),IF(OR(Y1689="估算法",Y1689="算法类"),"中",IF(Y1689="无法识别","低",IF(M1689&lt;2,IF(O1689&lt;20,"低","中"),IF(M1689&lt;4,IF(O1689&lt;6,"低",IF(O1689&lt;20,"中","高")),IF(O1689&lt;6,"中","高"))))),IF(OR(J1689="ILF",J1689="EIF"),IF(OR(Y1689="估算法",Y1689="算法类",Y1689="无法识别"),"低",IF(N1689&lt;2,IF(O1689&lt;51,"低","中"),IF(N1689&lt;6,IF(O1689&lt;20,"低",IF(O1689&lt;51,"中","高")),IF(O1689&lt;20,"中","高")))),"不计算")))</f>
        <v/>
      </c>
      <c r="Q1689" s="172">
        <f>IFERROR(IF(J1689="EI",IF(P1689="低",3,IF(P1689="中",4,6)),IF(J1689="EO",IF(P1689="低",4,IF(P1689="中",5,7)),IF(J1689="EQ",IF(P1689="低",3,IF(P1689="中",4,6)),IF(J1689="ILF",IF(P1689="低",7,IF(P1689="中",10,15)),IF(J1689="EIF",IF(P1689="低",5,IF(P1689="中",7,10)),"不计算")))))*R1689,"不计算")</f>
        <v/>
      </c>
      <c r="R1689" s="172" t="n">
        <v>1</v>
      </c>
      <c r="S1689" s="173">
        <f>调整因子!$F$13</f>
        <v/>
      </c>
      <c r="T1689" s="92" t="n">
        <v>1</v>
      </c>
      <c r="U1689" s="174">
        <f>IFERROR(Q1689*S1689,0)</f>
        <v/>
      </c>
      <c r="V1689" s="178">
        <f>U1689*T1689</f>
        <v/>
      </c>
      <c r="W1689" s="103" t="inlineStr">
        <is>
          <t>任务日志表</t>
        </is>
      </c>
      <c r="X1689" s="103" t="inlineStr"/>
      <c r="Y1689" s="97" t="inlineStr">
        <is>
          <t>任务日志表{任务ID、任务名称|任务ID、任务名称、任务类型、任务状态、创建时间}</t>
        </is>
      </c>
      <c r="Z1689" s="90" t="n"/>
      <c r="AA1689" s="90" t="n"/>
    </row>
    <row r="1690" s="112">
      <c r="A1690" s="72">
        <f>ROW()-1</f>
        <v/>
      </c>
      <c r="B1690" s="175" t="n"/>
      <c r="C1690" s="124" t="n">
        <v>2026</v>
      </c>
      <c r="E1690" s="103" t="n"/>
      <c r="F1690" s="175" t="n"/>
      <c r="G1690" s="176" t="n"/>
      <c r="H1690" s="176" t="n"/>
      <c r="I1690" s="103" t="inlineStr">
        <is>
          <t>查看日志详情</t>
        </is>
      </c>
      <c r="J1690" s="93" t="inlineStr">
        <is>
          <t>EQ</t>
        </is>
      </c>
      <c r="K1690" s="102" t="n"/>
      <c r="L1690" s="102" t="n"/>
      <c r="M1690" s="85">
        <f>IF(OR(Y1690="估算法",Y1690="算法类",Y1690="无法识别"),"",IF(W1690="",IF(OR(J1690="EI",J1690="EO",J1690="EQ"),0,""),LEN(W1690)-LEN(SUBSTITUTE(W1690,"、",""))+1))</f>
        <v/>
      </c>
      <c r="N1690" s="85">
        <f>IF(OR(Y1690="估算法",Y1690="算法类",Y1690="无法识别"),"",IF(X1690="",IF(OR(J1690="ILF",J1690="EIF"),0,""),LEN(X1690)-LEN(SUBSTITUTE(X1690,"、",""))+1))</f>
        <v/>
      </c>
      <c r="O1690" s="85">
        <f>IF(OR(Y1690="估算法",Y1690="算法类",Y1690="无法识别"),"",IF(Y1690="",IF(OR(J1690="ILF",J1690="EIF",J1690="EI",J1690="EO",J1690="EQ"),0,""),LEN(Y1690)-LEN(SUBSTITUTE(SUBSTITUTE(SUBSTITUTE(SUBSTITUTE(SUBSTITUTE(Y1690,"|}","--"),"{|","--"),CHAR(10),""),"、",""),"|",""))+IF(AND(OR(J1690="EI",J1690="EO",J1690="EQ"),$AE$1="NESMA"),2,1)))</f>
        <v/>
      </c>
      <c r="P1690" s="86">
        <f>IF(J1690="EI",IF(OR(Y1690="估算法",Y1690="算法类"),"中",IF(Y1690="无法识别","低",IF(M1690&lt;2,IF(O1690&lt;16,"低","中"),IF(M1690&lt;3,IF(O1690&lt;5,"低",IF(O1690&lt;16,"中","高")),IF(O1690&lt;5,"中","高"))))),IF(OR(J1690="EO",J1690="EQ"),IF(OR(Y1690="估算法",Y1690="算法类"),"中",IF(Y1690="无法识别","低",IF(M1690&lt;2,IF(O1690&lt;20,"低","中"),IF(M1690&lt;4,IF(O1690&lt;6,"低",IF(O1690&lt;20,"中","高")),IF(O1690&lt;6,"中","高"))))),IF(OR(J1690="ILF",J1690="EIF"),IF(OR(Y1690="估算法",Y1690="算法类",Y1690="无法识别"),"低",IF(N1690&lt;2,IF(O1690&lt;51,"低","中"),IF(N1690&lt;6,IF(O1690&lt;20,"低",IF(O1690&lt;51,"中","高")),IF(O1690&lt;20,"中","高")))),"不计算")))</f>
        <v/>
      </c>
      <c r="Q1690" s="172">
        <f>IFERROR(IF(J1690="EI",IF(P1690="低",3,IF(P1690="中",4,6)),IF(J1690="EO",IF(P1690="低",4,IF(P1690="中",5,7)),IF(J1690="EQ",IF(P1690="低",3,IF(P1690="中",4,6)),IF(J1690="ILF",IF(P1690="低",7,IF(P1690="中",10,15)),IF(J1690="EIF",IF(P1690="低",5,IF(P1690="中",7,10)),"不计算")))))*R1690,"不计算")</f>
        <v/>
      </c>
      <c r="R1690" s="172" t="n">
        <v>1</v>
      </c>
      <c r="S1690" s="173">
        <f>调整因子!$F$13</f>
        <v/>
      </c>
      <c r="T1690" s="92" t="n">
        <v>1</v>
      </c>
      <c r="U1690" s="174">
        <f>IFERROR(Q1690*S1690,0)</f>
        <v/>
      </c>
      <c r="V1690" s="178">
        <f>U1690*T1690</f>
        <v/>
      </c>
      <c r="W1690" s="103" t="inlineStr">
        <is>
          <t>任务日志表</t>
        </is>
      </c>
      <c r="X1690" s="103" t="inlineStr"/>
      <c r="Y1690" s="97" t="inlineStr">
        <is>
          <t>任务日志表{任务ID、任务名称|任务ID、任务名称、任务类型}</t>
        </is>
      </c>
      <c r="Z1690" s="90" t="n"/>
      <c r="AA1690" s="90" t="n"/>
    </row>
    <row r="1691" s="112">
      <c r="A1691" s="72">
        <f>ROW()-1</f>
        <v/>
      </c>
      <c r="B1691" s="175" t="n"/>
      <c r="C1691" s="124" t="n">
        <v>2026</v>
      </c>
      <c r="E1691" s="103" t="n"/>
      <c r="F1691" s="175" t="n"/>
      <c r="G1691" s="97" t="inlineStr">
        <is>
          <t>审计日志管理</t>
        </is>
      </c>
      <c r="H1691" s="97" t="inlineStr">
        <is>
          <t>日志采集管理</t>
        </is>
      </c>
      <c r="I1691" s="103" t="inlineStr">
        <is>
          <t>审计日志表</t>
        </is>
      </c>
      <c r="J1691" s="93" t="n"/>
      <c r="K1691" s="102" t="n"/>
      <c r="L1691" s="102" t="inlineStr">
        <is>
          <t>非ILF - 日志表</t>
        </is>
      </c>
      <c r="M1691" s="85">
        <f>IF(OR(Y1691="估算法",Y1691="算法类",Y1691="无法识别"),"",IF(W1691="",IF(OR(J1691="EI",J1691="EO",J1691="EQ"),0,""),LEN(W1691)-LEN(SUBSTITUTE(W1691,"、",""))+1))</f>
        <v/>
      </c>
      <c r="N1691" s="85">
        <f>IF(OR(Y1691="估算法",Y1691="算法类",Y1691="无法识别"),"",IF(X1691="",IF(OR(J1691="ILF",J1691="EIF"),0,""),LEN(X1691)-LEN(SUBSTITUTE(X1691,"、",""))+1))</f>
        <v/>
      </c>
      <c r="O1691" s="85">
        <f>IF(OR(Y1691="估算法",Y1691="算法类",Y1691="无法识别"),"",IF(Y1691="",IF(OR(J1691="ILF",J1691="EIF",J1691="EI",J1691="EO",J1691="EQ"),0,""),LEN(Y1691)-LEN(SUBSTITUTE(SUBSTITUTE(SUBSTITUTE(SUBSTITUTE(SUBSTITUTE(Y1691,"|}","--"),"{|","--"),CHAR(10),""),"、",""),"|",""))+IF(AND(OR(J1691="EI",J1691="EO",J1691="EQ"),$AE$1="NESMA"),2,1)))</f>
        <v/>
      </c>
      <c r="P1691" s="86">
        <f>IF(J1691="EI",IF(OR(Y1691="估算法",Y1691="算法类"),"中",IF(Y1691="无法识别","低",IF(M1691&lt;2,IF(O1691&lt;16,"低","中"),IF(M1691&lt;3,IF(O1691&lt;5,"低",IF(O1691&lt;16,"中","高")),IF(O1691&lt;5,"中","高"))))),IF(OR(J1691="EO",J1691="EQ"),IF(OR(Y1691="估算法",Y1691="算法类"),"中",IF(Y1691="无法识别","低",IF(M1691&lt;2,IF(O1691&lt;20,"低","中"),IF(M1691&lt;4,IF(O1691&lt;6,"低",IF(O1691&lt;20,"中","高")),IF(O1691&lt;6,"中","高"))))),IF(OR(J1691="ILF",J1691="EIF"),IF(OR(Y1691="估算法",Y1691="算法类",Y1691="无法识别"),"低",IF(N1691&lt;2,IF(O1691&lt;51,"低","中"),IF(N1691&lt;6,IF(O1691&lt;20,"低",IF(O1691&lt;51,"中","高")),IF(O1691&lt;20,"中","高")))),"不计算")))</f>
        <v/>
      </c>
      <c r="Q1691" s="172">
        <f>IFERROR(IF(J1691="EI",IF(P1691="低",3,IF(P1691="中",4,6)),IF(J1691="EO",IF(P1691="低",4,IF(P1691="中",5,7)),IF(J1691="EQ",IF(P1691="低",3,IF(P1691="中",4,6)),IF(J1691="ILF",IF(P1691="低",7,IF(P1691="中",10,15)),IF(J1691="EIF",IF(P1691="低",5,IF(P1691="中",7,10)),"不计算")))))*R1691,"不计算")</f>
        <v/>
      </c>
      <c r="R1691" s="172" t="n">
        <v>1</v>
      </c>
      <c r="S1691" s="173">
        <f>调整因子!$F$13</f>
        <v/>
      </c>
      <c r="T1691" s="93" t="n">
        <v>1</v>
      </c>
      <c r="U1691" s="174">
        <f>IFERROR(Q1691*S1691,0)</f>
        <v/>
      </c>
      <c r="V1691" s="178">
        <f>U1691*T1691</f>
        <v/>
      </c>
      <c r="W1691" s="103" t="inlineStr"/>
      <c r="X1691" s="103" t="inlineStr">
        <is>
          <t>操作日志</t>
        </is>
      </c>
      <c r="Y1691" s="97" t="inlineStr">
        <is>
          <t>审计日志表{日志ID、操作人、操作类型|日志ID、操作人、操作类型、操作时间、操作内容}</t>
        </is>
      </c>
      <c r="Z1691" s="90">
        <f>IF(COUNTIFS(W:W,"*"&amp;I1691&amp;"*")&gt;0,"存在","不存在")</f>
        <v/>
      </c>
      <c r="AA1691" s="90">
        <f>IF(COUNTIFS(AB:AB,"*"&amp;I1691&amp;"*")&gt;0,"存在","不存在")</f>
        <v/>
      </c>
    </row>
    <row r="1692" s="112">
      <c r="A1692" s="72">
        <f>ROW()-1</f>
        <v/>
      </c>
      <c r="B1692" s="175" t="n"/>
      <c r="C1692" s="124" t="n">
        <v>2026</v>
      </c>
      <c r="E1692" s="103" t="n"/>
      <c r="F1692" s="175" t="n"/>
      <c r="G1692" s="175" t="n"/>
      <c r="H1692" s="175" t="n"/>
      <c r="I1692" s="103" t="inlineStr">
        <is>
          <t>日志采集配置表</t>
        </is>
      </c>
      <c r="J1692" s="93" t="n"/>
      <c r="K1692" s="102" t="n"/>
      <c r="L1692" s="102" t="inlineStr">
        <is>
          <t>非ILF - 日志表</t>
        </is>
      </c>
      <c r="M1692" s="85">
        <f>IF(OR(Y1692="估算法",Y1692="算法类",Y1692="无法识别"),"",IF(W1692="",IF(OR(J1692="EI",J1692="EO",J1692="EQ"),0,""),LEN(W1692)-LEN(SUBSTITUTE(W1692,"、",""))+1))</f>
        <v/>
      </c>
      <c r="N1692" s="85">
        <f>IF(OR(Y1692="估算法",Y1692="算法类",Y1692="无法识别"),"",IF(X1692="",IF(OR(J1692="ILF",J1692="EIF"),0,""),LEN(X1692)-LEN(SUBSTITUTE(X1692,"、",""))+1))</f>
        <v/>
      </c>
      <c r="O1692" s="85">
        <f>IF(OR(Y1692="估算法",Y1692="算法类",Y1692="无法识别"),"",IF(Y1692="",IF(OR(J1692="ILF",J1692="EIF",J1692="EI",J1692="EO",J1692="EQ"),0,""),LEN(Y1692)-LEN(SUBSTITUTE(SUBSTITUTE(SUBSTITUTE(SUBSTITUTE(SUBSTITUTE(Y1692,"|}","--"),"{|","--"),CHAR(10),""),"、",""),"|",""))+IF(AND(OR(J1692="EI",J1692="EO",J1692="EQ"),$AE$1="NESMA"),2,1)))</f>
        <v/>
      </c>
      <c r="P1692" s="86">
        <f>IF(J1692="EI",IF(OR(Y1692="估算法",Y1692="算法类"),"中",IF(Y1692="无法识别","低",IF(M1692&lt;2,IF(O1692&lt;16,"低","中"),IF(M1692&lt;3,IF(O1692&lt;5,"低",IF(O1692&lt;16,"中","高")),IF(O1692&lt;5,"中","高"))))),IF(OR(J1692="EO",J1692="EQ"),IF(OR(Y1692="估算法",Y1692="算法类"),"中",IF(Y1692="无法识别","低",IF(M1692&lt;2,IF(O1692&lt;20,"低","中"),IF(M1692&lt;4,IF(O1692&lt;6,"低",IF(O1692&lt;20,"中","高")),IF(O1692&lt;6,"中","高"))))),IF(OR(J1692="ILF",J1692="EIF"),IF(OR(Y1692="估算法",Y1692="算法类",Y1692="无法识别"),"低",IF(N1692&lt;2,IF(O1692&lt;51,"低","中"),IF(N1692&lt;6,IF(O1692&lt;20,"低",IF(O1692&lt;51,"中","高")),IF(O1692&lt;20,"中","高")))),"不计算")))</f>
        <v/>
      </c>
      <c r="Q1692" s="172">
        <f>IFERROR(IF(J1692="EI",IF(P1692="低",3,IF(P1692="中",4,6)),IF(J1692="EO",IF(P1692="低",4,IF(P1692="中",5,7)),IF(J1692="EQ",IF(P1692="低",3,IF(P1692="中",4,6)),IF(J1692="ILF",IF(P1692="低",7,IF(P1692="中",10,15)),IF(J1692="EIF",IF(P1692="低",5,IF(P1692="中",7,10)),"不计算")))))*R1692,"不计算")</f>
        <v/>
      </c>
      <c r="R1692" s="172" t="n">
        <v>1</v>
      </c>
      <c r="S1692" s="173">
        <f>调整因子!$F$13</f>
        <v/>
      </c>
      <c r="T1692" s="93" t="n">
        <v>1</v>
      </c>
      <c r="U1692" s="174">
        <f>IFERROR(Q1692*S1692,0)</f>
        <v/>
      </c>
      <c r="V1692" s="178">
        <f>U1692*T1692</f>
        <v/>
      </c>
      <c r="W1692" s="103" t="inlineStr"/>
      <c r="X1692" s="103" t="inlineStr">
        <is>
          <t>配置项</t>
        </is>
      </c>
      <c r="Y1692" s="97" t="inlineStr">
        <is>
          <t>日志采集配置表{配置ID、配置名称、配置类型|配置ID、配置名称、配置类型、配置值、创建时间}</t>
        </is>
      </c>
      <c r="Z1692" s="90">
        <f>IF(COUNTIFS(W:W,"*"&amp;I1692&amp;"*")&gt;0,"存在","不存在")</f>
        <v/>
      </c>
      <c r="AA1692" s="90">
        <f>IF(COUNTIFS(AB:AB,"*"&amp;I1692&amp;"*")&gt;0,"存在","不存在")</f>
        <v/>
      </c>
    </row>
    <row r="1693" s="112">
      <c r="A1693" s="72">
        <f>ROW()-1</f>
        <v/>
      </c>
      <c r="B1693" s="175" t="n"/>
      <c r="C1693" s="124" t="n">
        <v>2026</v>
      </c>
      <c r="E1693" s="103" t="n"/>
      <c r="F1693" s="175" t="n"/>
      <c r="G1693" s="175" t="n"/>
      <c r="H1693" s="175" t="n"/>
      <c r="I1693" s="103" t="inlineStr">
        <is>
          <t>编辑日志采集</t>
        </is>
      </c>
      <c r="J1693" s="93" t="inlineStr">
        <is>
          <t>EI</t>
        </is>
      </c>
      <c r="K1693" s="102" t="n"/>
      <c r="L1693" s="102" t="n"/>
      <c r="M1693" s="85">
        <f>IF(OR(Y1693="估算法",Y1693="算法类",Y1693="无法识别"),"",IF(W1693="",IF(OR(J1693="EI",J1693="EO",J1693="EQ"),0,""),LEN(W1693)-LEN(SUBSTITUTE(W1693,"、",""))+1))</f>
        <v/>
      </c>
      <c r="N1693" s="85">
        <f>IF(OR(Y1693="估算法",Y1693="算法类",Y1693="无法识别"),"",IF(X1693="",IF(OR(J1693="ILF",J1693="EIF"),0,""),LEN(X1693)-LEN(SUBSTITUTE(X1693,"、",""))+1))</f>
        <v/>
      </c>
      <c r="O1693" s="85">
        <f>IF(OR(Y1693="估算法",Y1693="算法类",Y1693="无法识别"),"",IF(Y1693="",IF(OR(J1693="ILF",J1693="EIF",J1693="EI",J1693="EO",J1693="EQ"),0,""),LEN(Y1693)-LEN(SUBSTITUTE(SUBSTITUTE(SUBSTITUTE(SUBSTITUTE(SUBSTITUTE(Y1693,"|}","--"),"{|","--"),CHAR(10),""),"、",""),"|",""))+IF(AND(OR(J1693="EI",J1693="EO",J1693="EQ"),$AE$1="NESMA"),2,1)))</f>
        <v/>
      </c>
      <c r="P1693" s="86">
        <f>IF(J1693="EI",IF(OR(Y1693="估算法",Y1693="算法类"),"中",IF(Y1693="无法识别","低",IF(M1693&lt;2,IF(O1693&lt;16,"低","中"),IF(M1693&lt;3,IF(O1693&lt;5,"低",IF(O1693&lt;16,"中","高")),IF(O1693&lt;5,"中","高"))))),IF(OR(J1693="EO",J1693="EQ"),IF(OR(Y1693="估算法",Y1693="算法类"),"中",IF(Y1693="无法识别","低",IF(M1693&lt;2,IF(O1693&lt;20,"低","中"),IF(M1693&lt;4,IF(O1693&lt;6,"低",IF(O1693&lt;20,"中","高")),IF(O1693&lt;6,"中","高"))))),IF(OR(J1693="ILF",J1693="EIF"),IF(OR(Y1693="估算法",Y1693="算法类",Y1693="无法识别"),"低",IF(N1693&lt;2,IF(O1693&lt;51,"低","中"),IF(N1693&lt;6,IF(O1693&lt;20,"低",IF(O1693&lt;51,"中","高")),IF(O1693&lt;20,"中","高")))),"不计算")))</f>
        <v/>
      </c>
      <c r="Q1693" s="172">
        <f>IFERROR(IF(J1693="EI",IF(P1693="低",3,IF(P1693="中",4,6)),IF(J1693="EO",IF(P1693="低",4,IF(P1693="中",5,7)),IF(J1693="EQ",IF(P1693="低",3,IF(P1693="中",4,6)),IF(J1693="ILF",IF(P1693="低",7,IF(P1693="中",10,15)),IF(J1693="EIF",IF(P1693="低",5,IF(P1693="中",7,10)),"不计算")))))*R1693,"不计算")</f>
        <v/>
      </c>
      <c r="R1693" s="172" t="n">
        <v>1</v>
      </c>
      <c r="S1693" s="173">
        <f>调整因子!$F$13</f>
        <v/>
      </c>
      <c r="T1693" s="92" t="n">
        <v>1</v>
      </c>
      <c r="U1693" s="174">
        <f>IFERROR(Q1693*S1693,0)</f>
        <v/>
      </c>
      <c r="V1693" s="178">
        <f>U1693*T1693</f>
        <v/>
      </c>
      <c r="W1693" s="103" t="inlineStr">
        <is>
          <t>任务日志表</t>
        </is>
      </c>
      <c r="X1693" s="103" t="inlineStr"/>
      <c r="Y1693" s="97" t="inlineStr">
        <is>
          <t>任务日志表{任务ID、任务名称、任务类型、任务状态、创建时间、执行时间|任务ID、任务名称、任务类型}</t>
        </is>
      </c>
      <c r="Z1693" s="90" t="n"/>
      <c r="AA1693" s="90" t="n"/>
    </row>
    <row r="1694" s="112">
      <c r="A1694" s="72">
        <f>ROW()-1</f>
        <v/>
      </c>
      <c r="B1694" s="175" t="n"/>
      <c r="C1694" s="124" t="n">
        <v>2026</v>
      </c>
      <c r="E1694" s="103" t="n"/>
      <c r="F1694" s="175" t="n"/>
      <c r="G1694" s="175" t="n"/>
      <c r="H1694" s="175" t="n"/>
      <c r="I1694" s="103" t="inlineStr">
        <is>
          <t>删除日志采集</t>
        </is>
      </c>
      <c r="J1694" s="93" t="inlineStr">
        <is>
          <t>EI</t>
        </is>
      </c>
      <c r="K1694" s="102" t="n"/>
      <c r="L1694" s="102" t="n"/>
      <c r="M1694" s="85">
        <f>IF(OR(Y1694="估算法",Y1694="算法类",Y1694="无法识别"),"",IF(W1694="",IF(OR(J1694="EI",J1694="EO",J1694="EQ"),0,""),LEN(W1694)-LEN(SUBSTITUTE(W1694,"、",""))+1))</f>
        <v/>
      </c>
      <c r="N1694" s="85">
        <f>IF(OR(Y1694="估算法",Y1694="算法类",Y1694="无法识别"),"",IF(X1694="",IF(OR(J1694="ILF",J1694="EIF"),0,""),LEN(X1694)-LEN(SUBSTITUTE(X1694,"、",""))+1))</f>
        <v/>
      </c>
      <c r="O1694" s="85">
        <f>IF(OR(Y1694="估算法",Y1694="算法类",Y1694="无法识别"),"",IF(Y1694="",IF(OR(J1694="ILF",J1694="EIF",J1694="EI",J1694="EO",J1694="EQ"),0,""),LEN(Y1694)-LEN(SUBSTITUTE(SUBSTITUTE(SUBSTITUTE(SUBSTITUTE(SUBSTITUTE(Y1694,"|}","--"),"{|","--"),CHAR(10),""),"、",""),"|",""))+IF(AND(OR(J1694="EI",J1694="EO",J1694="EQ"),$AE$1="NESMA"),2,1)))</f>
        <v/>
      </c>
      <c r="P1694" s="86">
        <f>IF(J1694="EI",IF(OR(Y1694="估算法",Y1694="算法类"),"中",IF(Y1694="无法识别","低",IF(M1694&lt;2,IF(O1694&lt;16,"低","中"),IF(M1694&lt;3,IF(O1694&lt;5,"低",IF(O1694&lt;16,"中","高")),IF(O1694&lt;5,"中","高"))))),IF(OR(J1694="EO",J1694="EQ"),IF(OR(Y1694="估算法",Y1694="算法类"),"中",IF(Y1694="无法识别","低",IF(M1694&lt;2,IF(O1694&lt;20,"低","中"),IF(M1694&lt;4,IF(O1694&lt;6,"低",IF(O1694&lt;20,"中","高")),IF(O1694&lt;6,"中","高"))))),IF(OR(J1694="ILF",J1694="EIF"),IF(OR(Y1694="估算法",Y1694="算法类",Y1694="无法识别"),"低",IF(N1694&lt;2,IF(O1694&lt;51,"低","中"),IF(N1694&lt;6,IF(O1694&lt;20,"低",IF(O1694&lt;51,"中","高")),IF(O1694&lt;20,"中","高")))),"不计算")))</f>
        <v/>
      </c>
      <c r="Q1694" s="172">
        <f>IFERROR(IF(J1694="EI",IF(P1694="低",3,IF(P1694="中",4,6)),IF(J1694="EO",IF(P1694="低",4,IF(P1694="中",5,7)),IF(J1694="EQ",IF(P1694="低",3,IF(P1694="中",4,6)),IF(J1694="ILF",IF(P1694="低",7,IF(P1694="中",10,15)),IF(J1694="EIF",IF(P1694="低",5,IF(P1694="中",7,10)),"不计算")))))*R1694,"不计算")</f>
        <v/>
      </c>
      <c r="R1694" s="172" t="n">
        <v>0.333333333333333</v>
      </c>
      <c r="S1694" s="173">
        <f>调整因子!$F$13</f>
        <v/>
      </c>
      <c r="T1694" s="92" t="n">
        <v>1</v>
      </c>
      <c r="U1694" s="174">
        <f>IFERROR(Q1694*S1694,0)</f>
        <v/>
      </c>
      <c r="V1694" s="178">
        <f>U1694*T1694</f>
        <v/>
      </c>
      <c r="W1694" s="103" t="inlineStr">
        <is>
          <t>任务日志表</t>
        </is>
      </c>
      <c r="X1694" s="103" t="inlineStr"/>
      <c r="Y1694" s="97" t="inlineStr">
        <is>
          <t>任务日志表{任务ID、任务名称、任务类型、任务状态、创建时间、执行时间|任务ID、任务名称、任务类型}</t>
        </is>
      </c>
      <c r="Z1694" s="90" t="n"/>
      <c r="AA1694" s="90" t="n"/>
    </row>
    <row r="1695" s="112">
      <c r="A1695" s="72">
        <f>ROW()-1</f>
        <v/>
      </c>
      <c r="B1695" s="175" t="n"/>
      <c r="C1695" s="124" t="n">
        <v>2026</v>
      </c>
      <c r="E1695" s="103" t="n"/>
      <c r="F1695" s="175" t="n"/>
      <c r="G1695" s="175" t="n"/>
      <c r="H1695" s="175" t="n"/>
      <c r="I1695" s="103" t="inlineStr">
        <is>
          <t>启用日志采集</t>
        </is>
      </c>
      <c r="J1695" s="93" t="inlineStr">
        <is>
          <t>EI</t>
        </is>
      </c>
      <c r="K1695" s="102" t="n"/>
      <c r="L1695" s="102" t="n"/>
      <c r="M1695" s="85">
        <f>IF(OR(Y1695="估算法",Y1695="算法类",Y1695="无法识别"),"",IF(W1695="",IF(OR(J1695="EI",J1695="EO",J1695="EQ"),0,""),LEN(W1695)-LEN(SUBSTITUTE(W1695,"、",""))+1))</f>
        <v/>
      </c>
      <c r="N1695" s="85">
        <f>IF(OR(Y1695="估算法",Y1695="算法类",Y1695="无法识别"),"",IF(X1695="",IF(OR(J1695="ILF",J1695="EIF"),0,""),LEN(X1695)-LEN(SUBSTITUTE(X1695,"、",""))+1))</f>
        <v/>
      </c>
      <c r="O1695" s="85">
        <f>IF(OR(Y1695="估算法",Y1695="算法类",Y1695="无法识别"),"",IF(Y1695="",IF(OR(J1695="ILF",J1695="EIF",J1695="EI",J1695="EO",J1695="EQ"),0,""),LEN(Y1695)-LEN(SUBSTITUTE(SUBSTITUTE(SUBSTITUTE(SUBSTITUTE(SUBSTITUTE(Y1695,"|}","--"),"{|","--"),CHAR(10),""),"、",""),"|",""))+IF(AND(OR(J1695="EI",J1695="EO",J1695="EQ"),$AE$1="NESMA"),2,1)))</f>
        <v/>
      </c>
      <c r="P1695" s="86">
        <f>IF(J1695="EI",IF(OR(Y1695="估算法",Y1695="算法类"),"中",IF(Y1695="无法识别","低",IF(M1695&lt;2,IF(O1695&lt;16,"低","中"),IF(M1695&lt;3,IF(O1695&lt;5,"低",IF(O1695&lt;16,"中","高")),IF(O1695&lt;5,"中","高"))))),IF(OR(J1695="EO",J1695="EQ"),IF(OR(Y1695="估算法",Y1695="算法类"),"中",IF(Y1695="无法识别","低",IF(M1695&lt;2,IF(O1695&lt;20,"低","中"),IF(M1695&lt;4,IF(O1695&lt;6,"低",IF(O1695&lt;20,"中","高")),IF(O1695&lt;6,"中","高"))))),IF(OR(J1695="ILF",J1695="EIF"),IF(OR(Y1695="估算法",Y1695="算法类",Y1695="无法识别"),"低",IF(N1695&lt;2,IF(O1695&lt;51,"低","中"),IF(N1695&lt;6,IF(O1695&lt;20,"低",IF(O1695&lt;51,"中","高")),IF(O1695&lt;20,"中","高")))),"不计算")))</f>
        <v/>
      </c>
      <c r="Q1695" s="172">
        <f>IFERROR(IF(J1695="EI",IF(P1695="低",3,IF(P1695="中",4,6)),IF(J1695="EO",IF(P1695="低",4,IF(P1695="中",5,7)),IF(J1695="EQ",IF(P1695="低",3,IF(P1695="中",4,6)),IF(J1695="ILF",IF(P1695="低",7,IF(P1695="中",10,15)),IF(J1695="EIF",IF(P1695="低",5,IF(P1695="中",7,10)),"不计算")))))*R1695,"不计算")</f>
        <v/>
      </c>
      <c r="R1695" s="172" t="n">
        <v>1</v>
      </c>
      <c r="S1695" s="173">
        <f>调整因子!$F$13</f>
        <v/>
      </c>
      <c r="T1695" s="93" t="n">
        <v>1</v>
      </c>
      <c r="U1695" s="174">
        <f>IFERROR(Q1695*S1695,0)</f>
        <v/>
      </c>
      <c r="V1695" s="178">
        <f>U1695*T1695</f>
        <v/>
      </c>
      <c r="W1695" s="103" t="inlineStr">
        <is>
          <t>任务日志表</t>
        </is>
      </c>
      <c r="X1695" s="103" t="inlineStr"/>
      <c r="Y1695" s="97" t="inlineStr">
        <is>
          <t>任务日志表{任务ID、任务名称、任务类型、任务状态、创建时间、执行时间|任务ID、任务名称、任务类型}</t>
        </is>
      </c>
      <c r="Z1695" s="90" t="n"/>
      <c r="AA1695" s="90" t="n"/>
    </row>
    <row r="1696" s="112">
      <c r="A1696" s="72">
        <f>ROW()-1</f>
        <v/>
      </c>
      <c r="B1696" s="175" t="n"/>
      <c r="C1696" s="124" t="n">
        <v>2026</v>
      </c>
      <c r="E1696" s="103" t="n"/>
      <c r="F1696" s="175" t="n"/>
      <c r="G1696" s="175" t="n"/>
      <c r="H1696" s="175" t="n"/>
      <c r="I1696" s="103" t="inlineStr">
        <is>
          <t>停用日志采集</t>
        </is>
      </c>
      <c r="J1696" s="93" t="n"/>
      <c r="K1696" s="102" t="n"/>
      <c r="L1696" s="102" t="inlineStr">
        <is>
          <t>和上行合并，启停为相同功能</t>
        </is>
      </c>
      <c r="M1696" s="85">
        <f>IF(OR(Y1696="估算法",Y1696="算法类",Y1696="无法识别"),"",IF(W1696="",IF(OR(J1696="EI",J1696="EO",J1696="EQ"),0,""),LEN(W1696)-LEN(SUBSTITUTE(W1696,"、",""))+1))</f>
        <v/>
      </c>
      <c r="N1696" s="85">
        <f>IF(OR(Y1696="估算法",Y1696="算法类",Y1696="无法识别"),"",IF(X1696="",IF(OR(J1696="ILF",J1696="EIF"),0,""),LEN(X1696)-LEN(SUBSTITUTE(X1696,"、",""))+1))</f>
        <v/>
      </c>
      <c r="O1696" s="85">
        <f>IF(OR(Y1696="估算法",Y1696="算法类",Y1696="无法识别"),"",IF(Y1696="",IF(OR(J1696="ILF",J1696="EIF",J1696="EI",J1696="EO",J1696="EQ"),0,""),LEN(Y1696)-LEN(SUBSTITUTE(SUBSTITUTE(SUBSTITUTE(SUBSTITUTE(SUBSTITUTE(Y1696,"|}","--"),"{|","--"),CHAR(10),""),"、",""),"|",""))+IF(AND(OR(J1696="EI",J1696="EO",J1696="EQ"),$AE$1="NESMA"),2,1)))</f>
        <v/>
      </c>
      <c r="P1696" s="86">
        <f>IF(J1696="EI",IF(OR(Y1696="估算法",Y1696="算法类"),"中",IF(Y1696="无法识别","低",IF(M1696&lt;2,IF(O1696&lt;16,"低","中"),IF(M1696&lt;3,IF(O1696&lt;5,"低",IF(O1696&lt;16,"中","高")),IF(O1696&lt;5,"中","高"))))),IF(OR(J1696="EO",J1696="EQ"),IF(OR(Y1696="估算法",Y1696="算法类"),"中",IF(Y1696="无法识别","低",IF(M1696&lt;2,IF(O1696&lt;20,"低","中"),IF(M1696&lt;4,IF(O1696&lt;6,"低",IF(O1696&lt;20,"中","高")),IF(O1696&lt;6,"中","高"))))),IF(OR(J1696="ILF",J1696="EIF"),IF(OR(Y1696="估算法",Y1696="算法类",Y1696="无法识别"),"低",IF(N1696&lt;2,IF(O1696&lt;51,"低","中"),IF(N1696&lt;6,IF(O1696&lt;20,"低",IF(O1696&lt;51,"中","高")),IF(O1696&lt;20,"中","高")))),"不计算")))</f>
        <v/>
      </c>
      <c r="Q1696" s="172">
        <f>IFERROR(IF(J1696="EI",IF(P1696="低",3,IF(P1696="中",4,6)),IF(J1696="EO",IF(P1696="低",4,IF(P1696="中",5,7)),IF(J1696="EQ",IF(P1696="低",3,IF(P1696="中",4,6)),IF(J1696="ILF",IF(P1696="低",7,IF(P1696="中",10,15)),IF(J1696="EIF",IF(P1696="低",5,IF(P1696="中",7,10)),"不计算")))))*R1696,"不计算")</f>
        <v/>
      </c>
      <c r="R1696" s="172" t="n">
        <v>1</v>
      </c>
      <c r="S1696" s="173">
        <f>调整因子!$F$13</f>
        <v/>
      </c>
      <c r="T1696" s="92" t="n">
        <v>1</v>
      </c>
      <c r="U1696" s="174">
        <f>IFERROR(Q1696*S1696,0)</f>
        <v/>
      </c>
      <c r="V1696" s="178">
        <f>U1696*T1696</f>
        <v/>
      </c>
      <c r="W1696" s="103" t="inlineStr">
        <is>
          <t>任务日志表</t>
        </is>
      </c>
      <c r="X1696" s="103" t="inlineStr"/>
      <c r="Y1696" s="97" t="inlineStr">
        <is>
          <t>任务日志表{任务ID、任务名称、任务类型、任务状态、创建时间、执行时间|任务ID、任务名称、任务类型}</t>
        </is>
      </c>
      <c r="Z1696" s="90" t="n"/>
      <c r="AA1696" s="90" t="n"/>
    </row>
    <row r="1697" s="112">
      <c r="A1697" s="72">
        <f>ROW()-1</f>
        <v/>
      </c>
      <c r="B1697" s="175" t="n"/>
      <c r="C1697" s="124" t="n">
        <v>2026</v>
      </c>
      <c r="E1697" s="103" t="n"/>
      <c r="F1697" s="175" t="n"/>
      <c r="G1697" s="175" t="n"/>
      <c r="H1697" s="175" t="n"/>
      <c r="I1697" s="103" t="inlineStr">
        <is>
          <t>导出日志配置</t>
        </is>
      </c>
      <c r="J1697" s="93" t="inlineStr">
        <is>
          <t>EO</t>
        </is>
      </c>
      <c r="K1697" s="102" t="n"/>
      <c r="L1697" s="102" t="n"/>
      <c r="M1697" s="85">
        <f>IF(OR(Y1697="估算法",Y1697="算法类",Y1697="无法识别"),"",IF(W1697="",IF(OR(J1697="EI",J1697="EO",J1697="EQ"),0,""),LEN(W1697)-LEN(SUBSTITUTE(W1697,"、",""))+1))</f>
        <v/>
      </c>
      <c r="N1697" s="85">
        <f>IF(OR(Y1697="估算法",Y1697="算法类",Y1697="无法识别"),"",IF(X1697="",IF(OR(J1697="ILF",J1697="EIF"),0,""),LEN(X1697)-LEN(SUBSTITUTE(X1697,"、",""))+1))</f>
        <v/>
      </c>
      <c r="O1697" s="85">
        <f>IF(OR(Y1697="估算法",Y1697="算法类",Y1697="无法识别"),"",IF(Y1697="",IF(OR(J1697="ILF",J1697="EIF",J1697="EI",J1697="EO",J1697="EQ"),0,""),LEN(Y1697)-LEN(SUBSTITUTE(SUBSTITUTE(SUBSTITUTE(SUBSTITUTE(SUBSTITUTE(Y1697,"|}","--"),"{|","--"),CHAR(10),""),"、",""),"|",""))+IF(AND(OR(J1697="EI",J1697="EO",J1697="EQ"),$AE$1="NESMA"),2,1)))</f>
        <v/>
      </c>
      <c r="P1697" s="86">
        <f>IF(J1697="EI",IF(OR(Y1697="估算法",Y1697="算法类"),"中",IF(Y1697="无法识别","低",IF(M1697&lt;2,IF(O1697&lt;16,"低","中"),IF(M1697&lt;3,IF(O1697&lt;5,"低",IF(O1697&lt;16,"中","高")),IF(O1697&lt;5,"中","高"))))),IF(OR(J1697="EO",J1697="EQ"),IF(OR(Y1697="估算法",Y1697="算法类"),"中",IF(Y1697="无法识别","低",IF(M1697&lt;2,IF(O1697&lt;20,"低","中"),IF(M1697&lt;4,IF(O1697&lt;6,"低",IF(O1697&lt;20,"中","高")),IF(O1697&lt;6,"中","高"))))),IF(OR(J1697="ILF",J1697="EIF"),IF(OR(Y1697="估算法",Y1697="算法类",Y1697="无法识别"),"低",IF(N1697&lt;2,IF(O1697&lt;51,"低","中"),IF(N1697&lt;6,IF(O1697&lt;20,"低",IF(O1697&lt;51,"中","高")),IF(O1697&lt;20,"中","高")))),"不计算")))</f>
        <v/>
      </c>
      <c r="Q1697" s="172">
        <f>IFERROR(IF(J1697="EI",IF(P1697="低",3,IF(P1697="中",4,6)),IF(J1697="EO",IF(P1697="低",4,IF(P1697="中",5,7)),IF(J1697="EQ",IF(P1697="低",3,IF(P1697="中",4,6)),IF(J1697="ILF",IF(P1697="低",7,IF(P1697="中",10,15)),IF(J1697="EIF",IF(P1697="低",5,IF(P1697="中",7,10)),"不计算")))))*R1697,"不计算")</f>
        <v/>
      </c>
      <c r="R1697" s="172" t="n">
        <v>1</v>
      </c>
      <c r="S1697" s="173">
        <f>调整因子!$F$13</f>
        <v/>
      </c>
      <c r="T1697" s="92" t="n">
        <v>1</v>
      </c>
      <c r="U1697" s="174">
        <f>IFERROR(Q1697*S1697,0)</f>
        <v/>
      </c>
      <c r="V1697" s="178">
        <f>U1697*T1697</f>
        <v/>
      </c>
      <c r="W1697" s="103" t="inlineStr">
        <is>
          <t>任务日志表</t>
        </is>
      </c>
      <c r="X1697" s="103" t="inlineStr"/>
      <c r="Y1697" s="97" t="inlineStr">
        <is>
          <t>任务日志表{任务ID、任务名称|任务ID、任务名称、任务类型}</t>
        </is>
      </c>
      <c r="Z1697" s="90" t="n"/>
      <c r="AA1697" s="90" t="n"/>
    </row>
    <row r="1698" s="112">
      <c r="A1698" s="72">
        <f>ROW()-1</f>
        <v/>
      </c>
      <c r="B1698" s="175" t="n"/>
      <c r="C1698" s="124" t="n">
        <v>2026</v>
      </c>
      <c r="E1698" s="103" t="n"/>
      <c r="F1698" s="175" t="n"/>
      <c r="G1698" s="175" t="n"/>
      <c r="H1698" s="175" t="n"/>
      <c r="I1698" s="103" t="inlineStr">
        <is>
          <t>查询日志状态</t>
        </is>
      </c>
      <c r="J1698" s="93" t="inlineStr">
        <is>
          <t>EQ</t>
        </is>
      </c>
      <c r="K1698" s="102" t="n"/>
      <c r="L1698" s="102" t="n"/>
      <c r="M1698" s="85">
        <f>IF(OR(Y1698="估算法",Y1698="算法类",Y1698="无法识别"),"",IF(W1698="",IF(OR(J1698="EI",J1698="EO",J1698="EQ"),0,""),LEN(W1698)-LEN(SUBSTITUTE(W1698,"、",""))+1))</f>
        <v/>
      </c>
      <c r="N1698" s="85">
        <f>IF(OR(Y1698="估算法",Y1698="算法类",Y1698="无法识别"),"",IF(X1698="",IF(OR(J1698="ILF",J1698="EIF"),0,""),LEN(X1698)-LEN(SUBSTITUTE(X1698,"、",""))+1))</f>
        <v/>
      </c>
      <c r="O1698" s="85">
        <f>IF(OR(Y1698="估算法",Y1698="算法类",Y1698="无法识别"),"",IF(Y1698="",IF(OR(J1698="ILF",J1698="EIF",J1698="EI",J1698="EO",J1698="EQ"),0,""),LEN(Y1698)-LEN(SUBSTITUTE(SUBSTITUTE(SUBSTITUTE(SUBSTITUTE(SUBSTITUTE(Y1698,"|}","--"),"{|","--"),CHAR(10),""),"、",""),"|",""))+IF(AND(OR(J1698="EI",J1698="EO",J1698="EQ"),$AE$1="NESMA"),2,1)))</f>
        <v/>
      </c>
      <c r="P1698" s="86">
        <f>IF(J1698="EI",IF(OR(Y1698="估算法",Y1698="算法类"),"中",IF(Y1698="无法识别","低",IF(M1698&lt;2,IF(O1698&lt;16,"低","中"),IF(M1698&lt;3,IF(O1698&lt;5,"低",IF(O1698&lt;16,"中","高")),IF(O1698&lt;5,"中","高"))))),IF(OR(J1698="EO",J1698="EQ"),IF(OR(Y1698="估算法",Y1698="算法类"),"中",IF(Y1698="无法识别","低",IF(M1698&lt;2,IF(O1698&lt;20,"低","中"),IF(M1698&lt;4,IF(O1698&lt;6,"低",IF(O1698&lt;20,"中","高")),IF(O1698&lt;6,"中","高"))))),IF(OR(J1698="ILF",J1698="EIF"),IF(OR(Y1698="估算法",Y1698="算法类",Y1698="无法识别"),"低",IF(N1698&lt;2,IF(O1698&lt;51,"低","中"),IF(N1698&lt;6,IF(O1698&lt;20,"低",IF(O1698&lt;51,"中","高")),IF(O1698&lt;20,"中","高")))),"不计算")))</f>
        <v/>
      </c>
      <c r="Q1698" s="172">
        <f>IFERROR(IF(J1698="EI",IF(P1698="低",3,IF(P1698="中",4,6)),IF(J1698="EO",IF(P1698="低",4,IF(P1698="中",5,7)),IF(J1698="EQ",IF(P1698="低",3,IF(P1698="中",4,6)),IF(J1698="ILF",IF(P1698="低",7,IF(P1698="中",10,15)),IF(J1698="EIF",IF(P1698="低",5,IF(P1698="中",7,10)),"不计算")))))*R1698,"不计算")</f>
        <v/>
      </c>
      <c r="R1698" s="172" t="n">
        <v>1</v>
      </c>
      <c r="S1698" s="173">
        <f>调整因子!$F$13</f>
        <v/>
      </c>
      <c r="T1698" s="93" t="n">
        <v>1</v>
      </c>
      <c r="U1698" s="174">
        <f>IFERROR(Q1698*S1698,0)</f>
        <v/>
      </c>
      <c r="V1698" s="178">
        <f>U1698*T1698</f>
        <v/>
      </c>
      <c r="W1698" s="103" t="inlineStr">
        <is>
          <t>任务日志表</t>
        </is>
      </c>
      <c r="X1698" s="103" t="inlineStr"/>
      <c r="Y1698" s="97" t="inlineStr">
        <is>
          <t>任务日志表{任务ID、任务名称|任务ID、任务名称、任务类型、任务状态、创建时间}</t>
        </is>
      </c>
      <c r="Z1698" s="90" t="n"/>
      <c r="AA1698" s="90" t="n"/>
    </row>
    <row r="1699" s="112">
      <c r="A1699" s="72">
        <f>ROW()-1</f>
        <v/>
      </c>
      <c r="B1699" s="175" t="n"/>
      <c r="C1699" s="124" t="n">
        <v>2026</v>
      </c>
      <c r="E1699" s="103" t="n"/>
      <c r="F1699" s="175" t="n"/>
      <c r="G1699" s="175" t="n"/>
      <c r="H1699" s="176" t="n"/>
      <c r="I1699" s="103" t="inlineStr">
        <is>
          <t>查看日志详情</t>
        </is>
      </c>
      <c r="J1699" s="93" t="inlineStr">
        <is>
          <t>EQ</t>
        </is>
      </c>
      <c r="K1699" s="102" t="n"/>
      <c r="L1699" s="102" t="n"/>
      <c r="M1699" s="85">
        <f>IF(OR(Y1699="估算法",Y1699="算法类",Y1699="无法识别"),"",IF(W1699="",IF(OR(J1699="EI",J1699="EO",J1699="EQ"),0,""),LEN(W1699)-LEN(SUBSTITUTE(W1699,"、",""))+1))</f>
        <v/>
      </c>
      <c r="N1699" s="85">
        <f>IF(OR(Y1699="估算法",Y1699="算法类",Y1699="无法识别"),"",IF(X1699="",IF(OR(J1699="ILF",J1699="EIF"),0,""),LEN(X1699)-LEN(SUBSTITUTE(X1699,"、",""))+1))</f>
        <v/>
      </c>
      <c r="O1699" s="85">
        <f>IF(OR(Y1699="估算法",Y1699="算法类",Y1699="无法识别"),"",IF(Y1699="",IF(OR(J1699="ILF",J1699="EIF",J1699="EI",J1699="EO",J1699="EQ"),0,""),LEN(Y1699)-LEN(SUBSTITUTE(SUBSTITUTE(SUBSTITUTE(SUBSTITUTE(SUBSTITUTE(Y1699,"|}","--"),"{|","--"),CHAR(10),""),"、",""),"|",""))+IF(AND(OR(J1699="EI",J1699="EO",J1699="EQ"),$AE$1="NESMA"),2,1)))</f>
        <v/>
      </c>
      <c r="P1699" s="86">
        <f>IF(J1699="EI",IF(OR(Y1699="估算法",Y1699="算法类"),"中",IF(Y1699="无法识别","低",IF(M1699&lt;2,IF(O1699&lt;16,"低","中"),IF(M1699&lt;3,IF(O1699&lt;5,"低",IF(O1699&lt;16,"中","高")),IF(O1699&lt;5,"中","高"))))),IF(OR(J1699="EO",J1699="EQ"),IF(OR(Y1699="估算法",Y1699="算法类"),"中",IF(Y1699="无法识别","低",IF(M1699&lt;2,IF(O1699&lt;20,"低","中"),IF(M1699&lt;4,IF(O1699&lt;6,"低",IF(O1699&lt;20,"中","高")),IF(O1699&lt;6,"中","高"))))),IF(OR(J1699="ILF",J1699="EIF"),IF(OR(Y1699="估算法",Y1699="算法类",Y1699="无法识别"),"低",IF(N1699&lt;2,IF(O1699&lt;51,"低","中"),IF(N1699&lt;6,IF(O1699&lt;20,"低",IF(O1699&lt;51,"中","高")),IF(O1699&lt;20,"中","高")))),"不计算")))</f>
        <v/>
      </c>
      <c r="Q1699" s="172">
        <f>IFERROR(IF(J1699="EI",IF(P1699="低",3,IF(P1699="中",4,6)),IF(J1699="EO",IF(P1699="低",4,IF(P1699="中",5,7)),IF(J1699="EQ",IF(P1699="低",3,IF(P1699="中",4,6)),IF(J1699="ILF",IF(P1699="低",7,IF(P1699="中",10,15)),IF(J1699="EIF",IF(P1699="低",5,IF(P1699="中",7,10)),"不计算")))))*R1699,"不计算")</f>
        <v/>
      </c>
      <c r="R1699" s="172" t="n">
        <v>1</v>
      </c>
      <c r="S1699" s="173">
        <f>调整因子!$F$13</f>
        <v/>
      </c>
      <c r="T1699" s="93" t="n">
        <v>1</v>
      </c>
      <c r="U1699" s="174">
        <f>IFERROR(Q1699*S1699,0)</f>
        <v/>
      </c>
      <c r="V1699" s="178">
        <f>U1699*T1699</f>
        <v/>
      </c>
      <c r="W1699" s="103" t="inlineStr">
        <is>
          <t>任务日志表</t>
        </is>
      </c>
      <c r="X1699" s="103" t="inlineStr"/>
      <c r="Y1699" s="97" t="inlineStr">
        <is>
          <t>任务日志表{任务ID、任务名称|任务ID、任务名称、任务类型、任务状态}</t>
        </is>
      </c>
      <c r="Z1699" s="90" t="n"/>
      <c r="AA1699" s="90" t="n"/>
    </row>
    <row r="1700" s="112">
      <c r="A1700" s="72">
        <f>ROW()-1</f>
        <v/>
      </c>
      <c r="B1700" s="175" t="n"/>
      <c r="C1700" s="124" t="n">
        <v>2026</v>
      </c>
      <c r="E1700" s="103" t="n"/>
      <c r="F1700" s="175" t="n"/>
      <c r="G1700" s="175" t="n"/>
      <c r="H1700" s="97" t="inlineStr">
        <is>
          <t>日志查询分析管理</t>
        </is>
      </c>
      <c r="I1700" s="103" t="inlineStr">
        <is>
          <t>日志查询记录表</t>
        </is>
      </c>
      <c r="J1700" s="93" t="n"/>
      <c r="K1700" s="102" t="n"/>
      <c r="L1700" s="102" t="inlineStr">
        <is>
          <t>非ILF - 日志表</t>
        </is>
      </c>
      <c r="M1700" s="85">
        <f>IF(OR(Y1700="估算法",Y1700="算法类",Y1700="无法识别"),"",IF(W1700="",IF(OR(J1700="EI",J1700="EO",J1700="EQ"),0,""),LEN(W1700)-LEN(SUBSTITUTE(W1700,"、",""))+1))</f>
        <v/>
      </c>
      <c r="N1700" s="85">
        <f>IF(OR(Y1700="估算法",Y1700="算法类",Y1700="无法识别"),"",IF(X1700="",IF(OR(J1700="ILF",J1700="EIF"),0,""),LEN(X1700)-LEN(SUBSTITUTE(X1700,"、",""))+1))</f>
        <v/>
      </c>
      <c r="O1700" s="85">
        <f>IF(OR(Y1700="估算法",Y1700="算法类",Y1700="无法识别"),"",IF(Y1700="",IF(OR(J1700="ILF",J1700="EIF",J1700="EI",J1700="EO",J1700="EQ"),0,""),LEN(Y1700)-LEN(SUBSTITUTE(SUBSTITUTE(SUBSTITUTE(SUBSTITUTE(SUBSTITUTE(Y1700,"|}","--"),"{|","--"),CHAR(10),""),"、",""),"|",""))+IF(AND(OR(J1700="EI",J1700="EO",J1700="EQ"),$AE$1="NESMA"),2,1)))</f>
        <v/>
      </c>
      <c r="P1700" s="86">
        <f>IF(J1700="EI",IF(OR(Y1700="估算法",Y1700="算法类"),"中",IF(Y1700="无法识别","低",IF(M1700&lt;2,IF(O1700&lt;16,"低","中"),IF(M1700&lt;3,IF(O1700&lt;5,"低",IF(O1700&lt;16,"中","高")),IF(O1700&lt;5,"中","高"))))),IF(OR(J1700="EO",J1700="EQ"),IF(OR(Y1700="估算法",Y1700="算法类"),"中",IF(Y1700="无法识别","低",IF(M1700&lt;2,IF(O1700&lt;20,"低","中"),IF(M1700&lt;4,IF(O1700&lt;6,"低",IF(O1700&lt;20,"中","高")),IF(O1700&lt;6,"中","高"))))),IF(OR(J1700="ILF",J1700="EIF"),IF(OR(Y1700="估算法",Y1700="算法类",Y1700="无法识别"),"低",IF(N1700&lt;2,IF(O1700&lt;51,"低","中"),IF(N1700&lt;6,IF(O1700&lt;20,"低",IF(O1700&lt;51,"中","高")),IF(O1700&lt;20,"中","高")))),"不计算")))</f>
        <v/>
      </c>
      <c r="Q1700" s="172">
        <f>IFERROR(IF(J1700="EI",IF(P1700="低",3,IF(P1700="中",4,6)),IF(J1700="EO",IF(P1700="低",4,IF(P1700="中",5,7)),IF(J1700="EQ",IF(P1700="低",3,IF(P1700="中",4,6)),IF(J1700="ILF",IF(P1700="低",7,IF(P1700="中",10,15)),IF(J1700="EIF",IF(P1700="低",5,IF(P1700="中",7,10)),"不计算")))))*R1700,"不计算")</f>
        <v/>
      </c>
      <c r="R1700" s="172" t="n">
        <v>1</v>
      </c>
      <c r="S1700" s="173">
        <f>调整因子!$F$13</f>
        <v/>
      </c>
      <c r="T1700" s="92" t="n">
        <v>1</v>
      </c>
      <c r="U1700" s="174">
        <f>IFERROR(Q1700*S1700,0)</f>
        <v/>
      </c>
      <c r="V1700" s="178">
        <f>U1700*T1700</f>
        <v/>
      </c>
      <c r="W1700" s="103" t="inlineStr"/>
      <c r="X1700" s="103" t="inlineStr">
        <is>
          <t>操作日志</t>
        </is>
      </c>
      <c r="Y1700" s="97" t="inlineStr">
        <is>
          <t>日志查询记录表{日志ID、操作人、操作类型|日志ID、操作人、操作类型、操作时间、操作内容}</t>
        </is>
      </c>
      <c r="Z1700" s="90">
        <f>IF(COUNTIFS(W:W,"*"&amp;I1700&amp;"*")&gt;0,"存在","不存在")</f>
        <v/>
      </c>
      <c r="AA1700" s="90">
        <f>IF(COUNTIFS(AB:AB,"*"&amp;I1700&amp;"*")&gt;0,"存在","不存在")</f>
        <v/>
      </c>
    </row>
    <row r="1701" s="112">
      <c r="A1701" s="72">
        <f>ROW()-1</f>
        <v/>
      </c>
      <c r="B1701" s="175" t="n"/>
      <c r="C1701" s="124" t="n">
        <v>2026</v>
      </c>
      <c r="E1701" s="103" t="n"/>
      <c r="F1701" s="175" t="n"/>
      <c r="G1701" s="175" t="n"/>
      <c r="H1701" s="175" t="n"/>
      <c r="I1701" s="103" t="inlineStr">
        <is>
          <t>查询操作日志</t>
        </is>
      </c>
      <c r="J1701" s="93" t="inlineStr">
        <is>
          <t>EI</t>
        </is>
      </c>
      <c r="K1701" s="102" t="n"/>
      <c r="L1701" s="102" t="n"/>
      <c r="M1701" s="85">
        <f>IF(OR(Y1701="估算法",Y1701="算法类",Y1701="无法识别"),"",IF(W1701="",IF(OR(J1701="EI",J1701="EO",J1701="EQ"),0,""),LEN(W1701)-LEN(SUBSTITUTE(W1701,"、",""))+1))</f>
        <v/>
      </c>
      <c r="N1701" s="85">
        <f>IF(OR(Y1701="估算法",Y1701="算法类",Y1701="无法识别"),"",IF(X1701="",IF(OR(J1701="ILF",J1701="EIF"),0,""),LEN(X1701)-LEN(SUBSTITUTE(X1701,"、",""))+1))</f>
        <v/>
      </c>
      <c r="O1701" s="85">
        <f>IF(OR(Y1701="估算法",Y1701="算法类",Y1701="无法识别"),"",IF(Y1701="",IF(OR(J1701="ILF",J1701="EIF",J1701="EI",J1701="EO",J1701="EQ"),0,""),LEN(Y1701)-LEN(SUBSTITUTE(SUBSTITUTE(SUBSTITUTE(SUBSTITUTE(SUBSTITUTE(Y1701,"|}","--"),"{|","--"),CHAR(10),""),"、",""),"|",""))+IF(AND(OR(J1701="EI",J1701="EO",J1701="EQ"),$AE$1="NESMA"),2,1)))</f>
        <v/>
      </c>
      <c r="P1701" s="86">
        <f>IF(J1701="EI",IF(OR(Y1701="估算法",Y1701="算法类"),"中",IF(Y1701="无法识别","低",IF(M1701&lt;2,IF(O1701&lt;16,"低","中"),IF(M1701&lt;3,IF(O1701&lt;5,"低",IF(O1701&lt;16,"中","高")),IF(O1701&lt;5,"中","高"))))),IF(OR(J1701="EO",J1701="EQ"),IF(OR(Y1701="估算法",Y1701="算法类"),"中",IF(Y1701="无法识别","低",IF(M1701&lt;2,IF(O1701&lt;20,"低","中"),IF(M1701&lt;4,IF(O1701&lt;6,"低",IF(O1701&lt;20,"中","高")),IF(O1701&lt;6,"中","高"))))),IF(OR(J1701="ILF",J1701="EIF"),IF(OR(Y1701="估算法",Y1701="算法类",Y1701="无法识别"),"低",IF(N1701&lt;2,IF(O1701&lt;51,"低","中"),IF(N1701&lt;6,IF(O1701&lt;20,"低",IF(O1701&lt;51,"中","高")),IF(O1701&lt;20,"中","高")))),"不计算")))</f>
        <v/>
      </c>
      <c r="Q1701" s="172">
        <f>IFERROR(IF(J1701="EI",IF(P1701="低",3,IF(P1701="中",4,6)),IF(J1701="EO",IF(P1701="低",4,IF(P1701="中",5,7)),IF(J1701="EQ",IF(P1701="低",3,IF(P1701="中",4,6)),IF(J1701="ILF",IF(P1701="低",7,IF(P1701="中",10,15)),IF(J1701="EIF",IF(P1701="低",5,IF(P1701="中",7,10)),"不计算")))))*R1701,"不计算")</f>
        <v/>
      </c>
      <c r="R1701" s="172" t="n">
        <v>1</v>
      </c>
      <c r="S1701" s="173">
        <f>调整因子!$F$13</f>
        <v/>
      </c>
      <c r="T1701" s="92" t="n">
        <v>1</v>
      </c>
      <c r="U1701" s="174">
        <f>IFERROR(Q1701*S1701,0)</f>
        <v/>
      </c>
      <c r="V1701" s="178">
        <f>U1701*T1701</f>
        <v/>
      </c>
      <c r="W1701" s="103" t="inlineStr">
        <is>
          <t>任务日志表</t>
        </is>
      </c>
      <c r="X1701" s="103" t="inlineStr"/>
      <c r="Y1701" s="97" t="inlineStr">
        <is>
          <t>任务日志表{任务ID、任务名称、任务类型、任务状态、创建时间、执行时间|任务ID、任务名称、任务类型}</t>
        </is>
      </c>
      <c r="Z1701" s="90" t="n"/>
      <c r="AA1701" s="90" t="n"/>
    </row>
    <row r="1702" s="112">
      <c r="A1702" s="72">
        <f>ROW()-1</f>
        <v/>
      </c>
      <c r="B1702" s="175" t="n"/>
      <c r="C1702" s="124" t="n">
        <v>2026</v>
      </c>
      <c r="E1702" s="103" t="n"/>
      <c r="F1702" s="175" t="n"/>
      <c r="G1702" s="175" t="n"/>
      <c r="H1702" s="175" t="n"/>
      <c r="I1702" s="103" t="inlineStr">
        <is>
          <t>导出日志记录</t>
        </is>
      </c>
      <c r="J1702" s="93" t="inlineStr">
        <is>
          <t>EO</t>
        </is>
      </c>
      <c r="K1702" s="102" t="n"/>
      <c r="L1702" s="102" t="n"/>
      <c r="M1702" s="85">
        <f>IF(OR(Y1702="估算法",Y1702="算法类",Y1702="无法识别"),"",IF(W1702="",IF(OR(J1702="EI",J1702="EO",J1702="EQ"),0,""),LEN(W1702)-LEN(SUBSTITUTE(W1702,"、",""))+1))</f>
        <v/>
      </c>
      <c r="N1702" s="85">
        <f>IF(OR(Y1702="估算法",Y1702="算法类",Y1702="无法识别"),"",IF(X1702="",IF(OR(J1702="ILF",J1702="EIF"),0,""),LEN(X1702)-LEN(SUBSTITUTE(X1702,"、",""))+1))</f>
        <v/>
      </c>
      <c r="O1702" s="85">
        <f>IF(OR(Y1702="估算法",Y1702="算法类",Y1702="无法识别"),"",IF(Y1702="",IF(OR(J1702="ILF",J1702="EIF",J1702="EI",J1702="EO",J1702="EQ"),0,""),LEN(Y1702)-LEN(SUBSTITUTE(SUBSTITUTE(SUBSTITUTE(SUBSTITUTE(SUBSTITUTE(Y1702,"|}","--"),"{|","--"),CHAR(10),""),"、",""),"|",""))+IF(AND(OR(J1702="EI",J1702="EO",J1702="EQ"),$AE$1="NESMA"),2,1)))</f>
        <v/>
      </c>
      <c r="P1702" s="86">
        <f>IF(J1702="EI",IF(OR(Y1702="估算法",Y1702="算法类"),"中",IF(Y1702="无法识别","低",IF(M1702&lt;2,IF(O1702&lt;16,"低","中"),IF(M1702&lt;3,IF(O1702&lt;5,"低",IF(O1702&lt;16,"中","高")),IF(O1702&lt;5,"中","高"))))),IF(OR(J1702="EO",J1702="EQ"),IF(OR(Y1702="估算法",Y1702="算法类"),"中",IF(Y1702="无法识别","低",IF(M1702&lt;2,IF(O1702&lt;20,"低","中"),IF(M1702&lt;4,IF(O1702&lt;6,"低",IF(O1702&lt;20,"中","高")),IF(O1702&lt;6,"中","高"))))),IF(OR(J1702="ILF",J1702="EIF"),IF(OR(Y1702="估算法",Y1702="算法类",Y1702="无法识别"),"低",IF(N1702&lt;2,IF(O1702&lt;51,"低","中"),IF(N1702&lt;6,IF(O1702&lt;20,"低",IF(O1702&lt;51,"中","高")),IF(O1702&lt;20,"中","高")))),"不计算")))</f>
        <v/>
      </c>
      <c r="Q1702" s="172">
        <f>IFERROR(IF(J1702="EI",IF(P1702="低",3,IF(P1702="中",4,6)),IF(J1702="EO",IF(P1702="低",4,IF(P1702="中",5,7)),IF(J1702="EQ",IF(P1702="低",3,IF(P1702="中",4,6)),IF(J1702="ILF",IF(P1702="低",7,IF(P1702="中",10,15)),IF(J1702="EIF",IF(P1702="低",5,IF(P1702="中",7,10)),"不计算")))))*R1702,"不计算")</f>
        <v/>
      </c>
      <c r="R1702" s="172" t="n">
        <v>1</v>
      </c>
      <c r="S1702" s="173">
        <f>调整因子!$F$13</f>
        <v/>
      </c>
      <c r="T1702" s="93" t="n">
        <v>1</v>
      </c>
      <c r="U1702" s="174">
        <f>IFERROR(Q1702*S1702,0)</f>
        <v/>
      </c>
      <c r="V1702" s="178">
        <f>U1702*T1702</f>
        <v/>
      </c>
      <c r="W1702" s="103" t="inlineStr">
        <is>
          <t>任务日志表</t>
        </is>
      </c>
      <c r="X1702" s="103" t="inlineStr"/>
      <c r="Y1702" s="97" t="inlineStr">
        <is>
          <t>任务日志表{任务ID、任务名称|任务ID、任务名称、任务类型}</t>
        </is>
      </c>
      <c r="Z1702" s="90" t="n"/>
      <c r="AA1702" s="90" t="n"/>
    </row>
    <row r="1703" s="112">
      <c r="A1703" s="72">
        <f>ROW()-1</f>
        <v/>
      </c>
      <c r="B1703" s="175" t="n"/>
      <c r="C1703" s="124" t="n">
        <v>2026</v>
      </c>
      <c r="E1703" s="103" t="n"/>
      <c r="F1703" s="175" t="n"/>
      <c r="G1703" s="175" t="n"/>
      <c r="H1703" s="175" t="n"/>
      <c r="I1703" s="103" t="inlineStr">
        <is>
          <t>下载审计报表</t>
        </is>
      </c>
      <c r="J1703" s="93" t="inlineStr">
        <is>
          <t>EO</t>
        </is>
      </c>
      <c r="K1703" s="102" t="n"/>
      <c r="L1703" s="102" t="n"/>
      <c r="M1703" s="85">
        <f>IF(OR(Y1703="估算法",Y1703="算法类",Y1703="无法识别"),"",IF(W1703="",IF(OR(J1703="EI",J1703="EO",J1703="EQ"),0,""),LEN(W1703)-LEN(SUBSTITUTE(W1703,"、",""))+1))</f>
        <v/>
      </c>
      <c r="N1703" s="85">
        <f>IF(OR(Y1703="估算法",Y1703="算法类",Y1703="无法识别"),"",IF(X1703="",IF(OR(J1703="ILF",J1703="EIF"),0,""),LEN(X1703)-LEN(SUBSTITUTE(X1703,"、",""))+1))</f>
        <v/>
      </c>
      <c r="O1703" s="85">
        <f>IF(OR(Y1703="估算法",Y1703="算法类",Y1703="无法识别"),"",IF(Y1703="",IF(OR(J1703="ILF",J1703="EIF",J1703="EI",J1703="EO",J1703="EQ"),0,""),LEN(Y1703)-LEN(SUBSTITUTE(SUBSTITUTE(SUBSTITUTE(SUBSTITUTE(SUBSTITUTE(Y1703,"|}","--"),"{|","--"),CHAR(10),""),"、",""),"|",""))+IF(AND(OR(J1703="EI",J1703="EO",J1703="EQ"),$AE$1="NESMA"),2,1)))</f>
        <v/>
      </c>
      <c r="P1703" s="86">
        <f>IF(J1703="EI",IF(OR(Y1703="估算法",Y1703="算法类"),"中",IF(Y1703="无法识别","低",IF(M1703&lt;2,IF(O1703&lt;16,"低","中"),IF(M1703&lt;3,IF(O1703&lt;5,"低",IF(O1703&lt;16,"中","高")),IF(O1703&lt;5,"中","高"))))),IF(OR(J1703="EO",J1703="EQ"),IF(OR(Y1703="估算法",Y1703="算法类"),"中",IF(Y1703="无法识别","低",IF(M1703&lt;2,IF(O1703&lt;20,"低","中"),IF(M1703&lt;4,IF(O1703&lt;6,"低",IF(O1703&lt;20,"中","高")),IF(O1703&lt;6,"中","高"))))),IF(OR(J1703="ILF",J1703="EIF"),IF(OR(Y1703="估算法",Y1703="算法类",Y1703="无法识别"),"低",IF(N1703&lt;2,IF(O1703&lt;51,"低","中"),IF(N1703&lt;6,IF(O1703&lt;20,"低",IF(O1703&lt;51,"中","高")),IF(O1703&lt;20,"中","高")))),"不计算")))</f>
        <v/>
      </c>
      <c r="Q1703" s="172">
        <f>IFERROR(IF(J1703="EI",IF(P1703="低",3,IF(P1703="中",4,6)),IF(J1703="EO",IF(P1703="低",4,IF(P1703="中",5,7)),IF(J1703="EQ",IF(P1703="低",3,IF(P1703="中",4,6)),IF(J1703="ILF",IF(P1703="低",7,IF(P1703="中",10,15)),IF(J1703="EIF",IF(P1703="低",5,IF(P1703="中",7,10)),"不计算")))))*R1703,"不计算")</f>
        <v/>
      </c>
      <c r="R1703" s="172" t="n">
        <v>1</v>
      </c>
      <c r="S1703" s="173">
        <f>调整因子!$F$13</f>
        <v/>
      </c>
      <c r="T1703" s="92" t="n">
        <v>1</v>
      </c>
      <c r="U1703" s="174">
        <f>IFERROR(Q1703*S1703,0)</f>
        <v/>
      </c>
      <c r="V1703" s="178">
        <f>U1703*T1703</f>
        <v/>
      </c>
      <c r="W1703" s="103" t="inlineStr">
        <is>
          <t>报表模板表</t>
        </is>
      </c>
      <c r="X1703" s="103" t="inlineStr"/>
      <c r="Y1703" s="97" t="inlineStr">
        <is>
          <t>报表模板表{报表ID、报表名称|报表ID、报表名称、报表类型}</t>
        </is>
      </c>
      <c r="Z1703" s="90" t="n"/>
      <c r="AA1703" s="90" t="n"/>
    </row>
    <row r="1704" s="112">
      <c r="A1704" s="72">
        <f>ROW()-1</f>
        <v/>
      </c>
      <c r="B1704" s="175" t="n"/>
      <c r="C1704" s="124" t="n">
        <v>2026</v>
      </c>
      <c r="E1704" s="103" t="n"/>
      <c r="F1704" s="175" t="n"/>
      <c r="G1704" s="175" t="n"/>
      <c r="H1704" s="175" t="n"/>
      <c r="I1704" s="103" t="inlineStr">
        <is>
          <t>推送审计告警</t>
        </is>
      </c>
      <c r="J1704" s="93" t="inlineStr">
        <is>
          <t>EO</t>
        </is>
      </c>
      <c r="K1704" s="102" t="n"/>
      <c r="L1704" s="102" t="n"/>
      <c r="M1704" s="85">
        <f>IF(OR(Y1704="估算法",Y1704="算法类",Y1704="无法识别"),"",IF(W1704="",IF(OR(J1704="EI",J1704="EO",J1704="EQ"),0,""),LEN(W1704)-LEN(SUBSTITUTE(W1704,"、",""))+1))</f>
        <v/>
      </c>
      <c r="N1704" s="85">
        <f>IF(OR(Y1704="估算法",Y1704="算法类",Y1704="无法识别"),"",IF(X1704="",IF(OR(J1704="ILF",J1704="EIF"),0,""),LEN(X1704)-LEN(SUBSTITUTE(X1704,"、",""))+1))</f>
        <v/>
      </c>
      <c r="O1704" s="85">
        <f>IF(OR(Y1704="估算法",Y1704="算法类",Y1704="无法识别"),"",IF(Y1704="",IF(OR(J1704="ILF",J1704="EIF",J1704="EI",J1704="EO",J1704="EQ"),0,""),LEN(Y1704)-LEN(SUBSTITUTE(SUBSTITUTE(SUBSTITUTE(SUBSTITUTE(SUBSTITUTE(Y1704,"|}","--"),"{|","--"),CHAR(10),""),"、",""),"|",""))+IF(AND(OR(J1704="EI",J1704="EO",J1704="EQ"),$AE$1="NESMA"),2,1)))</f>
        <v/>
      </c>
      <c r="P1704" s="86">
        <f>IF(J1704="EI",IF(OR(Y1704="估算法",Y1704="算法类"),"中",IF(Y1704="无法识别","低",IF(M1704&lt;2,IF(O1704&lt;16,"低","中"),IF(M1704&lt;3,IF(O1704&lt;5,"低",IF(O1704&lt;16,"中","高")),IF(O1704&lt;5,"中","高"))))),IF(OR(J1704="EO",J1704="EQ"),IF(OR(Y1704="估算法",Y1704="算法类"),"中",IF(Y1704="无法识别","低",IF(M1704&lt;2,IF(O1704&lt;20,"低","中"),IF(M1704&lt;4,IF(O1704&lt;6,"低",IF(O1704&lt;20,"中","高")),IF(O1704&lt;6,"中","高"))))),IF(OR(J1704="ILF",J1704="EIF"),IF(OR(Y1704="估算法",Y1704="算法类",Y1704="无法识别"),"低",IF(N1704&lt;2,IF(O1704&lt;51,"低","中"),IF(N1704&lt;6,IF(O1704&lt;20,"低",IF(O1704&lt;51,"中","高")),IF(O1704&lt;20,"中","高")))),"不计算")))</f>
        <v/>
      </c>
      <c r="Q1704" s="172">
        <f>IFERROR(IF(J1704="EI",IF(P1704="低",3,IF(P1704="中",4,6)),IF(J1704="EO",IF(P1704="低",4,IF(P1704="中",5,7)),IF(J1704="EQ",IF(P1704="低",3,IF(P1704="中",4,6)),IF(J1704="ILF",IF(P1704="低",7,IF(P1704="中",10,15)),IF(J1704="EIF",IF(P1704="低",5,IF(P1704="中",7,10)),"不计算")))))*R1704,"不计算")</f>
        <v/>
      </c>
      <c r="R1704" s="172" t="n">
        <v>1</v>
      </c>
      <c r="S1704" s="173">
        <f>调整因子!$F$13</f>
        <v/>
      </c>
      <c r="T1704" s="92" t="n">
        <v>1</v>
      </c>
      <c r="U1704" s="174">
        <f>IFERROR(Q1704*S1704,0)</f>
        <v/>
      </c>
      <c r="V1704" s="178">
        <f>U1704*T1704</f>
        <v/>
      </c>
      <c r="W1704" s="103" t="inlineStr">
        <is>
          <t>漏洞处置单表</t>
        </is>
      </c>
      <c r="X1704" s="103" t="inlineStr"/>
      <c r="Y1704" s="97" t="inlineStr">
        <is>
          <t>漏洞处置单表{漏洞ID、漏洞名称|漏洞ID、漏洞名称、漏洞等级、漏洞类型、CVE编号}</t>
        </is>
      </c>
      <c r="Z1704" s="90" t="n"/>
      <c r="AA1704" s="90" t="n"/>
    </row>
    <row r="1705" s="112">
      <c r="A1705" s="72">
        <f>ROW()-1</f>
        <v/>
      </c>
      <c r="B1705" s="175" t="n"/>
      <c r="C1705" s="124" t="n">
        <v>2026</v>
      </c>
      <c r="E1705" s="103" t="n"/>
      <c r="F1705" s="175" t="n"/>
      <c r="G1705" s="175" t="n"/>
      <c r="H1705" s="175" t="n"/>
      <c r="I1705" s="103" t="inlineStr">
        <is>
          <t>查看日志详情</t>
        </is>
      </c>
      <c r="J1705" s="93" t="inlineStr">
        <is>
          <t>EQ</t>
        </is>
      </c>
      <c r="K1705" s="102" t="n"/>
      <c r="L1705" s="102" t="n"/>
      <c r="M1705" s="85">
        <f>IF(OR(Y1705="估算法",Y1705="算法类",Y1705="无法识别"),"",IF(W1705="",IF(OR(J1705="EI",J1705="EO",J1705="EQ"),0,""),LEN(W1705)-LEN(SUBSTITUTE(W1705,"、",""))+1))</f>
        <v/>
      </c>
      <c r="N1705" s="85">
        <f>IF(OR(Y1705="估算法",Y1705="算法类",Y1705="无法识别"),"",IF(X1705="",IF(OR(J1705="ILF",J1705="EIF"),0,""),LEN(X1705)-LEN(SUBSTITUTE(X1705,"、",""))+1))</f>
        <v/>
      </c>
      <c r="O1705" s="85">
        <f>IF(OR(Y1705="估算法",Y1705="算法类",Y1705="无法识别"),"",IF(Y1705="",IF(OR(J1705="ILF",J1705="EIF",J1705="EI",J1705="EO",J1705="EQ"),0,""),LEN(Y1705)-LEN(SUBSTITUTE(SUBSTITUTE(SUBSTITUTE(SUBSTITUTE(SUBSTITUTE(Y1705,"|}","--"),"{|","--"),CHAR(10),""),"、",""),"|",""))+IF(AND(OR(J1705="EI",J1705="EO",J1705="EQ"),$AE$1="NESMA"),2,1)))</f>
        <v/>
      </c>
      <c r="P1705" s="86">
        <f>IF(J1705="EI",IF(OR(Y1705="估算法",Y1705="算法类"),"中",IF(Y1705="无法识别","低",IF(M1705&lt;2,IF(O1705&lt;16,"低","中"),IF(M1705&lt;3,IF(O1705&lt;5,"低",IF(O1705&lt;16,"中","高")),IF(O1705&lt;5,"中","高"))))),IF(OR(J1705="EO",J1705="EQ"),IF(OR(Y1705="估算法",Y1705="算法类"),"中",IF(Y1705="无法识别","低",IF(M1705&lt;2,IF(O1705&lt;20,"低","中"),IF(M1705&lt;4,IF(O1705&lt;6,"低",IF(O1705&lt;20,"中","高")),IF(O1705&lt;6,"中","高"))))),IF(OR(J1705="ILF",J1705="EIF"),IF(OR(Y1705="估算法",Y1705="算法类",Y1705="无法识别"),"低",IF(N1705&lt;2,IF(O1705&lt;51,"低","中"),IF(N1705&lt;6,IF(O1705&lt;20,"低",IF(O1705&lt;51,"中","高")),IF(O1705&lt;20,"中","高")))),"不计算")))</f>
        <v/>
      </c>
      <c r="Q1705" s="172">
        <f>IFERROR(IF(J1705="EI",IF(P1705="低",3,IF(P1705="中",4,6)),IF(J1705="EO",IF(P1705="低",4,IF(P1705="中",5,7)),IF(J1705="EQ",IF(P1705="低",3,IF(P1705="中",4,6)),IF(J1705="ILF",IF(P1705="低",7,IF(P1705="中",10,15)),IF(J1705="EIF",IF(P1705="低",5,IF(P1705="中",7,10)),"不计算")))))*R1705,"不计算")</f>
        <v/>
      </c>
      <c r="R1705" s="172" t="n">
        <v>1</v>
      </c>
      <c r="S1705" s="173">
        <f>调整因子!$F$13</f>
        <v/>
      </c>
      <c r="T1705" s="93" t="n">
        <v>1</v>
      </c>
      <c r="U1705" s="174">
        <f>IFERROR(Q1705*S1705,0)</f>
        <v/>
      </c>
      <c r="V1705" s="178">
        <f>U1705*T1705</f>
        <v/>
      </c>
      <c r="W1705" s="103" t="inlineStr">
        <is>
          <t>任务日志表</t>
        </is>
      </c>
      <c r="X1705" s="103" t="inlineStr"/>
      <c r="Y1705" s="97" t="inlineStr">
        <is>
          <t>任务日志表{任务ID、任务名称|任务ID、任务名称、任务类型、任务状态、创建时间}</t>
        </is>
      </c>
      <c r="Z1705" s="90" t="n"/>
      <c r="AA1705" s="90" t="n"/>
    </row>
    <row r="1706" s="112">
      <c r="A1706" s="72">
        <f>ROW()-1</f>
        <v/>
      </c>
      <c r="B1706" s="175" t="n"/>
      <c r="C1706" s="124" t="n">
        <v>2026</v>
      </c>
      <c r="E1706" s="103" t="n"/>
      <c r="F1706" s="175" t="n"/>
      <c r="G1706" s="176" t="n"/>
      <c r="H1706" s="176" t="n"/>
      <c r="I1706" s="103" t="inlineStr">
        <is>
          <t>查看分析结果</t>
        </is>
      </c>
      <c r="J1706" s="93" t="inlineStr">
        <is>
          <t>EQ</t>
        </is>
      </c>
      <c r="K1706" s="102" t="n"/>
      <c r="L1706" s="102" t="n"/>
      <c r="M1706" s="85">
        <f>IF(OR(Y1706="估算法",Y1706="算法类",Y1706="无法识别"),"",IF(W1706="",IF(OR(J1706="EI",J1706="EO",J1706="EQ"),0,""),LEN(W1706)-LEN(SUBSTITUTE(W1706,"、",""))+1))</f>
        <v/>
      </c>
      <c r="N1706" s="85">
        <f>IF(OR(Y1706="估算法",Y1706="算法类",Y1706="无法识别"),"",IF(X1706="",IF(OR(J1706="ILF",J1706="EIF"),0,""),LEN(X1706)-LEN(SUBSTITUTE(X1706,"、",""))+1))</f>
        <v/>
      </c>
      <c r="O1706" s="85">
        <f>IF(OR(Y1706="估算法",Y1706="算法类",Y1706="无法识别"),"",IF(Y1706="",IF(OR(J1706="ILF",J1706="EIF",J1706="EI",J1706="EO",J1706="EQ"),0,""),LEN(Y1706)-LEN(SUBSTITUTE(SUBSTITUTE(SUBSTITUTE(SUBSTITUTE(SUBSTITUTE(Y1706,"|}","--"),"{|","--"),CHAR(10),""),"、",""),"|",""))+IF(AND(OR(J1706="EI",J1706="EO",J1706="EQ"),$AE$1="NESMA"),2,1)))</f>
        <v/>
      </c>
      <c r="P1706" s="86">
        <f>IF(J1706="EI",IF(OR(Y1706="估算法",Y1706="算法类"),"中",IF(Y1706="无法识别","低",IF(M1706&lt;2,IF(O1706&lt;16,"低","中"),IF(M1706&lt;3,IF(O1706&lt;5,"低",IF(O1706&lt;16,"中","高")),IF(O1706&lt;5,"中","高"))))),IF(OR(J1706="EO",J1706="EQ"),IF(OR(Y1706="估算法",Y1706="算法类"),"中",IF(Y1706="无法识别","低",IF(M1706&lt;2,IF(O1706&lt;20,"低","中"),IF(M1706&lt;4,IF(O1706&lt;6,"低",IF(O1706&lt;20,"中","高")),IF(O1706&lt;6,"中","高"))))),IF(OR(J1706="ILF",J1706="EIF"),IF(OR(Y1706="估算法",Y1706="算法类",Y1706="无法识别"),"低",IF(N1706&lt;2,IF(O1706&lt;51,"低","中"),IF(N1706&lt;6,IF(O1706&lt;20,"低",IF(O1706&lt;51,"中","高")),IF(O1706&lt;20,"中","高")))),"不计算")))</f>
        <v/>
      </c>
      <c r="Q1706" s="172">
        <f>IFERROR(IF(J1706="EI",IF(P1706="低",3,IF(P1706="中",4,6)),IF(J1706="EO",IF(P1706="低",4,IF(P1706="中",5,7)),IF(J1706="EQ",IF(P1706="低",3,IF(P1706="中",4,6)),IF(J1706="ILF",IF(P1706="低",7,IF(P1706="中",10,15)),IF(J1706="EIF",IF(P1706="低",5,IF(P1706="中",7,10)),"不计算")))))*R1706,"不计算")</f>
        <v/>
      </c>
      <c r="R1706" s="172" t="n">
        <v>1</v>
      </c>
      <c r="S1706" s="173">
        <f>调整因子!$F$13</f>
        <v/>
      </c>
      <c r="T1706" s="93" t="n">
        <v>1</v>
      </c>
      <c r="U1706" s="174">
        <f>IFERROR(Q1706*S1706,0)</f>
        <v/>
      </c>
      <c r="V1706" s="178">
        <f>U1706*T1706</f>
        <v/>
      </c>
      <c r="W1706" s="103" t="inlineStr">
        <is>
          <t>报告解析结果表</t>
        </is>
      </c>
      <c r="X1706" s="103" t="inlineStr"/>
      <c r="Y1706" s="97" t="inlineStr">
        <is>
          <t>报告解析结果表{ID、名称|ID、名称、类型、状态}</t>
        </is>
      </c>
      <c r="Z1706" s="90" t="n"/>
      <c r="AA1706" s="90" t="n"/>
    </row>
    <row r="1707" s="112">
      <c r="A1707" s="72">
        <f>ROW()-1</f>
        <v/>
      </c>
      <c r="B1707" s="175" t="n"/>
      <c r="C1707" s="124" t="n">
        <v>2026</v>
      </c>
      <c r="E1707" s="103" t="n"/>
      <c r="F1707" s="175" t="n"/>
      <c r="G1707" s="97" t="inlineStr">
        <is>
          <t>OceanBase数据库适配</t>
        </is>
      </c>
      <c r="H1707" s="97" t="inlineStr">
        <is>
          <t>数据库配置管理</t>
        </is>
      </c>
      <c r="I1707" s="103" t="inlineStr">
        <is>
          <t>编辑数据库配置</t>
        </is>
      </c>
      <c r="J1707" s="93" t="inlineStr">
        <is>
          <t>EI</t>
        </is>
      </c>
      <c r="K1707" s="102" t="n"/>
      <c r="L1707" s="102" t="n"/>
      <c r="M1707" s="85">
        <f>IF(OR(Y1707="估算法",Y1707="算法类",Y1707="无法识别"),"",IF(W1707="",IF(OR(J1707="EI",J1707="EO",J1707="EQ"),0,""),LEN(W1707)-LEN(SUBSTITUTE(W1707,"、",""))+1))</f>
        <v/>
      </c>
      <c r="N1707" s="85">
        <f>IF(OR(Y1707="估算法",Y1707="算法类",Y1707="无法识别"),"",IF(X1707="",IF(OR(J1707="ILF",J1707="EIF"),0,""),LEN(X1707)-LEN(SUBSTITUTE(X1707,"、",""))+1))</f>
        <v/>
      </c>
      <c r="O1707" s="85">
        <f>IF(OR(Y1707="估算法",Y1707="算法类",Y1707="无法识别"),"",IF(Y1707="",IF(OR(J1707="ILF",J1707="EIF",J1707="EI",J1707="EO",J1707="EQ"),0,""),LEN(Y1707)-LEN(SUBSTITUTE(SUBSTITUTE(SUBSTITUTE(SUBSTITUTE(SUBSTITUTE(Y1707,"|}","--"),"{|","--"),CHAR(10),""),"、",""),"|",""))+IF(AND(OR(J1707="EI",J1707="EO",J1707="EQ"),$AE$1="NESMA"),2,1)))</f>
        <v/>
      </c>
      <c r="P1707" s="86">
        <f>IF(J1707="EI",IF(OR(Y1707="估算法",Y1707="算法类"),"中",IF(Y1707="无法识别","低",IF(M1707&lt;2,IF(O1707&lt;16,"低","中"),IF(M1707&lt;3,IF(O1707&lt;5,"低",IF(O1707&lt;16,"中","高")),IF(O1707&lt;5,"中","高"))))),IF(OR(J1707="EO",J1707="EQ"),IF(OR(Y1707="估算法",Y1707="算法类"),"中",IF(Y1707="无法识别","低",IF(M1707&lt;2,IF(O1707&lt;20,"低","中"),IF(M1707&lt;4,IF(O1707&lt;6,"低",IF(O1707&lt;20,"中","高")),IF(O1707&lt;6,"中","高"))))),IF(OR(J1707="ILF",J1707="EIF"),IF(OR(Y1707="估算法",Y1707="算法类",Y1707="无法识别"),"低",IF(N1707&lt;2,IF(O1707&lt;51,"低","中"),IF(N1707&lt;6,IF(O1707&lt;20,"低",IF(O1707&lt;51,"中","高")),IF(O1707&lt;20,"中","高")))),"不计算")))</f>
        <v/>
      </c>
      <c r="Q1707" s="172">
        <f>IFERROR(IF(J1707="EI",IF(P1707="低",3,IF(P1707="中",4,6)),IF(J1707="EO",IF(P1707="低",4,IF(P1707="中",5,7)),IF(J1707="EQ",IF(P1707="低",3,IF(P1707="中",4,6)),IF(J1707="ILF",IF(P1707="低",7,IF(P1707="中",10,15)),IF(J1707="EIF",IF(P1707="低",5,IF(P1707="中",7,10)),"不计算")))))*R1707,"不计算")</f>
        <v/>
      </c>
      <c r="R1707" s="172" t="n">
        <v>1</v>
      </c>
      <c r="S1707" s="173">
        <f>调整因子!$F$13</f>
        <v/>
      </c>
      <c r="T1707" s="92" t="n">
        <v>1</v>
      </c>
      <c r="U1707" s="174">
        <f>IFERROR(Q1707*S1707,0)</f>
        <v/>
      </c>
      <c r="V1707" s="178">
        <f>U1707*T1707</f>
        <v/>
      </c>
      <c r="W1707" s="103" t="inlineStr">
        <is>
          <t>任务优先级配置表</t>
        </is>
      </c>
      <c r="X1707" s="103" t="inlineStr"/>
      <c r="Y1707" s="97" t="inlineStr">
        <is>
          <t>任务优先级配置表{任务ID、任务名称、任务类型、任务状态、创建时间、执行时间|任务ID、任务名称、任务类型}</t>
        </is>
      </c>
      <c r="Z1707" s="90" t="n"/>
      <c r="AA1707" s="90" t="n"/>
    </row>
    <row r="1708" s="112">
      <c r="A1708" s="72">
        <f>ROW()-1</f>
        <v/>
      </c>
      <c r="B1708" s="175" t="n"/>
      <c r="C1708" s="124" t="n">
        <v>2026</v>
      </c>
      <c r="E1708" s="103" t="n"/>
      <c r="F1708" s="175" t="n"/>
      <c r="G1708" s="175" t="n"/>
      <c r="H1708" s="175" t="n"/>
      <c r="I1708" s="103" t="inlineStr">
        <is>
          <t>删除数据库配置</t>
        </is>
      </c>
      <c r="J1708" s="93" t="inlineStr">
        <is>
          <t>EI</t>
        </is>
      </c>
      <c r="K1708" s="102" t="n"/>
      <c r="L1708" s="102" t="n"/>
      <c r="M1708" s="85">
        <f>IF(OR(Y1708="估算法",Y1708="算法类",Y1708="无法识别"),"",IF(W1708="",IF(OR(J1708="EI",J1708="EO",J1708="EQ"),0,""),LEN(W1708)-LEN(SUBSTITUTE(W1708,"、",""))+1))</f>
        <v/>
      </c>
      <c r="N1708" s="85">
        <f>IF(OR(Y1708="估算法",Y1708="算法类",Y1708="无法识别"),"",IF(X1708="",IF(OR(J1708="ILF",J1708="EIF"),0,""),LEN(X1708)-LEN(SUBSTITUTE(X1708,"、",""))+1))</f>
        <v/>
      </c>
      <c r="O1708" s="85">
        <f>IF(OR(Y1708="估算法",Y1708="算法类",Y1708="无法识别"),"",IF(Y1708="",IF(OR(J1708="ILF",J1708="EIF",J1708="EI",J1708="EO",J1708="EQ"),0,""),LEN(Y1708)-LEN(SUBSTITUTE(SUBSTITUTE(SUBSTITUTE(SUBSTITUTE(SUBSTITUTE(Y1708,"|}","--"),"{|","--"),CHAR(10),""),"、",""),"|",""))+IF(AND(OR(J1708="EI",J1708="EO",J1708="EQ"),$AE$1="NESMA"),2,1)))</f>
        <v/>
      </c>
      <c r="P1708" s="86">
        <f>IF(J1708="EI",IF(OR(Y1708="估算法",Y1708="算法类"),"中",IF(Y1708="无法识别","低",IF(M1708&lt;2,IF(O1708&lt;16,"低","中"),IF(M1708&lt;3,IF(O1708&lt;5,"低",IF(O1708&lt;16,"中","高")),IF(O1708&lt;5,"中","高"))))),IF(OR(J1708="EO",J1708="EQ"),IF(OR(Y1708="估算法",Y1708="算法类"),"中",IF(Y1708="无法识别","低",IF(M1708&lt;2,IF(O1708&lt;20,"低","中"),IF(M1708&lt;4,IF(O1708&lt;6,"低",IF(O1708&lt;20,"中","高")),IF(O1708&lt;6,"中","高"))))),IF(OR(J1708="ILF",J1708="EIF"),IF(OR(Y1708="估算法",Y1708="算法类",Y1708="无法识别"),"低",IF(N1708&lt;2,IF(O1708&lt;51,"低","中"),IF(N1708&lt;6,IF(O1708&lt;20,"低",IF(O1708&lt;51,"中","高")),IF(O1708&lt;20,"中","高")))),"不计算")))</f>
        <v/>
      </c>
      <c r="Q1708" s="172">
        <f>IFERROR(IF(J1708="EI",IF(P1708="低",3,IF(P1708="中",4,6)),IF(J1708="EO",IF(P1708="低",4,IF(P1708="中",5,7)),IF(J1708="EQ",IF(P1708="低",3,IF(P1708="中",4,6)),IF(J1708="ILF",IF(P1708="低",7,IF(P1708="中",10,15)),IF(J1708="EIF",IF(P1708="低",5,IF(P1708="中",7,10)),"不计算")))))*R1708,"不计算")</f>
        <v/>
      </c>
      <c r="R1708" s="172" t="n">
        <v>0.333333333333333</v>
      </c>
      <c r="S1708" s="173">
        <f>调整因子!$F$13</f>
        <v/>
      </c>
      <c r="T1708" s="92" t="n">
        <v>1</v>
      </c>
      <c r="U1708" s="174">
        <f>IFERROR(Q1708*S1708,0)</f>
        <v/>
      </c>
      <c r="V1708" s="178">
        <f>U1708*T1708</f>
        <v/>
      </c>
      <c r="W1708" s="103" t="inlineStr">
        <is>
          <t>任务优先级配置表</t>
        </is>
      </c>
      <c r="X1708" s="103" t="inlineStr"/>
      <c r="Y1708" s="97" t="inlineStr">
        <is>
          <t>任务优先级配置表{任务ID、任务名称、任务类型、任务状态、创建时间、执行时间|任务ID、任务名称、任务类型}</t>
        </is>
      </c>
      <c r="Z1708" s="90" t="n"/>
      <c r="AA1708" s="90" t="n"/>
    </row>
    <row r="1709" s="112">
      <c r="A1709" s="72">
        <f>ROW()-1</f>
        <v/>
      </c>
      <c r="B1709" s="175" t="n"/>
      <c r="C1709" s="124" t="n">
        <v>2026</v>
      </c>
      <c r="E1709" s="103" t="n"/>
      <c r="F1709" s="175" t="n"/>
      <c r="G1709" s="175" t="n"/>
      <c r="H1709" s="175" t="n"/>
      <c r="I1709" s="103" t="inlineStr">
        <is>
          <t>启用数据库配置</t>
        </is>
      </c>
      <c r="J1709" s="93" t="inlineStr">
        <is>
          <t>EI</t>
        </is>
      </c>
      <c r="K1709" s="102" t="n"/>
      <c r="L1709" s="102" t="n"/>
      <c r="M1709" s="85">
        <f>IF(OR(Y1709="估算法",Y1709="算法类",Y1709="无法识别"),"",IF(W1709="",IF(OR(J1709="EI",J1709="EO",J1709="EQ"),0,""),LEN(W1709)-LEN(SUBSTITUTE(W1709,"、",""))+1))</f>
        <v/>
      </c>
      <c r="N1709" s="85">
        <f>IF(OR(Y1709="估算法",Y1709="算法类",Y1709="无法识别"),"",IF(X1709="",IF(OR(J1709="ILF",J1709="EIF"),0,""),LEN(X1709)-LEN(SUBSTITUTE(X1709,"、",""))+1))</f>
        <v/>
      </c>
      <c r="O1709" s="85">
        <f>IF(OR(Y1709="估算法",Y1709="算法类",Y1709="无法识别"),"",IF(Y1709="",IF(OR(J1709="ILF",J1709="EIF",J1709="EI",J1709="EO",J1709="EQ"),0,""),LEN(Y1709)-LEN(SUBSTITUTE(SUBSTITUTE(SUBSTITUTE(SUBSTITUTE(SUBSTITUTE(Y1709,"|}","--"),"{|","--"),CHAR(10),""),"、",""),"|",""))+IF(AND(OR(J1709="EI",J1709="EO",J1709="EQ"),$AE$1="NESMA"),2,1)))</f>
        <v/>
      </c>
      <c r="P1709" s="86">
        <f>IF(J1709="EI",IF(OR(Y1709="估算法",Y1709="算法类"),"中",IF(Y1709="无法识别","低",IF(M1709&lt;2,IF(O1709&lt;16,"低","中"),IF(M1709&lt;3,IF(O1709&lt;5,"低",IF(O1709&lt;16,"中","高")),IF(O1709&lt;5,"中","高"))))),IF(OR(J1709="EO",J1709="EQ"),IF(OR(Y1709="估算法",Y1709="算法类"),"中",IF(Y1709="无法识别","低",IF(M1709&lt;2,IF(O1709&lt;20,"低","中"),IF(M1709&lt;4,IF(O1709&lt;6,"低",IF(O1709&lt;20,"中","高")),IF(O1709&lt;6,"中","高"))))),IF(OR(J1709="ILF",J1709="EIF"),IF(OR(Y1709="估算法",Y1709="算法类",Y1709="无法识别"),"低",IF(N1709&lt;2,IF(O1709&lt;51,"低","中"),IF(N1709&lt;6,IF(O1709&lt;20,"低",IF(O1709&lt;51,"中","高")),IF(O1709&lt;20,"中","高")))),"不计算")))</f>
        <v/>
      </c>
      <c r="Q1709" s="172">
        <f>IFERROR(IF(J1709="EI",IF(P1709="低",3,IF(P1709="中",4,6)),IF(J1709="EO",IF(P1709="低",4,IF(P1709="中",5,7)),IF(J1709="EQ",IF(P1709="低",3,IF(P1709="中",4,6)),IF(J1709="ILF",IF(P1709="低",7,IF(P1709="中",10,15)),IF(J1709="EIF",IF(P1709="低",5,IF(P1709="中",7,10)),"不计算")))))*R1709,"不计算")</f>
        <v/>
      </c>
      <c r="R1709" s="172" t="n">
        <v>1</v>
      </c>
      <c r="S1709" s="173">
        <f>调整因子!$F$13</f>
        <v/>
      </c>
      <c r="T1709" s="93" t="n">
        <v>1</v>
      </c>
      <c r="U1709" s="174">
        <f>IFERROR(Q1709*S1709,0)</f>
        <v/>
      </c>
      <c r="V1709" s="178">
        <f>U1709*T1709</f>
        <v/>
      </c>
      <c r="W1709" s="103" t="inlineStr">
        <is>
          <t>任务优先级配置表</t>
        </is>
      </c>
      <c r="X1709" s="103" t="inlineStr"/>
      <c r="Y1709" s="97" t="inlineStr">
        <is>
          <t>任务优先级配置表{任务ID、任务名称、任务类型、任务状态、创建时间、执行时间|任务ID、任务名称、任务类型}</t>
        </is>
      </c>
      <c r="Z1709" s="90" t="n"/>
      <c r="AA1709" s="90" t="n"/>
    </row>
    <row r="1710" s="112">
      <c r="A1710" s="72">
        <f>ROW()-1</f>
        <v/>
      </c>
      <c r="B1710" s="175" t="n"/>
      <c r="C1710" s="124" t="n">
        <v>2026</v>
      </c>
      <c r="E1710" s="103" t="n"/>
      <c r="F1710" s="175" t="n"/>
      <c r="G1710" s="175" t="n"/>
      <c r="H1710" s="175" t="n"/>
      <c r="I1710" s="103" t="inlineStr">
        <is>
          <t>停用数据库配置</t>
        </is>
      </c>
      <c r="J1710" s="93" t="n"/>
      <c r="K1710" s="102" t="n"/>
      <c r="L1710" s="102" t="inlineStr">
        <is>
          <t>和上行合并，启停为相同功能</t>
        </is>
      </c>
      <c r="M1710" s="85">
        <f>IF(OR(Y1710="估算法",Y1710="算法类",Y1710="无法识别"),"",IF(W1710="",IF(OR(J1710="EI",J1710="EO",J1710="EQ"),0,""),LEN(W1710)-LEN(SUBSTITUTE(W1710,"、",""))+1))</f>
        <v/>
      </c>
      <c r="N1710" s="85">
        <f>IF(OR(Y1710="估算法",Y1710="算法类",Y1710="无法识别"),"",IF(X1710="",IF(OR(J1710="ILF",J1710="EIF"),0,""),LEN(X1710)-LEN(SUBSTITUTE(X1710,"、",""))+1))</f>
        <v/>
      </c>
      <c r="O1710" s="85">
        <f>IF(OR(Y1710="估算法",Y1710="算法类",Y1710="无法识别"),"",IF(Y1710="",IF(OR(J1710="ILF",J1710="EIF",J1710="EI",J1710="EO",J1710="EQ"),0,""),LEN(Y1710)-LEN(SUBSTITUTE(SUBSTITUTE(SUBSTITUTE(SUBSTITUTE(SUBSTITUTE(Y1710,"|}","--"),"{|","--"),CHAR(10),""),"、",""),"|",""))+IF(AND(OR(J1710="EI",J1710="EO",J1710="EQ"),$AE$1="NESMA"),2,1)))</f>
        <v/>
      </c>
      <c r="P1710" s="86">
        <f>IF(J1710="EI",IF(OR(Y1710="估算法",Y1710="算法类"),"中",IF(Y1710="无法识别","低",IF(M1710&lt;2,IF(O1710&lt;16,"低","中"),IF(M1710&lt;3,IF(O1710&lt;5,"低",IF(O1710&lt;16,"中","高")),IF(O1710&lt;5,"中","高"))))),IF(OR(J1710="EO",J1710="EQ"),IF(OR(Y1710="估算法",Y1710="算法类"),"中",IF(Y1710="无法识别","低",IF(M1710&lt;2,IF(O1710&lt;20,"低","中"),IF(M1710&lt;4,IF(O1710&lt;6,"低",IF(O1710&lt;20,"中","高")),IF(O1710&lt;6,"中","高"))))),IF(OR(J1710="ILF",J1710="EIF"),IF(OR(Y1710="估算法",Y1710="算法类",Y1710="无法识别"),"低",IF(N1710&lt;2,IF(O1710&lt;51,"低","中"),IF(N1710&lt;6,IF(O1710&lt;20,"低",IF(O1710&lt;51,"中","高")),IF(O1710&lt;20,"中","高")))),"不计算")))</f>
        <v/>
      </c>
      <c r="Q1710" s="172">
        <f>IFERROR(IF(J1710="EI",IF(P1710="低",3,IF(P1710="中",4,6)),IF(J1710="EO",IF(P1710="低",4,IF(P1710="中",5,7)),IF(J1710="EQ",IF(P1710="低",3,IF(P1710="中",4,6)),IF(J1710="ILF",IF(P1710="低",7,IF(P1710="中",10,15)),IF(J1710="EIF",IF(P1710="低",5,IF(P1710="中",7,10)),"不计算")))))*R1710,"不计算")</f>
        <v/>
      </c>
      <c r="R1710" s="172" t="n">
        <v>1</v>
      </c>
      <c r="S1710" s="173">
        <f>调整因子!$F$13</f>
        <v/>
      </c>
      <c r="T1710" s="92" t="n">
        <v>1</v>
      </c>
      <c r="U1710" s="174">
        <f>IFERROR(Q1710*S1710,0)</f>
        <v/>
      </c>
      <c r="V1710" s="178">
        <f>U1710*T1710</f>
        <v/>
      </c>
      <c r="W1710" s="103" t="inlineStr">
        <is>
          <t>任务优先级配置表</t>
        </is>
      </c>
      <c r="X1710" s="103" t="inlineStr"/>
      <c r="Y1710" s="97" t="inlineStr">
        <is>
          <t>任务优先级配置表{任务ID、任务名称、任务类型、任务状态、创建时间、执行时间|任务ID、任务名称、任务类型}</t>
        </is>
      </c>
      <c r="Z1710" s="90" t="n"/>
      <c r="AA1710" s="90" t="n"/>
    </row>
    <row r="1711" s="112">
      <c r="A1711" s="72">
        <f>ROW()-1</f>
        <v/>
      </c>
      <c r="B1711" s="175" t="n"/>
      <c r="C1711" s="124" t="n">
        <v>2026</v>
      </c>
      <c r="E1711" s="103" t="n"/>
      <c r="F1711" s="175" t="n"/>
      <c r="G1711" s="175" t="n"/>
      <c r="H1711" s="175" t="n"/>
      <c r="I1711" s="103" t="inlineStr">
        <is>
          <t>导出数据库配置</t>
        </is>
      </c>
      <c r="J1711" s="93" t="inlineStr">
        <is>
          <t>EO</t>
        </is>
      </c>
      <c r="K1711" s="102" t="n"/>
      <c r="L1711" s="102" t="n"/>
      <c r="M1711" s="85">
        <f>IF(OR(Y1711="估算法",Y1711="算法类",Y1711="无法识别"),"",IF(W1711="",IF(OR(J1711="EI",J1711="EO",J1711="EQ"),0,""),LEN(W1711)-LEN(SUBSTITUTE(W1711,"、",""))+1))</f>
        <v/>
      </c>
      <c r="N1711" s="85">
        <f>IF(OR(Y1711="估算法",Y1711="算法类",Y1711="无法识别"),"",IF(X1711="",IF(OR(J1711="ILF",J1711="EIF"),0,""),LEN(X1711)-LEN(SUBSTITUTE(X1711,"、",""))+1))</f>
        <v/>
      </c>
      <c r="O1711" s="85">
        <f>IF(OR(Y1711="估算法",Y1711="算法类",Y1711="无法识别"),"",IF(Y1711="",IF(OR(J1711="ILF",J1711="EIF",J1711="EI",J1711="EO",J1711="EQ"),0,""),LEN(Y1711)-LEN(SUBSTITUTE(SUBSTITUTE(SUBSTITUTE(SUBSTITUTE(SUBSTITUTE(Y1711,"|}","--"),"{|","--"),CHAR(10),""),"、",""),"|",""))+IF(AND(OR(J1711="EI",J1711="EO",J1711="EQ"),$AE$1="NESMA"),2,1)))</f>
        <v/>
      </c>
      <c r="P1711" s="86">
        <f>IF(J1711="EI",IF(OR(Y1711="估算法",Y1711="算法类"),"中",IF(Y1711="无法识别","低",IF(M1711&lt;2,IF(O1711&lt;16,"低","中"),IF(M1711&lt;3,IF(O1711&lt;5,"低",IF(O1711&lt;16,"中","高")),IF(O1711&lt;5,"中","高"))))),IF(OR(J1711="EO",J1711="EQ"),IF(OR(Y1711="估算法",Y1711="算法类"),"中",IF(Y1711="无法识别","低",IF(M1711&lt;2,IF(O1711&lt;20,"低","中"),IF(M1711&lt;4,IF(O1711&lt;6,"低",IF(O1711&lt;20,"中","高")),IF(O1711&lt;6,"中","高"))))),IF(OR(J1711="ILF",J1711="EIF"),IF(OR(Y1711="估算法",Y1711="算法类",Y1711="无法识别"),"低",IF(N1711&lt;2,IF(O1711&lt;51,"低","中"),IF(N1711&lt;6,IF(O1711&lt;20,"低",IF(O1711&lt;51,"中","高")),IF(O1711&lt;20,"中","高")))),"不计算")))</f>
        <v/>
      </c>
      <c r="Q1711" s="172">
        <f>IFERROR(IF(J1711="EI",IF(P1711="低",3,IF(P1711="中",4,6)),IF(J1711="EO",IF(P1711="低",4,IF(P1711="中",5,7)),IF(J1711="EQ",IF(P1711="低",3,IF(P1711="中",4,6)),IF(J1711="ILF",IF(P1711="低",7,IF(P1711="中",10,15)),IF(J1711="EIF",IF(P1711="低",5,IF(P1711="中",7,10)),"不计算")))))*R1711,"不计算")</f>
        <v/>
      </c>
      <c r="R1711" s="172" t="n">
        <v>1</v>
      </c>
      <c r="S1711" s="173">
        <f>调整因子!$F$13</f>
        <v/>
      </c>
      <c r="T1711" s="92" t="n">
        <v>1</v>
      </c>
      <c r="U1711" s="174">
        <f>IFERROR(Q1711*S1711,0)</f>
        <v/>
      </c>
      <c r="V1711" s="178">
        <f>U1711*T1711</f>
        <v/>
      </c>
      <c r="W1711" s="103" t="inlineStr">
        <is>
          <t>任务优先级配置表</t>
        </is>
      </c>
      <c r="X1711" s="103" t="inlineStr"/>
      <c r="Y1711" s="97" t="inlineStr">
        <is>
          <t>任务优先级配置表{任务ID、任务名称|任务ID、任务名称、任务类型、任务状态、创建时间}</t>
        </is>
      </c>
      <c r="Z1711" s="90" t="n"/>
      <c r="AA1711" s="90" t="n"/>
    </row>
    <row r="1712" s="112">
      <c r="A1712" s="72">
        <f>ROW()-1</f>
        <v/>
      </c>
      <c r="B1712" s="175" t="n"/>
      <c r="C1712" s="124" t="n">
        <v>2026</v>
      </c>
      <c r="E1712" s="103" t="n"/>
      <c r="F1712" s="175" t="n"/>
      <c r="G1712" s="175" t="n"/>
      <c r="H1712" s="175" t="n"/>
      <c r="I1712" s="103" t="inlineStr">
        <is>
          <t>查询数据库列表</t>
        </is>
      </c>
      <c r="J1712" s="93" t="inlineStr">
        <is>
          <t>EQ</t>
        </is>
      </c>
      <c r="K1712" s="102" t="n"/>
      <c r="L1712" s="102" t="n"/>
      <c r="M1712" s="85">
        <f>IF(OR(Y1712="估算法",Y1712="算法类",Y1712="无法识别"),"",IF(W1712="",IF(OR(J1712="EI",J1712="EO",J1712="EQ"),0,""),LEN(W1712)-LEN(SUBSTITUTE(W1712,"、",""))+1))</f>
        <v/>
      </c>
      <c r="N1712" s="85">
        <f>IF(OR(Y1712="估算法",Y1712="算法类",Y1712="无法识别"),"",IF(X1712="",IF(OR(J1712="ILF",J1712="EIF"),0,""),LEN(X1712)-LEN(SUBSTITUTE(X1712,"、",""))+1))</f>
        <v/>
      </c>
      <c r="O1712" s="85">
        <f>IF(OR(Y1712="估算法",Y1712="算法类",Y1712="无法识别"),"",IF(Y1712="",IF(OR(J1712="ILF",J1712="EIF",J1712="EI",J1712="EO",J1712="EQ"),0,""),LEN(Y1712)-LEN(SUBSTITUTE(SUBSTITUTE(SUBSTITUTE(SUBSTITUTE(SUBSTITUTE(Y1712,"|}","--"),"{|","--"),CHAR(10),""),"、",""),"|",""))+IF(AND(OR(J1712="EI",J1712="EO",J1712="EQ"),$AE$1="NESMA"),2,1)))</f>
        <v/>
      </c>
      <c r="P1712" s="86">
        <f>IF(J1712="EI",IF(OR(Y1712="估算法",Y1712="算法类"),"中",IF(Y1712="无法识别","低",IF(M1712&lt;2,IF(O1712&lt;16,"低","中"),IF(M1712&lt;3,IF(O1712&lt;5,"低",IF(O1712&lt;16,"中","高")),IF(O1712&lt;5,"中","高"))))),IF(OR(J1712="EO",J1712="EQ"),IF(OR(Y1712="估算法",Y1712="算法类"),"中",IF(Y1712="无法识别","低",IF(M1712&lt;2,IF(O1712&lt;20,"低","中"),IF(M1712&lt;4,IF(O1712&lt;6,"低",IF(O1712&lt;20,"中","高")),IF(O1712&lt;6,"中","高"))))),IF(OR(J1712="ILF",J1712="EIF"),IF(OR(Y1712="估算法",Y1712="算法类",Y1712="无法识别"),"低",IF(N1712&lt;2,IF(O1712&lt;51,"低","中"),IF(N1712&lt;6,IF(O1712&lt;20,"低",IF(O1712&lt;51,"中","高")),IF(O1712&lt;20,"中","高")))),"不计算")))</f>
        <v/>
      </c>
      <c r="Q1712" s="172">
        <f>IFERROR(IF(J1712="EI",IF(P1712="低",3,IF(P1712="中",4,6)),IF(J1712="EO",IF(P1712="低",4,IF(P1712="中",5,7)),IF(J1712="EQ",IF(P1712="低",3,IF(P1712="中",4,6)),IF(J1712="ILF",IF(P1712="低",7,IF(P1712="中",10,15)),IF(J1712="EIF",IF(P1712="低",5,IF(P1712="中",7,10)),"不计算")))))*R1712,"不计算")</f>
        <v/>
      </c>
      <c r="R1712" s="172" t="n">
        <v>1</v>
      </c>
      <c r="S1712" s="173">
        <f>调整因子!$F$13</f>
        <v/>
      </c>
      <c r="T1712" s="93" t="n">
        <v>1</v>
      </c>
      <c r="U1712" s="174">
        <f>IFERROR(Q1712*S1712,0)</f>
        <v/>
      </c>
      <c r="V1712" s="178">
        <f>U1712*T1712</f>
        <v/>
      </c>
      <c r="W1712" s="103" t="inlineStr">
        <is>
          <t>考核指标配置表</t>
        </is>
      </c>
      <c r="X1712" s="103" t="inlineStr"/>
      <c r="Y1712" s="97" t="inlineStr">
        <is>
          <t>考核指标配置表{配置ID、配置名称|配置ID、配置名称、配置类型}</t>
        </is>
      </c>
      <c r="Z1712" s="90" t="n"/>
      <c r="AA1712" s="90" t="n"/>
    </row>
    <row r="1713" s="112">
      <c r="A1713" s="72">
        <f>ROW()-1</f>
        <v/>
      </c>
      <c r="B1713" s="175" t="n"/>
      <c r="C1713" s="124" t="n">
        <v>2026</v>
      </c>
      <c r="E1713" s="103" t="n"/>
      <c r="F1713" s="175" t="n"/>
      <c r="G1713" s="175" t="n"/>
      <c r="H1713" s="176" t="n"/>
      <c r="I1713" s="103" t="inlineStr">
        <is>
          <t>查看数据库详情</t>
        </is>
      </c>
      <c r="J1713" s="93" t="inlineStr">
        <is>
          <t>EQ</t>
        </is>
      </c>
      <c r="K1713" s="102" t="n"/>
      <c r="L1713" s="102" t="n"/>
      <c r="M1713" s="85">
        <f>IF(OR(Y1713="估算法",Y1713="算法类",Y1713="无法识别"),"",IF(W1713="",IF(OR(J1713="EI",J1713="EO",J1713="EQ"),0,""),LEN(W1713)-LEN(SUBSTITUTE(W1713,"、",""))+1))</f>
        <v/>
      </c>
      <c r="N1713" s="85">
        <f>IF(OR(Y1713="估算法",Y1713="算法类",Y1713="无法识别"),"",IF(X1713="",IF(OR(J1713="ILF",J1713="EIF"),0,""),LEN(X1713)-LEN(SUBSTITUTE(X1713,"、",""))+1))</f>
        <v/>
      </c>
      <c r="O1713" s="85">
        <f>IF(OR(Y1713="估算法",Y1713="算法类",Y1713="无法识别"),"",IF(Y1713="",IF(OR(J1713="ILF",J1713="EIF",J1713="EI",J1713="EO",J1713="EQ"),0,""),LEN(Y1713)-LEN(SUBSTITUTE(SUBSTITUTE(SUBSTITUTE(SUBSTITUTE(SUBSTITUTE(Y1713,"|}","--"),"{|","--"),CHAR(10),""),"、",""),"|",""))+IF(AND(OR(J1713="EI",J1713="EO",J1713="EQ"),$AE$1="NESMA"),2,1)))</f>
        <v/>
      </c>
      <c r="P1713" s="86">
        <f>IF(J1713="EI",IF(OR(Y1713="估算法",Y1713="算法类"),"中",IF(Y1713="无法识别","低",IF(M1713&lt;2,IF(O1713&lt;16,"低","中"),IF(M1713&lt;3,IF(O1713&lt;5,"低",IF(O1713&lt;16,"中","高")),IF(O1713&lt;5,"中","高"))))),IF(OR(J1713="EO",J1713="EQ"),IF(OR(Y1713="估算法",Y1713="算法类"),"中",IF(Y1713="无法识别","低",IF(M1713&lt;2,IF(O1713&lt;20,"低","中"),IF(M1713&lt;4,IF(O1713&lt;6,"低",IF(O1713&lt;20,"中","高")),IF(O1713&lt;6,"中","高"))))),IF(OR(J1713="ILF",J1713="EIF"),IF(OR(Y1713="估算法",Y1713="算法类",Y1713="无法识别"),"低",IF(N1713&lt;2,IF(O1713&lt;51,"低","中"),IF(N1713&lt;6,IF(O1713&lt;20,"低",IF(O1713&lt;51,"中","高")),IF(O1713&lt;20,"中","高")))),"不计算")))</f>
        <v/>
      </c>
      <c r="Q1713" s="172">
        <f>IFERROR(IF(J1713="EI",IF(P1713="低",3,IF(P1713="中",4,6)),IF(J1713="EO",IF(P1713="低",4,IF(P1713="中",5,7)),IF(J1713="EQ",IF(P1713="低",3,IF(P1713="中",4,6)),IF(J1713="ILF",IF(P1713="低",7,IF(P1713="中",10,15)),IF(J1713="EIF",IF(P1713="低",5,IF(P1713="中",7,10)),"不计算")))))*R1713,"不计算")</f>
        <v/>
      </c>
      <c r="R1713" s="172" t="n">
        <v>1</v>
      </c>
      <c r="S1713" s="173">
        <f>调整因子!$F$13</f>
        <v/>
      </c>
      <c r="T1713" s="93" t="n">
        <v>1</v>
      </c>
      <c r="U1713" s="174">
        <f>IFERROR(Q1713*S1713,0)</f>
        <v/>
      </c>
      <c r="V1713" s="178">
        <f>U1713*T1713</f>
        <v/>
      </c>
      <c r="W1713" s="103" t="inlineStr">
        <is>
          <t>漏洞处置推送接口配置表</t>
        </is>
      </c>
      <c r="X1713" s="103" t="inlineStr"/>
      <c r="Y1713" s="97" t="inlineStr">
        <is>
          <t>漏洞处置推送接口配置表{漏洞ID、漏洞名称|漏洞ID、漏洞名称、漏洞等级、漏洞类型}</t>
        </is>
      </c>
      <c r="Z1713" s="90" t="n"/>
      <c r="AA1713" s="90" t="n"/>
    </row>
    <row r="1714" s="112">
      <c r="A1714" s="72">
        <f>ROW()-1</f>
        <v/>
      </c>
      <c r="B1714" s="175" t="n"/>
      <c r="C1714" s="124" t="n">
        <v>2026</v>
      </c>
      <c r="E1714" s="103" t="n"/>
      <c r="F1714" s="175" t="n"/>
      <c r="G1714" s="175" t="n"/>
      <c r="H1714" s="97" t="inlineStr">
        <is>
          <t>数据库迁移管理</t>
        </is>
      </c>
      <c r="I1714" s="103" t="inlineStr">
        <is>
          <t>编辑迁移任务</t>
        </is>
      </c>
      <c r="J1714" s="93" t="inlineStr">
        <is>
          <t>EI</t>
        </is>
      </c>
      <c r="K1714" s="102" t="n"/>
      <c r="L1714" s="102" t="n"/>
      <c r="M1714" s="85">
        <f>IF(OR(Y1714="估算法",Y1714="算法类",Y1714="无法识别"),"",IF(W1714="",IF(OR(J1714="EI",J1714="EO",J1714="EQ"),0,""),LEN(W1714)-LEN(SUBSTITUTE(W1714,"、",""))+1))</f>
        <v/>
      </c>
      <c r="N1714" s="85">
        <f>IF(OR(Y1714="估算法",Y1714="算法类",Y1714="无法识别"),"",IF(X1714="",IF(OR(J1714="ILF",J1714="EIF"),0,""),LEN(X1714)-LEN(SUBSTITUTE(X1714,"、",""))+1))</f>
        <v/>
      </c>
      <c r="O1714" s="85">
        <f>IF(OR(Y1714="估算法",Y1714="算法类",Y1714="无法识别"),"",IF(Y1714="",IF(OR(J1714="ILF",J1714="EIF",J1714="EI",J1714="EO",J1714="EQ"),0,""),LEN(Y1714)-LEN(SUBSTITUTE(SUBSTITUTE(SUBSTITUTE(SUBSTITUTE(SUBSTITUTE(Y1714,"|}","--"),"{|","--"),CHAR(10),""),"、",""),"|",""))+IF(AND(OR(J1714="EI",J1714="EO",J1714="EQ"),$AE$1="NESMA"),2,1)))</f>
        <v/>
      </c>
      <c r="P1714" s="86">
        <f>IF(J1714="EI",IF(OR(Y1714="估算法",Y1714="算法类"),"中",IF(Y1714="无法识别","低",IF(M1714&lt;2,IF(O1714&lt;16,"低","中"),IF(M1714&lt;3,IF(O1714&lt;5,"低",IF(O1714&lt;16,"中","高")),IF(O1714&lt;5,"中","高"))))),IF(OR(J1714="EO",J1714="EQ"),IF(OR(Y1714="估算法",Y1714="算法类"),"中",IF(Y1714="无法识别","低",IF(M1714&lt;2,IF(O1714&lt;20,"低","中"),IF(M1714&lt;4,IF(O1714&lt;6,"低",IF(O1714&lt;20,"中","高")),IF(O1714&lt;6,"中","高"))))),IF(OR(J1714="ILF",J1714="EIF"),IF(OR(Y1714="估算法",Y1714="算法类",Y1714="无法识别"),"低",IF(N1714&lt;2,IF(O1714&lt;51,"低","中"),IF(N1714&lt;6,IF(O1714&lt;20,"低",IF(O1714&lt;51,"中","高")),IF(O1714&lt;20,"中","高")))),"不计算")))</f>
        <v/>
      </c>
      <c r="Q1714" s="172">
        <f>IFERROR(IF(J1714="EI",IF(P1714="低",3,IF(P1714="中",4,6)),IF(J1714="EO",IF(P1714="低",4,IF(P1714="中",5,7)),IF(J1714="EQ",IF(P1714="低",3,IF(P1714="中",4,6)),IF(J1714="ILF",IF(P1714="低",7,IF(P1714="中",10,15)),IF(J1714="EIF",IF(P1714="低",5,IF(P1714="中",7,10)),"不计算")))))*R1714,"不计算")</f>
        <v/>
      </c>
      <c r="R1714" s="172" t="n">
        <v>1</v>
      </c>
      <c r="S1714" s="173">
        <f>调整因子!$F$13</f>
        <v/>
      </c>
      <c r="T1714" s="92" t="n">
        <v>1</v>
      </c>
      <c r="U1714" s="174">
        <f>IFERROR(Q1714*S1714,0)</f>
        <v/>
      </c>
      <c r="V1714" s="178">
        <f>U1714*T1714</f>
        <v/>
      </c>
      <c r="W1714" s="103" t="inlineStr">
        <is>
          <t>数据清洗任务表</t>
        </is>
      </c>
      <c r="X1714" s="103" t="inlineStr"/>
      <c r="Y1714" s="97" t="inlineStr">
        <is>
          <t>数据清洗任务表{任务ID、任务名称、任务类型、任务状态、创建时间|任务ID、任务名称、任务类型}</t>
        </is>
      </c>
      <c r="Z1714" s="90" t="n"/>
      <c r="AA1714" s="90" t="n"/>
    </row>
    <row r="1715" s="112">
      <c r="A1715" s="72">
        <f>ROW()-1</f>
        <v/>
      </c>
      <c r="B1715" s="175" t="n"/>
      <c r="C1715" s="124" t="n">
        <v>2026</v>
      </c>
      <c r="E1715" s="103" t="n"/>
      <c r="F1715" s="175" t="n"/>
      <c r="G1715" s="175" t="n"/>
      <c r="H1715" s="175" t="n"/>
      <c r="I1715" s="103" t="inlineStr">
        <is>
          <t>删除迁移任务</t>
        </is>
      </c>
      <c r="J1715" s="93" t="inlineStr">
        <is>
          <t>EI</t>
        </is>
      </c>
      <c r="K1715" s="102" t="n"/>
      <c r="L1715" s="102" t="n"/>
      <c r="M1715" s="85">
        <f>IF(OR(Y1715="估算法",Y1715="算法类",Y1715="无法识别"),"",IF(W1715="",IF(OR(J1715="EI",J1715="EO",J1715="EQ"),0,""),LEN(W1715)-LEN(SUBSTITUTE(W1715,"、",""))+1))</f>
        <v/>
      </c>
      <c r="N1715" s="85">
        <f>IF(OR(Y1715="估算法",Y1715="算法类",Y1715="无法识别"),"",IF(X1715="",IF(OR(J1715="ILF",J1715="EIF"),0,""),LEN(X1715)-LEN(SUBSTITUTE(X1715,"、",""))+1))</f>
        <v/>
      </c>
      <c r="O1715" s="85">
        <f>IF(OR(Y1715="估算法",Y1715="算法类",Y1715="无法识别"),"",IF(Y1715="",IF(OR(J1715="ILF",J1715="EIF",J1715="EI",J1715="EO",J1715="EQ"),0,""),LEN(Y1715)-LEN(SUBSTITUTE(SUBSTITUTE(SUBSTITUTE(SUBSTITUTE(SUBSTITUTE(Y1715,"|}","--"),"{|","--"),CHAR(10),""),"、",""),"|",""))+IF(AND(OR(J1715="EI",J1715="EO",J1715="EQ"),$AE$1="NESMA"),2,1)))</f>
        <v/>
      </c>
      <c r="P1715" s="86">
        <f>IF(J1715="EI",IF(OR(Y1715="估算法",Y1715="算法类"),"中",IF(Y1715="无法识别","低",IF(M1715&lt;2,IF(O1715&lt;16,"低","中"),IF(M1715&lt;3,IF(O1715&lt;5,"低",IF(O1715&lt;16,"中","高")),IF(O1715&lt;5,"中","高"))))),IF(OR(J1715="EO",J1715="EQ"),IF(OR(Y1715="估算法",Y1715="算法类"),"中",IF(Y1715="无法识别","低",IF(M1715&lt;2,IF(O1715&lt;20,"低","中"),IF(M1715&lt;4,IF(O1715&lt;6,"低",IF(O1715&lt;20,"中","高")),IF(O1715&lt;6,"中","高"))))),IF(OR(J1715="ILF",J1715="EIF"),IF(OR(Y1715="估算法",Y1715="算法类",Y1715="无法识别"),"低",IF(N1715&lt;2,IF(O1715&lt;51,"低","中"),IF(N1715&lt;6,IF(O1715&lt;20,"低",IF(O1715&lt;51,"中","高")),IF(O1715&lt;20,"中","高")))),"不计算")))</f>
        <v/>
      </c>
      <c r="Q1715" s="172">
        <f>IFERROR(IF(J1715="EI",IF(P1715="低",3,IF(P1715="中",4,6)),IF(J1715="EO",IF(P1715="低",4,IF(P1715="中",5,7)),IF(J1715="EQ",IF(P1715="低",3,IF(P1715="中",4,6)),IF(J1715="ILF",IF(P1715="低",7,IF(P1715="中",10,15)),IF(J1715="EIF",IF(P1715="低",5,IF(P1715="中",7,10)),"不计算")))))*R1715,"不计算")</f>
        <v/>
      </c>
      <c r="R1715" s="172" t="n">
        <v>0.333333333333333</v>
      </c>
      <c r="S1715" s="173">
        <f>调整因子!$F$13</f>
        <v/>
      </c>
      <c r="T1715" s="92" t="n">
        <v>1</v>
      </c>
      <c r="U1715" s="174">
        <f>IFERROR(Q1715*S1715,0)</f>
        <v/>
      </c>
      <c r="V1715" s="178">
        <f>U1715*T1715</f>
        <v/>
      </c>
      <c r="W1715" s="103" t="inlineStr">
        <is>
          <t>数据清洗任务表</t>
        </is>
      </c>
      <c r="X1715" s="103" t="inlineStr"/>
      <c r="Y1715" s="97" t="inlineStr">
        <is>
          <t>数据清洗任务表{任务ID、任务名称、任务类型、任务状态、创建时间|任务ID、任务名称、任务类型}</t>
        </is>
      </c>
      <c r="Z1715" s="90" t="n"/>
      <c r="AA1715" s="90" t="n"/>
    </row>
    <row r="1716" s="112">
      <c r="A1716" s="72">
        <f>ROW()-1</f>
        <v/>
      </c>
      <c r="B1716" s="175" t="n"/>
      <c r="C1716" s="124" t="n">
        <v>2026</v>
      </c>
      <c r="E1716" s="103" t="n"/>
      <c r="F1716" s="175" t="n"/>
      <c r="G1716" s="175" t="n"/>
      <c r="H1716" s="175" t="n"/>
      <c r="I1716" s="103" t="inlineStr">
        <is>
          <t>导出迁移记录</t>
        </is>
      </c>
      <c r="J1716" s="93" t="inlineStr">
        <is>
          <t>EO</t>
        </is>
      </c>
      <c r="K1716" s="102" t="n"/>
      <c r="L1716" s="102" t="n"/>
      <c r="M1716" s="85">
        <f>IF(OR(Y1716="估算法",Y1716="算法类",Y1716="无法识别"),"",IF(W1716="",IF(OR(J1716="EI",J1716="EO",J1716="EQ"),0,""),LEN(W1716)-LEN(SUBSTITUTE(W1716,"、",""))+1))</f>
        <v/>
      </c>
      <c r="N1716" s="85">
        <f>IF(OR(Y1716="估算法",Y1716="算法类",Y1716="无法识别"),"",IF(X1716="",IF(OR(J1716="ILF",J1716="EIF"),0,""),LEN(X1716)-LEN(SUBSTITUTE(X1716,"、",""))+1))</f>
        <v/>
      </c>
      <c r="O1716" s="85">
        <f>IF(OR(Y1716="估算法",Y1716="算法类",Y1716="无法识别"),"",IF(Y1716="",IF(OR(J1716="ILF",J1716="EIF",J1716="EI",J1716="EO",J1716="EQ"),0,""),LEN(Y1716)-LEN(SUBSTITUTE(SUBSTITUTE(SUBSTITUTE(SUBSTITUTE(SUBSTITUTE(Y1716,"|}","--"),"{|","--"),CHAR(10),""),"、",""),"|",""))+IF(AND(OR(J1716="EI",J1716="EO",J1716="EQ"),$AE$1="NESMA"),2,1)))</f>
        <v/>
      </c>
      <c r="P1716" s="86">
        <f>IF(J1716="EI",IF(OR(Y1716="估算法",Y1716="算法类"),"中",IF(Y1716="无法识别","低",IF(M1716&lt;2,IF(O1716&lt;16,"低","中"),IF(M1716&lt;3,IF(O1716&lt;5,"低",IF(O1716&lt;16,"中","高")),IF(O1716&lt;5,"中","高"))))),IF(OR(J1716="EO",J1716="EQ"),IF(OR(Y1716="估算法",Y1716="算法类"),"中",IF(Y1716="无法识别","低",IF(M1716&lt;2,IF(O1716&lt;20,"低","中"),IF(M1716&lt;4,IF(O1716&lt;6,"低",IF(O1716&lt;20,"中","高")),IF(O1716&lt;6,"中","高"))))),IF(OR(J1716="ILF",J1716="EIF"),IF(OR(Y1716="估算法",Y1716="算法类",Y1716="无法识别"),"低",IF(N1716&lt;2,IF(O1716&lt;51,"低","中"),IF(N1716&lt;6,IF(O1716&lt;20,"低",IF(O1716&lt;51,"中","高")),IF(O1716&lt;20,"中","高")))),"不计算")))</f>
        <v/>
      </c>
      <c r="Q1716" s="172">
        <f>IFERROR(IF(J1716="EI",IF(P1716="低",3,IF(P1716="中",4,6)),IF(J1716="EO",IF(P1716="低",4,IF(P1716="中",5,7)),IF(J1716="EQ",IF(P1716="低",3,IF(P1716="中",4,6)),IF(J1716="ILF",IF(P1716="低",7,IF(P1716="中",10,15)),IF(J1716="EIF",IF(P1716="低",5,IF(P1716="中",7,10)),"不计算")))))*R1716,"不计算")</f>
        <v/>
      </c>
      <c r="R1716" s="172" t="n">
        <v>1</v>
      </c>
      <c r="S1716" s="173">
        <f>调整因子!$F$13</f>
        <v/>
      </c>
      <c r="T1716" s="93" t="n">
        <v>1</v>
      </c>
      <c r="U1716" s="174">
        <f>IFERROR(Q1716*S1716,0)</f>
        <v/>
      </c>
      <c r="V1716" s="178">
        <f>U1716*T1716</f>
        <v/>
      </c>
      <c r="W1716" s="103" t="inlineStr">
        <is>
          <t>态势数据采集表</t>
        </is>
      </c>
      <c r="X1716" s="103" t="inlineStr"/>
      <c r="Y1716" s="97" t="inlineStr">
        <is>
          <t>态势数据采集表{ID、名称|ID、名称、类型、状态、创建时间}</t>
        </is>
      </c>
      <c r="Z1716" s="90" t="n"/>
      <c r="AA1716" s="90" t="n"/>
    </row>
    <row r="1717" s="112">
      <c r="A1717" s="72">
        <f>ROW()-1</f>
        <v/>
      </c>
      <c r="B1717" s="175" t="n"/>
      <c r="C1717" s="124" t="n">
        <v>2026</v>
      </c>
      <c r="E1717" s="103" t="n"/>
      <c r="F1717" s="175" t="n"/>
      <c r="G1717" s="175" t="n"/>
      <c r="H1717" s="175" t="n"/>
      <c r="I1717" s="103" t="inlineStr">
        <is>
          <t>下载迁移报告</t>
        </is>
      </c>
      <c r="J1717" s="93" t="inlineStr">
        <is>
          <t>EO</t>
        </is>
      </c>
      <c r="K1717" s="102" t="n"/>
      <c r="L1717" s="102" t="n"/>
      <c r="M1717" s="85">
        <f>IF(OR(Y1717="估算法",Y1717="算法类",Y1717="无法识别"),"",IF(W1717="",IF(OR(J1717="EI",J1717="EO",J1717="EQ"),0,""),LEN(W1717)-LEN(SUBSTITUTE(W1717,"、",""))+1))</f>
        <v/>
      </c>
      <c r="N1717" s="85">
        <f>IF(OR(Y1717="估算法",Y1717="算法类",Y1717="无法识别"),"",IF(X1717="",IF(OR(J1717="ILF",J1717="EIF"),0,""),LEN(X1717)-LEN(SUBSTITUTE(X1717,"、",""))+1))</f>
        <v/>
      </c>
      <c r="O1717" s="85">
        <f>IF(OR(Y1717="估算法",Y1717="算法类",Y1717="无法识别"),"",IF(Y1717="",IF(OR(J1717="ILF",J1717="EIF",J1717="EI",J1717="EO",J1717="EQ"),0,""),LEN(Y1717)-LEN(SUBSTITUTE(SUBSTITUTE(SUBSTITUTE(SUBSTITUTE(SUBSTITUTE(Y1717,"|}","--"),"{|","--"),CHAR(10),""),"、",""),"|",""))+IF(AND(OR(J1717="EI",J1717="EO",J1717="EQ"),$AE$1="NESMA"),2,1)))</f>
        <v/>
      </c>
      <c r="P1717" s="86">
        <f>IF(J1717="EI",IF(OR(Y1717="估算法",Y1717="算法类"),"中",IF(Y1717="无法识别","低",IF(M1717&lt;2,IF(O1717&lt;16,"低","中"),IF(M1717&lt;3,IF(O1717&lt;5,"低",IF(O1717&lt;16,"中","高")),IF(O1717&lt;5,"中","高"))))),IF(OR(J1717="EO",J1717="EQ"),IF(OR(Y1717="估算法",Y1717="算法类"),"中",IF(Y1717="无法识别","低",IF(M1717&lt;2,IF(O1717&lt;20,"低","中"),IF(M1717&lt;4,IF(O1717&lt;6,"低",IF(O1717&lt;20,"中","高")),IF(O1717&lt;6,"中","高"))))),IF(OR(J1717="ILF",J1717="EIF"),IF(OR(Y1717="估算法",Y1717="算法类",Y1717="无法识别"),"低",IF(N1717&lt;2,IF(O1717&lt;51,"低","中"),IF(N1717&lt;6,IF(O1717&lt;20,"低",IF(O1717&lt;51,"中","高")),IF(O1717&lt;20,"中","高")))),"不计算")))</f>
        <v/>
      </c>
      <c r="Q1717" s="172">
        <f>IFERROR(IF(J1717="EI",IF(P1717="低",3,IF(P1717="中",4,6)),IF(J1717="EO",IF(P1717="低",4,IF(P1717="中",5,7)),IF(J1717="EQ",IF(P1717="低",3,IF(P1717="中",4,6)),IF(J1717="ILF",IF(P1717="低",7,IF(P1717="中",10,15)),IF(J1717="EIF",IF(P1717="低",5,IF(P1717="中",7,10)),"不计算")))))*R1717,"不计算")</f>
        <v/>
      </c>
      <c r="R1717" s="172" t="n">
        <v>1</v>
      </c>
      <c r="S1717" s="173">
        <f>调整因子!$F$13</f>
        <v/>
      </c>
      <c r="T1717" s="92" t="n">
        <v>1</v>
      </c>
      <c r="U1717" s="174">
        <f>IFERROR(Q1717*S1717,0)</f>
        <v/>
      </c>
      <c r="V1717" s="178">
        <f>U1717*T1717</f>
        <v/>
      </c>
      <c r="W1717" s="103" t="inlineStr">
        <is>
          <t>性能数据表</t>
        </is>
      </c>
      <c r="X1717" s="103" t="inlineStr"/>
      <c r="Y1717" s="97" t="inlineStr">
        <is>
          <t>性能数据表{ID、名称|ID、名称、类型、状态}</t>
        </is>
      </c>
      <c r="Z1717" s="90" t="n"/>
      <c r="AA1717" s="90" t="n"/>
    </row>
    <row r="1718" s="112">
      <c r="A1718" s="72">
        <f>ROW()-1</f>
        <v/>
      </c>
      <c r="B1718" s="175" t="n"/>
      <c r="C1718" s="124" t="n">
        <v>2026</v>
      </c>
      <c r="E1718" s="103" t="n"/>
      <c r="F1718" s="175" t="n"/>
      <c r="G1718" s="175" t="n"/>
      <c r="H1718" s="175" t="n"/>
      <c r="I1718" s="103" t="inlineStr">
        <is>
          <t>查询迁移进度</t>
        </is>
      </c>
      <c r="J1718" s="93" t="inlineStr">
        <is>
          <t>EQ</t>
        </is>
      </c>
      <c r="K1718" s="102" t="n"/>
      <c r="L1718" s="102" t="n"/>
      <c r="M1718" s="85">
        <f>IF(OR(Y1718="估算法",Y1718="算法类",Y1718="无法识别"),"",IF(W1718="",IF(OR(J1718="EI",J1718="EO",J1718="EQ"),0,""),LEN(W1718)-LEN(SUBSTITUTE(W1718,"、",""))+1))</f>
        <v/>
      </c>
      <c r="N1718" s="85">
        <f>IF(OR(Y1718="估算法",Y1718="算法类",Y1718="无法识别"),"",IF(X1718="",IF(OR(J1718="ILF",J1718="EIF"),0,""),LEN(X1718)-LEN(SUBSTITUTE(X1718,"、",""))+1))</f>
        <v/>
      </c>
      <c r="O1718" s="85">
        <f>IF(OR(Y1718="估算法",Y1718="算法类",Y1718="无法识别"),"",IF(Y1718="",IF(OR(J1718="ILF",J1718="EIF",J1718="EI",J1718="EO",J1718="EQ"),0,""),LEN(Y1718)-LEN(SUBSTITUTE(SUBSTITUTE(SUBSTITUTE(SUBSTITUTE(SUBSTITUTE(Y1718,"|}","--"),"{|","--"),CHAR(10),""),"、",""),"|",""))+IF(AND(OR(J1718="EI",J1718="EO",J1718="EQ"),$AE$1="NESMA"),2,1)))</f>
        <v/>
      </c>
      <c r="P1718" s="86">
        <f>IF(J1718="EI",IF(OR(Y1718="估算法",Y1718="算法类"),"中",IF(Y1718="无法识别","低",IF(M1718&lt;2,IF(O1718&lt;16,"低","中"),IF(M1718&lt;3,IF(O1718&lt;5,"低",IF(O1718&lt;16,"中","高")),IF(O1718&lt;5,"中","高"))))),IF(OR(J1718="EO",J1718="EQ"),IF(OR(Y1718="估算法",Y1718="算法类"),"中",IF(Y1718="无法识别","低",IF(M1718&lt;2,IF(O1718&lt;20,"低","中"),IF(M1718&lt;4,IF(O1718&lt;6,"低",IF(O1718&lt;20,"中","高")),IF(O1718&lt;6,"中","高"))))),IF(OR(J1718="ILF",J1718="EIF"),IF(OR(Y1718="估算法",Y1718="算法类",Y1718="无法识别"),"低",IF(N1718&lt;2,IF(O1718&lt;51,"低","中"),IF(N1718&lt;6,IF(O1718&lt;20,"低",IF(O1718&lt;51,"中","高")),IF(O1718&lt;20,"中","高")))),"不计算")))</f>
        <v/>
      </c>
      <c r="Q1718" s="172">
        <f>IFERROR(IF(J1718="EI",IF(P1718="低",3,IF(P1718="中",4,6)),IF(J1718="EO",IF(P1718="低",4,IF(P1718="中",5,7)),IF(J1718="EQ",IF(P1718="低",3,IF(P1718="中",4,6)),IF(J1718="ILF",IF(P1718="低",7,IF(P1718="中",10,15)),IF(J1718="EIF",IF(P1718="低",5,IF(P1718="中",7,10)),"不计算")))))*R1718,"不计算")</f>
        <v/>
      </c>
      <c r="R1718" s="172" t="n">
        <v>1</v>
      </c>
      <c r="S1718" s="173">
        <f>调整因子!$F$13</f>
        <v/>
      </c>
      <c r="T1718" s="92" t="n">
        <v>1</v>
      </c>
      <c r="U1718" s="174">
        <f>IFERROR(Q1718*S1718,0)</f>
        <v/>
      </c>
      <c r="V1718" s="178">
        <f>U1718*T1718</f>
        <v/>
      </c>
      <c r="W1718" s="103" t="inlineStr">
        <is>
          <t>调用统计表</t>
        </is>
      </c>
      <c r="X1718" s="103" t="inlineStr"/>
      <c r="Y1718" s="97" t="inlineStr">
        <is>
          <t>调用统计表{ID、名称|ID、名称、类型、状态、创建时间}</t>
        </is>
      </c>
      <c r="Z1718" s="90" t="n"/>
      <c r="AA1718" s="90" t="n"/>
    </row>
    <row r="1719" s="112">
      <c r="A1719" s="72">
        <f>ROW()-1</f>
        <v/>
      </c>
      <c r="B1719" s="175" t="n"/>
      <c r="C1719" s="124" t="n">
        <v>2026</v>
      </c>
      <c r="E1719" s="103" t="n"/>
      <c r="F1719" s="175" t="n"/>
      <c r="G1719" s="175" t="n"/>
      <c r="H1719" s="176" t="n"/>
      <c r="I1719" s="103" t="inlineStr">
        <is>
          <t>查看迁移详情</t>
        </is>
      </c>
      <c r="J1719" s="93" t="inlineStr">
        <is>
          <t>EQ</t>
        </is>
      </c>
      <c r="K1719" s="102" t="n"/>
      <c r="L1719" s="102" t="n"/>
      <c r="M1719" s="85">
        <f>IF(OR(Y1719="估算法",Y1719="算法类",Y1719="无法识别"),"",IF(W1719="",IF(OR(J1719="EI",J1719="EO",J1719="EQ"),0,""),LEN(W1719)-LEN(SUBSTITUTE(W1719,"、",""))+1))</f>
        <v/>
      </c>
      <c r="N1719" s="85">
        <f>IF(OR(Y1719="估算法",Y1719="算法类",Y1719="无法识别"),"",IF(X1719="",IF(OR(J1719="ILF",J1719="EIF"),0,""),LEN(X1719)-LEN(SUBSTITUTE(X1719,"、",""))+1))</f>
        <v/>
      </c>
      <c r="O1719" s="85">
        <f>IF(OR(Y1719="估算法",Y1719="算法类",Y1719="无法识别"),"",IF(Y1719="",IF(OR(J1719="ILF",J1719="EIF",J1719="EI",J1719="EO",J1719="EQ"),0,""),LEN(Y1719)-LEN(SUBSTITUTE(SUBSTITUTE(SUBSTITUTE(SUBSTITUTE(SUBSTITUTE(Y1719,"|}","--"),"{|","--"),CHAR(10),""),"、",""),"|",""))+IF(AND(OR(J1719="EI",J1719="EO",J1719="EQ"),$AE$1="NESMA"),2,1)))</f>
        <v/>
      </c>
      <c r="P1719" s="86">
        <f>IF(J1719="EI",IF(OR(Y1719="估算法",Y1719="算法类"),"中",IF(Y1719="无法识别","低",IF(M1719&lt;2,IF(O1719&lt;16,"低","中"),IF(M1719&lt;3,IF(O1719&lt;5,"低",IF(O1719&lt;16,"中","高")),IF(O1719&lt;5,"中","高"))))),IF(OR(J1719="EO",J1719="EQ"),IF(OR(Y1719="估算法",Y1719="算法类"),"中",IF(Y1719="无法识别","低",IF(M1719&lt;2,IF(O1719&lt;20,"低","中"),IF(M1719&lt;4,IF(O1719&lt;6,"低",IF(O1719&lt;20,"中","高")),IF(O1719&lt;6,"中","高"))))),IF(OR(J1719="ILF",J1719="EIF"),IF(OR(Y1719="估算法",Y1719="算法类",Y1719="无法识别"),"低",IF(N1719&lt;2,IF(O1719&lt;51,"低","中"),IF(N1719&lt;6,IF(O1719&lt;20,"低",IF(O1719&lt;51,"中","高")),IF(O1719&lt;20,"中","高")))),"不计算")))</f>
        <v/>
      </c>
      <c r="Q1719" s="172">
        <f>IFERROR(IF(J1719="EI",IF(P1719="低",3,IF(P1719="中",4,6)),IF(J1719="EO",IF(P1719="低",4,IF(P1719="中",5,7)),IF(J1719="EQ",IF(P1719="低",3,IF(P1719="中",4,6)),IF(J1719="ILF",IF(P1719="低",7,IF(P1719="中",10,15)),IF(J1719="EIF",IF(P1719="低",5,IF(P1719="中",7,10)),"不计算")))))*R1719,"不计算")</f>
        <v/>
      </c>
      <c r="R1719" s="172" t="n">
        <v>1</v>
      </c>
      <c r="S1719" s="173">
        <f>调整因子!$F$13</f>
        <v/>
      </c>
      <c r="T1719" s="93" t="n">
        <v>1</v>
      </c>
      <c r="U1719" s="174">
        <f>IFERROR(Q1719*S1719,0)</f>
        <v/>
      </c>
      <c r="V1719" s="178">
        <f>U1719*T1719</f>
        <v/>
      </c>
      <c r="W1719" s="103" t="inlineStr">
        <is>
          <t>日志加密配置表</t>
        </is>
      </c>
      <c r="X1719" s="103" t="inlineStr"/>
      <c r="Y1719" s="97" t="inlineStr">
        <is>
          <t>日志加密配置表{配置ID、配置名称|配置ID、配置名称、配置类型、配置值、创建时间}</t>
        </is>
      </c>
      <c r="Z1719" s="90" t="n"/>
      <c r="AA1719" s="90" t="n"/>
    </row>
    <row r="1720" s="112">
      <c r="A1720" s="72">
        <f>ROW()-1</f>
        <v/>
      </c>
      <c r="B1720" s="175" t="n"/>
      <c r="C1720" s="124" t="n">
        <v>2026</v>
      </c>
      <c r="E1720" s="103" t="n"/>
      <c r="F1720" s="175" t="n"/>
      <c r="G1720" s="175" t="n"/>
      <c r="H1720" s="97" t="inlineStr">
        <is>
          <t>数据库优化管理</t>
        </is>
      </c>
      <c r="I1720" s="103" t="inlineStr">
        <is>
          <t>导出优化报告</t>
        </is>
      </c>
      <c r="J1720" s="93" t="inlineStr">
        <is>
          <t>EO</t>
        </is>
      </c>
      <c r="K1720" s="102" t="n"/>
      <c r="L1720" s="102" t="n"/>
      <c r="M1720" s="85">
        <f>IF(OR(Y1720="估算法",Y1720="算法类",Y1720="无法识别"),"",IF(W1720="",IF(OR(J1720="EI",J1720="EO",J1720="EQ"),0,""),LEN(W1720)-LEN(SUBSTITUTE(W1720,"、",""))+1))</f>
        <v/>
      </c>
      <c r="N1720" s="85">
        <f>IF(OR(Y1720="估算法",Y1720="算法类",Y1720="无法识别"),"",IF(X1720="",IF(OR(J1720="ILF",J1720="EIF"),0,""),LEN(X1720)-LEN(SUBSTITUTE(X1720,"、",""))+1))</f>
        <v/>
      </c>
      <c r="O1720" s="85">
        <f>IF(OR(Y1720="估算法",Y1720="算法类",Y1720="无法识别"),"",IF(Y1720="",IF(OR(J1720="ILF",J1720="EIF",J1720="EI",J1720="EO",J1720="EQ"),0,""),LEN(Y1720)-LEN(SUBSTITUTE(SUBSTITUTE(SUBSTITUTE(SUBSTITUTE(SUBSTITUTE(Y1720,"|}","--"),"{|","--"),CHAR(10),""),"、",""),"|",""))+IF(AND(OR(J1720="EI",J1720="EO",J1720="EQ"),$AE$1="NESMA"),2,1)))</f>
        <v/>
      </c>
      <c r="P1720" s="86">
        <f>IF(J1720="EI",IF(OR(Y1720="估算法",Y1720="算法类"),"中",IF(Y1720="无法识别","低",IF(M1720&lt;2,IF(O1720&lt;16,"低","中"),IF(M1720&lt;3,IF(O1720&lt;5,"低",IF(O1720&lt;16,"中","高")),IF(O1720&lt;5,"中","高"))))),IF(OR(J1720="EO",J1720="EQ"),IF(OR(Y1720="估算法",Y1720="算法类"),"中",IF(Y1720="无法识别","低",IF(M1720&lt;2,IF(O1720&lt;20,"低","中"),IF(M1720&lt;4,IF(O1720&lt;6,"低",IF(O1720&lt;20,"中","高")),IF(O1720&lt;6,"中","高"))))),IF(OR(J1720="ILF",J1720="EIF"),IF(OR(Y1720="估算法",Y1720="算法类",Y1720="无法识别"),"低",IF(N1720&lt;2,IF(O1720&lt;51,"低","中"),IF(N1720&lt;6,IF(O1720&lt;20,"低",IF(O1720&lt;51,"中","高")),IF(O1720&lt;20,"中","高")))),"不计算")))</f>
        <v/>
      </c>
      <c r="Q1720" s="172">
        <f>IFERROR(IF(J1720="EI",IF(P1720="低",3,IF(P1720="中",4,6)),IF(J1720="EO",IF(P1720="低",4,IF(P1720="中",5,7)),IF(J1720="EQ",IF(P1720="低",3,IF(P1720="中",4,6)),IF(J1720="ILF",IF(P1720="低",7,IF(P1720="中",10,15)),IF(J1720="EIF",IF(P1720="低",5,IF(P1720="中",7,10)),"不计算")))))*R1720,"不计算")</f>
        <v/>
      </c>
      <c r="R1720" s="172" t="n">
        <v>1</v>
      </c>
      <c r="S1720" s="173">
        <f>调整因子!$F$13</f>
        <v/>
      </c>
      <c r="T1720" s="93" t="n">
        <v>1</v>
      </c>
      <c r="U1720" s="174">
        <f>IFERROR(Q1720*S1720,0)</f>
        <v/>
      </c>
      <c r="V1720" s="178">
        <f>U1720*T1720</f>
        <v/>
      </c>
      <c r="W1720" s="103" t="inlineStr">
        <is>
          <t>加密策略表</t>
        </is>
      </c>
      <c r="X1720" s="103" t="inlineStr"/>
      <c r="Y1720" s="97" t="inlineStr">
        <is>
          <t>加密策略表{策略ID、策略名称|策略ID、策略名称、策略类型}</t>
        </is>
      </c>
      <c r="Z1720" s="90" t="n"/>
      <c r="AA1720" s="90" t="n"/>
    </row>
    <row r="1721" s="112">
      <c r="A1721" s="72">
        <f>ROW()-1</f>
        <v/>
      </c>
      <c r="B1721" s="175" t="n"/>
      <c r="C1721" s="124" t="n">
        <v>2026</v>
      </c>
      <c r="E1721" s="103" t="n"/>
      <c r="F1721" s="175" t="n"/>
      <c r="G1721" s="175" t="n"/>
      <c r="H1721" s="175" t="n"/>
      <c r="I1721" s="103" t="inlineStr">
        <is>
          <t>下载性能报告</t>
        </is>
      </c>
      <c r="J1721" s="93" t="inlineStr">
        <is>
          <t>EO</t>
        </is>
      </c>
      <c r="K1721" s="102" t="n"/>
      <c r="L1721" s="102" t="n"/>
      <c r="M1721" s="85">
        <f>IF(OR(Y1721="估算法",Y1721="算法类",Y1721="无法识别"),"",IF(W1721="",IF(OR(J1721="EI",J1721="EO",J1721="EQ"),0,""),LEN(W1721)-LEN(SUBSTITUTE(W1721,"、",""))+1))</f>
        <v/>
      </c>
      <c r="N1721" s="85">
        <f>IF(OR(Y1721="估算法",Y1721="算法类",Y1721="无法识别"),"",IF(X1721="",IF(OR(J1721="ILF",J1721="EIF"),0,""),LEN(X1721)-LEN(SUBSTITUTE(X1721,"、",""))+1))</f>
        <v/>
      </c>
      <c r="O1721" s="85">
        <f>IF(OR(Y1721="估算法",Y1721="算法类",Y1721="无法识别"),"",IF(Y1721="",IF(OR(J1721="ILF",J1721="EIF",J1721="EI",J1721="EO",J1721="EQ"),0,""),LEN(Y1721)-LEN(SUBSTITUTE(SUBSTITUTE(SUBSTITUTE(SUBSTITUTE(SUBSTITUTE(Y1721,"|}","--"),"{|","--"),CHAR(10),""),"、",""),"|",""))+IF(AND(OR(J1721="EI",J1721="EO",J1721="EQ"),$AE$1="NESMA"),2,1)))</f>
        <v/>
      </c>
      <c r="P1721" s="86">
        <f>IF(J1721="EI",IF(OR(Y1721="估算法",Y1721="算法类"),"中",IF(Y1721="无法识别","低",IF(M1721&lt;2,IF(O1721&lt;16,"低","中"),IF(M1721&lt;3,IF(O1721&lt;5,"低",IF(O1721&lt;16,"中","高")),IF(O1721&lt;5,"中","高"))))),IF(OR(J1721="EO",J1721="EQ"),IF(OR(Y1721="估算法",Y1721="算法类"),"中",IF(Y1721="无法识别","低",IF(M1721&lt;2,IF(O1721&lt;20,"低","中"),IF(M1721&lt;4,IF(O1721&lt;6,"低",IF(O1721&lt;20,"中","高")),IF(O1721&lt;6,"中","高"))))),IF(OR(J1721="ILF",J1721="EIF"),IF(OR(Y1721="估算法",Y1721="算法类",Y1721="无法识别"),"低",IF(N1721&lt;2,IF(O1721&lt;51,"低","中"),IF(N1721&lt;6,IF(O1721&lt;20,"低",IF(O1721&lt;51,"中","高")),IF(O1721&lt;20,"中","高")))),"不计算")))</f>
        <v/>
      </c>
      <c r="Q1721" s="172">
        <f>IFERROR(IF(J1721="EI",IF(P1721="低",3,IF(P1721="中",4,6)),IF(J1721="EO",IF(P1721="低",4,IF(P1721="中",5,7)),IF(J1721="EQ",IF(P1721="低",3,IF(P1721="中",4,6)),IF(J1721="ILF",IF(P1721="低",7,IF(P1721="中",10,15)),IF(J1721="EIF",IF(P1721="低",5,IF(P1721="中",7,10)),"不计算")))))*R1721,"不计算")</f>
        <v/>
      </c>
      <c r="R1721" s="172" t="n">
        <v>1</v>
      </c>
      <c r="S1721" s="173">
        <f>调整因子!$F$13</f>
        <v/>
      </c>
      <c r="T1721" s="92" t="n">
        <v>1</v>
      </c>
      <c r="U1721" s="174">
        <f>IFERROR(Q1721*S1721,0)</f>
        <v/>
      </c>
      <c r="V1721" s="178">
        <f>U1721*T1721</f>
        <v/>
      </c>
      <c r="W1721" s="103" t="inlineStr">
        <is>
          <t>分类层级关系表</t>
        </is>
      </c>
      <c r="X1721" s="103" t="inlineStr"/>
      <c r="Y1721" s="97" t="inlineStr">
        <is>
          <t>分类层级关系表{ID、名称|ID、名称、类型、状态、创建时间}</t>
        </is>
      </c>
      <c r="Z1721" s="90" t="n"/>
      <c r="AA1721" s="90" t="n"/>
    </row>
    <row r="1722" s="112">
      <c r="A1722" s="72">
        <f>ROW()-1</f>
        <v/>
      </c>
      <c r="B1722" s="175" t="n"/>
      <c r="C1722" s="124" t="n">
        <v>2026</v>
      </c>
      <c r="E1722" s="103" t="n"/>
      <c r="F1722" s="175" t="n"/>
      <c r="G1722" s="175" t="n"/>
      <c r="H1722" s="175" t="n"/>
      <c r="I1722" s="103" t="inlineStr">
        <is>
          <t>查询优化记录</t>
        </is>
      </c>
      <c r="J1722" s="93" t="inlineStr">
        <is>
          <t>EQ</t>
        </is>
      </c>
      <c r="K1722" s="102" t="n"/>
      <c r="L1722" s="102" t="n"/>
      <c r="M1722" s="85">
        <f>IF(OR(Y1722="估算法",Y1722="算法类",Y1722="无法识别"),"",IF(W1722="",IF(OR(J1722="EI",J1722="EO",J1722="EQ"),0,""),LEN(W1722)-LEN(SUBSTITUTE(W1722,"、",""))+1))</f>
        <v/>
      </c>
      <c r="N1722" s="85">
        <f>IF(OR(Y1722="估算法",Y1722="算法类",Y1722="无法识别"),"",IF(X1722="",IF(OR(J1722="ILF",J1722="EIF"),0,""),LEN(X1722)-LEN(SUBSTITUTE(X1722,"、",""))+1))</f>
        <v/>
      </c>
      <c r="O1722" s="85">
        <f>IF(OR(Y1722="估算法",Y1722="算法类",Y1722="无法识别"),"",IF(Y1722="",IF(OR(J1722="ILF",J1722="EIF",J1722="EI",J1722="EO",J1722="EQ"),0,""),LEN(Y1722)-LEN(SUBSTITUTE(SUBSTITUTE(SUBSTITUTE(SUBSTITUTE(SUBSTITUTE(Y1722,"|}","--"),"{|","--"),CHAR(10),""),"、",""),"|",""))+IF(AND(OR(J1722="EI",J1722="EO",J1722="EQ"),$AE$1="NESMA"),2,1)))</f>
        <v/>
      </c>
      <c r="P1722" s="86">
        <f>IF(J1722="EI",IF(OR(Y1722="估算法",Y1722="算法类"),"中",IF(Y1722="无法识别","低",IF(M1722&lt;2,IF(O1722&lt;16,"低","中"),IF(M1722&lt;3,IF(O1722&lt;5,"低",IF(O1722&lt;16,"中","高")),IF(O1722&lt;5,"中","高"))))),IF(OR(J1722="EO",J1722="EQ"),IF(OR(Y1722="估算法",Y1722="算法类"),"中",IF(Y1722="无法识别","低",IF(M1722&lt;2,IF(O1722&lt;20,"低","中"),IF(M1722&lt;4,IF(O1722&lt;6,"低",IF(O1722&lt;20,"中","高")),IF(O1722&lt;6,"中","高"))))),IF(OR(J1722="ILF",J1722="EIF"),IF(OR(Y1722="估算法",Y1722="算法类",Y1722="无法识别"),"低",IF(N1722&lt;2,IF(O1722&lt;51,"低","中"),IF(N1722&lt;6,IF(O1722&lt;20,"低",IF(O1722&lt;51,"中","高")),IF(O1722&lt;20,"中","高")))),"不计算")))</f>
        <v/>
      </c>
      <c r="Q1722" s="172">
        <f>IFERROR(IF(J1722="EI",IF(P1722="低",3,IF(P1722="中",4,6)),IF(J1722="EO",IF(P1722="低",4,IF(P1722="中",5,7)),IF(J1722="EQ",IF(P1722="低",3,IF(P1722="中",4,6)),IF(J1722="ILF",IF(P1722="低",7,IF(P1722="中",10,15)),IF(J1722="EIF",IF(P1722="低",5,IF(P1722="中",7,10)),"不计算")))))*R1722,"不计算")</f>
        <v/>
      </c>
      <c r="R1722" s="172" t="n">
        <v>1</v>
      </c>
      <c r="S1722" s="173">
        <f>调整因子!$F$13</f>
        <v/>
      </c>
      <c r="T1722" s="92" t="n">
        <v>1</v>
      </c>
      <c r="U1722" s="174">
        <f>IFERROR(Q1722*S1722,0)</f>
        <v/>
      </c>
      <c r="V1722" s="178">
        <f>U1722*T1722</f>
        <v/>
      </c>
      <c r="W1722" s="103" t="inlineStr">
        <is>
          <t>方案审批表</t>
        </is>
      </c>
      <c r="X1722" s="103" t="inlineStr"/>
      <c r="Y1722" s="97" t="inlineStr">
        <is>
          <t>方案审批表{ID、名称|ID、名称、类型、状态}</t>
        </is>
      </c>
      <c r="Z1722" s="90" t="n"/>
      <c r="AA1722" s="90" t="n"/>
    </row>
    <row r="1723" s="112">
      <c r="A1723" s="72">
        <f>ROW()-1</f>
        <v/>
      </c>
      <c r="B1723" s="175" t="n"/>
      <c r="C1723" s="124" t="n">
        <v>2026</v>
      </c>
      <c r="E1723" s="103" t="n"/>
      <c r="F1723" s="175" t="n"/>
      <c r="G1723" s="175" t="n"/>
      <c r="H1723" s="176" t="n"/>
      <c r="I1723" s="103" t="inlineStr">
        <is>
          <t>查看优化详情</t>
        </is>
      </c>
      <c r="J1723" s="93" t="inlineStr">
        <is>
          <t>EQ</t>
        </is>
      </c>
      <c r="K1723" s="102" t="n"/>
      <c r="L1723" s="102" t="n"/>
      <c r="M1723" s="85">
        <f>IF(OR(Y1723="估算法",Y1723="算法类",Y1723="无法识别"),"",IF(W1723="",IF(OR(J1723="EI",J1723="EO",J1723="EQ"),0,""),LEN(W1723)-LEN(SUBSTITUTE(W1723,"、",""))+1))</f>
        <v/>
      </c>
      <c r="N1723" s="85">
        <f>IF(OR(Y1723="估算法",Y1723="算法类",Y1723="无法识别"),"",IF(X1723="",IF(OR(J1723="ILF",J1723="EIF"),0,""),LEN(X1723)-LEN(SUBSTITUTE(X1723,"、",""))+1))</f>
        <v/>
      </c>
      <c r="O1723" s="85">
        <f>IF(OR(Y1723="估算法",Y1723="算法类",Y1723="无法识别"),"",IF(Y1723="",IF(OR(J1723="ILF",J1723="EIF",J1723="EI",J1723="EO",J1723="EQ"),0,""),LEN(Y1723)-LEN(SUBSTITUTE(SUBSTITUTE(SUBSTITUTE(SUBSTITUTE(SUBSTITUTE(Y1723,"|}","--"),"{|","--"),CHAR(10),""),"、",""),"|",""))+IF(AND(OR(J1723="EI",J1723="EO",J1723="EQ"),$AE$1="NESMA"),2,1)))</f>
        <v/>
      </c>
      <c r="P1723" s="86">
        <f>IF(J1723="EI",IF(OR(Y1723="估算法",Y1723="算法类"),"中",IF(Y1723="无法识别","低",IF(M1723&lt;2,IF(O1723&lt;16,"低","中"),IF(M1723&lt;3,IF(O1723&lt;5,"低",IF(O1723&lt;16,"中","高")),IF(O1723&lt;5,"中","高"))))),IF(OR(J1723="EO",J1723="EQ"),IF(OR(Y1723="估算法",Y1723="算法类"),"中",IF(Y1723="无法识别","低",IF(M1723&lt;2,IF(O1723&lt;20,"低","中"),IF(M1723&lt;4,IF(O1723&lt;6,"低",IF(O1723&lt;20,"中","高")),IF(O1723&lt;6,"中","高"))))),IF(OR(J1723="ILF",J1723="EIF"),IF(OR(Y1723="估算法",Y1723="算法类",Y1723="无法识别"),"低",IF(N1723&lt;2,IF(O1723&lt;51,"低","中"),IF(N1723&lt;6,IF(O1723&lt;20,"低",IF(O1723&lt;51,"中","高")),IF(O1723&lt;20,"中","高")))),"不计算")))</f>
        <v/>
      </c>
      <c r="Q1723" s="172">
        <f>IFERROR(IF(J1723="EI",IF(P1723="低",3,IF(P1723="中",4,6)),IF(J1723="EO",IF(P1723="低",4,IF(P1723="中",5,7)),IF(J1723="EQ",IF(P1723="低",3,IF(P1723="中",4,6)),IF(J1723="ILF",IF(P1723="低",7,IF(P1723="中",10,15)),IF(J1723="EIF",IF(P1723="低",5,IF(P1723="中",7,10)),"不计算")))))*R1723,"不计算")</f>
        <v/>
      </c>
      <c r="R1723" s="172" t="n">
        <v>1</v>
      </c>
      <c r="S1723" s="173">
        <f>调整因子!$F$13</f>
        <v/>
      </c>
      <c r="T1723" s="93" t="n">
        <v>1</v>
      </c>
      <c r="U1723" s="174">
        <f>IFERROR(Q1723*S1723,0)</f>
        <v/>
      </c>
      <c r="V1723" s="178">
        <f>U1723*T1723</f>
        <v/>
      </c>
      <c r="W1723" s="103" t="inlineStr">
        <is>
          <t>同步任务调度表</t>
        </is>
      </c>
      <c r="X1723" s="103" t="inlineStr"/>
      <c r="Y1723" s="97" t="inlineStr">
        <is>
          <t>同步任务调度表{任务ID、任务名称|任务ID、任务名称、任务类型、任务状态}</t>
        </is>
      </c>
      <c r="Z1723" s="90" t="n"/>
      <c r="AA1723" s="90" t="n"/>
    </row>
    <row r="1724" s="112">
      <c r="A1724" s="72">
        <f>ROW()-1</f>
        <v/>
      </c>
      <c r="B1724" s="175" t="n"/>
      <c r="C1724" s="124" t="n">
        <v>2026</v>
      </c>
      <c r="E1724" s="103" t="n"/>
      <c r="F1724" s="175" t="n"/>
      <c r="G1724" s="175" t="n"/>
      <c r="H1724" s="97" t="inlineStr">
        <is>
          <t>数据库监控备份管理</t>
        </is>
      </c>
      <c r="I1724" s="103" t="inlineStr">
        <is>
          <t>启用数据库监控</t>
        </is>
      </c>
      <c r="J1724" s="93" t="inlineStr">
        <is>
          <t>EI</t>
        </is>
      </c>
      <c r="K1724" s="102" t="n"/>
      <c r="L1724" s="102" t="n"/>
      <c r="M1724" s="85">
        <f>IF(OR(Y1724="估算法",Y1724="算法类",Y1724="无法识别"),"",IF(W1724="",IF(OR(J1724="EI",J1724="EO",J1724="EQ"),0,""),LEN(W1724)-LEN(SUBSTITUTE(W1724,"、",""))+1))</f>
        <v/>
      </c>
      <c r="N1724" s="85">
        <f>IF(OR(Y1724="估算法",Y1724="算法类",Y1724="无法识别"),"",IF(X1724="",IF(OR(J1724="ILF",J1724="EIF"),0,""),LEN(X1724)-LEN(SUBSTITUTE(X1724,"、",""))+1))</f>
        <v/>
      </c>
      <c r="O1724" s="85">
        <f>IF(OR(Y1724="估算法",Y1724="算法类",Y1724="无法识别"),"",IF(Y1724="",IF(OR(J1724="ILF",J1724="EIF",J1724="EI",J1724="EO",J1724="EQ"),0,""),LEN(Y1724)-LEN(SUBSTITUTE(SUBSTITUTE(SUBSTITUTE(SUBSTITUTE(SUBSTITUTE(Y1724,"|}","--"),"{|","--"),CHAR(10),""),"、",""),"|",""))+IF(AND(OR(J1724="EI",J1724="EO",J1724="EQ"),$AE$1="NESMA"),2,1)))</f>
        <v/>
      </c>
      <c r="P1724" s="86">
        <f>IF(J1724="EI",IF(OR(Y1724="估算法",Y1724="算法类"),"中",IF(Y1724="无法识别","低",IF(M1724&lt;2,IF(O1724&lt;16,"低","中"),IF(M1724&lt;3,IF(O1724&lt;5,"低",IF(O1724&lt;16,"中","高")),IF(O1724&lt;5,"中","高"))))),IF(OR(J1724="EO",J1724="EQ"),IF(OR(Y1724="估算法",Y1724="算法类"),"中",IF(Y1724="无法识别","低",IF(M1724&lt;2,IF(O1724&lt;20,"低","中"),IF(M1724&lt;4,IF(O1724&lt;6,"低",IF(O1724&lt;20,"中","高")),IF(O1724&lt;6,"中","高"))))),IF(OR(J1724="ILF",J1724="EIF"),IF(OR(Y1724="估算法",Y1724="算法类",Y1724="无法识别"),"低",IF(N1724&lt;2,IF(O1724&lt;51,"低","中"),IF(N1724&lt;6,IF(O1724&lt;20,"低",IF(O1724&lt;51,"中","高")),IF(O1724&lt;20,"中","高")))),"不计算")))</f>
        <v/>
      </c>
      <c r="Q1724" s="172">
        <f>IFERROR(IF(J1724="EI",IF(P1724="低",3,IF(P1724="中",4,6)),IF(J1724="EO",IF(P1724="低",4,IF(P1724="中",5,7)),IF(J1724="EQ",IF(P1724="低",3,IF(P1724="中",4,6)),IF(J1724="ILF",IF(P1724="低",7,IF(P1724="中",10,15)),IF(J1724="EIF",IF(P1724="低",5,IF(P1724="中",7,10)),"不计算")))))*R1724,"不计算")</f>
        <v/>
      </c>
      <c r="R1724" s="172" t="n">
        <v>1</v>
      </c>
      <c r="S1724" s="173">
        <f>调整因子!$F$13</f>
        <v/>
      </c>
      <c r="T1724" s="92" t="n">
        <v>1</v>
      </c>
      <c r="U1724" s="174">
        <f>IFERROR(Q1724*S1724,0)</f>
        <v/>
      </c>
      <c r="V1724" s="178">
        <f>U1724*T1724</f>
        <v/>
      </c>
      <c r="W1724" s="103" t="inlineStr">
        <is>
          <t>态势大屏配置表</t>
        </is>
      </c>
      <c r="X1724" s="103" t="inlineStr"/>
      <c r="Y1724" s="97" t="inlineStr">
        <is>
          <t>态势大屏配置表{配置ID、配置名称、配置类型、配置值、创建时间|配置ID、配置名称、配置类型}</t>
        </is>
      </c>
      <c r="Z1724" s="90" t="n"/>
      <c r="AA1724" s="90" t="n"/>
    </row>
    <row r="1725" s="112">
      <c r="A1725" s="72">
        <f>ROW()-1</f>
        <v/>
      </c>
      <c r="B1725" s="175" t="n"/>
      <c r="C1725" s="124" t="n">
        <v>2026</v>
      </c>
      <c r="E1725" s="103" t="n"/>
      <c r="F1725" s="175" t="n"/>
      <c r="G1725" s="175" t="n"/>
      <c r="H1725" s="175" t="n"/>
      <c r="I1725" s="103" t="inlineStr">
        <is>
          <t>停用数据库监控</t>
        </is>
      </c>
      <c r="J1725" s="93" t="n"/>
      <c r="K1725" s="102" t="n"/>
      <c r="L1725" s="102" t="inlineStr">
        <is>
          <t>和上行合并，启停为相同功能</t>
        </is>
      </c>
      <c r="M1725" s="85">
        <f>IF(OR(Y1725="估算法",Y1725="算法类",Y1725="无法识别"),"",IF(W1725="",IF(OR(J1725="EI",J1725="EO",J1725="EQ"),0,""),LEN(W1725)-LEN(SUBSTITUTE(W1725,"、",""))+1))</f>
        <v/>
      </c>
      <c r="N1725" s="85">
        <f>IF(OR(Y1725="估算法",Y1725="算法类",Y1725="无法识别"),"",IF(X1725="",IF(OR(J1725="ILF",J1725="EIF"),0,""),LEN(X1725)-LEN(SUBSTITUTE(X1725,"、",""))+1))</f>
        <v/>
      </c>
      <c r="O1725" s="85">
        <f>IF(OR(Y1725="估算法",Y1725="算法类",Y1725="无法识别"),"",IF(Y1725="",IF(OR(J1725="ILF",J1725="EIF",J1725="EI",J1725="EO",J1725="EQ"),0,""),LEN(Y1725)-LEN(SUBSTITUTE(SUBSTITUTE(SUBSTITUTE(SUBSTITUTE(SUBSTITUTE(Y1725,"|}","--"),"{|","--"),CHAR(10),""),"、",""),"|",""))+IF(AND(OR(J1725="EI",J1725="EO",J1725="EQ"),$AE$1="NESMA"),2,1)))</f>
        <v/>
      </c>
      <c r="P1725" s="86">
        <f>IF(J1725="EI",IF(OR(Y1725="估算法",Y1725="算法类"),"中",IF(Y1725="无法识别","低",IF(M1725&lt;2,IF(O1725&lt;16,"低","中"),IF(M1725&lt;3,IF(O1725&lt;5,"低",IF(O1725&lt;16,"中","高")),IF(O1725&lt;5,"中","高"))))),IF(OR(J1725="EO",J1725="EQ"),IF(OR(Y1725="估算法",Y1725="算法类"),"中",IF(Y1725="无法识别","低",IF(M1725&lt;2,IF(O1725&lt;20,"低","中"),IF(M1725&lt;4,IF(O1725&lt;6,"低",IF(O1725&lt;20,"中","高")),IF(O1725&lt;6,"中","高"))))),IF(OR(J1725="ILF",J1725="EIF"),IF(OR(Y1725="估算法",Y1725="算法类",Y1725="无法识别"),"低",IF(N1725&lt;2,IF(O1725&lt;51,"低","中"),IF(N1725&lt;6,IF(O1725&lt;20,"低",IF(O1725&lt;51,"中","高")),IF(O1725&lt;20,"中","高")))),"不计算")))</f>
        <v/>
      </c>
      <c r="Q1725" s="172">
        <f>IFERROR(IF(J1725="EI",IF(P1725="低",3,IF(P1725="中",4,6)),IF(J1725="EO",IF(P1725="低",4,IF(P1725="中",5,7)),IF(J1725="EQ",IF(P1725="低",3,IF(P1725="中",4,6)),IF(J1725="ILF",IF(P1725="低",7,IF(P1725="中",10,15)),IF(J1725="EIF",IF(P1725="低",5,IF(P1725="中",7,10)),"不计算")))))*R1725,"不计算")</f>
        <v/>
      </c>
      <c r="R1725" s="172" t="n">
        <v>1</v>
      </c>
      <c r="S1725" s="173">
        <f>调整因子!$F$13</f>
        <v/>
      </c>
      <c r="T1725" s="92" t="n">
        <v>1</v>
      </c>
      <c r="U1725" s="174">
        <f>IFERROR(Q1725*S1725,0)</f>
        <v/>
      </c>
      <c r="V1725" s="178">
        <f>U1725*T1725</f>
        <v/>
      </c>
      <c r="W1725" s="103" t="inlineStr">
        <is>
          <t>推送任务表</t>
        </is>
      </c>
      <c r="X1725" s="103" t="inlineStr"/>
      <c r="Y1725" s="97" t="inlineStr">
        <is>
          <t>推送任务表{任务ID、任务名称、任务类型、任务状态、创建时间、执行时间|任务ID、任务名称、任务类型}</t>
        </is>
      </c>
      <c r="Z1725" s="90" t="n"/>
      <c r="AA1725" s="90" t="n"/>
    </row>
    <row r="1726" s="112">
      <c r="A1726" s="72">
        <f>ROW()-1</f>
        <v/>
      </c>
      <c r="B1726" s="175" t="n"/>
      <c r="C1726" s="124" t="n">
        <v>2026</v>
      </c>
      <c r="E1726" s="103" t="n"/>
      <c r="F1726" s="175" t="n"/>
      <c r="G1726" s="175" t="n"/>
      <c r="H1726" s="175" t="n"/>
      <c r="I1726" s="103" t="inlineStr">
        <is>
          <t>导出备份记录</t>
        </is>
      </c>
      <c r="J1726" s="93" t="inlineStr">
        <is>
          <t>EO</t>
        </is>
      </c>
      <c r="K1726" s="102" t="n"/>
      <c r="L1726" s="102" t="n"/>
      <c r="M1726" s="85">
        <f>IF(OR(Y1726="估算法",Y1726="算法类",Y1726="无法识别"),"",IF(W1726="",IF(OR(J1726="EI",J1726="EO",J1726="EQ"),0,""),LEN(W1726)-LEN(SUBSTITUTE(W1726,"、",""))+1))</f>
        <v/>
      </c>
      <c r="N1726" s="85">
        <f>IF(OR(Y1726="估算法",Y1726="算法类",Y1726="无法识别"),"",IF(X1726="",IF(OR(J1726="ILF",J1726="EIF"),0,""),LEN(X1726)-LEN(SUBSTITUTE(X1726,"、",""))+1))</f>
        <v/>
      </c>
      <c r="O1726" s="85">
        <f>IF(OR(Y1726="估算法",Y1726="算法类",Y1726="无法识别"),"",IF(Y1726="",IF(OR(J1726="ILF",J1726="EIF",J1726="EI",J1726="EO",J1726="EQ"),0,""),LEN(Y1726)-LEN(SUBSTITUTE(SUBSTITUTE(SUBSTITUTE(SUBSTITUTE(SUBSTITUTE(Y1726,"|}","--"),"{|","--"),CHAR(10),""),"、",""),"|",""))+IF(AND(OR(J1726="EI",J1726="EO",J1726="EQ"),$AE$1="NESMA"),2,1)))</f>
        <v/>
      </c>
      <c r="P1726" s="86">
        <f>IF(J1726="EI",IF(OR(Y1726="估算法",Y1726="算法类"),"中",IF(Y1726="无法识别","低",IF(M1726&lt;2,IF(O1726&lt;16,"低","中"),IF(M1726&lt;3,IF(O1726&lt;5,"低",IF(O1726&lt;16,"中","高")),IF(O1726&lt;5,"中","高"))))),IF(OR(J1726="EO",J1726="EQ"),IF(OR(Y1726="估算法",Y1726="算法类"),"中",IF(Y1726="无法识别","低",IF(M1726&lt;2,IF(O1726&lt;20,"低","中"),IF(M1726&lt;4,IF(O1726&lt;6,"低",IF(O1726&lt;20,"中","高")),IF(O1726&lt;6,"中","高"))))),IF(OR(J1726="ILF",J1726="EIF"),IF(OR(Y1726="估算法",Y1726="算法类",Y1726="无法识别"),"低",IF(N1726&lt;2,IF(O1726&lt;51,"低","中"),IF(N1726&lt;6,IF(O1726&lt;20,"低",IF(O1726&lt;51,"中","高")),IF(O1726&lt;20,"中","高")))),"不计算")))</f>
        <v/>
      </c>
      <c r="Q1726" s="172">
        <f>IFERROR(IF(J1726="EI",IF(P1726="低",3,IF(P1726="中",4,6)),IF(J1726="EO",IF(P1726="低",4,IF(P1726="中",5,7)),IF(J1726="EQ",IF(P1726="低",3,IF(P1726="中",4,6)),IF(J1726="ILF",IF(P1726="低",7,IF(P1726="中",10,15)),IF(J1726="EIF",IF(P1726="低",5,IF(P1726="中",7,10)),"不计算")))))*R1726,"不计算")</f>
        <v/>
      </c>
      <c r="R1726" s="172" t="n">
        <v>1</v>
      </c>
      <c r="S1726" s="173">
        <f>调整因子!$F$13</f>
        <v/>
      </c>
      <c r="T1726" s="93" t="n">
        <v>1</v>
      </c>
      <c r="U1726" s="174">
        <f>IFERROR(Q1726*S1726,0)</f>
        <v/>
      </c>
      <c r="V1726" s="178">
        <f>U1726*T1726</f>
        <v/>
      </c>
      <c r="W1726" s="103" t="inlineStr">
        <is>
          <t>分类层级关系表</t>
        </is>
      </c>
      <c r="X1726" s="103" t="inlineStr"/>
      <c r="Y1726" s="97" t="inlineStr">
        <is>
          <t>分类层级关系表{ID、名称|ID、名称、类型、状态、创建时间}</t>
        </is>
      </c>
      <c r="Z1726" s="90" t="n"/>
      <c r="AA1726" s="90" t="n"/>
    </row>
    <row r="1727" s="112">
      <c r="A1727" s="72">
        <f>ROW()-1</f>
        <v/>
      </c>
      <c r="B1727" s="175" t="n"/>
      <c r="C1727" s="124" t="n">
        <v>2026</v>
      </c>
      <c r="E1727" s="103" t="n"/>
      <c r="F1727" s="175" t="n"/>
      <c r="G1727" s="175" t="n"/>
      <c r="H1727" s="175" t="n"/>
      <c r="I1727" s="103" t="inlineStr">
        <is>
          <t>推送监控告警</t>
        </is>
      </c>
      <c r="J1727" s="93" t="inlineStr">
        <is>
          <t>EO</t>
        </is>
      </c>
      <c r="K1727" s="102" t="n"/>
      <c r="L1727" s="102" t="n"/>
      <c r="M1727" s="85">
        <f>IF(OR(Y1727="估算法",Y1727="算法类",Y1727="无法识别"),"",IF(W1727="",IF(OR(J1727="EI",J1727="EO",J1727="EQ"),0,""),LEN(W1727)-LEN(SUBSTITUTE(W1727,"、",""))+1))</f>
        <v/>
      </c>
      <c r="N1727" s="85">
        <f>IF(OR(Y1727="估算法",Y1727="算法类",Y1727="无法识别"),"",IF(X1727="",IF(OR(J1727="ILF",J1727="EIF"),0,""),LEN(X1727)-LEN(SUBSTITUTE(X1727,"、",""))+1))</f>
        <v/>
      </c>
      <c r="O1727" s="85">
        <f>IF(OR(Y1727="估算法",Y1727="算法类",Y1727="无法识别"),"",IF(Y1727="",IF(OR(J1727="ILF",J1727="EIF",J1727="EI",J1727="EO",J1727="EQ"),0,""),LEN(Y1727)-LEN(SUBSTITUTE(SUBSTITUTE(SUBSTITUTE(SUBSTITUTE(SUBSTITUTE(Y1727,"|}","--"),"{|","--"),CHAR(10),""),"、",""),"|",""))+IF(AND(OR(J1727="EI",J1727="EO",J1727="EQ"),$AE$1="NESMA"),2,1)))</f>
        <v/>
      </c>
      <c r="P1727" s="86">
        <f>IF(J1727="EI",IF(OR(Y1727="估算法",Y1727="算法类"),"中",IF(Y1727="无法识别","低",IF(M1727&lt;2,IF(O1727&lt;16,"低","中"),IF(M1727&lt;3,IF(O1727&lt;5,"低",IF(O1727&lt;16,"中","高")),IF(O1727&lt;5,"中","高"))))),IF(OR(J1727="EO",J1727="EQ"),IF(OR(Y1727="估算法",Y1727="算法类"),"中",IF(Y1727="无法识别","低",IF(M1727&lt;2,IF(O1727&lt;20,"低","中"),IF(M1727&lt;4,IF(O1727&lt;6,"低",IF(O1727&lt;20,"中","高")),IF(O1727&lt;6,"中","高"))))),IF(OR(J1727="ILF",J1727="EIF"),IF(OR(Y1727="估算法",Y1727="算法类",Y1727="无法识别"),"低",IF(N1727&lt;2,IF(O1727&lt;51,"低","中"),IF(N1727&lt;6,IF(O1727&lt;20,"低",IF(O1727&lt;51,"中","高")),IF(O1727&lt;20,"中","高")))),"不计算")))</f>
        <v/>
      </c>
      <c r="Q1727" s="172">
        <f>IFERROR(IF(J1727="EI",IF(P1727="低",3,IF(P1727="中",4,6)),IF(J1727="EO",IF(P1727="低",4,IF(P1727="中",5,7)),IF(J1727="EQ",IF(P1727="低",3,IF(P1727="中",4,6)),IF(J1727="ILF",IF(P1727="低",7,IF(P1727="中",10,15)),IF(J1727="EIF",IF(P1727="低",5,IF(P1727="中",7,10)),"不计算")))))*R1727,"不计算")</f>
        <v/>
      </c>
      <c r="R1727" s="172" t="n">
        <v>1</v>
      </c>
      <c r="S1727" s="173">
        <f>调整因子!$F$13</f>
        <v/>
      </c>
      <c r="T1727" s="93" t="n">
        <v>1</v>
      </c>
      <c r="U1727" s="174">
        <f>IFERROR(Q1727*S1727,0)</f>
        <v/>
      </c>
      <c r="V1727" s="178">
        <f>U1727*T1727</f>
        <v/>
      </c>
      <c r="W1727" s="103" t="inlineStr">
        <is>
          <t>方案审批表</t>
        </is>
      </c>
      <c r="X1727" s="103" t="inlineStr"/>
      <c r="Y1727" s="97" t="inlineStr">
        <is>
          <t>方案审批表{ID、名称|ID、名称、类型、状态}</t>
        </is>
      </c>
      <c r="Z1727" s="90" t="n"/>
      <c r="AA1727" s="90" t="n"/>
    </row>
    <row r="1728" s="112">
      <c r="A1728" s="72">
        <f>ROW()-1</f>
        <v/>
      </c>
      <c r="B1728" s="175" t="n"/>
      <c r="C1728" s="124" t="n">
        <v>2026</v>
      </c>
      <c r="E1728" s="103" t="n"/>
      <c r="F1728" s="175" t="n"/>
      <c r="G1728" s="175" t="n"/>
      <c r="H1728" s="175" t="n"/>
      <c r="I1728" s="103" t="inlineStr">
        <is>
          <t>查询监控状态</t>
        </is>
      </c>
      <c r="J1728" s="93" t="inlineStr">
        <is>
          <t>EQ</t>
        </is>
      </c>
      <c r="K1728" s="102" t="n"/>
      <c r="L1728" s="102" t="n"/>
      <c r="M1728" s="85">
        <f>IF(OR(Y1728="估算法",Y1728="算法类",Y1728="无法识别"),"",IF(W1728="",IF(OR(J1728="EI",J1728="EO",J1728="EQ"),0,""),LEN(W1728)-LEN(SUBSTITUTE(W1728,"、",""))+1))</f>
        <v/>
      </c>
      <c r="N1728" s="85">
        <f>IF(OR(Y1728="估算法",Y1728="算法类",Y1728="无法识别"),"",IF(X1728="",IF(OR(J1728="ILF",J1728="EIF"),0,""),LEN(X1728)-LEN(SUBSTITUTE(X1728,"、",""))+1))</f>
        <v/>
      </c>
      <c r="O1728" s="85">
        <f>IF(OR(Y1728="估算法",Y1728="算法类",Y1728="无法识别"),"",IF(Y1728="",IF(OR(J1728="ILF",J1728="EIF",J1728="EI",J1728="EO",J1728="EQ"),0,""),LEN(Y1728)-LEN(SUBSTITUTE(SUBSTITUTE(SUBSTITUTE(SUBSTITUTE(SUBSTITUTE(Y1728,"|}","--"),"{|","--"),CHAR(10),""),"、",""),"|",""))+IF(AND(OR(J1728="EI",J1728="EO",J1728="EQ"),$AE$1="NESMA"),2,1)))</f>
        <v/>
      </c>
      <c r="P1728" s="86">
        <f>IF(J1728="EI",IF(OR(Y1728="估算法",Y1728="算法类"),"中",IF(Y1728="无法识别","低",IF(M1728&lt;2,IF(O1728&lt;16,"低","中"),IF(M1728&lt;3,IF(O1728&lt;5,"低",IF(O1728&lt;16,"中","高")),IF(O1728&lt;5,"中","高"))))),IF(OR(J1728="EO",J1728="EQ"),IF(OR(Y1728="估算法",Y1728="算法类"),"中",IF(Y1728="无法识别","低",IF(M1728&lt;2,IF(O1728&lt;20,"低","中"),IF(M1728&lt;4,IF(O1728&lt;6,"低",IF(O1728&lt;20,"中","高")),IF(O1728&lt;6,"中","高"))))),IF(OR(J1728="ILF",J1728="EIF"),IF(OR(Y1728="估算法",Y1728="算法类",Y1728="无法识别"),"低",IF(N1728&lt;2,IF(O1728&lt;51,"低","中"),IF(N1728&lt;6,IF(O1728&lt;20,"低",IF(O1728&lt;51,"中","高")),IF(O1728&lt;20,"中","高")))),"不计算")))</f>
        <v/>
      </c>
      <c r="Q1728" s="172">
        <f>IFERROR(IF(J1728="EI",IF(P1728="低",3,IF(P1728="中",4,6)),IF(J1728="EO",IF(P1728="低",4,IF(P1728="中",5,7)),IF(J1728="EQ",IF(P1728="低",3,IF(P1728="中",4,6)),IF(J1728="ILF",IF(P1728="低",7,IF(P1728="中",10,15)),IF(J1728="EIF",IF(P1728="低",5,IF(P1728="中",7,10)),"不计算")))))*R1728,"不计算")</f>
        <v/>
      </c>
      <c r="R1728" s="172" t="n">
        <v>1</v>
      </c>
      <c r="S1728" s="173">
        <f>调整因子!$F$13</f>
        <v/>
      </c>
      <c r="T1728" s="92" t="n">
        <v>1</v>
      </c>
      <c r="U1728" s="174">
        <f>IFERROR(Q1728*S1728,0)</f>
        <v/>
      </c>
      <c r="V1728" s="178">
        <f>U1728*T1728</f>
        <v/>
      </c>
      <c r="W1728" s="103" t="inlineStr">
        <is>
          <t>日志加密配置表</t>
        </is>
      </c>
      <c r="X1728" s="103" t="inlineStr"/>
      <c r="Y1728" s="97" t="inlineStr">
        <is>
          <t>日志加密配置表{配置ID、配置名称|配置ID、配置名称、配置类型}</t>
        </is>
      </c>
      <c r="Z1728" s="90" t="n"/>
      <c r="AA1728" s="90" t="n"/>
    </row>
    <row r="1729" s="112">
      <c r="A1729" s="72">
        <f>ROW()-1</f>
        <v/>
      </c>
      <c r="B1729" s="176" t="n"/>
      <c r="C1729" s="124" t="n">
        <v>2026</v>
      </c>
      <c r="D1729" s="124" t="n"/>
      <c r="E1729" s="103" t="n"/>
      <c r="F1729" s="176" t="n"/>
      <c r="G1729" s="176" t="n"/>
      <c r="H1729" s="176" t="n"/>
      <c r="I1729" s="103" t="inlineStr">
        <is>
          <t>查看备份详情</t>
        </is>
      </c>
      <c r="J1729" s="93" t="inlineStr">
        <is>
          <t>EQ</t>
        </is>
      </c>
      <c r="K1729" s="102" t="n"/>
      <c r="L1729" s="102" t="n"/>
      <c r="M1729" s="85">
        <f>IF(OR(Y1729="估算法",Y1729="算法类",Y1729="无法识别"),"",IF(W1729="",IF(OR(J1729="EI",J1729="EO",J1729="EQ"),0,""),LEN(W1729)-LEN(SUBSTITUTE(W1729,"、",""))+1))</f>
        <v/>
      </c>
      <c r="N1729" s="85">
        <f>IF(OR(Y1729="估算法",Y1729="算法类",Y1729="无法识别"),"",IF(X1729="",IF(OR(J1729="ILF",J1729="EIF"),0,""),LEN(X1729)-LEN(SUBSTITUTE(X1729,"、",""))+1))</f>
        <v/>
      </c>
      <c r="O1729" s="85">
        <f>IF(OR(Y1729="估算法",Y1729="算法类",Y1729="无法识别"),"",IF(Y1729="",IF(OR(J1729="ILF",J1729="EIF",J1729="EI",J1729="EO",J1729="EQ"),0,""),LEN(Y1729)-LEN(SUBSTITUTE(SUBSTITUTE(SUBSTITUTE(SUBSTITUTE(SUBSTITUTE(Y1729,"|}","--"),"{|","--"),CHAR(10),""),"、",""),"|",""))+IF(AND(OR(J1729="EI",J1729="EO",J1729="EQ"),$AE$1="NESMA"),2,1)))</f>
        <v/>
      </c>
      <c r="P1729" s="86">
        <f>IF(J1729="EI",IF(OR(Y1729="估算法",Y1729="算法类"),"中",IF(Y1729="无法识别","低",IF(M1729&lt;2,IF(O1729&lt;16,"低","中"),IF(M1729&lt;3,IF(O1729&lt;5,"低",IF(O1729&lt;16,"中","高")),IF(O1729&lt;5,"中","高"))))),IF(OR(J1729="EO",J1729="EQ"),IF(OR(Y1729="估算法",Y1729="算法类"),"中",IF(Y1729="无法识别","低",IF(M1729&lt;2,IF(O1729&lt;20,"低","中"),IF(M1729&lt;4,IF(O1729&lt;6,"低",IF(O1729&lt;20,"中","高")),IF(O1729&lt;6,"中","高"))))),IF(OR(J1729="ILF",J1729="EIF"),IF(OR(Y1729="估算法",Y1729="算法类",Y1729="无法识别"),"低",IF(N1729&lt;2,IF(O1729&lt;51,"低","中"),IF(N1729&lt;6,IF(O1729&lt;20,"低",IF(O1729&lt;51,"中","高")),IF(O1729&lt;20,"中","高")))),"不计算")))</f>
        <v/>
      </c>
      <c r="Q1729" s="172">
        <f>IFERROR(IF(J1729="EI",IF(P1729="低",3,IF(P1729="中",4,6)),IF(J1729="EO",IF(P1729="低",4,IF(P1729="中",5,7)),IF(J1729="EQ",IF(P1729="低",3,IF(P1729="中",4,6)),IF(J1729="ILF",IF(P1729="低",7,IF(P1729="中",10,15)),IF(J1729="EIF",IF(P1729="低",5,IF(P1729="中",7,10)),"不计算")))))*R1729,"不计算")</f>
        <v/>
      </c>
      <c r="R1729" s="172" t="n">
        <v>1</v>
      </c>
      <c r="S1729" s="173">
        <f>调整因子!$F$13</f>
        <v/>
      </c>
      <c r="T1729" s="92" t="n">
        <v>1</v>
      </c>
      <c r="U1729" s="174">
        <f>IFERROR(Q1729*S1729,0)</f>
        <v/>
      </c>
      <c r="V1729" s="178">
        <f>U1729*T1729</f>
        <v/>
      </c>
      <c r="W1729" s="103" t="inlineStr">
        <is>
          <t>验证记录表</t>
        </is>
      </c>
      <c r="X1729" s="103" t="inlineStr"/>
      <c r="Y1729" s="97" t="inlineStr">
        <is>
          <t>验证记录表{ID、名称|ID、名称、类型、状态、创建时间}</t>
        </is>
      </c>
      <c r="Z1729" s="90" t="n"/>
      <c r="AA1729" s="90" t="n"/>
    </row>
    <row r="1730" s="112">
      <c r="B1730" s="132" t="n"/>
      <c r="C1730" s="132" t="n"/>
      <c r="F1730" s="132" t="n"/>
      <c r="G1730" s="132" t="n"/>
      <c r="H1730" s="132" t="n"/>
      <c r="I1730" s="132" t="n"/>
    </row>
    <row r="1731" customFormat="1" s="66">
      <c r="A1731" s="125" t="n"/>
      <c r="B1731" s="125" t="n"/>
      <c r="C1731" s="125" t="n"/>
      <c r="D1731" s="68" t="n"/>
      <c r="E1731" s="125" t="n"/>
      <c r="F1731" s="125" t="n"/>
      <c r="G1731" s="125" t="n"/>
      <c r="H1731" s="125" t="n"/>
      <c r="I1731" s="125" t="n"/>
      <c r="J1731" s="66" t="n"/>
      <c r="K1731" s="66" t="n"/>
      <c r="L1731" s="66" t="n"/>
      <c r="M1731" s="66" t="n"/>
      <c r="N1731" s="66" t="n"/>
      <c r="O1731" s="66" t="n"/>
      <c r="P1731" s="66" t="n"/>
      <c r="Q1731" s="66" t="n"/>
      <c r="R1731" s="166" t="n"/>
      <c r="S1731" s="167" t="n"/>
      <c r="T1731" s="167" t="n"/>
      <c r="U1731" s="168" t="n"/>
      <c r="V1731" s="168" t="n"/>
    </row>
    <row r="1732" customFormat="1" s="66">
      <c r="A1732" s="125" t="n"/>
      <c r="B1732" s="125" t="n"/>
      <c r="C1732" s="125" t="n"/>
      <c r="D1732" s="68" t="n"/>
      <c r="E1732" s="125" t="n"/>
      <c r="F1732" s="125" t="n"/>
      <c r="G1732" s="125" t="n"/>
      <c r="H1732" s="125" t="n"/>
      <c r="I1732" s="125" t="n"/>
      <c r="J1732" s="66" t="n"/>
      <c r="K1732" s="66" t="n"/>
      <c r="L1732" s="66" t="n"/>
      <c r="M1732" s="66" t="n"/>
      <c r="N1732" s="66" t="n"/>
      <c r="O1732" s="66" t="n"/>
      <c r="P1732" s="66" t="n"/>
      <c r="Q1732" s="66" t="n"/>
      <c r="R1732" s="166" t="n"/>
      <c r="S1732" s="167" t="n"/>
      <c r="T1732" s="167" t="n"/>
      <c r="U1732" s="168" t="n"/>
      <c r="V1732" s="168" t="n"/>
    </row>
    <row r="1733" customFormat="1" s="66">
      <c r="A1733" s="125" t="n"/>
      <c r="B1733" s="125" t="n"/>
      <c r="C1733" s="125" t="n"/>
      <c r="D1733" s="68" t="n"/>
      <c r="E1733" s="125" t="n"/>
      <c r="F1733" s="125" t="n"/>
      <c r="G1733" s="125" t="n"/>
      <c r="H1733" s="125" t="n"/>
      <c r="I1733" s="125" t="n"/>
      <c r="J1733" s="66" t="n"/>
      <c r="K1733" s="66" t="n"/>
      <c r="L1733" s="66" t="n"/>
      <c r="M1733" s="66" t="n"/>
      <c r="N1733" s="66" t="n"/>
      <c r="O1733" s="66" t="n"/>
      <c r="P1733" s="66" t="n"/>
      <c r="Q1733" s="66" t="n"/>
      <c r="R1733" s="166" t="n"/>
      <c r="S1733" s="167" t="n"/>
      <c r="T1733" s="167" t="n"/>
      <c r="U1733" s="168" t="n"/>
      <c r="V1733" s="168" t="n"/>
    </row>
    <row r="1734" customFormat="1" s="66">
      <c r="A1734" s="125" t="n"/>
      <c r="B1734" s="125" t="n"/>
      <c r="C1734" s="125" t="n"/>
      <c r="D1734" s="68" t="n"/>
      <c r="E1734" s="125" t="n"/>
      <c r="F1734" s="125" t="n"/>
      <c r="G1734" s="125" t="n"/>
      <c r="H1734" s="125" t="n"/>
      <c r="I1734" s="125" t="n"/>
      <c r="J1734" s="66" t="n"/>
      <c r="K1734" s="66" t="n"/>
      <c r="L1734" s="66" t="n"/>
      <c r="M1734" s="66" t="n"/>
      <c r="N1734" s="66" t="n"/>
      <c r="O1734" s="66" t="n"/>
      <c r="P1734" s="66" t="n"/>
      <c r="Q1734" s="66" t="n"/>
      <c r="R1734" s="166" t="n"/>
      <c r="S1734" s="167" t="n"/>
      <c r="T1734" s="167" t="n"/>
      <c r="U1734" s="168" t="n"/>
      <c r="V1734" s="168" t="n"/>
    </row>
    <row r="1735" customFormat="1" s="66">
      <c r="A1735" s="125" t="n"/>
      <c r="B1735" s="125" t="n"/>
      <c r="C1735" s="125" t="n"/>
      <c r="D1735" s="68" t="n"/>
      <c r="E1735" s="125" t="n"/>
      <c r="F1735" s="125" t="n"/>
      <c r="G1735" s="125" t="n"/>
      <c r="H1735" s="125" t="n"/>
      <c r="I1735" s="125" t="n"/>
      <c r="J1735" s="66" t="n"/>
      <c r="K1735" s="66" t="n"/>
      <c r="L1735" s="66" t="n"/>
      <c r="M1735" s="66" t="n"/>
      <c r="N1735" s="66" t="n"/>
      <c r="O1735" s="66" t="n"/>
      <c r="P1735" s="66" t="n"/>
      <c r="Q1735" s="66" t="n"/>
      <c r="R1735" s="166" t="n"/>
      <c r="S1735" s="167" t="n"/>
      <c r="T1735" s="167" t="n"/>
      <c r="U1735" s="168" t="n"/>
      <c r="V1735" s="168" t="n"/>
    </row>
    <row r="1736" customFormat="1" s="66">
      <c r="A1736" s="125" t="n"/>
      <c r="B1736" s="125" t="n"/>
      <c r="C1736" s="125" t="n"/>
      <c r="D1736" s="68" t="n"/>
      <c r="E1736" s="125" t="n"/>
      <c r="F1736" s="125" t="n"/>
      <c r="G1736" s="125" t="n"/>
      <c r="H1736" s="125" t="n"/>
      <c r="I1736" s="125" t="n"/>
      <c r="J1736" s="66" t="n"/>
      <c r="K1736" s="66" t="n"/>
      <c r="L1736" s="66" t="n"/>
      <c r="M1736" s="66" t="n"/>
      <c r="N1736" s="66" t="n"/>
      <c r="O1736" s="66" t="n"/>
      <c r="P1736" s="66" t="n"/>
      <c r="Q1736" s="66" t="n"/>
      <c r="R1736" s="166" t="n"/>
      <c r="S1736" s="167" t="n"/>
      <c r="T1736" s="167" t="n"/>
      <c r="U1736" s="168" t="n"/>
      <c r="V1736" s="168" t="n"/>
    </row>
    <row r="1737" customFormat="1" s="66">
      <c r="A1737" s="125" t="n"/>
      <c r="B1737" s="125" t="n"/>
      <c r="C1737" s="125" t="n"/>
      <c r="D1737" s="68" t="n"/>
      <c r="E1737" s="125" t="n"/>
      <c r="F1737" s="125" t="n"/>
      <c r="G1737" s="125" t="n"/>
      <c r="H1737" s="125" t="n"/>
      <c r="I1737" s="125" t="n"/>
      <c r="J1737" s="66" t="n"/>
      <c r="K1737" s="66" t="n"/>
      <c r="L1737" s="66" t="n"/>
      <c r="M1737" s="66" t="n"/>
      <c r="N1737" s="66" t="n"/>
      <c r="O1737" s="66" t="n"/>
      <c r="P1737" s="66" t="n"/>
      <c r="Q1737" s="66" t="n"/>
      <c r="R1737" s="166" t="n"/>
      <c r="S1737" s="167" t="n"/>
      <c r="T1737" s="167" t="n"/>
      <c r="U1737" s="168" t="n"/>
      <c r="V1737" s="168" t="n"/>
    </row>
    <row r="1738" customFormat="1" s="66">
      <c r="A1738" s="125" t="n"/>
      <c r="B1738" s="125" t="n"/>
      <c r="C1738" s="125" t="n"/>
      <c r="D1738" s="68" t="n"/>
      <c r="E1738" s="125" t="n"/>
      <c r="F1738" s="125" t="n"/>
      <c r="G1738" s="125" t="n"/>
      <c r="H1738" s="125" t="n"/>
      <c r="I1738" s="125" t="n"/>
      <c r="J1738" s="66" t="n"/>
      <c r="K1738" s="66" t="n"/>
      <c r="L1738" s="66" t="n"/>
      <c r="M1738" s="66" t="n"/>
      <c r="N1738" s="66" t="n"/>
      <c r="O1738" s="66" t="n"/>
      <c r="P1738" s="66" t="n"/>
      <c r="Q1738" s="66" t="n"/>
      <c r="R1738" s="166" t="n"/>
      <c r="S1738" s="167" t="n"/>
      <c r="T1738" s="167" t="n"/>
      <c r="U1738" s="168" t="n"/>
      <c r="V1738" s="168" t="n"/>
    </row>
    <row r="1739" customFormat="1" s="66">
      <c r="A1739" s="125" t="n"/>
      <c r="B1739" s="125" t="n"/>
      <c r="C1739" s="125" t="n"/>
      <c r="D1739" s="68" t="n"/>
      <c r="E1739" s="125" t="n"/>
      <c r="F1739" s="125" t="n"/>
      <c r="G1739" s="125" t="n"/>
      <c r="H1739" s="125" t="n"/>
      <c r="I1739" s="125" t="n"/>
      <c r="J1739" s="66" t="n"/>
      <c r="K1739" s="66" t="n"/>
      <c r="L1739" s="66" t="n"/>
      <c r="M1739" s="66" t="n"/>
      <c r="N1739" s="66" t="n"/>
      <c r="O1739" s="66" t="n"/>
      <c r="P1739" s="66" t="n"/>
      <c r="Q1739" s="66" t="n"/>
      <c r="R1739" s="166" t="n"/>
      <c r="S1739" s="167" t="n"/>
      <c r="T1739" s="167" t="n"/>
      <c r="U1739" s="168" t="n"/>
      <c r="V1739" s="168" t="n"/>
    </row>
    <row r="1740" customFormat="1" s="66">
      <c r="A1740" s="125" t="n"/>
      <c r="B1740" s="125" t="n"/>
      <c r="C1740" s="125" t="n"/>
      <c r="D1740" s="68" t="n"/>
      <c r="E1740" s="125" t="n"/>
      <c r="F1740" s="125" t="n"/>
      <c r="G1740" s="125" t="n"/>
      <c r="H1740" s="125" t="n"/>
      <c r="I1740" s="125" t="n"/>
      <c r="J1740" s="66" t="n"/>
      <c r="K1740" s="66" t="n"/>
      <c r="L1740" s="66" t="n"/>
      <c r="M1740" s="66" t="n"/>
      <c r="N1740" s="66" t="n"/>
      <c r="O1740" s="66" t="n"/>
      <c r="P1740" s="66" t="n"/>
      <c r="Q1740" s="66" t="n"/>
      <c r="R1740" s="166" t="n"/>
      <c r="S1740" s="167" t="n"/>
      <c r="T1740" s="167" t="n"/>
      <c r="U1740" s="168" t="n"/>
      <c r="V1740" s="168" t="n"/>
    </row>
    <row r="1741" customFormat="1" s="66">
      <c r="A1741" s="125" t="n"/>
      <c r="B1741" s="125" t="n"/>
      <c r="C1741" s="125" t="n"/>
      <c r="D1741" s="68" t="n"/>
      <c r="E1741" s="125" t="n"/>
      <c r="F1741" s="125" t="n"/>
      <c r="G1741" s="125" t="n"/>
      <c r="H1741" s="125" t="n"/>
      <c r="I1741" s="125" t="n"/>
      <c r="J1741" s="66" t="n"/>
      <c r="K1741" s="66" t="n"/>
      <c r="L1741" s="66" t="n"/>
      <c r="M1741" s="66" t="n"/>
      <c r="N1741" s="66" t="n"/>
      <c r="O1741" s="66" t="n"/>
      <c r="P1741" s="66" t="n"/>
      <c r="Q1741" s="66" t="n"/>
      <c r="R1741" s="166" t="n"/>
      <c r="S1741" s="167" t="n"/>
      <c r="T1741" s="167" t="n"/>
      <c r="U1741" s="168" t="n"/>
      <c r="V1741" s="168" t="n"/>
    </row>
    <row r="1742" customFormat="1" s="66">
      <c r="A1742" s="125" t="n"/>
      <c r="B1742" s="125" t="n"/>
      <c r="C1742" s="125" t="n"/>
      <c r="D1742" s="68" t="n"/>
      <c r="E1742" s="125" t="n"/>
      <c r="F1742" s="125" t="n"/>
      <c r="G1742" s="125" t="n"/>
      <c r="H1742" s="125" t="n"/>
      <c r="I1742" s="125" t="n"/>
      <c r="J1742" s="66" t="n"/>
      <c r="K1742" s="66" t="n"/>
      <c r="L1742" s="66" t="n"/>
      <c r="M1742" s="66" t="n"/>
      <c r="N1742" s="66" t="n"/>
      <c r="O1742" s="66" t="n"/>
      <c r="P1742" s="66" t="n"/>
      <c r="Q1742" s="66" t="n"/>
      <c r="R1742" s="166" t="n"/>
      <c r="S1742" s="167" t="n"/>
      <c r="T1742" s="167" t="n"/>
      <c r="U1742" s="168" t="n"/>
      <c r="V1742" s="168" t="n"/>
    </row>
    <row r="1743" customFormat="1" s="66">
      <c r="A1743" s="125" t="n"/>
      <c r="B1743" s="125" t="n"/>
      <c r="C1743" s="125" t="n"/>
      <c r="D1743" s="68" t="n"/>
      <c r="E1743" s="125" t="n"/>
      <c r="F1743" s="125" t="n"/>
      <c r="G1743" s="125" t="n"/>
      <c r="H1743" s="125" t="n"/>
      <c r="I1743" s="125" t="n"/>
      <c r="J1743" s="66" t="n"/>
      <c r="K1743" s="66" t="n"/>
      <c r="L1743" s="66" t="n"/>
      <c r="M1743" s="66" t="n"/>
      <c r="N1743" s="66" t="n"/>
      <c r="O1743" s="66" t="n"/>
      <c r="P1743" s="66" t="n"/>
      <c r="Q1743" s="66" t="n"/>
      <c r="R1743" s="166" t="n"/>
      <c r="S1743" s="167" t="n"/>
      <c r="T1743" s="167" t="n"/>
      <c r="U1743" s="168" t="n"/>
      <c r="V1743" s="168" t="n"/>
    </row>
    <row r="1744" customFormat="1" s="66">
      <c r="A1744" s="125" t="n"/>
      <c r="B1744" s="125" t="n"/>
      <c r="C1744" s="125" t="n"/>
      <c r="D1744" s="68" t="n"/>
      <c r="E1744" s="125" t="n"/>
      <c r="F1744" s="125" t="n"/>
      <c r="G1744" s="125" t="n"/>
      <c r="H1744" s="125" t="n"/>
      <c r="I1744" s="125" t="n"/>
      <c r="J1744" s="66" t="n"/>
      <c r="K1744" s="66" t="n"/>
      <c r="L1744" s="66" t="n"/>
      <c r="M1744" s="66" t="n"/>
      <c r="N1744" s="66" t="n"/>
      <c r="O1744" s="66" t="n"/>
      <c r="P1744" s="66" t="n"/>
      <c r="Q1744" s="66" t="n"/>
      <c r="R1744" s="166" t="n"/>
      <c r="S1744" s="167" t="n"/>
      <c r="T1744" s="167" t="n"/>
      <c r="U1744" s="168" t="n"/>
      <c r="V1744" s="168" t="n"/>
    </row>
    <row r="1745" customFormat="1" s="66">
      <c r="A1745" s="125" t="n"/>
      <c r="B1745" s="125" t="n"/>
      <c r="C1745" s="125" t="n"/>
      <c r="D1745" s="68" t="n"/>
      <c r="E1745" s="125" t="n"/>
      <c r="F1745" s="125" t="n"/>
      <c r="G1745" s="125" t="n"/>
      <c r="H1745" s="125" t="n"/>
      <c r="I1745" s="125" t="n"/>
      <c r="J1745" s="66" t="n"/>
      <c r="K1745" s="66" t="n"/>
      <c r="L1745" s="66" t="n"/>
      <c r="M1745" s="66" t="n"/>
      <c r="N1745" s="66" t="n"/>
      <c r="O1745" s="66" t="n"/>
      <c r="P1745" s="66" t="n"/>
      <c r="Q1745" s="66" t="n"/>
      <c r="R1745" s="166" t="n"/>
      <c r="S1745" s="167" t="n"/>
      <c r="T1745" s="167" t="n"/>
      <c r="U1745" s="168" t="n"/>
      <c r="V1745" s="168" t="n"/>
    </row>
    <row r="1746" customFormat="1" s="66">
      <c r="A1746" s="125" t="n"/>
      <c r="B1746" s="125" t="n"/>
      <c r="C1746" s="125" t="n"/>
      <c r="D1746" s="68" t="n"/>
      <c r="E1746" s="125" t="n"/>
      <c r="F1746" s="125" t="n"/>
      <c r="G1746" s="125" t="n"/>
      <c r="H1746" s="125" t="n"/>
      <c r="I1746" s="125" t="n"/>
      <c r="J1746" s="66" t="n"/>
      <c r="K1746" s="66" t="n"/>
      <c r="L1746" s="66" t="n"/>
      <c r="M1746" s="66" t="n"/>
      <c r="N1746" s="66" t="n"/>
      <c r="O1746" s="66" t="n"/>
      <c r="P1746" s="66" t="n"/>
      <c r="Q1746" s="66" t="n"/>
      <c r="R1746" s="166" t="n"/>
      <c r="S1746" s="167" t="n"/>
      <c r="T1746" s="167" t="n"/>
      <c r="U1746" s="168" t="n"/>
      <c r="V1746" s="168" t="n"/>
    </row>
    <row r="1747" customFormat="1" s="66">
      <c r="A1747" s="125" t="n"/>
      <c r="B1747" s="125" t="n"/>
      <c r="C1747" s="125" t="n"/>
      <c r="D1747" s="68" t="n"/>
      <c r="E1747" s="125" t="n"/>
      <c r="F1747" s="125" t="n"/>
      <c r="G1747" s="125" t="n"/>
      <c r="H1747" s="125" t="n"/>
      <c r="I1747" s="125" t="n"/>
      <c r="J1747" s="66" t="n"/>
      <c r="K1747" s="66" t="n"/>
      <c r="L1747" s="66" t="n"/>
      <c r="M1747" s="66" t="n"/>
      <c r="N1747" s="66" t="n"/>
      <c r="O1747" s="66" t="n"/>
      <c r="P1747" s="66" t="n"/>
      <c r="Q1747" s="66" t="n"/>
      <c r="R1747" s="166" t="n"/>
      <c r="S1747" s="167" t="n"/>
      <c r="T1747" s="167" t="n"/>
      <c r="U1747" s="168" t="n"/>
      <c r="V1747" s="168" t="n"/>
    </row>
    <row r="1748" customFormat="1" s="66">
      <c r="A1748" s="125" t="n"/>
      <c r="B1748" s="125" t="n"/>
      <c r="C1748" s="125" t="n"/>
      <c r="D1748" s="68" t="n"/>
      <c r="E1748" s="125" t="n"/>
      <c r="F1748" s="125" t="n"/>
      <c r="G1748" s="125" t="n"/>
      <c r="H1748" s="125" t="n"/>
      <c r="I1748" s="125" t="n"/>
      <c r="J1748" s="66" t="n"/>
      <c r="K1748" s="66" t="n"/>
      <c r="L1748" s="66" t="n"/>
      <c r="M1748" s="66" t="n"/>
      <c r="N1748" s="66" t="n"/>
      <c r="O1748" s="66" t="n"/>
      <c r="P1748" s="66" t="n"/>
      <c r="Q1748" s="66" t="n"/>
      <c r="R1748" s="166" t="n"/>
      <c r="S1748" s="167" t="n"/>
      <c r="T1748" s="167" t="n"/>
      <c r="U1748" s="168" t="n"/>
      <c r="V1748" s="168" t="n"/>
    </row>
    <row r="1749" customFormat="1" s="66">
      <c r="A1749" s="125" t="n"/>
      <c r="B1749" s="125" t="n"/>
      <c r="C1749" s="125" t="n"/>
      <c r="D1749" s="68" t="n"/>
      <c r="E1749" s="125" t="n"/>
      <c r="F1749" s="125" t="n"/>
      <c r="G1749" s="125" t="n"/>
      <c r="H1749" s="125" t="n"/>
      <c r="I1749" s="125" t="n"/>
      <c r="J1749" s="66" t="n"/>
      <c r="K1749" s="66" t="n"/>
      <c r="L1749" s="66" t="n"/>
      <c r="M1749" s="66" t="n"/>
      <c r="N1749" s="66" t="n"/>
      <c r="O1749" s="66" t="n"/>
      <c r="P1749" s="66" t="n"/>
      <c r="Q1749" s="66" t="n"/>
      <c r="R1749" s="166" t="n"/>
      <c r="S1749" s="167" t="n"/>
      <c r="T1749" s="167" t="n"/>
      <c r="U1749" s="168" t="n"/>
      <c r="V1749" s="168" t="n"/>
    </row>
    <row r="1750" customFormat="1" s="66">
      <c r="A1750" s="125" t="n"/>
      <c r="B1750" s="125" t="n"/>
      <c r="C1750" s="125" t="n"/>
      <c r="D1750" s="68" t="n"/>
      <c r="E1750" s="125" t="n"/>
      <c r="F1750" s="125" t="n"/>
      <c r="G1750" s="125" t="n"/>
      <c r="H1750" s="125" t="n"/>
      <c r="I1750" s="125" t="n"/>
      <c r="J1750" s="66" t="n"/>
      <c r="K1750" s="66" t="n"/>
      <c r="L1750" s="66" t="n"/>
      <c r="M1750" s="66" t="n"/>
      <c r="N1750" s="66" t="n"/>
      <c r="O1750" s="66" t="n"/>
      <c r="P1750" s="66" t="n"/>
      <c r="Q1750" s="66" t="n"/>
      <c r="R1750" s="166" t="n"/>
      <c r="S1750" s="167" t="n"/>
      <c r="T1750" s="167" t="n"/>
      <c r="U1750" s="168" t="n"/>
      <c r="V1750" s="168" t="n"/>
    </row>
    <row r="1751" customFormat="1" s="66">
      <c r="A1751" s="125" t="n"/>
      <c r="B1751" s="125" t="n"/>
      <c r="C1751" s="125" t="n"/>
      <c r="D1751" s="68" t="n"/>
      <c r="E1751" s="125" t="n"/>
      <c r="F1751" s="125" t="n"/>
      <c r="G1751" s="125" t="n"/>
      <c r="H1751" s="125" t="n"/>
      <c r="I1751" s="125" t="n"/>
      <c r="J1751" s="66" t="n"/>
      <c r="K1751" s="66" t="n"/>
      <c r="L1751" s="66" t="n"/>
      <c r="M1751" s="66" t="n"/>
      <c r="N1751" s="66" t="n"/>
      <c r="O1751" s="66" t="n"/>
      <c r="P1751" s="66" t="n"/>
      <c r="Q1751" s="66" t="n"/>
      <c r="R1751" s="166" t="n"/>
      <c r="S1751" s="167" t="n"/>
      <c r="T1751" s="167" t="n"/>
      <c r="U1751" s="168" t="n"/>
      <c r="V1751" s="168" t="n"/>
    </row>
    <row r="1752" customFormat="1" s="66">
      <c r="A1752" s="125" t="n"/>
      <c r="B1752" s="125" t="n"/>
      <c r="C1752" s="125" t="n"/>
      <c r="D1752" s="68" t="n"/>
      <c r="E1752" s="125" t="n"/>
      <c r="F1752" s="125" t="n"/>
      <c r="G1752" s="125" t="n"/>
      <c r="H1752" s="125" t="n"/>
      <c r="I1752" s="125" t="n"/>
      <c r="J1752" s="66" t="n"/>
      <c r="K1752" s="66" t="n"/>
      <c r="L1752" s="66" t="n"/>
      <c r="M1752" s="66" t="n"/>
      <c r="N1752" s="66" t="n"/>
      <c r="O1752" s="66" t="n"/>
      <c r="P1752" s="66" t="n"/>
      <c r="Q1752" s="66" t="n"/>
      <c r="R1752" s="166" t="n"/>
      <c r="S1752" s="167" t="n"/>
      <c r="T1752" s="167" t="n"/>
      <c r="U1752" s="168" t="n"/>
      <c r="V1752" s="168" t="n"/>
    </row>
    <row r="1753" customFormat="1" s="66">
      <c r="A1753" s="125" t="n"/>
      <c r="B1753" s="125" t="n"/>
      <c r="C1753" s="125" t="n"/>
      <c r="D1753" s="68" t="n"/>
      <c r="E1753" s="125" t="n"/>
      <c r="F1753" s="125" t="n"/>
      <c r="G1753" s="125" t="n"/>
      <c r="H1753" s="125" t="n"/>
      <c r="I1753" s="125" t="n"/>
      <c r="J1753" s="66" t="n"/>
      <c r="K1753" s="66" t="n"/>
      <c r="L1753" s="66" t="n"/>
      <c r="M1753" s="66" t="n"/>
      <c r="N1753" s="66" t="n"/>
      <c r="O1753" s="66" t="n"/>
      <c r="P1753" s="66" t="n"/>
      <c r="Q1753" s="66" t="n"/>
      <c r="R1753" s="166" t="n"/>
      <c r="S1753" s="167" t="n"/>
      <c r="T1753" s="167" t="n"/>
      <c r="U1753" s="168" t="n"/>
      <c r="V1753" s="168" t="n"/>
    </row>
    <row r="1754" customFormat="1" s="66">
      <c r="A1754" s="125" t="n"/>
      <c r="B1754" s="125" t="n"/>
      <c r="C1754" s="125" t="n"/>
      <c r="D1754" s="68" t="n"/>
      <c r="E1754" s="125" t="n"/>
      <c r="F1754" s="125" t="n"/>
      <c r="G1754" s="125" t="n"/>
      <c r="H1754" s="125" t="n"/>
      <c r="I1754" s="125" t="n"/>
      <c r="J1754" s="66" t="n"/>
      <c r="K1754" s="66" t="n"/>
      <c r="L1754" s="66" t="n"/>
      <c r="M1754" s="66" t="n"/>
      <c r="N1754" s="66" t="n"/>
      <c r="O1754" s="66" t="n"/>
      <c r="P1754" s="66" t="n"/>
      <c r="Q1754" s="66" t="n"/>
      <c r="R1754" s="166" t="n"/>
      <c r="S1754" s="167" t="n"/>
      <c r="T1754" s="167" t="n"/>
      <c r="U1754" s="168" t="n"/>
      <c r="V1754" s="168" t="n"/>
    </row>
    <row r="1755" customFormat="1" s="66">
      <c r="A1755" s="125" t="n"/>
      <c r="B1755" s="125" t="n"/>
      <c r="C1755" s="125" t="n"/>
      <c r="D1755" s="68" t="n"/>
      <c r="E1755" s="125" t="n"/>
      <c r="F1755" s="125" t="n"/>
      <c r="G1755" s="125" t="n"/>
      <c r="H1755" s="125" t="n"/>
      <c r="I1755" s="125" t="n"/>
      <c r="J1755" s="66" t="n"/>
      <c r="K1755" s="66" t="n"/>
      <c r="L1755" s="66" t="n"/>
      <c r="M1755" s="66" t="n"/>
      <c r="N1755" s="66" t="n"/>
      <c r="O1755" s="66" t="n"/>
      <c r="P1755" s="66" t="n"/>
      <c r="Q1755" s="66" t="n"/>
      <c r="R1755" s="166" t="n"/>
      <c r="S1755" s="167" t="n"/>
      <c r="T1755" s="167" t="n"/>
      <c r="U1755" s="168" t="n"/>
      <c r="V1755" s="168" t="n"/>
    </row>
    <row r="1756" customFormat="1" s="66">
      <c r="A1756" s="125" t="n"/>
      <c r="B1756" s="125" t="n"/>
      <c r="C1756" s="125" t="n"/>
      <c r="D1756" s="68" t="n"/>
      <c r="E1756" s="125" t="n"/>
      <c r="F1756" s="125" t="n"/>
      <c r="G1756" s="125" t="n"/>
      <c r="H1756" s="125" t="n"/>
      <c r="I1756" s="125" t="n"/>
      <c r="J1756" s="66" t="n"/>
      <c r="K1756" s="66" t="n"/>
      <c r="L1756" s="66" t="n"/>
      <c r="M1756" s="66" t="n"/>
      <c r="N1756" s="66" t="n"/>
      <c r="O1756" s="66" t="n"/>
      <c r="P1756" s="66" t="n"/>
      <c r="Q1756" s="66" t="n"/>
      <c r="R1756" s="166" t="n"/>
      <c r="S1756" s="167" t="n"/>
      <c r="T1756" s="167" t="n"/>
      <c r="U1756" s="168" t="n"/>
      <c r="V1756" s="168" t="n"/>
    </row>
    <row r="1757" customFormat="1" s="66">
      <c r="A1757" s="125" t="n"/>
      <c r="B1757" s="125" t="n"/>
      <c r="C1757" s="125" t="n"/>
      <c r="D1757" s="68" t="n"/>
      <c r="E1757" s="125" t="n"/>
      <c r="F1757" s="125" t="n"/>
      <c r="G1757" s="125" t="n"/>
      <c r="H1757" s="125" t="n"/>
      <c r="I1757" s="125" t="n"/>
      <c r="J1757" s="66" t="n"/>
      <c r="K1757" s="66" t="n"/>
      <c r="L1757" s="66" t="n"/>
      <c r="M1757" s="66" t="n"/>
      <c r="N1757" s="66" t="n"/>
      <c r="O1757" s="66" t="n"/>
      <c r="P1757" s="66" t="n"/>
      <c r="Q1757" s="66" t="n"/>
      <c r="R1757" s="166" t="n"/>
      <c r="S1757" s="167" t="n"/>
      <c r="T1757" s="167" t="n"/>
      <c r="U1757" s="168" t="n"/>
      <c r="V1757" s="168" t="n"/>
    </row>
    <row r="1758" customFormat="1" s="66">
      <c r="A1758" s="125" t="n"/>
      <c r="B1758" s="125" t="n"/>
      <c r="C1758" s="125" t="n"/>
      <c r="D1758" s="68" t="n"/>
      <c r="E1758" s="125" t="n"/>
      <c r="F1758" s="125" t="n"/>
      <c r="G1758" s="125" t="n"/>
      <c r="H1758" s="125" t="n"/>
      <c r="I1758" s="125" t="n"/>
      <c r="J1758" s="66" t="n"/>
      <c r="K1758" s="66" t="n"/>
      <c r="L1758" s="66" t="n"/>
      <c r="M1758" s="66" t="n"/>
      <c r="N1758" s="66" t="n"/>
      <c r="O1758" s="66" t="n"/>
      <c r="P1758" s="66" t="n"/>
      <c r="Q1758" s="66" t="n"/>
      <c r="R1758" s="166" t="n"/>
      <c r="S1758" s="167" t="n"/>
      <c r="T1758" s="167" t="n"/>
      <c r="U1758" s="168" t="n"/>
      <c r="V1758" s="168" t="n"/>
    </row>
    <row r="1759" customFormat="1" s="66">
      <c r="A1759" s="125" t="n"/>
      <c r="B1759" s="125" t="n"/>
      <c r="C1759" s="125" t="n"/>
      <c r="D1759" s="68" t="n"/>
      <c r="E1759" s="125" t="n"/>
      <c r="F1759" s="125" t="n"/>
      <c r="G1759" s="125" t="n"/>
      <c r="H1759" s="125" t="n"/>
      <c r="I1759" s="125" t="n"/>
      <c r="J1759" s="66" t="n"/>
      <c r="K1759" s="66" t="n"/>
      <c r="L1759" s="66" t="n"/>
      <c r="M1759" s="66" t="n"/>
      <c r="N1759" s="66" t="n"/>
      <c r="O1759" s="66" t="n"/>
      <c r="P1759" s="66" t="n"/>
      <c r="Q1759" s="66" t="n"/>
      <c r="R1759" s="166" t="n"/>
      <c r="S1759" s="167" t="n"/>
      <c r="T1759" s="167" t="n"/>
      <c r="U1759" s="168" t="n"/>
      <c r="V1759" s="168" t="n"/>
    </row>
    <row r="1760" customFormat="1" s="66">
      <c r="A1760" s="125" t="n"/>
      <c r="B1760" s="125" t="n"/>
      <c r="C1760" s="125" t="n"/>
      <c r="D1760" s="68" t="n"/>
      <c r="E1760" s="125" t="n"/>
      <c r="F1760" s="125" t="n"/>
      <c r="G1760" s="125" t="n"/>
      <c r="H1760" s="125" t="n"/>
      <c r="I1760" s="125" t="n"/>
      <c r="J1760" s="66" t="n"/>
      <c r="K1760" s="66" t="n"/>
      <c r="L1760" s="66" t="n"/>
      <c r="M1760" s="66" t="n"/>
      <c r="N1760" s="66" t="n"/>
      <c r="O1760" s="66" t="n"/>
      <c r="P1760" s="66" t="n"/>
      <c r="Q1760" s="66" t="n"/>
      <c r="R1760" s="166" t="n"/>
      <c r="S1760" s="167" t="n"/>
      <c r="T1760" s="167" t="n"/>
      <c r="U1760" s="168" t="n"/>
      <c r="V1760" s="168" t="n"/>
    </row>
    <row r="1761" customFormat="1" s="66">
      <c r="A1761" s="125" t="n"/>
      <c r="B1761" s="125" t="n"/>
      <c r="C1761" s="125" t="n"/>
      <c r="D1761" s="68" t="n"/>
      <c r="E1761" s="125" t="n"/>
      <c r="F1761" s="125" t="n"/>
      <c r="G1761" s="125" t="n"/>
      <c r="H1761" s="125" t="n"/>
      <c r="I1761" s="125" t="n"/>
      <c r="J1761" s="66" t="n"/>
      <c r="K1761" s="66" t="n"/>
      <c r="L1761" s="66" t="n"/>
      <c r="M1761" s="66" t="n"/>
      <c r="N1761" s="66" t="n"/>
      <c r="O1761" s="66" t="n"/>
      <c r="P1761" s="66" t="n"/>
      <c r="Q1761" s="66" t="n"/>
      <c r="R1761" s="166" t="n"/>
      <c r="S1761" s="167" t="n"/>
      <c r="T1761" s="167" t="n"/>
      <c r="U1761" s="168" t="n"/>
      <c r="V1761" s="168" t="n"/>
    </row>
    <row r="1762" customFormat="1" s="66">
      <c r="A1762" s="125" t="n"/>
      <c r="B1762" s="125" t="n"/>
      <c r="C1762" s="125" t="n"/>
      <c r="D1762" s="68" t="n"/>
      <c r="E1762" s="125" t="n"/>
      <c r="F1762" s="125" t="n"/>
      <c r="G1762" s="125" t="n"/>
      <c r="H1762" s="125" t="n"/>
      <c r="I1762" s="125" t="n"/>
      <c r="J1762" s="66" t="n"/>
      <c r="K1762" s="66" t="n"/>
      <c r="L1762" s="66" t="n"/>
      <c r="M1762" s="66" t="n"/>
      <c r="N1762" s="66" t="n"/>
      <c r="O1762" s="66" t="n"/>
      <c r="P1762" s="66" t="n"/>
      <c r="Q1762" s="66" t="n"/>
      <c r="R1762" s="166" t="n"/>
      <c r="S1762" s="167" t="n"/>
      <c r="T1762" s="167" t="n"/>
      <c r="U1762" s="168" t="n"/>
      <c r="V1762" s="168" t="n"/>
    </row>
    <row r="1763" customFormat="1" s="66">
      <c r="A1763" s="125" t="n"/>
      <c r="B1763" s="125" t="n"/>
      <c r="C1763" s="125" t="n"/>
      <c r="D1763" s="68" t="n"/>
      <c r="E1763" s="125" t="n"/>
      <c r="F1763" s="125" t="n"/>
      <c r="G1763" s="125" t="n"/>
      <c r="H1763" s="125" t="n"/>
      <c r="I1763" s="125" t="n"/>
      <c r="J1763" s="66" t="n"/>
      <c r="K1763" s="66" t="n"/>
      <c r="L1763" s="66" t="n"/>
      <c r="M1763" s="66" t="n"/>
      <c r="N1763" s="66" t="n"/>
      <c r="O1763" s="66" t="n"/>
      <c r="P1763" s="66" t="n"/>
      <c r="Q1763" s="66" t="n"/>
      <c r="R1763" s="166" t="n"/>
      <c r="S1763" s="167" t="n"/>
      <c r="T1763" s="167" t="n"/>
      <c r="U1763" s="168" t="n"/>
      <c r="V1763" s="168" t="n"/>
    </row>
    <row r="1764" customFormat="1" s="66">
      <c r="A1764" s="125" t="n"/>
      <c r="B1764" s="125" t="n"/>
      <c r="C1764" s="125" t="n"/>
      <c r="D1764" s="68" t="n"/>
      <c r="E1764" s="125" t="n"/>
      <c r="F1764" s="125" t="n"/>
      <c r="G1764" s="125" t="n"/>
      <c r="H1764" s="125" t="n"/>
      <c r="I1764" s="125" t="n"/>
      <c r="J1764" s="66" t="n"/>
      <c r="K1764" s="66" t="n"/>
      <c r="L1764" s="66" t="n"/>
      <c r="M1764" s="66" t="n"/>
      <c r="N1764" s="66" t="n"/>
      <c r="O1764" s="66" t="n"/>
      <c r="P1764" s="66" t="n"/>
      <c r="Q1764" s="66" t="n"/>
      <c r="R1764" s="166" t="n"/>
      <c r="S1764" s="167" t="n"/>
      <c r="T1764" s="167" t="n"/>
      <c r="U1764" s="168" t="n"/>
      <c r="V1764" s="168" t="n"/>
    </row>
    <row r="1765" customFormat="1" s="66">
      <c r="A1765" s="125" t="n"/>
      <c r="B1765" s="125" t="n"/>
      <c r="C1765" s="125" t="n"/>
      <c r="D1765" s="68" t="n"/>
      <c r="E1765" s="125" t="n"/>
      <c r="F1765" s="125" t="n"/>
      <c r="G1765" s="125" t="n"/>
      <c r="H1765" s="125" t="n"/>
      <c r="I1765" s="125" t="n"/>
      <c r="J1765" s="66" t="n"/>
      <c r="K1765" s="66" t="n"/>
      <c r="L1765" s="66" t="n"/>
      <c r="M1765" s="66" t="n"/>
      <c r="N1765" s="66" t="n"/>
      <c r="O1765" s="66" t="n"/>
      <c r="P1765" s="66" t="n"/>
      <c r="Q1765" s="66" t="n"/>
      <c r="R1765" s="166" t="n"/>
      <c r="S1765" s="167" t="n"/>
      <c r="T1765" s="167" t="n"/>
      <c r="U1765" s="168" t="n"/>
      <c r="V1765" s="168" t="n"/>
    </row>
    <row r="1766" customFormat="1" s="66">
      <c r="A1766" s="125" t="n"/>
      <c r="B1766" s="125" t="n"/>
      <c r="C1766" s="125" t="n"/>
      <c r="D1766" s="68" t="n"/>
      <c r="E1766" s="125" t="n"/>
      <c r="F1766" s="125" t="n"/>
      <c r="G1766" s="125" t="n"/>
      <c r="H1766" s="125" t="n"/>
      <c r="I1766" s="125" t="n"/>
      <c r="J1766" s="66" t="n"/>
      <c r="K1766" s="66" t="n"/>
      <c r="L1766" s="66" t="n"/>
      <c r="M1766" s="66" t="n"/>
      <c r="N1766" s="66" t="n"/>
      <c r="O1766" s="66" t="n"/>
      <c r="P1766" s="66" t="n"/>
      <c r="Q1766" s="66" t="n"/>
      <c r="R1766" s="166" t="n"/>
      <c r="S1766" s="167" t="n"/>
      <c r="T1766" s="167" t="n"/>
      <c r="U1766" s="168" t="n"/>
      <c r="V1766" s="168" t="n"/>
    </row>
    <row r="1767" customFormat="1" s="66">
      <c r="A1767" s="125" t="n"/>
      <c r="B1767" s="125" t="n"/>
      <c r="C1767" s="125" t="n"/>
      <c r="D1767" s="68" t="n"/>
      <c r="E1767" s="125" t="n"/>
      <c r="F1767" s="125" t="n"/>
      <c r="G1767" s="125" t="n"/>
      <c r="H1767" s="125" t="n"/>
      <c r="I1767" s="125" t="n"/>
      <c r="J1767" s="66" t="n"/>
      <c r="K1767" s="66" t="n"/>
      <c r="L1767" s="66" t="n"/>
      <c r="M1767" s="66" t="n"/>
      <c r="N1767" s="66" t="n"/>
      <c r="O1767" s="66" t="n"/>
      <c r="P1767" s="66" t="n"/>
      <c r="Q1767" s="66" t="n"/>
      <c r="R1767" s="166" t="n"/>
      <c r="S1767" s="167" t="n"/>
      <c r="T1767" s="167" t="n"/>
      <c r="U1767" s="168" t="n"/>
      <c r="V1767" s="168" t="n"/>
    </row>
    <row r="1768" customFormat="1" s="66">
      <c r="A1768" s="125" t="n"/>
      <c r="B1768" s="125" t="n"/>
      <c r="C1768" s="125" t="n"/>
      <c r="D1768" s="68" t="n"/>
      <c r="E1768" s="125" t="n"/>
      <c r="F1768" s="125" t="n"/>
      <c r="G1768" s="125" t="n"/>
      <c r="H1768" s="125" t="n"/>
      <c r="I1768" s="125" t="n"/>
      <c r="J1768" s="66" t="n"/>
      <c r="K1768" s="66" t="n"/>
      <c r="L1768" s="66" t="n"/>
      <c r="M1768" s="66" t="n"/>
      <c r="N1768" s="66" t="n"/>
      <c r="O1768" s="66" t="n"/>
      <c r="P1768" s="66" t="n"/>
      <c r="Q1768" s="66" t="n"/>
      <c r="R1768" s="166" t="n"/>
      <c r="S1768" s="167" t="n"/>
      <c r="T1768" s="167" t="n"/>
      <c r="U1768" s="168" t="n"/>
      <c r="V1768" s="168" t="n"/>
    </row>
    <row r="1769" customFormat="1" s="66">
      <c r="A1769" s="125" t="n"/>
      <c r="B1769" s="125" t="n"/>
      <c r="C1769" s="125" t="n"/>
      <c r="D1769" s="68" t="n"/>
      <c r="E1769" s="125" t="n"/>
      <c r="F1769" s="125" t="n"/>
      <c r="G1769" s="125" t="n"/>
      <c r="H1769" s="125" t="n"/>
      <c r="I1769" s="125" t="n"/>
      <c r="J1769" s="66" t="n"/>
      <c r="K1769" s="66" t="n"/>
      <c r="L1769" s="66" t="n"/>
      <c r="M1769" s="66" t="n"/>
      <c r="N1769" s="66" t="n"/>
      <c r="O1769" s="66" t="n"/>
      <c r="P1769" s="66" t="n"/>
      <c r="Q1769" s="66" t="n"/>
      <c r="R1769" s="166" t="n"/>
      <c r="S1769" s="167" t="n"/>
      <c r="T1769" s="167" t="n"/>
      <c r="U1769" s="168" t="n"/>
      <c r="V1769" s="168" t="n"/>
    </row>
    <row r="1770" customFormat="1" s="66">
      <c r="A1770" s="125" t="n"/>
      <c r="B1770" s="125" t="n"/>
      <c r="C1770" s="125" t="n"/>
      <c r="D1770" s="68" t="n"/>
      <c r="E1770" s="125" t="n"/>
      <c r="F1770" s="125" t="n"/>
      <c r="G1770" s="125" t="n"/>
      <c r="H1770" s="125" t="n"/>
      <c r="I1770" s="125" t="n"/>
      <c r="J1770" s="66" t="n"/>
      <c r="K1770" s="66" t="n"/>
      <c r="L1770" s="66" t="n"/>
      <c r="M1770" s="66" t="n"/>
      <c r="N1770" s="66" t="n"/>
      <c r="O1770" s="66" t="n"/>
      <c r="P1770" s="66" t="n"/>
      <c r="Q1770" s="66" t="n"/>
      <c r="R1770" s="166" t="n"/>
      <c r="S1770" s="167" t="n"/>
      <c r="T1770" s="167" t="n"/>
      <c r="U1770" s="168" t="n"/>
      <c r="V1770" s="168" t="n"/>
    </row>
    <row r="1771" customFormat="1" s="66">
      <c r="A1771" s="125" t="n"/>
      <c r="B1771" s="125" t="n"/>
      <c r="C1771" s="125" t="n"/>
      <c r="D1771" s="68" t="n"/>
      <c r="E1771" s="125" t="n"/>
      <c r="F1771" s="125" t="n"/>
      <c r="G1771" s="125" t="n"/>
      <c r="H1771" s="125" t="n"/>
      <c r="I1771" s="125" t="n"/>
      <c r="J1771" s="66" t="n"/>
      <c r="K1771" s="66" t="n"/>
      <c r="L1771" s="66" t="n"/>
      <c r="M1771" s="66" t="n"/>
      <c r="N1771" s="66" t="n"/>
      <c r="O1771" s="66" t="n"/>
      <c r="P1771" s="66" t="n"/>
      <c r="Q1771" s="66" t="n"/>
      <c r="R1771" s="166" t="n"/>
      <c r="S1771" s="167" t="n"/>
      <c r="T1771" s="167" t="n"/>
      <c r="U1771" s="168" t="n"/>
      <c r="V1771" s="168" t="n"/>
    </row>
    <row r="1772" customFormat="1" s="66">
      <c r="A1772" s="125" t="n"/>
      <c r="B1772" s="125" t="n"/>
      <c r="C1772" s="125" t="n"/>
      <c r="D1772" s="68" t="n"/>
      <c r="E1772" s="125" t="n"/>
      <c r="F1772" s="125" t="n"/>
      <c r="G1772" s="125" t="n"/>
      <c r="H1772" s="125" t="n"/>
      <c r="I1772" s="125" t="n"/>
      <c r="J1772" s="66" t="n"/>
      <c r="K1772" s="66" t="n"/>
      <c r="L1772" s="66" t="n"/>
      <c r="M1772" s="66" t="n"/>
      <c r="N1772" s="66" t="n"/>
      <c r="O1772" s="66" t="n"/>
      <c r="P1772" s="66" t="n"/>
      <c r="Q1772" s="66" t="n"/>
      <c r="R1772" s="166" t="n"/>
      <c r="S1772" s="167" t="n"/>
      <c r="T1772" s="167" t="n"/>
      <c r="U1772" s="168" t="n"/>
      <c r="V1772" s="168" t="n"/>
    </row>
    <row r="1773" customFormat="1" s="66">
      <c r="A1773" s="125" t="n"/>
      <c r="B1773" s="125" t="n"/>
      <c r="C1773" s="125" t="n"/>
      <c r="D1773" s="68" t="n"/>
      <c r="E1773" s="125" t="n"/>
      <c r="F1773" s="125" t="n"/>
      <c r="G1773" s="125" t="n"/>
      <c r="H1773" s="125" t="n"/>
      <c r="I1773" s="125" t="n"/>
      <c r="J1773" s="66" t="n"/>
      <c r="K1773" s="66" t="n"/>
      <c r="L1773" s="66" t="n"/>
      <c r="M1773" s="66" t="n"/>
      <c r="N1773" s="66" t="n"/>
      <c r="O1773" s="66" t="n"/>
      <c r="P1773" s="66" t="n"/>
      <c r="Q1773" s="66" t="n"/>
      <c r="R1773" s="166" t="n"/>
      <c r="S1773" s="167" t="n"/>
      <c r="T1773" s="167" t="n"/>
      <c r="U1773" s="168" t="n"/>
      <c r="V1773" s="168" t="n"/>
    </row>
    <row r="1774" customFormat="1" s="66">
      <c r="A1774" s="125" t="n"/>
      <c r="B1774" s="125" t="n"/>
      <c r="C1774" s="125" t="n"/>
      <c r="D1774" s="68" t="n"/>
      <c r="E1774" s="125" t="n"/>
      <c r="F1774" s="125" t="n"/>
      <c r="G1774" s="125" t="n"/>
      <c r="H1774" s="125" t="n"/>
      <c r="I1774" s="125" t="n"/>
      <c r="J1774" s="66" t="n"/>
      <c r="K1774" s="66" t="n"/>
      <c r="L1774" s="66" t="n"/>
      <c r="M1774" s="66" t="n"/>
      <c r="N1774" s="66" t="n"/>
      <c r="O1774" s="66" t="n"/>
      <c r="P1774" s="66" t="n"/>
      <c r="Q1774" s="66" t="n"/>
      <c r="R1774" s="166" t="n"/>
      <c r="S1774" s="167" t="n"/>
      <c r="T1774" s="167" t="n"/>
      <c r="U1774" s="168" t="n"/>
      <c r="V1774" s="168" t="n"/>
    </row>
    <row r="1775" customFormat="1" s="66">
      <c r="A1775" s="125" t="n"/>
      <c r="B1775" s="125" t="n"/>
      <c r="C1775" s="125" t="n"/>
      <c r="D1775" s="68" t="n"/>
      <c r="E1775" s="125" t="n"/>
      <c r="F1775" s="125" t="n"/>
      <c r="G1775" s="125" t="n"/>
      <c r="H1775" s="125" t="n"/>
      <c r="I1775" s="125" t="n"/>
      <c r="J1775" s="66" t="n"/>
      <c r="K1775" s="66" t="n"/>
      <c r="L1775" s="66" t="n"/>
      <c r="M1775" s="66" t="n"/>
      <c r="N1775" s="66" t="n"/>
      <c r="O1775" s="66" t="n"/>
      <c r="P1775" s="66" t="n"/>
      <c r="Q1775" s="66" t="n"/>
      <c r="R1775" s="166" t="n"/>
      <c r="S1775" s="167" t="n"/>
      <c r="T1775" s="167" t="n"/>
      <c r="U1775" s="168" t="n"/>
      <c r="V1775" s="168" t="n"/>
    </row>
    <row r="1776" customFormat="1" s="66">
      <c r="A1776" s="125" t="n"/>
      <c r="B1776" s="125" t="n"/>
      <c r="C1776" s="125" t="n"/>
      <c r="D1776" s="68" t="n"/>
      <c r="E1776" s="125" t="n"/>
      <c r="F1776" s="125" t="n"/>
      <c r="G1776" s="125" t="n"/>
      <c r="H1776" s="125" t="n"/>
      <c r="I1776" s="125" t="n"/>
      <c r="J1776" s="66" t="n"/>
      <c r="K1776" s="66" t="n"/>
      <c r="L1776" s="66" t="n"/>
      <c r="M1776" s="66" t="n"/>
      <c r="N1776" s="66" t="n"/>
      <c r="O1776" s="66" t="n"/>
      <c r="P1776" s="66" t="n"/>
      <c r="Q1776" s="66" t="n"/>
      <c r="R1776" s="166" t="n"/>
      <c r="S1776" s="167" t="n"/>
      <c r="T1776" s="167" t="n"/>
      <c r="U1776" s="168" t="n"/>
      <c r="V1776" s="168" t="n"/>
    </row>
    <row r="1777" customFormat="1" s="66">
      <c r="A1777" s="125" t="n"/>
      <c r="B1777" s="125" t="n"/>
      <c r="C1777" s="125" t="n"/>
      <c r="D1777" s="68" t="n"/>
      <c r="E1777" s="125" t="n"/>
      <c r="F1777" s="125" t="n"/>
      <c r="G1777" s="125" t="n"/>
      <c r="H1777" s="125" t="n"/>
      <c r="I1777" s="125" t="n"/>
      <c r="J1777" s="66" t="n"/>
      <c r="K1777" s="66" t="n"/>
      <c r="L1777" s="66" t="n"/>
      <c r="M1777" s="66" t="n"/>
      <c r="N1777" s="66" t="n"/>
      <c r="O1777" s="66" t="n"/>
      <c r="P1777" s="66" t="n"/>
      <c r="Q1777" s="66" t="n"/>
      <c r="R1777" s="166" t="n"/>
      <c r="S1777" s="167" t="n"/>
      <c r="T1777" s="167" t="n"/>
      <c r="U1777" s="168" t="n"/>
      <c r="V1777" s="168" t="n"/>
    </row>
    <row r="1778" customFormat="1" s="66">
      <c r="A1778" s="125" t="n"/>
      <c r="B1778" s="125" t="n"/>
      <c r="C1778" s="125" t="n"/>
      <c r="D1778" s="68" t="n"/>
      <c r="E1778" s="125" t="n"/>
      <c r="F1778" s="125" t="n"/>
      <c r="G1778" s="125" t="n"/>
      <c r="H1778" s="125" t="n"/>
      <c r="I1778" s="125" t="n"/>
      <c r="J1778" s="66" t="n"/>
      <c r="K1778" s="66" t="n"/>
      <c r="L1778" s="66" t="n"/>
      <c r="M1778" s="66" t="n"/>
      <c r="N1778" s="66" t="n"/>
      <c r="O1778" s="66" t="n"/>
      <c r="P1778" s="66" t="n"/>
      <c r="Q1778" s="66" t="n"/>
      <c r="R1778" s="166" t="n"/>
      <c r="S1778" s="167" t="n"/>
      <c r="T1778" s="167" t="n"/>
      <c r="U1778" s="168" t="n"/>
      <c r="V1778" s="168" t="n"/>
    </row>
    <row r="1779" customFormat="1" s="66">
      <c r="A1779" s="125" t="n"/>
      <c r="B1779" s="125" t="n"/>
      <c r="C1779" s="125" t="n"/>
      <c r="D1779" s="68" t="n"/>
      <c r="E1779" s="125" t="n"/>
      <c r="F1779" s="125" t="n"/>
      <c r="G1779" s="125" t="n"/>
      <c r="H1779" s="125" t="n"/>
      <c r="I1779" s="125" t="n"/>
      <c r="J1779" s="66" t="n"/>
      <c r="K1779" s="66" t="n"/>
      <c r="L1779" s="66" t="n"/>
      <c r="M1779" s="66" t="n"/>
      <c r="N1779" s="66" t="n"/>
      <c r="O1779" s="66" t="n"/>
      <c r="P1779" s="66" t="n"/>
      <c r="Q1779" s="66" t="n"/>
      <c r="R1779" s="166" t="n"/>
      <c r="S1779" s="167" t="n"/>
      <c r="T1779" s="167" t="n"/>
      <c r="U1779" s="168" t="n"/>
      <c r="V1779" s="168" t="n"/>
    </row>
    <row r="1780" customFormat="1" s="66">
      <c r="A1780" s="125" t="n"/>
      <c r="B1780" s="125" t="n"/>
      <c r="C1780" s="125" t="n"/>
      <c r="D1780" s="68" t="n"/>
      <c r="E1780" s="125" t="n"/>
      <c r="F1780" s="125" t="n"/>
      <c r="G1780" s="125" t="n"/>
      <c r="H1780" s="125" t="n"/>
      <c r="I1780" s="125" t="n"/>
      <c r="J1780" s="66" t="n"/>
      <c r="K1780" s="66" t="n"/>
      <c r="L1780" s="66" t="n"/>
      <c r="M1780" s="66" t="n"/>
      <c r="N1780" s="66" t="n"/>
      <c r="O1780" s="66" t="n"/>
      <c r="P1780" s="66" t="n"/>
      <c r="Q1780" s="66" t="n"/>
      <c r="R1780" s="166" t="n"/>
      <c r="S1780" s="167" t="n"/>
      <c r="T1780" s="167" t="n"/>
      <c r="U1780" s="168" t="n"/>
      <c r="V1780" s="168" t="n"/>
    </row>
    <row r="1781" customFormat="1" s="66">
      <c r="A1781" s="125" t="n"/>
      <c r="B1781" s="125" t="n"/>
      <c r="C1781" s="125" t="n"/>
      <c r="D1781" s="68" t="n"/>
      <c r="E1781" s="125" t="n"/>
      <c r="F1781" s="125" t="n"/>
      <c r="G1781" s="125" t="n"/>
      <c r="H1781" s="125" t="n"/>
      <c r="I1781" s="125" t="n"/>
      <c r="J1781" s="66" t="n"/>
      <c r="K1781" s="66" t="n"/>
      <c r="L1781" s="66" t="n"/>
      <c r="M1781" s="66" t="n"/>
      <c r="N1781" s="66" t="n"/>
      <c r="O1781" s="66" t="n"/>
      <c r="P1781" s="66" t="n"/>
      <c r="Q1781" s="66" t="n"/>
      <c r="R1781" s="166" t="n"/>
      <c r="S1781" s="167" t="n"/>
      <c r="T1781" s="167" t="n"/>
      <c r="U1781" s="168" t="n"/>
      <c r="V1781" s="168" t="n"/>
    </row>
    <row r="1782" customFormat="1" s="66">
      <c r="A1782" s="125" t="n"/>
      <c r="B1782" s="125" t="n"/>
      <c r="C1782" s="125" t="n"/>
      <c r="D1782" s="68" t="n"/>
      <c r="E1782" s="125" t="n"/>
      <c r="F1782" s="125" t="n"/>
      <c r="G1782" s="125" t="n"/>
      <c r="H1782" s="125" t="n"/>
      <c r="I1782" s="125" t="n"/>
      <c r="J1782" s="66" t="n"/>
      <c r="K1782" s="66" t="n"/>
      <c r="L1782" s="66" t="n"/>
      <c r="M1782" s="66" t="n"/>
      <c r="N1782" s="66" t="n"/>
      <c r="O1782" s="66" t="n"/>
      <c r="P1782" s="66" t="n"/>
      <c r="Q1782" s="66" t="n"/>
      <c r="R1782" s="166" t="n"/>
      <c r="S1782" s="167" t="n"/>
      <c r="T1782" s="167" t="n"/>
      <c r="U1782" s="168" t="n"/>
      <c r="V1782" s="168" t="n"/>
    </row>
    <row r="1783" customFormat="1" s="66">
      <c r="A1783" s="125" t="n"/>
      <c r="B1783" s="125" t="n"/>
      <c r="C1783" s="125" t="n"/>
      <c r="D1783" s="68" t="n"/>
      <c r="E1783" s="125" t="n"/>
      <c r="F1783" s="125" t="n"/>
      <c r="G1783" s="125" t="n"/>
      <c r="H1783" s="125" t="n"/>
      <c r="I1783" s="125" t="n"/>
      <c r="J1783" s="66" t="n"/>
      <c r="K1783" s="66" t="n"/>
      <c r="L1783" s="66" t="n"/>
      <c r="M1783" s="66" t="n"/>
      <c r="N1783" s="66" t="n"/>
      <c r="O1783" s="66" t="n"/>
      <c r="P1783" s="66" t="n"/>
      <c r="Q1783" s="66" t="n"/>
      <c r="R1783" s="166" t="n"/>
      <c r="S1783" s="167" t="n"/>
      <c r="T1783" s="167" t="n"/>
      <c r="U1783" s="168" t="n"/>
      <c r="V1783" s="168" t="n"/>
    </row>
    <row r="1784" customFormat="1" s="66">
      <c r="A1784" s="125" t="n"/>
      <c r="B1784" s="125" t="n"/>
      <c r="C1784" s="125" t="n"/>
      <c r="D1784" s="68" t="n"/>
      <c r="E1784" s="125" t="n"/>
      <c r="F1784" s="125" t="n"/>
      <c r="G1784" s="125" t="n"/>
      <c r="H1784" s="125" t="n"/>
      <c r="I1784" s="125" t="n"/>
      <c r="J1784" s="66" t="n"/>
      <c r="K1784" s="66" t="n"/>
      <c r="L1784" s="66" t="n"/>
      <c r="M1784" s="66" t="n"/>
      <c r="N1784" s="66" t="n"/>
      <c r="O1784" s="66" t="n"/>
      <c r="P1784" s="66" t="n"/>
      <c r="Q1784" s="66" t="n"/>
      <c r="R1784" s="166" t="n"/>
      <c r="S1784" s="167" t="n"/>
      <c r="T1784" s="167" t="n"/>
      <c r="U1784" s="168" t="n"/>
      <c r="V1784" s="168" t="n"/>
    </row>
    <row r="1785" customFormat="1" s="66">
      <c r="A1785" s="125" t="n"/>
      <c r="B1785" s="125" t="n"/>
      <c r="C1785" s="125" t="n"/>
      <c r="D1785" s="68" t="n"/>
      <c r="E1785" s="125" t="n"/>
      <c r="F1785" s="125" t="n"/>
      <c r="G1785" s="125" t="n"/>
      <c r="H1785" s="125" t="n"/>
      <c r="I1785" s="125" t="n"/>
      <c r="J1785" s="66" t="n"/>
      <c r="K1785" s="66" t="n"/>
      <c r="L1785" s="66" t="n"/>
      <c r="M1785" s="66" t="n"/>
      <c r="N1785" s="66" t="n"/>
      <c r="O1785" s="66" t="n"/>
      <c r="P1785" s="66" t="n"/>
      <c r="Q1785" s="66" t="n"/>
      <c r="R1785" s="166" t="n"/>
      <c r="S1785" s="167" t="n"/>
      <c r="T1785" s="167" t="n"/>
      <c r="U1785" s="168" t="n"/>
      <c r="V1785" s="168" t="n"/>
    </row>
    <row r="1786" customFormat="1" s="66">
      <c r="A1786" s="125" t="n"/>
      <c r="B1786" s="125" t="n"/>
      <c r="C1786" s="125" t="n"/>
      <c r="D1786" s="68" t="n"/>
      <c r="E1786" s="125" t="n"/>
      <c r="F1786" s="125" t="n"/>
      <c r="G1786" s="125" t="n"/>
      <c r="H1786" s="125" t="n"/>
      <c r="I1786" s="125" t="n"/>
      <c r="J1786" s="66" t="n"/>
      <c r="K1786" s="66" t="n"/>
      <c r="L1786" s="66" t="n"/>
      <c r="M1786" s="66" t="n"/>
      <c r="N1786" s="66" t="n"/>
      <c r="O1786" s="66" t="n"/>
      <c r="P1786" s="66" t="n"/>
      <c r="Q1786" s="66" t="n"/>
      <c r="R1786" s="166" t="n"/>
      <c r="S1786" s="167" t="n"/>
      <c r="T1786" s="167" t="n"/>
      <c r="U1786" s="168" t="n"/>
      <c r="V1786" s="168" t="n"/>
    </row>
    <row r="1787" customFormat="1" s="66">
      <c r="A1787" s="125" t="n"/>
      <c r="B1787" s="125" t="n"/>
      <c r="C1787" s="125" t="n"/>
      <c r="D1787" s="68" t="n"/>
      <c r="E1787" s="125" t="n"/>
      <c r="F1787" s="125" t="n"/>
      <c r="G1787" s="125" t="n"/>
      <c r="H1787" s="125" t="n"/>
      <c r="I1787" s="125" t="n"/>
      <c r="J1787" s="66" t="n"/>
      <c r="K1787" s="66" t="n"/>
      <c r="L1787" s="66" t="n"/>
      <c r="M1787" s="66" t="n"/>
      <c r="N1787" s="66" t="n"/>
      <c r="O1787" s="66" t="n"/>
      <c r="P1787" s="66" t="n"/>
      <c r="Q1787" s="66" t="n"/>
      <c r="R1787" s="166" t="n"/>
      <c r="S1787" s="167" t="n"/>
      <c r="T1787" s="167" t="n"/>
      <c r="U1787" s="168" t="n"/>
      <c r="V1787" s="168" t="n"/>
    </row>
    <row r="1788" customFormat="1" s="66">
      <c r="A1788" s="125" t="n"/>
      <c r="B1788" s="125" t="n"/>
      <c r="C1788" s="125" t="n"/>
      <c r="D1788" s="68" t="n"/>
      <c r="E1788" s="125" t="n"/>
      <c r="F1788" s="125" t="n"/>
      <c r="G1788" s="125" t="n"/>
      <c r="H1788" s="125" t="n"/>
      <c r="I1788" s="125" t="n"/>
      <c r="J1788" s="66" t="n"/>
      <c r="K1788" s="66" t="n"/>
      <c r="L1788" s="66" t="n"/>
      <c r="M1788" s="66" t="n"/>
      <c r="N1788" s="66" t="n"/>
      <c r="O1788" s="66" t="n"/>
      <c r="P1788" s="66" t="n"/>
      <c r="Q1788" s="66" t="n"/>
      <c r="R1788" s="166" t="n"/>
      <c r="S1788" s="167" t="n"/>
      <c r="T1788" s="167" t="n"/>
      <c r="U1788" s="168" t="n"/>
      <c r="V1788" s="168" t="n"/>
    </row>
    <row r="1789" customFormat="1" s="66">
      <c r="A1789" s="125" t="n"/>
      <c r="B1789" s="125" t="n"/>
      <c r="C1789" s="125" t="n"/>
      <c r="D1789" s="68" t="n"/>
      <c r="E1789" s="125" t="n"/>
      <c r="F1789" s="125" t="n"/>
      <c r="G1789" s="125" t="n"/>
      <c r="H1789" s="125" t="n"/>
      <c r="I1789" s="125" t="n"/>
      <c r="J1789" s="66" t="n"/>
      <c r="K1789" s="66" t="n"/>
      <c r="L1789" s="66" t="n"/>
      <c r="M1789" s="66" t="n"/>
      <c r="N1789" s="66" t="n"/>
      <c r="O1789" s="66" t="n"/>
      <c r="P1789" s="66" t="n"/>
      <c r="Q1789" s="66" t="n"/>
      <c r="R1789" s="166" t="n"/>
      <c r="S1789" s="167" t="n"/>
      <c r="T1789" s="167" t="n"/>
      <c r="U1789" s="168" t="n"/>
      <c r="V1789" s="168" t="n"/>
    </row>
    <row r="1790" customFormat="1" s="66">
      <c r="A1790" s="125" t="n"/>
      <c r="B1790" s="125" t="n"/>
      <c r="C1790" s="125" t="n"/>
      <c r="D1790" s="68" t="n"/>
      <c r="E1790" s="125" t="n"/>
      <c r="F1790" s="125" t="n"/>
      <c r="G1790" s="125" t="n"/>
      <c r="H1790" s="125" t="n"/>
      <c r="I1790" s="125" t="n"/>
      <c r="J1790" s="66" t="n"/>
      <c r="K1790" s="66" t="n"/>
      <c r="L1790" s="66" t="n"/>
      <c r="M1790" s="66" t="n"/>
      <c r="N1790" s="66" t="n"/>
      <c r="O1790" s="66" t="n"/>
      <c r="P1790" s="66" t="n"/>
      <c r="Q1790" s="66" t="n"/>
      <c r="R1790" s="166" t="n"/>
      <c r="S1790" s="167" t="n"/>
      <c r="T1790" s="167" t="n"/>
      <c r="U1790" s="168" t="n"/>
      <c r="V1790" s="168" t="n"/>
    </row>
    <row r="1791" customFormat="1" s="66">
      <c r="A1791" s="125" t="n"/>
      <c r="B1791" s="125" t="n"/>
      <c r="C1791" s="125" t="n"/>
      <c r="D1791" s="68" t="n"/>
      <c r="E1791" s="125" t="n"/>
      <c r="F1791" s="125" t="n"/>
      <c r="G1791" s="125" t="n"/>
      <c r="H1791" s="125" t="n"/>
      <c r="I1791" s="125" t="n"/>
      <c r="J1791" s="66" t="n"/>
      <c r="K1791" s="66" t="n"/>
      <c r="L1791" s="66" t="n"/>
      <c r="M1791" s="66" t="n"/>
      <c r="N1791" s="66" t="n"/>
      <c r="O1791" s="66" t="n"/>
      <c r="P1791" s="66" t="n"/>
      <c r="Q1791" s="66" t="n"/>
      <c r="R1791" s="166" t="n"/>
      <c r="S1791" s="167" t="n"/>
      <c r="T1791" s="167" t="n"/>
      <c r="U1791" s="168" t="n"/>
      <c r="V1791" s="168" t="n"/>
    </row>
    <row r="1792" customFormat="1" s="66">
      <c r="A1792" s="125" t="n"/>
      <c r="B1792" s="125" t="n"/>
      <c r="C1792" s="125" t="n"/>
      <c r="D1792" s="68" t="n"/>
      <c r="E1792" s="125" t="n"/>
      <c r="F1792" s="125" t="n"/>
      <c r="G1792" s="125" t="n"/>
      <c r="H1792" s="125" t="n"/>
      <c r="I1792" s="125" t="n"/>
      <c r="J1792" s="66" t="n"/>
      <c r="K1792" s="66" t="n"/>
      <c r="L1792" s="66" t="n"/>
      <c r="M1792" s="66" t="n"/>
      <c r="N1792" s="66" t="n"/>
      <c r="O1792" s="66" t="n"/>
      <c r="P1792" s="66" t="n"/>
      <c r="Q1792" s="66" t="n"/>
      <c r="R1792" s="166" t="n"/>
      <c r="S1792" s="167" t="n"/>
      <c r="T1792" s="167" t="n"/>
      <c r="U1792" s="168" t="n"/>
      <c r="V1792" s="168" t="n"/>
    </row>
    <row r="1793" customFormat="1" s="66">
      <c r="A1793" s="125" t="n"/>
      <c r="B1793" s="125" t="n"/>
      <c r="C1793" s="125" t="n"/>
      <c r="D1793" s="68" t="n"/>
      <c r="E1793" s="125" t="n"/>
      <c r="F1793" s="125" t="n"/>
      <c r="G1793" s="125" t="n"/>
      <c r="H1793" s="125" t="n"/>
      <c r="I1793" s="125" t="n"/>
      <c r="J1793" s="66" t="n"/>
      <c r="K1793" s="66" t="n"/>
      <c r="L1793" s="66" t="n"/>
      <c r="M1793" s="66" t="n"/>
      <c r="N1793" s="66" t="n"/>
      <c r="O1793" s="66" t="n"/>
      <c r="P1793" s="66" t="n"/>
      <c r="Q1793" s="66" t="n"/>
      <c r="R1793" s="166" t="n"/>
      <c r="S1793" s="167" t="n"/>
      <c r="T1793" s="167" t="n"/>
      <c r="U1793" s="168" t="n"/>
      <c r="V1793" s="168" t="n"/>
    </row>
    <row r="1794" customFormat="1" s="66">
      <c r="A1794" s="125" t="n"/>
      <c r="B1794" s="125" t="n"/>
      <c r="C1794" s="125" t="n"/>
      <c r="D1794" s="68" t="n"/>
      <c r="E1794" s="125" t="n"/>
      <c r="F1794" s="125" t="n"/>
      <c r="G1794" s="125" t="n"/>
      <c r="H1794" s="125" t="n"/>
      <c r="I1794" s="125" t="n"/>
      <c r="J1794" s="66" t="n"/>
      <c r="K1794" s="66" t="n"/>
      <c r="L1794" s="66" t="n"/>
      <c r="M1794" s="66" t="n"/>
      <c r="N1794" s="66" t="n"/>
      <c r="O1794" s="66" t="n"/>
      <c r="P1794" s="66" t="n"/>
      <c r="Q1794" s="66" t="n"/>
      <c r="R1794" s="166" t="n"/>
      <c r="S1794" s="167" t="n"/>
      <c r="T1794" s="167" t="n"/>
      <c r="U1794" s="168" t="n"/>
      <c r="V1794" s="168" t="n"/>
    </row>
    <row r="1795" customFormat="1" s="66">
      <c r="A1795" s="125" t="n"/>
      <c r="B1795" s="125" t="n"/>
      <c r="C1795" s="125" t="n"/>
      <c r="D1795" s="68" t="n"/>
      <c r="E1795" s="125" t="n"/>
      <c r="F1795" s="125" t="n"/>
      <c r="G1795" s="125" t="n"/>
      <c r="H1795" s="125" t="n"/>
      <c r="I1795" s="125" t="n"/>
      <c r="J1795" s="66" t="n"/>
      <c r="K1795" s="66" t="n"/>
      <c r="L1795" s="66" t="n"/>
      <c r="M1795" s="66" t="n"/>
      <c r="N1795" s="66" t="n"/>
      <c r="O1795" s="66" t="n"/>
      <c r="P1795" s="66" t="n"/>
      <c r="Q1795" s="66" t="n"/>
      <c r="R1795" s="166" t="n"/>
      <c r="S1795" s="167" t="n"/>
      <c r="T1795" s="167" t="n"/>
      <c r="U1795" s="168" t="n"/>
      <c r="V1795" s="168" t="n"/>
    </row>
    <row r="1796" customFormat="1" s="66">
      <c r="A1796" s="125" t="n"/>
      <c r="B1796" s="125" t="n"/>
      <c r="C1796" s="125" t="n"/>
      <c r="D1796" s="68" t="n"/>
      <c r="E1796" s="125" t="n"/>
      <c r="F1796" s="125" t="n"/>
      <c r="G1796" s="125" t="n"/>
      <c r="H1796" s="125" t="n"/>
      <c r="I1796" s="125" t="n"/>
      <c r="J1796" s="66" t="n"/>
      <c r="K1796" s="66" t="n"/>
      <c r="L1796" s="66" t="n"/>
      <c r="M1796" s="66" t="n"/>
      <c r="N1796" s="66" t="n"/>
      <c r="O1796" s="66" t="n"/>
      <c r="P1796" s="66" t="n"/>
      <c r="Q1796" s="66" t="n"/>
      <c r="R1796" s="166" t="n"/>
      <c r="S1796" s="167" t="n"/>
      <c r="T1796" s="167" t="n"/>
      <c r="U1796" s="168" t="n"/>
      <c r="V1796" s="168" t="n"/>
    </row>
    <row r="1797" customFormat="1" s="66">
      <c r="A1797" s="125" t="n"/>
      <c r="B1797" s="125" t="n"/>
      <c r="C1797" s="125" t="n"/>
      <c r="D1797" s="68" t="n"/>
      <c r="E1797" s="125" t="n"/>
      <c r="F1797" s="125" t="n"/>
      <c r="G1797" s="125" t="n"/>
      <c r="H1797" s="125" t="n"/>
      <c r="I1797" s="125" t="n"/>
      <c r="J1797" s="66" t="n"/>
      <c r="K1797" s="66" t="n"/>
      <c r="L1797" s="66" t="n"/>
      <c r="M1797" s="66" t="n"/>
      <c r="N1797" s="66" t="n"/>
      <c r="O1797" s="66" t="n"/>
      <c r="P1797" s="66" t="n"/>
      <c r="Q1797" s="66" t="n"/>
      <c r="R1797" s="166" t="n"/>
      <c r="S1797" s="167" t="n"/>
      <c r="T1797" s="167" t="n"/>
      <c r="U1797" s="168" t="n"/>
      <c r="V1797" s="168" t="n"/>
    </row>
    <row r="1798" customFormat="1" s="66">
      <c r="A1798" s="125" t="n"/>
      <c r="B1798" s="125" t="n"/>
      <c r="C1798" s="125" t="n"/>
      <c r="D1798" s="68" t="n"/>
      <c r="E1798" s="125" t="n"/>
      <c r="F1798" s="125" t="n"/>
      <c r="G1798" s="125" t="n"/>
      <c r="H1798" s="125" t="n"/>
      <c r="I1798" s="125" t="n"/>
      <c r="J1798" s="66" t="n"/>
      <c r="K1798" s="66" t="n"/>
      <c r="L1798" s="66" t="n"/>
      <c r="M1798" s="66" t="n"/>
      <c r="N1798" s="66" t="n"/>
      <c r="O1798" s="66" t="n"/>
      <c r="P1798" s="66" t="n"/>
      <c r="Q1798" s="66" t="n"/>
      <c r="R1798" s="166" t="n"/>
      <c r="S1798" s="167" t="n"/>
      <c r="T1798" s="167" t="n"/>
      <c r="U1798" s="168" t="n"/>
      <c r="V1798" s="168" t="n"/>
    </row>
    <row r="1799" customFormat="1" s="66">
      <c r="A1799" s="125" t="n"/>
      <c r="B1799" s="125" t="n"/>
      <c r="C1799" s="125" t="n"/>
      <c r="D1799" s="68" t="n"/>
      <c r="E1799" s="125" t="n"/>
      <c r="F1799" s="125" t="n"/>
      <c r="G1799" s="125" t="n"/>
      <c r="H1799" s="125" t="n"/>
      <c r="I1799" s="125" t="n"/>
      <c r="J1799" s="66" t="n"/>
      <c r="K1799" s="66" t="n"/>
      <c r="L1799" s="66" t="n"/>
      <c r="M1799" s="66" t="n"/>
      <c r="N1799" s="66" t="n"/>
      <c r="O1799" s="66" t="n"/>
      <c r="P1799" s="66" t="n"/>
      <c r="Q1799" s="66" t="n"/>
      <c r="R1799" s="166" t="n"/>
      <c r="S1799" s="167" t="n"/>
      <c r="T1799" s="167" t="n"/>
      <c r="U1799" s="168" t="n"/>
      <c r="V1799" s="168" t="n"/>
    </row>
    <row r="1800" customFormat="1" s="66">
      <c r="A1800" s="125" t="n"/>
      <c r="B1800" s="125" t="n"/>
      <c r="C1800" s="125" t="n"/>
      <c r="D1800" s="68" t="n"/>
      <c r="E1800" s="125" t="n"/>
      <c r="F1800" s="125" t="n"/>
      <c r="G1800" s="125" t="n"/>
      <c r="H1800" s="125" t="n"/>
      <c r="I1800" s="125" t="n"/>
      <c r="J1800" s="66" t="n"/>
      <c r="K1800" s="66" t="n"/>
      <c r="L1800" s="66" t="n"/>
      <c r="M1800" s="66" t="n"/>
      <c r="N1800" s="66" t="n"/>
      <c r="O1800" s="66" t="n"/>
      <c r="P1800" s="66" t="n"/>
      <c r="Q1800" s="66" t="n"/>
      <c r="R1800" s="166" t="n"/>
      <c r="S1800" s="167" t="n"/>
      <c r="T1800" s="167" t="n"/>
      <c r="U1800" s="168" t="n"/>
      <c r="V1800" s="168" t="n"/>
    </row>
    <row r="1801" customFormat="1" s="66">
      <c r="A1801" s="125" t="n"/>
      <c r="B1801" s="125" t="n"/>
      <c r="C1801" s="125" t="n"/>
      <c r="D1801" s="68" t="n"/>
      <c r="E1801" s="125" t="n"/>
      <c r="F1801" s="125" t="n"/>
      <c r="G1801" s="125" t="n"/>
      <c r="H1801" s="125" t="n"/>
      <c r="I1801" s="125" t="n"/>
      <c r="J1801" s="66" t="n"/>
      <c r="K1801" s="66" t="n"/>
      <c r="L1801" s="66" t="n"/>
      <c r="M1801" s="66" t="n"/>
      <c r="N1801" s="66" t="n"/>
      <c r="O1801" s="66" t="n"/>
      <c r="P1801" s="66" t="n"/>
      <c r="Q1801" s="66" t="n"/>
      <c r="R1801" s="166" t="n"/>
      <c r="S1801" s="167" t="n"/>
      <c r="T1801" s="167" t="n"/>
      <c r="U1801" s="168" t="n"/>
      <c r="V1801" s="168" t="n"/>
    </row>
    <row r="1802" customFormat="1" s="66">
      <c r="A1802" s="125" t="n"/>
      <c r="B1802" s="125" t="n"/>
      <c r="C1802" s="125" t="n"/>
      <c r="D1802" s="68" t="n"/>
      <c r="E1802" s="125" t="n"/>
      <c r="F1802" s="125" t="n"/>
      <c r="G1802" s="125" t="n"/>
      <c r="H1802" s="125" t="n"/>
      <c r="I1802" s="125" t="n"/>
      <c r="J1802" s="66" t="n"/>
      <c r="K1802" s="66" t="n"/>
      <c r="L1802" s="66" t="n"/>
      <c r="M1802" s="66" t="n"/>
      <c r="N1802" s="66" t="n"/>
      <c r="O1802" s="66" t="n"/>
      <c r="P1802" s="66" t="n"/>
      <c r="Q1802" s="66" t="n"/>
      <c r="R1802" s="166" t="n"/>
      <c r="S1802" s="167" t="n"/>
      <c r="T1802" s="167" t="n"/>
      <c r="U1802" s="168" t="n"/>
      <c r="V1802" s="168" t="n"/>
    </row>
    <row r="1803" customFormat="1" s="66">
      <c r="A1803" s="125" t="n"/>
      <c r="B1803" s="125" t="n"/>
      <c r="C1803" s="125" t="n"/>
      <c r="D1803" s="68" t="n"/>
      <c r="E1803" s="125" t="n"/>
      <c r="F1803" s="125" t="n"/>
      <c r="G1803" s="125" t="n"/>
      <c r="H1803" s="125" t="n"/>
      <c r="I1803" s="125" t="n"/>
      <c r="J1803" s="66" t="n"/>
      <c r="K1803" s="66" t="n"/>
      <c r="L1803" s="66" t="n"/>
      <c r="M1803" s="66" t="n"/>
      <c r="N1803" s="66" t="n"/>
      <c r="O1803" s="66" t="n"/>
      <c r="P1803" s="66" t="n"/>
      <c r="Q1803" s="66" t="n"/>
      <c r="R1803" s="166" t="n"/>
      <c r="S1803" s="167" t="n"/>
      <c r="T1803" s="167" t="n"/>
      <c r="U1803" s="168" t="n"/>
      <c r="V1803" s="168" t="n"/>
    </row>
    <row r="1804" customFormat="1" s="66">
      <c r="A1804" s="125" t="n"/>
      <c r="B1804" s="125" t="n"/>
      <c r="C1804" s="125" t="n"/>
      <c r="D1804" s="68" t="n"/>
      <c r="E1804" s="125" t="n"/>
      <c r="F1804" s="125" t="n"/>
      <c r="G1804" s="125" t="n"/>
      <c r="H1804" s="125" t="n"/>
      <c r="I1804" s="125" t="n"/>
      <c r="J1804" s="66" t="n"/>
      <c r="K1804" s="66" t="n"/>
      <c r="L1804" s="66" t="n"/>
      <c r="M1804" s="66" t="n"/>
      <c r="N1804" s="66" t="n"/>
      <c r="O1804" s="66" t="n"/>
      <c r="P1804" s="66" t="n"/>
      <c r="Q1804" s="66" t="n"/>
      <c r="R1804" s="166" t="n"/>
      <c r="S1804" s="167" t="n"/>
      <c r="T1804" s="167" t="n"/>
      <c r="U1804" s="168" t="n"/>
      <c r="V1804" s="168" t="n"/>
    </row>
    <row r="1805" customFormat="1" s="66">
      <c r="A1805" s="125" t="n"/>
      <c r="B1805" s="125" t="n"/>
      <c r="C1805" s="125" t="n"/>
      <c r="D1805" s="68" t="n"/>
      <c r="E1805" s="125" t="n"/>
      <c r="F1805" s="125" t="n"/>
      <c r="G1805" s="125" t="n"/>
      <c r="H1805" s="125" t="n"/>
      <c r="I1805" s="125" t="n"/>
      <c r="J1805" s="66" t="n"/>
      <c r="K1805" s="66" t="n"/>
      <c r="L1805" s="66" t="n"/>
      <c r="M1805" s="66" t="n"/>
      <c r="N1805" s="66" t="n"/>
      <c r="O1805" s="66" t="n"/>
      <c r="P1805" s="66" t="n"/>
      <c r="Q1805" s="66" t="n"/>
      <c r="R1805" s="166" t="n"/>
      <c r="S1805" s="167" t="n"/>
      <c r="T1805" s="167" t="n"/>
      <c r="U1805" s="168" t="n"/>
      <c r="V1805" s="168" t="n"/>
    </row>
    <row r="1806" customFormat="1" s="66">
      <c r="A1806" s="125" t="n"/>
      <c r="B1806" s="125" t="n"/>
      <c r="C1806" s="125" t="n"/>
      <c r="D1806" s="68" t="n"/>
      <c r="E1806" s="125" t="n"/>
      <c r="F1806" s="125" t="n"/>
      <c r="G1806" s="125" t="n"/>
      <c r="H1806" s="125" t="n"/>
      <c r="I1806" s="125" t="n"/>
      <c r="J1806" s="66" t="n"/>
      <c r="K1806" s="66" t="n"/>
      <c r="L1806" s="66" t="n"/>
      <c r="M1806" s="66" t="n"/>
      <c r="N1806" s="66" t="n"/>
      <c r="O1806" s="66" t="n"/>
      <c r="P1806" s="66" t="n"/>
      <c r="Q1806" s="66" t="n"/>
      <c r="R1806" s="166" t="n"/>
      <c r="S1806" s="167" t="n"/>
      <c r="T1806" s="167" t="n"/>
      <c r="U1806" s="168" t="n"/>
      <c r="V1806" s="168" t="n"/>
    </row>
    <row r="1807" customFormat="1" s="66">
      <c r="A1807" s="125" t="n"/>
      <c r="B1807" s="125" t="n"/>
      <c r="C1807" s="125" t="n"/>
      <c r="D1807" s="68" t="n"/>
      <c r="E1807" s="125" t="n"/>
      <c r="F1807" s="125" t="n"/>
      <c r="G1807" s="125" t="n"/>
      <c r="H1807" s="125" t="n"/>
      <c r="I1807" s="125" t="n"/>
      <c r="J1807" s="66" t="n"/>
      <c r="K1807" s="66" t="n"/>
      <c r="L1807" s="66" t="n"/>
      <c r="M1807" s="66" t="n"/>
      <c r="N1807" s="66" t="n"/>
      <c r="O1807" s="66" t="n"/>
      <c r="P1807" s="66" t="n"/>
      <c r="Q1807" s="66" t="n"/>
      <c r="R1807" s="166" t="n"/>
      <c r="S1807" s="167" t="n"/>
      <c r="T1807" s="167" t="n"/>
      <c r="U1807" s="168" t="n"/>
      <c r="V1807" s="168" t="n"/>
    </row>
    <row r="1808" customFormat="1" s="66">
      <c r="A1808" s="125" t="n"/>
      <c r="B1808" s="125" t="n"/>
      <c r="C1808" s="125" t="n"/>
      <c r="D1808" s="68" t="n"/>
      <c r="E1808" s="125" t="n"/>
      <c r="F1808" s="125" t="n"/>
      <c r="G1808" s="125" t="n"/>
      <c r="H1808" s="125" t="n"/>
      <c r="I1808" s="125" t="n"/>
      <c r="J1808" s="66" t="n"/>
      <c r="K1808" s="66" t="n"/>
      <c r="L1808" s="66" t="n"/>
      <c r="M1808" s="66" t="n"/>
      <c r="N1808" s="66" t="n"/>
      <c r="O1808" s="66" t="n"/>
      <c r="P1808" s="66" t="n"/>
      <c r="Q1808" s="66" t="n"/>
      <c r="R1808" s="166" t="n"/>
      <c r="S1808" s="167" t="n"/>
      <c r="T1808" s="167" t="n"/>
      <c r="U1808" s="168" t="n"/>
      <c r="V1808" s="168" t="n"/>
    </row>
    <row r="1809" customFormat="1" s="66">
      <c r="A1809" s="125" t="n"/>
      <c r="B1809" s="125" t="n"/>
      <c r="C1809" s="125" t="n"/>
      <c r="D1809" s="68" t="n"/>
      <c r="E1809" s="125" t="n"/>
      <c r="F1809" s="125" t="n"/>
      <c r="G1809" s="125" t="n"/>
      <c r="H1809" s="125" t="n"/>
      <c r="I1809" s="125" t="n"/>
      <c r="J1809" s="66" t="n"/>
      <c r="K1809" s="66" t="n"/>
      <c r="L1809" s="66" t="n"/>
      <c r="M1809" s="66" t="n"/>
      <c r="N1809" s="66" t="n"/>
      <c r="O1809" s="66" t="n"/>
      <c r="P1809" s="66" t="n"/>
      <c r="Q1809" s="66" t="n"/>
      <c r="R1809" s="166" t="n"/>
      <c r="S1809" s="167" t="n"/>
      <c r="T1809" s="167" t="n"/>
      <c r="U1809" s="168" t="n"/>
      <c r="V1809" s="168" t="n"/>
    </row>
    <row r="1810" customFormat="1" s="66">
      <c r="A1810" s="125" t="n"/>
      <c r="B1810" s="125" t="n"/>
      <c r="C1810" s="125" t="n"/>
      <c r="D1810" s="68" t="n"/>
      <c r="E1810" s="125" t="n"/>
      <c r="F1810" s="125" t="n"/>
      <c r="G1810" s="125" t="n"/>
      <c r="H1810" s="125" t="n"/>
      <c r="I1810" s="125" t="n"/>
      <c r="J1810" s="66" t="n"/>
      <c r="K1810" s="66" t="n"/>
      <c r="L1810" s="66" t="n"/>
      <c r="M1810" s="66" t="n"/>
      <c r="N1810" s="66" t="n"/>
      <c r="O1810" s="66" t="n"/>
      <c r="P1810" s="66" t="n"/>
      <c r="Q1810" s="66" t="n"/>
      <c r="R1810" s="166" t="n"/>
      <c r="S1810" s="167" t="n"/>
      <c r="T1810" s="167" t="n"/>
      <c r="U1810" s="168" t="n"/>
      <c r="V1810" s="168" t="n"/>
    </row>
    <row r="1811" customFormat="1" s="66">
      <c r="A1811" s="125" t="n"/>
      <c r="B1811" s="125" t="n"/>
      <c r="C1811" s="125" t="n"/>
      <c r="D1811" s="68" t="n"/>
      <c r="E1811" s="125" t="n"/>
      <c r="F1811" s="125" t="n"/>
      <c r="G1811" s="125" t="n"/>
      <c r="H1811" s="125" t="n"/>
      <c r="I1811" s="125" t="n"/>
      <c r="J1811" s="66" t="n"/>
      <c r="K1811" s="66" t="n"/>
      <c r="L1811" s="66" t="n"/>
      <c r="M1811" s="66" t="n"/>
      <c r="N1811" s="66" t="n"/>
      <c r="O1811" s="66" t="n"/>
      <c r="P1811" s="66" t="n"/>
      <c r="Q1811" s="66" t="n"/>
      <c r="R1811" s="166" t="n"/>
      <c r="S1811" s="167" t="n"/>
      <c r="T1811" s="167" t="n"/>
      <c r="U1811" s="168" t="n"/>
      <c r="V1811" s="168" t="n"/>
    </row>
    <row r="1812" customFormat="1" s="66">
      <c r="A1812" s="125" t="n"/>
      <c r="B1812" s="125" t="n"/>
      <c r="C1812" s="125" t="n"/>
      <c r="D1812" s="68" t="n"/>
      <c r="E1812" s="125" t="n"/>
      <c r="F1812" s="125" t="n"/>
      <c r="G1812" s="125" t="n"/>
      <c r="H1812" s="125" t="n"/>
      <c r="I1812" s="125" t="n"/>
      <c r="J1812" s="66" t="n"/>
      <c r="K1812" s="66" t="n"/>
      <c r="L1812" s="66" t="n"/>
      <c r="M1812" s="66" t="n"/>
      <c r="N1812" s="66" t="n"/>
      <c r="O1812" s="66" t="n"/>
      <c r="P1812" s="66" t="n"/>
      <c r="Q1812" s="66" t="n"/>
      <c r="R1812" s="166" t="n"/>
      <c r="S1812" s="167" t="n"/>
      <c r="T1812" s="167" t="n"/>
      <c r="U1812" s="168" t="n"/>
      <c r="V1812" s="168" t="n"/>
    </row>
    <row r="1813" customFormat="1" s="66">
      <c r="A1813" s="125" t="n"/>
      <c r="B1813" s="125" t="n"/>
      <c r="C1813" s="125" t="n"/>
      <c r="D1813" s="68" t="n"/>
      <c r="E1813" s="125" t="n"/>
      <c r="F1813" s="125" t="n"/>
      <c r="G1813" s="125" t="n"/>
      <c r="H1813" s="125" t="n"/>
      <c r="I1813" s="125" t="n"/>
      <c r="J1813" s="66" t="n"/>
      <c r="K1813" s="66" t="n"/>
      <c r="L1813" s="66" t="n"/>
      <c r="M1813" s="66" t="n"/>
      <c r="N1813" s="66" t="n"/>
      <c r="O1813" s="66" t="n"/>
      <c r="P1813" s="66" t="n"/>
      <c r="Q1813" s="66" t="n"/>
      <c r="R1813" s="166" t="n"/>
      <c r="S1813" s="167" t="n"/>
      <c r="T1813" s="167" t="n"/>
      <c r="U1813" s="168" t="n"/>
      <c r="V1813" s="168" t="n"/>
    </row>
    <row r="1814" customFormat="1" s="66">
      <c r="A1814" s="125" t="n"/>
      <c r="B1814" s="125" t="n"/>
      <c r="C1814" s="125" t="n"/>
      <c r="D1814" s="68" t="n"/>
      <c r="E1814" s="125" t="n"/>
      <c r="F1814" s="125" t="n"/>
      <c r="G1814" s="125" t="n"/>
      <c r="H1814" s="125" t="n"/>
      <c r="I1814" s="125" t="n"/>
      <c r="J1814" s="66" t="n"/>
      <c r="K1814" s="66" t="n"/>
      <c r="L1814" s="66" t="n"/>
      <c r="M1814" s="66" t="n"/>
      <c r="N1814" s="66" t="n"/>
      <c r="O1814" s="66" t="n"/>
      <c r="P1814" s="66" t="n"/>
      <c r="Q1814" s="66" t="n"/>
      <c r="R1814" s="166" t="n"/>
      <c r="S1814" s="167" t="n"/>
      <c r="T1814" s="167" t="n"/>
      <c r="U1814" s="168" t="n"/>
      <c r="V1814" s="168" t="n"/>
    </row>
    <row r="1815" customFormat="1" s="66">
      <c r="A1815" s="125" t="n"/>
      <c r="B1815" s="125" t="n"/>
      <c r="C1815" s="125" t="n"/>
      <c r="D1815" s="68" t="n"/>
      <c r="E1815" s="125" t="n"/>
      <c r="F1815" s="125" t="n"/>
      <c r="G1815" s="125" t="n"/>
      <c r="H1815" s="125" t="n"/>
      <c r="I1815" s="125" t="n"/>
      <c r="J1815" s="66" t="n"/>
      <c r="K1815" s="66" t="n"/>
      <c r="L1815" s="66" t="n"/>
      <c r="M1815" s="66" t="n"/>
      <c r="N1815" s="66" t="n"/>
      <c r="O1815" s="66" t="n"/>
      <c r="P1815" s="66" t="n"/>
      <c r="Q1815" s="66" t="n"/>
      <c r="R1815" s="166" t="n"/>
      <c r="S1815" s="167" t="n"/>
      <c r="T1815" s="167" t="n"/>
      <c r="U1815" s="168" t="n"/>
      <c r="V1815" s="168" t="n"/>
    </row>
    <row r="1816" customFormat="1" s="66">
      <c r="A1816" s="125" t="n"/>
      <c r="B1816" s="125" t="n"/>
      <c r="C1816" s="125" t="n"/>
      <c r="D1816" s="68" t="n"/>
      <c r="E1816" s="125" t="n"/>
      <c r="F1816" s="125" t="n"/>
      <c r="G1816" s="125" t="n"/>
      <c r="H1816" s="125" t="n"/>
      <c r="I1816" s="125" t="n"/>
      <c r="J1816" s="66" t="n"/>
      <c r="K1816" s="66" t="n"/>
      <c r="L1816" s="66" t="n"/>
      <c r="M1816" s="66" t="n"/>
      <c r="N1816" s="66" t="n"/>
      <c r="O1816" s="66" t="n"/>
      <c r="P1816" s="66" t="n"/>
      <c r="Q1816" s="66" t="n"/>
      <c r="R1816" s="166" t="n"/>
      <c r="S1816" s="167" t="n"/>
      <c r="T1816" s="167" t="n"/>
      <c r="U1816" s="168" t="n"/>
      <c r="V1816" s="168" t="n"/>
    </row>
    <row r="1817" customFormat="1" s="66">
      <c r="A1817" s="125" t="n"/>
      <c r="B1817" s="125" t="n"/>
      <c r="C1817" s="125" t="n"/>
      <c r="D1817" s="68" t="n"/>
      <c r="E1817" s="125" t="n"/>
      <c r="F1817" s="125" t="n"/>
      <c r="G1817" s="125" t="n"/>
      <c r="H1817" s="125" t="n"/>
      <c r="I1817" s="125" t="n"/>
      <c r="J1817" s="66" t="n"/>
      <c r="K1817" s="66" t="n"/>
      <c r="L1817" s="66" t="n"/>
      <c r="M1817" s="66" t="n"/>
      <c r="N1817" s="66" t="n"/>
      <c r="O1817" s="66" t="n"/>
      <c r="P1817" s="66" t="n"/>
      <c r="Q1817" s="66" t="n"/>
      <c r="R1817" s="166" t="n"/>
      <c r="S1817" s="167" t="n"/>
      <c r="T1817" s="167" t="n"/>
      <c r="U1817" s="168" t="n"/>
      <c r="V1817" s="168" t="n"/>
    </row>
    <row r="1818" customFormat="1" s="66">
      <c r="A1818" s="125" t="n"/>
      <c r="B1818" s="125" t="n"/>
      <c r="C1818" s="125" t="n"/>
      <c r="D1818" s="68" t="n"/>
      <c r="E1818" s="125" t="n"/>
      <c r="F1818" s="125" t="n"/>
      <c r="G1818" s="125" t="n"/>
      <c r="H1818" s="125" t="n"/>
      <c r="I1818" s="125" t="n"/>
      <c r="J1818" s="66" t="n"/>
      <c r="K1818" s="66" t="n"/>
      <c r="L1818" s="66" t="n"/>
      <c r="M1818" s="66" t="n"/>
      <c r="N1818" s="66" t="n"/>
      <c r="O1818" s="66" t="n"/>
      <c r="P1818" s="66" t="n"/>
      <c r="Q1818" s="66" t="n"/>
      <c r="R1818" s="166" t="n"/>
      <c r="S1818" s="167" t="n"/>
      <c r="T1818" s="167" t="n"/>
      <c r="U1818" s="168" t="n"/>
      <c r="V1818" s="168" t="n"/>
    </row>
    <row r="1819" customFormat="1" s="66">
      <c r="A1819" s="125" t="n"/>
      <c r="B1819" s="125" t="n"/>
      <c r="C1819" s="125" t="n"/>
      <c r="D1819" s="68" t="n"/>
      <c r="E1819" s="125" t="n"/>
      <c r="F1819" s="125" t="n"/>
      <c r="G1819" s="125" t="n"/>
      <c r="H1819" s="125" t="n"/>
      <c r="I1819" s="125" t="n"/>
      <c r="J1819" s="66" t="n"/>
      <c r="K1819" s="66" t="n"/>
      <c r="L1819" s="66" t="n"/>
      <c r="M1819" s="66" t="n"/>
      <c r="N1819" s="66" t="n"/>
      <c r="O1819" s="66" t="n"/>
      <c r="P1819" s="66" t="n"/>
      <c r="Q1819" s="66" t="n"/>
      <c r="R1819" s="166" t="n"/>
      <c r="S1819" s="167" t="n"/>
      <c r="T1819" s="167" t="n"/>
      <c r="U1819" s="168" t="n"/>
      <c r="V1819" s="168" t="n"/>
    </row>
    <row r="1820" customFormat="1" s="66">
      <c r="A1820" s="125" t="n"/>
      <c r="B1820" s="125" t="n"/>
      <c r="C1820" s="125" t="n"/>
      <c r="D1820" s="68" t="n"/>
      <c r="E1820" s="125" t="n"/>
      <c r="F1820" s="125" t="n"/>
      <c r="G1820" s="125" t="n"/>
      <c r="H1820" s="125" t="n"/>
      <c r="I1820" s="125" t="n"/>
      <c r="J1820" s="66" t="n"/>
      <c r="K1820" s="66" t="n"/>
      <c r="L1820" s="66" t="n"/>
      <c r="M1820" s="66" t="n"/>
      <c r="N1820" s="66" t="n"/>
      <c r="O1820" s="66" t="n"/>
      <c r="P1820" s="66" t="n"/>
      <c r="Q1820" s="66" t="n"/>
      <c r="R1820" s="166" t="n"/>
      <c r="S1820" s="167" t="n"/>
      <c r="T1820" s="167" t="n"/>
      <c r="U1820" s="168" t="n"/>
      <c r="V1820" s="168" t="n"/>
    </row>
    <row r="1821" customFormat="1" s="66">
      <c r="A1821" s="125" t="n"/>
      <c r="B1821" s="125" t="n"/>
      <c r="C1821" s="125" t="n"/>
      <c r="D1821" s="68" t="n"/>
      <c r="E1821" s="125" t="n"/>
      <c r="F1821" s="125" t="n"/>
      <c r="G1821" s="125" t="n"/>
      <c r="H1821" s="125" t="n"/>
      <c r="I1821" s="125" t="n"/>
      <c r="J1821" s="66" t="n"/>
      <c r="K1821" s="66" t="n"/>
      <c r="L1821" s="66" t="n"/>
      <c r="M1821" s="66" t="n"/>
      <c r="N1821" s="66" t="n"/>
      <c r="O1821" s="66" t="n"/>
      <c r="P1821" s="66" t="n"/>
      <c r="Q1821" s="66" t="n"/>
      <c r="R1821" s="166" t="n"/>
      <c r="S1821" s="167" t="n"/>
      <c r="T1821" s="167" t="n"/>
      <c r="U1821" s="168" t="n"/>
      <c r="V1821" s="168" t="n"/>
    </row>
    <row r="1822" customFormat="1" s="66">
      <c r="A1822" s="125" t="n"/>
      <c r="B1822" s="125" t="n"/>
      <c r="C1822" s="125" t="n"/>
      <c r="D1822" s="68" t="n"/>
      <c r="E1822" s="125" t="n"/>
      <c r="F1822" s="125" t="n"/>
      <c r="G1822" s="125" t="n"/>
      <c r="H1822" s="125" t="n"/>
      <c r="I1822" s="125" t="n"/>
      <c r="J1822" s="66" t="n"/>
      <c r="K1822" s="66" t="n"/>
      <c r="L1822" s="66" t="n"/>
      <c r="M1822" s="66" t="n"/>
      <c r="N1822" s="66" t="n"/>
      <c r="O1822" s="66" t="n"/>
      <c r="P1822" s="66" t="n"/>
      <c r="Q1822" s="66" t="n"/>
      <c r="R1822" s="166" t="n"/>
      <c r="S1822" s="167" t="n"/>
      <c r="T1822" s="167" t="n"/>
      <c r="U1822" s="168" t="n"/>
      <c r="V1822" s="168" t="n"/>
    </row>
    <row r="1823" customFormat="1" s="66">
      <c r="A1823" s="125" t="n"/>
      <c r="B1823" s="125" t="n"/>
      <c r="C1823" s="125" t="n"/>
      <c r="D1823" s="68" t="n"/>
      <c r="E1823" s="125" t="n"/>
      <c r="F1823" s="125" t="n"/>
      <c r="G1823" s="125" t="n"/>
      <c r="H1823" s="125" t="n"/>
      <c r="I1823" s="125" t="n"/>
      <c r="J1823" s="66" t="n"/>
      <c r="K1823" s="66" t="n"/>
      <c r="L1823" s="66" t="n"/>
      <c r="M1823" s="66" t="n"/>
      <c r="N1823" s="66" t="n"/>
      <c r="O1823" s="66" t="n"/>
      <c r="P1823" s="66" t="n"/>
      <c r="Q1823" s="66" t="n"/>
      <c r="R1823" s="166" t="n"/>
      <c r="S1823" s="167" t="n"/>
      <c r="T1823" s="167" t="n"/>
      <c r="U1823" s="168" t="n"/>
      <c r="V1823" s="168" t="n"/>
    </row>
    <row r="1824" customFormat="1" s="66">
      <c r="A1824" s="125" t="n"/>
      <c r="B1824" s="125" t="n"/>
      <c r="C1824" s="125" t="n"/>
      <c r="D1824" s="68" t="n"/>
      <c r="E1824" s="125" t="n"/>
      <c r="F1824" s="125" t="n"/>
      <c r="G1824" s="125" t="n"/>
      <c r="H1824" s="125" t="n"/>
      <c r="I1824" s="125" t="n"/>
      <c r="J1824" s="66" t="n"/>
      <c r="K1824" s="66" t="n"/>
      <c r="L1824" s="66" t="n"/>
      <c r="M1824" s="66" t="n"/>
      <c r="N1824" s="66" t="n"/>
      <c r="O1824" s="66" t="n"/>
      <c r="P1824" s="66" t="n"/>
      <c r="Q1824" s="66" t="n"/>
      <c r="R1824" s="166" t="n"/>
      <c r="S1824" s="167" t="n"/>
      <c r="T1824" s="167" t="n"/>
      <c r="U1824" s="168" t="n"/>
      <c r="V1824" s="168" t="n"/>
    </row>
    <row r="1825" customFormat="1" s="66">
      <c r="A1825" s="125" t="n"/>
      <c r="B1825" s="125" t="n"/>
      <c r="C1825" s="125" t="n"/>
      <c r="D1825" s="68" t="n"/>
      <c r="E1825" s="125" t="n"/>
      <c r="F1825" s="125" t="n"/>
      <c r="G1825" s="125" t="n"/>
      <c r="H1825" s="125" t="n"/>
      <c r="I1825" s="125" t="n"/>
      <c r="J1825" s="66" t="n"/>
      <c r="K1825" s="66" t="n"/>
      <c r="L1825" s="66" t="n"/>
      <c r="M1825" s="66" t="n"/>
      <c r="N1825" s="66" t="n"/>
      <c r="O1825" s="66" t="n"/>
      <c r="P1825" s="66" t="n"/>
      <c r="Q1825" s="66" t="n"/>
      <c r="R1825" s="166" t="n"/>
      <c r="S1825" s="167" t="n"/>
      <c r="T1825" s="167" t="n"/>
      <c r="U1825" s="168" t="n"/>
      <c r="V1825" s="168" t="n"/>
    </row>
    <row r="1826" customFormat="1" s="66">
      <c r="A1826" s="125" t="n"/>
      <c r="B1826" s="125" t="n"/>
      <c r="C1826" s="125" t="n"/>
      <c r="D1826" s="68" t="n"/>
      <c r="E1826" s="125" t="n"/>
      <c r="F1826" s="125" t="n"/>
      <c r="G1826" s="125" t="n"/>
      <c r="H1826" s="125" t="n"/>
      <c r="I1826" s="125" t="n"/>
      <c r="J1826" s="66" t="n"/>
      <c r="K1826" s="66" t="n"/>
      <c r="L1826" s="66" t="n"/>
      <c r="M1826" s="66" t="n"/>
      <c r="N1826" s="66" t="n"/>
      <c r="O1826" s="66" t="n"/>
      <c r="P1826" s="66" t="n"/>
      <c r="Q1826" s="66" t="n"/>
      <c r="R1826" s="166" t="n"/>
      <c r="S1826" s="167" t="n"/>
      <c r="T1826" s="167" t="n"/>
      <c r="U1826" s="168" t="n"/>
      <c r="V1826" s="168" t="n"/>
    </row>
    <row r="1827" customFormat="1" s="66">
      <c r="A1827" s="125" t="n"/>
      <c r="B1827" s="125" t="n"/>
      <c r="C1827" s="125" t="n"/>
      <c r="D1827" s="68" t="n"/>
      <c r="E1827" s="125" t="n"/>
      <c r="F1827" s="125" t="n"/>
      <c r="G1827" s="125" t="n"/>
      <c r="H1827" s="125" t="n"/>
      <c r="I1827" s="125" t="n"/>
      <c r="J1827" s="66" t="n"/>
      <c r="K1827" s="66" t="n"/>
      <c r="L1827" s="66" t="n"/>
      <c r="M1827" s="66" t="n"/>
      <c r="N1827" s="66" t="n"/>
      <c r="O1827" s="66" t="n"/>
      <c r="P1827" s="66" t="n"/>
      <c r="Q1827" s="66" t="n"/>
      <c r="R1827" s="166" t="n"/>
      <c r="S1827" s="167" t="n"/>
      <c r="T1827" s="167" t="n"/>
      <c r="U1827" s="168" t="n"/>
      <c r="V1827" s="168" t="n"/>
    </row>
    <row r="1828" customFormat="1" s="66">
      <c r="A1828" s="125" t="n"/>
      <c r="B1828" s="125" t="n"/>
      <c r="C1828" s="125" t="n"/>
      <c r="D1828" s="68" t="n"/>
      <c r="E1828" s="125" t="n"/>
      <c r="F1828" s="125" t="n"/>
      <c r="G1828" s="125" t="n"/>
      <c r="H1828" s="125" t="n"/>
      <c r="I1828" s="125" t="n"/>
      <c r="J1828" s="66" t="n"/>
      <c r="K1828" s="66" t="n"/>
      <c r="L1828" s="66" t="n"/>
      <c r="M1828" s="66" t="n"/>
      <c r="N1828" s="66" t="n"/>
      <c r="O1828" s="66" t="n"/>
      <c r="P1828" s="66" t="n"/>
      <c r="Q1828" s="66" t="n"/>
      <c r="R1828" s="166" t="n"/>
      <c r="S1828" s="167" t="n"/>
      <c r="T1828" s="167" t="n"/>
      <c r="U1828" s="168" t="n"/>
      <c r="V1828" s="168" t="n"/>
    </row>
    <row r="1829" customFormat="1" s="66">
      <c r="A1829" s="125" t="n"/>
      <c r="B1829" s="125" t="n"/>
      <c r="C1829" s="125" t="n"/>
      <c r="D1829" s="68" t="n"/>
      <c r="E1829" s="125" t="n"/>
      <c r="F1829" s="125" t="n"/>
      <c r="G1829" s="125" t="n"/>
      <c r="H1829" s="125" t="n"/>
      <c r="I1829" s="125" t="n"/>
      <c r="J1829" s="66" t="n"/>
      <c r="K1829" s="66" t="n"/>
      <c r="L1829" s="66" t="n"/>
      <c r="M1829" s="66" t="n"/>
      <c r="N1829" s="66" t="n"/>
      <c r="O1829" s="66" t="n"/>
      <c r="P1829" s="66" t="n"/>
      <c r="Q1829" s="66" t="n"/>
      <c r="R1829" s="166" t="n"/>
      <c r="S1829" s="167" t="n"/>
      <c r="T1829" s="167" t="n"/>
      <c r="U1829" s="168" t="n"/>
      <c r="V1829" s="168" t="n"/>
    </row>
    <row r="1830" customFormat="1" s="66">
      <c r="A1830" s="125" t="n"/>
      <c r="B1830" s="125" t="n"/>
      <c r="C1830" s="125" t="n"/>
      <c r="D1830" s="68" t="n"/>
      <c r="E1830" s="125" t="n"/>
      <c r="F1830" s="125" t="n"/>
      <c r="G1830" s="125" t="n"/>
      <c r="H1830" s="125" t="n"/>
      <c r="I1830" s="125" t="n"/>
      <c r="J1830" s="66" t="n"/>
      <c r="K1830" s="66" t="n"/>
      <c r="L1830" s="66" t="n"/>
      <c r="M1830" s="66" t="n"/>
      <c r="N1830" s="66" t="n"/>
      <c r="O1830" s="66" t="n"/>
      <c r="P1830" s="66" t="n"/>
      <c r="Q1830" s="66" t="n"/>
      <c r="R1830" s="166" t="n"/>
      <c r="S1830" s="167" t="n"/>
      <c r="T1830" s="167" t="n"/>
      <c r="U1830" s="168" t="n"/>
      <c r="V1830" s="168" t="n"/>
    </row>
    <row r="1831" customFormat="1" s="66">
      <c r="A1831" s="125" t="n"/>
      <c r="B1831" s="125" t="n"/>
      <c r="C1831" s="125" t="n"/>
      <c r="D1831" s="68" t="n"/>
      <c r="E1831" s="125" t="n"/>
      <c r="F1831" s="125" t="n"/>
      <c r="G1831" s="125" t="n"/>
      <c r="H1831" s="125" t="n"/>
      <c r="I1831" s="125" t="n"/>
      <c r="J1831" s="66" t="n"/>
      <c r="K1831" s="66" t="n"/>
      <c r="L1831" s="66" t="n"/>
      <c r="M1831" s="66" t="n"/>
      <c r="N1831" s="66" t="n"/>
      <c r="O1831" s="66" t="n"/>
      <c r="P1831" s="66" t="n"/>
      <c r="Q1831" s="66" t="n"/>
      <c r="R1831" s="166" t="n"/>
      <c r="S1831" s="167" t="n"/>
      <c r="T1831" s="167" t="n"/>
      <c r="U1831" s="168" t="n"/>
      <c r="V1831" s="168" t="n"/>
    </row>
    <row r="1832" customFormat="1" s="66">
      <c r="A1832" s="125" t="n"/>
      <c r="B1832" s="125" t="n"/>
      <c r="C1832" s="125" t="n"/>
      <c r="D1832" s="68" t="n"/>
      <c r="E1832" s="125" t="n"/>
      <c r="F1832" s="125" t="n"/>
      <c r="G1832" s="125" t="n"/>
      <c r="H1832" s="125" t="n"/>
      <c r="I1832" s="125" t="n"/>
      <c r="J1832" s="66" t="n"/>
      <c r="K1832" s="66" t="n"/>
      <c r="L1832" s="66" t="n"/>
      <c r="M1832" s="66" t="n"/>
      <c r="N1832" s="66" t="n"/>
      <c r="O1832" s="66" t="n"/>
      <c r="P1832" s="66" t="n"/>
      <c r="Q1832" s="66" t="n"/>
      <c r="R1832" s="166" t="n"/>
      <c r="S1832" s="167" t="n"/>
      <c r="T1832" s="167" t="n"/>
      <c r="U1832" s="168" t="n"/>
      <c r="V1832" s="168" t="n"/>
    </row>
    <row r="1833" customFormat="1" s="66">
      <c r="A1833" s="125" t="n"/>
      <c r="B1833" s="125" t="n"/>
      <c r="C1833" s="125" t="n"/>
      <c r="D1833" s="68" t="n"/>
      <c r="E1833" s="125" t="n"/>
      <c r="F1833" s="125" t="n"/>
      <c r="G1833" s="125" t="n"/>
      <c r="H1833" s="125" t="n"/>
      <c r="I1833" s="125" t="n"/>
      <c r="J1833" s="66" t="n"/>
      <c r="K1833" s="66" t="n"/>
      <c r="L1833" s="66" t="n"/>
      <c r="M1833" s="66" t="n"/>
      <c r="N1833" s="66" t="n"/>
      <c r="O1833" s="66" t="n"/>
      <c r="P1833" s="66" t="n"/>
      <c r="Q1833" s="66" t="n"/>
      <c r="R1833" s="166" t="n"/>
      <c r="S1833" s="167" t="n"/>
      <c r="T1833" s="167" t="n"/>
      <c r="U1833" s="168" t="n"/>
      <c r="V1833" s="168" t="n"/>
    </row>
    <row r="1834" customFormat="1" s="66">
      <c r="A1834" s="125" t="n"/>
      <c r="B1834" s="125" t="n"/>
      <c r="C1834" s="125" t="n"/>
      <c r="D1834" s="68" t="n"/>
      <c r="E1834" s="125" t="n"/>
      <c r="F1834" s="125" t="n"/>
      <c r="G1834" s="125" t="n"/>
      <c r="H1834" s="125" t="n"/>
      <c r="I1834" s="125" t="n"/>
      <c r="J1834" s="66" t="n"/>
      <c r="K1834" s="66" t="n"/>
      <c r="L1834" s="66" t="n"/>
      <c r="M1834" s="66" t="n"/>
      <c r="N1834" s="66" t="n"/>
      <c r="O1834" s="66" t="n"/>
      <c r="P1834" s="66" t="n"/>
      <c r="Q1834" s="66" t="n"/>
      <c r="R1834" s="166" t="n"/>
      <c r="S1834" s="167" t="n"/>
      <c r="T1834" s="167" t="n"/>
      <c r="U1834" s="168" t="n"/>
      <c r="V1834" s="168" t="n"/>
    </row>
    <row r="1835" customFormat="1" s="66">
      <c r="A1835" s="125" t="n"/>
      <c r="B1835" s="125" t="n"/>
      <c r="C1835" s="125" t="n"/>
      <c r="D1835" s="68" t="n"/>
      <c r="E1835" s="125" t="n"/>
      <c r="F1835" s="125" t="n"/>
      <c r="G1835" s="125" t="n"/>
      <c r="H1835" s="125" t="n"/>
      <c r="I1835" s="125" t="n"/>
      <c r="J1835" s="66" t="n"/>
      <c r="K1835" s="66" t="n"/>
      <c r="L1835" s="66" t="n"/>
      <c r="M1835" s="66" t="n"/>
      <c r="N1835" s="66" t="n"/>
      <c r="O1835" s="66" t="n"/>
      <c r="P1835" s="66" t="n"/>
      <c r="Q1835" s="66" t="n"/>
      <c r="R1835" s="166" t="n"/>
      <c r="S1835" s="167" t="n"/>
      <c r="T1835" s="167" t="n"/>
      <c r="U1835" s="168" t="n"/>
      <c r="V1835" s="168" t="n"/>
    </row>
    <row r="1836" customFormat="1" s="66">
      <c r="A1836" s="125" t="n"/>
      <c r="B1836" s="125" t="n"/>
      <c r="C1836" s="125" t="n"/>
      <c r="D1836" s="68" t="n"/>
      <c r="E1836" s="125" t="n"/>
      <c r="F1836" s="125" t="n"/>
      <c r="G1836" s="125" t="n"/>
      <c r="H1836" s="125" t="n"/>
      <c r="I1836" s="125" t="n"/>
      <c r="J1836" s="66" t="n"/>
      <c r="K1836" s="66" t="n"/>
      <c r="L1836" s="66" t="n"/>
      <c r="M1836" s="66" t="n"/>
      <c r="N1836" s="66" t="n"/>
      <c r="O1836" s="66" t="n"/>
      <c r="P1836" s="66" t="n"/>
      <c r="Q1836" s="66" t="n"/>
      <c r="R1836" s="166" t="n"/>
      <c r="S1836" s="167" t="n"/>
      <c r="T1836" s="167" t="n"/>
      <c r="U1836" s="168" t="n"/>
      <c r="V1836" s="168" t="n"/>
    </row>
    <row r="1837" customFormat="1" s="66">
      <c r="A1837" s="125" t="n"/>
      <c r="B1837" s="125" t="n"/>
      <c r="C1837" s="125" t="n"/>
      <c r="D1837" s="68" t="n"/>
      <c r="E1837" s="125" t="n"/>
      <c r="F1837" s="125" t="n"/>
      <c r="G1837" s="125" t="n"/>
      <c r="H1837" s="125" t="n"/>
      <c r="I1837" s="125" t="n"/>
      <c r="J1837" s="66" t="n"/>
      <c r="K1837" s="66" t="n"/>
      <c r="L1837" s="66" t="n"/>
      <c r="M1837" s="66" t="n"/>
      <c r="N1837" s="66" t="n"/>
      <c r="O1837" s="66" t="n"/>
      <c r="P1837" s="66" t="n"/>
      <c r="Q1837" s="66" t="n"/>
      <c r="R1837" s="166" t="n"/>
      <c r="S1837" s="167" t="n"/>
      <c r="T1837" s="167" t="n"/>
      <c r="U1837" s="168" t="n"/>
      <c r="V1837" s="168" t="n"/>
    </row>
    <row r="1838" customFormat="1" s="66">
      <c r="A1838" s="125" t="n"/>
      <c r="B1838" s="125" t="n"/>
      <c r="C1838" s="125" t="n"/>
      <c r="D1838" s="68" t="n"/>
      <c r="E1838" s="125" t="n"/>
      <c r="F1838" s="125" t="n"/>
      <c r="G1838" s="125" t="n"/>
      <c r="H1838" s="125" t="n"/>
      <c r="I1838" s="125" t="n"/>
      <c r="J1838" s="66" t="n"/>
      <c r="K1838" s="66" t="n"/>
      <c r="L1838" s="66" t="n"/>
      <c r="M1838" s="66" t="n"/>
      <c r="N1838" s="66" t="n"/>
      <c r="O1838" s="66" t="n"/>
      <c r="P1838" s="66" t="n"/>
      <c r="Q1838" s="66" t="n"/>
      <c r="R1838" s="166" t="n"/>
      <c r="S1838" s="167" t="n"/>
      <c r="T1838" s="167" t="n"/>
      <c r="U1838" s="168" t="n"/>
      <c r="V1838" s="168" t="n"/>
    </row>
    <row r="1839" customFormat="1" s="66">
      <c r="A1839" s="125" t="n"/>
      <c r="B1839" s="125" t="n"/>
      <c r="C1839" s="125" t="n"/>
      <c r="D1839" s="68" t="n"/>
      <c r="E1839" s="125" t="n"/>
      <c r="F1839" s="125" t="n"/>
      <c r="G1839" s="125" t="n"/>
      <c r="H1839" s="125" t="n"/>
      <c r="I1839" s="125" t="n"/>
      <c r="J1839" s="66" t="n"/>
      <c r="K1839" s="66" t="n"/>
      <c r="L1839" s="66" t="n"/>
      <c r="M1839" s="66" t="n"/>
      <c r="N1839" s="66" t="n"/>
      <c r="O1839" s="66" t="n"/>
      <c r="P1839" s="66" t="n"/>
      <c r="Q1839" s="66" t="n"/>
      <c r="R1839" s="166" t="n"/>
      <c r="S1839" s="167" t="n"/>
      <c r="T1839" s="167" t="n"/>
      <c r="U1839" s="168" t="n"/>
      <c r="V1839" s="168" t="n"/>
    </row>
    <row r="1840" customFormat="1" s="66">
      <c r="A1840" s="125" t="n"/>
      <c r="B1840" s="125" t="n"/>
      <c r="C1840" s="125" t="n"/>
      <c r="D1840" s="68" t="n"/>
      <c r="E1840" s="125" t="n"/>
      <c r="F1840" s="125" t="n"/>
      <c r="G1840" s="125" t="n"/>
      <c r="H1840" s="125" t="n"/>
      <c r="I1840" s="125" t="n"/>
      <c r="J1840" s="66" t="n"/>
      <c r="K1840" s="66" t="n"/>
      <c r="L1840" s="66" t="n"/>
      <c r="M1840" s="66" t="n"/>
      <c r="N1840" s="66" t="n"/>
      <c r="O1840" s="66" t="n"/>
      <c r="P1840" s="66" t="n"/>
      <c r="Q1840" s="66" t="n"/>
      <c r="R1840" s="166" t="n"/>
      <c r="S1840" s="167" t="n"/>
      <c r="T1840" s="167" t="n"/>
      <c r="U1840" s="168" t="n"/>
      <c r="V1840" s="168" t="n"/>
    </row>
    <row r="1841" customFormat="1" s="66">
      <c r="A1841" s="125" t="n"/>
      <c r="B1841" s="125" t="n"/>
      <c r="C1841" s="125" t="n"/>
      <c r="D1841" s="68" t="n"/>
      <c r="E1841" s="125" t="n"/>
      <c r="F1841" s="125" t="n"/>
      <c r="G1841" s="125" t="n"/>
      <c r="H1841" s="125" t="n"/>
      <c r="I1841" s="125" t="n"/>
      <c r="J1841" s="66" t="n"/>
      <c r="K1841" s="66" t="n"/>
      <c r="L1841" s="66" t="n"/>
      <c r="M1841" s="66" t="n"/>
      <c r="N1841" s="66" t="n"/>
      <c r="O1841" s="66" t="n"/>
      <c r="P1841" s="66" t="n"/>
      <c r="Q1841" s="66" t="n"/>
      <c r="R1841" s="166" t="n"/>
      <c r="S1841" s="167" t="n"/>
      <c r="T1841" s="167" t="n"/>
      <c r="U1841" s="168" t="n"/>
      <c r="V1841" s="168" t="n"/>
    </row>
    <row r="1842" customFormat="1" s="66">
      <c r="A1842" s="125" t="n"/>
      <c r="B1842" s="125" t="n"/>
      <c r="C1842" s="125" t="n"/>
      <c r="D1842" s="68" t="n"/>
      <c r="E1842" s="125" t="n"/>
      <c r="F1842" s="125" t="n"/>
      <c r="G1842" s="125" t="n"/>
      <c r="H1842" s="125" t="n"/>
      <c r="I1842" s="125" t="n"/>
      <c r="J1842" s="66" t="n"/>
      <c r="K1842" s="66" t="n"/>
      <c r="L1842" s="66" t="n"/>
      <c r="M1842" s="66" t="n"/>
      <c r="N1842" s="66" t="n"/>
      <c r="O1842" s="66" t="n"/>
      <c r="P1842" s="66" t="n"/>
      <c r="Q1842" s="66" t="n"/>
      <c r="R1842" s="166" t="n"/>
      <c r="S1842" s="167" t="n"/>
      <c r="T1842" s="167" t="n"/>
      <c r="U1842" s="168" t="n"/>
      <c r="V1842" s="168" t="n"/>
    </row>
    <row r="1843" customFormat="1" s="66">
      <c r="A1843" s="125" t="n"/>
      <c r="B1843" s="125" t="n"/>
      <c r="C1843" s="125" t="n"/>
      <c r="D1843" s="68" t="n"/>
      <c r="E1843" s="125" t="n"/>
      <c r="F1843" s="125" t="n"/>
      <c r="G1843" s="125" t="n"/>
      <c r="H1843" s="125" t="n"/>
      <c r="I1843" s="125" t="n"/>
      <c r="J1843" s="66" t="n"/>
      <c r="K1843" s="66" t="n"/>
      <c r="L1843" s="66" t="n"/>
      <c r="M1843" s="66" t="n"/>
      <c r="N1843" s="66" t="n"/>
      <c r="O1843" s="66" t="n"/>
      <c r="P1843" s="66" t="n"/>
      <c r="Q1843" s="66" t="n"/>
      <c r="R1843" s="166" t="n"/>
      <c r="S1843" s="167" t="n"/>
      <c r="T1843" s="167" t="n"/>
      <c r="U1843" s="168" t="n"/>
      <c r="V1843" s="168" t="n"/>
    </row>
    <row r="1844" customFormat="1" s="66">
      <c r="A1844" s="125" t="n"/>
      <c r="B1844" s="125" t="n"/>
      <c r="C1844" s="125" t="n"/>
      <c r="D1844" s="68" t="n"/>
      <c r="E1844" s="125" t="n"/>
      <c r="F1844" s="125" t="n"/>
      <c r="G1844" s="125" t="n"/>
      <c r="H1844" s="125" t="n"/>
      <c r="I1844" s="125" t="n"/>
      <c r="J1844" s="66" t="n"/>
      <c r="K1844" s="66" t="n"/>
      <c r="L1844" s="66" t="n"/>
      <c r="M1844" s="66" t="n"/>
      <c r="N1844" s="66" t="n"/>
      <c r="O1844" s="66" t="n"/>
      <c r="P1844" s="66" t="n"/>
      <c r="Q1844" s="66" t="n"/>
      <c r="R1844" s="166" t="n"/>
      <c r="S1844" s="167" t="n"/>
      <c r="T1844" s="167" t="n"/>
      <c r="U1844" s="168" t="n"/>
      <c r="V1844" s="168" t="n"/>
    </row>
    <row r="1845" customFormat="1" s="66">
      <c r="A1845" s="125" t="n"/>
      <c r="B1845" s="125" t="n"/>
      <c r="C1845" s="125" t="n"/>
      <c r="D1845" s="68" t="n"/>
      <c r="E1845" s="125" t="n"/>
      <c r="F1845" s="125" t="n"/>
      <c r="G1845" s="125" t="n"/>
      <c r="H1845" s="125" t="n"/>
      <c r="I1845" s="125" t="n"/>
      <c r="J1845" s="66" t="n"/>
      <c r="K1845" s="66" t="n"/>
      <c r="L1845" s="66" t="n"/>
      <c r="M1845" s="66" t="n"/>
      <c r="N1845" s="66" t="n"/>
      <c r="O1845" s="66" t="n"/>
      <c r="P1845" s="66" t="n"/>
      <c r="Q1845" s="66" t="n"/>
      <c r="R1845" s="166" t="n"/>
      <c r="S1845" s="167" t="n"/>
      <c r="T1845" s="167" t="n"/>
      <c r="U1845" s="168" t="n"/>
      <c r="V1845" s="168" t="n"/>
    </row>
    <row r="1846" customFormat="1" s="66">
      <c r="A1846" s="125" t="n"/>
      <c r="B1846" s="125" t="n"/>
      <c r="C1846" s="125" t="n"/>
      <c r="D1846" s="68" t="n"/>
      <c r="E1846" s="125" t="n"/>
      <c r="F1846" s="125" t="n"/>
      <c r="G1846" s="125" t="n"/>
      <c r="H1846" s="125" t="n"/>
      <c r="I1846" s="125" t="n"/>
      <c r="J1846" s="66" t="n"/>
      <c r="K1846" s="66" t="n"/>
      <c r="L1846" s="66" t="n"/>
      <c r="M1846" s="66" t="n"/>
      <c r="N1846" s="66" t="n"/>
      <c r="O1846" s="66" t="n"/>
      <c r="P1846" s="66" t="n"/>
      <c r="Q1846" s="66" t="n"/>
      <c r="R1846" s="166" t="n"/>
      <c r="S1846" s="167" t="n"/>
      <c r="T1846" s="167" t="n"/>
      <c r="U1846" s="168" t="n"/>
      <c r="V1846" s="168" t="n"/>
    </row>
    <row r="1847" customFormat="1" s="66">
      <c r="A1847" s="125" t="n"/>
      <c r="B1847" s="125" t="n"/>
      <c r="C1847" s="125" t="n"/>
      <c r="D1847" s="68" t="n"/>
      <c r="E1847" s="125" t="n"/>
      <c r="F1847" s="125" t="n"/>
      <c r="G1847" s="125" t="n"/>
      <c r="H1847" s="125" t="n"/>
      <c r="I1847" s="125" t="n"/>
      <c r="J1847" s="66" t="n"/>
      <c r="K1847" s="66" t="n"/>
      <c r="L1847" s="66" t="n"/>
      <c r="M1847" s="66" t="n"/>
      <c r="N1847" s="66" t="n"/>
      <c r="O1847" s="66" t="n"/>
      <c r="P1847" s="66" t="n"/>
      <c r="Q1847" s="66" t="n"/>
      <c r="R1847" s="166" t="n"/>
      <c r="S1847" s="167" t="n"/>
      <c r="T1847" s="167" t="n"/>
      <c r="U1847" s="168" t="n"/>
      <c r="V1847" s="168" t="n"/>
    </row>
    <row r="1848" customFormat="1" s="66">
      <c r="A1848" s="125" t="n"/>
      <c r="B1848" s="125" t="n"/>
      <c r="C1848" s="125" t="n"/>
      <c r="D1848" s="68" t="n"/>
      <c r="E1848" s="125" t="n"/>
      <c r="F1848" s="125" t="n"/>
      <c r="G1848" s="125" t="n"/>
      <c r="H1848" s="125" t="n"/>
      <c r="I1848" s="125" t="n"/>
      <c r="J1848" s="66" t="n"/>
      <c r="K1848" s="66" t="n"/>
      <c r="L1848" s="66" t="n"/>
      <c r="M1848" s="66" t="n"/>
      <c r="N1848" s="66" t="n"/>
      <c r="O1848" s="66" t="n"/>
      <c r="P1848" s="66" t="n"/>
      <c r="Q1848" s="66" t="n"/>
      <c r="R1848" s="166" t="n"/>
      <c r="S1848" s="167" t="n"/>
      <c r="T1848" s="167" t="n"/>
      <c r="U1848" s="168" t="n"/>
      <c r="V1848" s="168" t="n"/>
    </row>
    <row r="1849" customFormat="1" s="66">
      <c r="A1849" s="125" t="n"/>
      <c r="B1849" s="125" t="n"/>
      <c r="C1849" s="125" t="n"/>
      <c r="D1849" s="68" t="n"/>
      <c r="E1849" s="125" t="n"/>
      <c r="F1849" s="125" t="n"/>
      <c r="G1849" s="125" t="n"/>
      <c r="H1849" s="125" t="n"/>
      <c r="I1849" s="125" t="n"/>
      <c r="J1849" s="66" t="n"/>
      <c r="K1849" s="66" t="n"/>
      <c r="L1849" s="66" t="n"/>
      <c r="M1849" s="66" t="n"/>
      <c r="N1849" s="66" t="n"/>
      <c r="O1849" s="66" t="n"/>
      <c r="P1849" s="66" t="n"/>
      <c r="Q1849" s="66" t="n"/>
      <c r="R1849" s="166" t="n"/>
      <c r="S1849" s="167" t="n"/>
      <c r="T1849" s="167" t="n"/>
      <c r="U1849" s="168" t="n"/>
      <c r="V1849" s="168" t="n"/>
    </row>
    <row r="1850" customFormat="1" s="66">
      <c r="A1850" s="125" t="n"/>
      <c r="B1850" s="125" t="n"/>
      <c r="C1850" s="125" t="n"/>
      <c r="D1850" s="68" t="n"/>
      <c r="E1850" s="125" t="n"/>
      <c r="F1850" s="125" t="n"/>
      <c r="G1850" s="125" t="n"/>
      <c r="H1850" s="125" t="n"/>
      <c r="I1850" s="125" t="n"/>
      <c r="J1850" s="66" t="n"/>
      <c r="K1850" s="66" t="n"/>
      <c r="L1850" s="66" t="n"/>
      <c r="M1850" s="66" t="n"/>
      <c r="N1850" s="66" t="n"/>
      <c r="O1850" s="66" t="n"/>
      <c r="P1850" s="66" t="n"/>
      <c r="Q1850" s="66" t="n"/>
      <c r="R1850" s="166" t="n"/>
      <c r="S1850" s="167" t="n"/>
      <c r="T1850" s="167" t="n"/>
      <c r="U1850" s="168" t="n"/>
      <c r="V1850" s="168" t="n"/>
    </row>
    <row r="1851" customFormat="1" s="66">
      <c r="A1851" s="125" t="n"/>
      <c r="B1851" s="125" t="n"/>
      <c r="C1851" s="125" t="n"/>
      <c r="D1851" s="68" t="n"/>
      <c r="E1851" s="125" t="n"/>
      <c r="F1851" s="125" t="n"/>
      <c r="G1851" s="125" t="n"/>
      <c r="H1851" s="125" t="n"/>
      <c r="I1851" s="125" t="n"/>
      <c r="J1851" s="66" t="n"/>
      <c r="K1851" s="66" t="n"/>
      <c r="L1851" s="66" t="n"/>
      <c r="M1851" s="66" t="n"/>
      <c r="N1851" s="66" t="n"/>
      <c r="O1851" s="66" t="n"/>
      <c r="P1851" s="66" t="n"/>
      <c r="Q1851" s="66" t="n"/>
      <c r="R1851" s="166" t="n"/>
      <c r="S1851" s="167" t="n"/>
      <c r="T1851" s="167" t="n"/>
      <c r="U1851" s="168" t="n"/>
      <c r="V1851" s="168" t="n"/>
    </row>
    <row r="1852" customFormat="1" s="66">
      <c r="A1852" s="125" t="n"/>
      <c r="B1852" s="125" t="n"/>
      <c r="C1852" s="125" t="n"/>
      <c r="D1852" s="68" t="n"/>
      <c r="E1852" s="125" t="n"/>
      <c r="F1852" s="125" t="n"/>
      <c r="G1852" s="125" t="n"/>
      <c r="H1852" s="125" t="n"/>
      <c r="I1852" s="125" t="n"/>
      <c r="J1852" s="66" t="n"/>
      <c r="K1852" s="66" t="n"/>
      <c r="L1852" s="66" t="n"/>
      <c r="M1852" s="66" t="n"/>
      <c r="N1852" s="66" t="n"/>
      <c r="O1852" s="66" t="n"/>
      <c r="P1852" s="66" t="n"/>
      <c r="Q1852" s="66" t="n"/>
      <c r="R1852" s="166" t="n"/>
      <c r="S1852" s="167" t="n"/>
      <c r="T1852" s="167" t="n"/>
      <c r="U1852" s="168" t="n"/>
      <c r="V1852" s="168" t="n"/>
    </row>
    <row r="1853" customFormat="1" s="66">
      <c r="A1853" s="125" t="n"/>
      <c r="B1853" s="125" t="n"/>
      <c r="C1853" s="125" t="n"/>
      <c r="D1853" s="68" t="n"/>
      <c r="E1853" s="125" t="n"/>
      <c r="F1853" s="125" t="n"/>
      <c r="G1853" s="125" t="n"/>
      <c r="H1853" s="125" t="n"/>
      <c r="I1853" s="125" t="n"/>
      <c r="J1853" s="66" t="n"/>
      <c r="K1853" s="66" t="n"/>
      <c r="L1853" s="66" t="n"/>
      <c r="M1853" s="66" t="n"/>
      <c r="N1853" s="66" t="n"/>
      <c r="O1853" s="66" t="n"/>
      <c r="P1853" s="66" t="n"/>
      <c r="Q1853" s="66" t="n"/>
      <c r="R1853" s="166" t="n"/>
      <c r="S1853" s="167" t="n"/>
      <c r="T1853" s="167" t="n"/>
      <c r="U1853" s="168" t="n"/>
      <c r="V1853" s="168" t="n"/>
    </row>
    <row r="1854" customFormat="1" s="66">
      <c r="A1854" s="125" t="n"/>
      <c r="B1854" s="125" t="n"/>
      <c r="C1854" s="125" t="n"/>
      <c r="D1854" s="68" t="n"/>
      <c r="E1854" s="125" t="n"/>
      <c r="F1854" s="125" t="n"/>
      <c r="G1854" s="125" t="n"/>
      <c r="H1854" s="125" t="n"/>
      <c r="I1854" s="125" t="n"/>
      <c r="J1854" s="66" t="n"/>
      <c r="K1854" s="66" t="n"/>
      <c r="L1854" s="66" t="n"/>
      <c r="M1854" s="66" t="n"/>
      <c r="N1854" s="66" t="n"/>
      <c r="O1854" s="66" t="n"/>
      <c r="P1854" s="66" t="n"/>
      <c r="Q1854" s="66" t="n"/>
      <c r="R1854" s="166" t="n"/>
      <c r="S1854" s="167" t="n"/>
      <c r="T1854" s="167" t="n"/>
      <c r="U1854" s="168" t="n"/>
      <c r="V1854" s="168" t="n"/>
    </row>
    <row r="1855" customFormat="1" s="66">
      <c r="A1855" s="125" t="n"/>
      <c r="B1855" s="125" t="n"/>
      <c r="C1855" s="125" t="n"/>
      <c r="D1855" s="68" t="n"/>
      <c r="E1855" s="125" t="n"/>
      <c r="F1855" s="125" t="n"/>
      <c r="G1855" s="125" t="n"/>
      <c r="H1855" s="125" t="n"/>
      <c r="I1855" s="125" t="n"/>
      <c r="J1855" s="66" t="n"/>
      <c r="K1855" s="66" t="n"/>
      <c r="L1855" s="66" t="n"/>
      <c r="M1855" s="66" t="n"/>
      <c r="N1855" s="66" t="n"/>
      <c r="O1855" s="66" t="n"/>
      <c r="P1855" s="66" t="n"/>
      <c r="Q1855" s="66" t="n"/>
      <c r="R1855" s="166" t="n"/>
      <c r="S1855" s="167" t="n"/>
      <c r="T1855" s="167" t="n"/>
      <c r="U1855" s="168" t="n"/>
      <c r="V1855" s="168" t="n"/>
    </row>
    <row r="1856" customFormat="1" s="66">
      <c r="A1856" s="125" t="n"/>
      <c r="B1856" s="125" t="n"/>
      <c r="C1856" s="125" t="n"/>
      <c r="D1856" s="68" t="n"/>
      <c r="E1856" s="125" t="n"/>
      <c r="F1856" s="125" t="n"/>
      <c r="G1856" s="125" t="n"/>
      <c r="H1856" s="125" t="n"/>
      <c r="I1856" s="125" t="n"/>
      <c r="J1856" s="66" t="n"/>
      <c r="K1856" s="66" t="n"/>
      <c r="L1856" s="66" t="n"/>
      <c r="M1856" s="66" t="n"/>
      <c r="N1856" s="66" t="n"/>
      <c r="O1856" s="66" t="n"/>
      <c r="P1856" s="66" t="n"/>
      <c r="Q1856" s="66" t="n"/>
      <c r="R1856" s="166" t="n"/>
      <c r="S1856" s="167" t="n"/>
      <c r="T1856" s="167" t="n"/>
      <c r="U1856" s="168" t="n"/>
      <c r="V1856" s="168" t="n"/>
    </row>
    <row r="1857" customFormat="1" s="66">
      <c r="A1857" s="125" t="n"/>
      <c r="B1857" s="125" t="n"/>
      <c r="C1857" s="125" t="n"/>
      <c r="D1857" s="68" t="n"/>
      <c r="E1857" s="125" t="n"/>
      <c r="F1857" s="125" t="n"/>
      <c r="G1857" s="125" t="n"/>
      <c r="H1857" s="125" t="n"/>
      <c r="I1857" s="125" t="n"/>
      <c r="J1857" s="66" t="n"/>
      <c r="K1857" s="66" t="n"/>
      <c r="L1857" s="66" t="n"/>
      <c r="M1857" s="66" t="n"/>
      <c r="N1857" s="66" t="n"/>
      <c r="O1857" s="66" t="n"/>
      <c r="P1857" s="66" t="n"/>
      <c r="Q1857" s="66" t="n"/>
      <c r="R1857" s="166" t="n"/>
      <c r="S1857" s="167" t="n"/>
      <c r="T1857" s="167" t="n"/>
      <c r="U1857" s="168" t="n"/>
      <c r="V1857" s="168" t="n"/>
    </row>
    <row r="1858" customFormat="1" s="66">
      <c r="A1858" s="125" t="n"/>
      <c r="B1858" s="125" t="n"/>
      <c r="C1858" s="125" t="n"/>
      <c r="D1858" s="68" t="n"/>
      <c r="E1858" s="125" t="n"/>
      <c r="F1858" s="125" t="n"/>
      <c r="G1858" s="125" t="n"/>
      <c r="H1858" s="125" t="n"/>
      <c r="I1858" s="125" t="n"/>
      <c r="J1858" s="66" t="n"/>
      <c r="K1858" s="66" t="n"/>
      <c r="L1858" s="66" t="n"/>
      <c r="M1858" s="66" t="n"/>
      <c r="N1858" s="66" t="n"/>
      <c r="O1858" s="66" t="n"/>
      <c r="P1858" s="66" t="n"/>
      <c r="Q1858" s="66" t="n"/>
      <c r="R1858" s="166" t="n"/>
      <c r="S1858" s="167" t="n"/>
      <c r="T1858" s="167" t="n"/>
      <c r="U1858" s="168" t="n"/>
      <c r="V1858" s="168" t="n"/>
    </row>
    <row r="1859" customFormat="1" s="66">
      <c r="A1859" s="125" t="n"/>
      <c r="B1859" s="125" t="n"/>
      <c r="C1859" s="125" t="n"/>
      <c r="D1859" s="68" t="n"/>
      <c r="E1859" s="125" t="n"/>
      <c r="F1859" s="125" t="n"/>
      <c r="G1859" s="125" t="n"/>
      <c r="H1859" s="125" t="n"/>
      <c r="I1859" s="125" t="n"/>
      <c r="J1859" s="66" t="n"/>
      <c r="K1859" s="66" t="n"/>
      <c r="L1859" s="66" t="n"/>
      <c r="M1859" s="66" t="n"/>
      <c r="N1859" s="66" t="n"/>
      <c r="O1859" s="66" t="n"/>
      <c r="P1859" s="66" t="n"/>
      <c r="Q1859" s="66" t="n"/>
      <c r="R1859" s="166" t="n"/>
      <c r="S1859" s="167" t="n"/>
      <c r="T1859" s="167" t="n"/>
      <c r="U1859" s="168" t="n"/>
      <c r="V1859" s="168" t="n"/>
    </row>
    <row r="1860" customFormat="1" s="66">
      <c r="A1860" s="125" t="n"/>
      <c r="B1860" s="125" t="n"/>
      <c r="C1860" s="125" t="n"/>
      <c r="D1860" s="68" t="n"/>
      <c r="E1860" s="125" t="n"/>
      <c r="F1860" s="125" t="n"/>
      <c r="G1860" s="125" t="n"/>
      <c r="H1860" s="125" t="n"/>
      <c r="I1860" s="125" t="n"/>
      <c r="J1860" s="66" t="n"/>
      <c r="K1860" s="66" t="n"/>
      <c r="L1860" s="66" t="n"/>
      <c r="M1860" s="66" t="n"/>
      <c r="N1860" s="66" t="n"/>
      <c r="O1860" s="66" t="n"/>
      <c r="P1860" s="66" t="n"/>
      <c r="Q1860" s="66" t="n"/>
      <c r="R1860" s="166" t="n"/>
      <c r="S1860" s="167" t="n"/>
      <c r="T1860" s="167" t="n"/>
      <c r="U1860" s="168" t="n"/>
      <c r="V1860" s="168" t="n"/>
    </row>
    <row r="1861" customFormat="1" s="66">
      <c r="A1861" s="125" t="n"/>
      <c r="B1861" s="125" t="n"/>
      <c r="C1861" s="125" t="n"/>
      <c r="D1861" s="68" t="n"/>
      <c r="E1861" s="125" t="n"/>
      <c r="F1861" s="125" t="n"/>
      <c r="G1861" s="125" t="n"/>
      <c r="H1861" s="125" t="n"/>
      <c r="I1861" s="125" t="n"/>
      <c r="J1861" s="66" t="n"/>
      <c r="K1861" s="66" t="n"/>
      <c r="L1861" s="66" t="n"/>
      <c r="M1861" s="66" t="n"/>
      <c r="N1861" s="66" t="n"/>
      <c r="O1861" s="66" t="n"/>
      <c r="P1861" s="66" t="n"/>
      <c r="Q1861" s="66" t="n"/>
      <c r="R1861" s="166" t="n"/>
      <c r="S1861" s="167" t="n"/>
      <c r="T1861" s="167" t="n"/>
      <c r="U1861" s="168" t="n"/>
      <c r="V1861" s="168" t="n"/>
    </row>
    <row r="1862" customFormat="1" s="66">
      <c r="A1862" s="125" t="n"/>
      <c r="B1862" s="125" t="n"/>
      <c r="C1862" s="125" t="n"/>
      <c r="D1862" s="68" t="n"/>
      <c r="E1862" s="125" t="n"/>
      <c r="F1862" s="125" t="n"/>
      <c r="G1862" s="125" t="n"/>
      <c r="H1862" s="125" t="n"/>
      <c r="I1862" s="125" t="n"/>
      <c r="J1862" s="66" t="n"/>
      <c r="K1862" s="66" t="n"/>
      <c r="L1862" s="66" t="n"/>
      <c r="M1862" s="66" t="n"/>
      <c r="N1862" s="66" t="n"/>
      <c r="O1862" s="66" t="n"/>
      <c r="P1862" s="66" t="n"/>
      <c r="Q1862" s="66" t="n"/>
      <c r="R1862" s="166" t="n"/>
      <c r="S1862" s="167" t="n"/>
      <c r="T1862" s="167" t="n"/>
      <c r="U1862" s="168" t="n"/>
      <c r="V1862" s="168" t="n"/>
    </row>
    <row r="1863" customFormat="1" s="66">
      <c r="A1863" s="125" t="n"/>
      <c r="B1863" s="125" t="n"/>
      <c r="C1863" s="125" t="n"/>
      <c r="D1863" s="68" t="n"/>
      <c r="E1863" s="125" t="n"/>
      <c r="F1863" s="125" t="n"/>
      <c r="G1863" s="125" t="n"/>
      <c r="H1863" s="125" t="n"/>
      <c r="I1863" s="125" t="n"/>
      <c r="J1863" s="66" t="n"/>
      <c r="K1863" s="66" t="n"/>
      <c r="L1863" s="66" t="n"/>
      <c r="M1863" s="66" t="n"/>
      <c r="N1863" s="66" t="n"/>
      <c r="O1863" s="66" t="n"/>
      <c r="P1863" s="66" t="n"/>
      <c r="Q1863" s="66" t="n"/>
      <c r="R1863" s="166" t="n"/>
      <c r="S1863" s="167" t="n"/>
      <c r="T1863" s="167" t="n"/>
      <c r="U1863" s="168" t="n"/>
      <c r="V1863" s="168" t="n"/>
    </row>
    <row r="1864" customFormat="1" s="66">
      <c r="A1864" s="125" t="n"/>
      <c r="B1864" s="125" t="n"/>
      <c r="C1864" s="125" t="n"/>
      <c r="D1864" s="68" t="n"/>
      <c r="E1864" s="125" t="n"/>
      <c r="F1864" s="125" t="n"/>
      <c r="G1864" s="125" t="n"/>
      <c r="H1864" s="125" t="n"/>
      <c r="I1864" s="125" t="n"/>
      <c r="J1864" s="66" t="n"/>
      <c r="K1864" s="66" t="n"/>
      <c r="L1864" s="66" t="n"/>
      <c r="M1864" s="66" t="n"/>
      <c r="N1864" s="66" t="n"/>
      <c r="O1864" s="66" t="n"/>
      <c r="P1864" s="66" t="n"/>
      <c r="Q1864" s="66" t="n"/>
      <c r="R1864" s="166" t="n"/>
      <c r="S1864" s="167" t="n"/>
      <c r="T1864" s="167" t="n"/>
      <c r="U1864" s="168" t="n"/>
      <c r="V1864" s="168" t="n"/>
    </row>
    <row r="1865" customFormat="1" s="66">
      <c r="A1865" s="125" t="n"/>
      <c r="B1865" s="125" t="n"/>
      <c r="C1865" s="125" t="n"/>
      <c r="D1865" s="68" t="n"/>
      <c r="E1865" s="125" t="n"/>
      <c r="F1865" s="125" t="n"/>
      <c r="G1865" s="125" t="n"/>
      <c r="H1865" s="125" t="n"/>
      <c r="I1865" s="125" t="n"/>
      <c r="J1865" s="66" t="n"/>
      <c r="K1865" s="66" t="n"/>
      <c r="L1865" s="66" t="n"/>
      <c r="M1865" s="66" t="n"/>
      <c r="N1865" s="66" t="n"/>
      <c r="O1865" s="66" t="n"/>
      <c r="P1865" s="66" t="n"/>
      <c r="Q1865" s="66" t="n"/>
      <c r="R1865" s="166" t="n"/>
      <c r="S1865" s="167" t="n"/>
      <c r="T1865" s="167" t="n"/>
      <c r="U1865" s="168" t="n"/>
      <c r="V1865" s="168" t="n"/>
    </row>
    <row r="1866" customFormat="1" s="66">
      <c r="A1866" s="125" t="n"/>
      <c r="B1866" s="125" t="n"/>
      <c r="C1866" s="125" t="n"/>
      <c r="D1866" s="68" t="n"/>
      <c r="E1866" s="125" t="n"/>
      <c r="F1866" s="125" t="n"/>
      <c r="G1866" s="125" t="n"/>
      <c r="H1866" s="125" t="n"/>
      <c r="I1866" s="125" t="n"/>
      <c r="J1866" s="66" t="n"/>
      <c r="K1866" s="66" t="n"/>
      <c r="L1866" s="66" t="n"/>
      <c r="M1866" s="66" t="n"/>
      <c r="N1866" s="66" t="n"/>
      <c r="O1866" s="66" t="n"/>
      <c r="P1866" s="66" t="n"/>
      <c r="Q1866" s="66" t="n"/>
      <c r="R1866" s="166" t="n"/>
      <c r="S1866" s="167" t="n"/>
      <c r="T1866" s="167" t="n"/>
      <c r="U1866" s="168" t="n"/>
      <c r="V1866" s="168" t="n"/>
    </row>
    <row r="1867" customFormat="1" s="66">
      <c r="A1867" s="125" t="n"/>
      <c r="B1867" s="125" t="n"/>
      <c r="C1867" s="125" t="n"/>
      <c r="D1867" s="68" t="n"/>
      <c r="E1867" s="125" t="n"/>
      <c r="F1867" s="125" t="n"/>
      <c r="G1867" s="125" t="n"/>
      <c r="H1867" s="125" t="n"/>
      <c r="I1867" s="125" t="n"/>
      <c r="J1867" s="66" t="n"/>
      <c r="K1867" s="66" t="n"/>
      <c r="L1867" s="66" t="n"/>
      <c r="M1867" s="66" t="n"/>
      <c r="N1867" s="66" t="n"/>
      <c r="O1867" s="66" t="n"/>
      <c r="P1867" s="66" t="n"/>
      <c r="Q1867" s="66" t="n"/>
      <c r="R1867" s="166" t="n"/>
      <c r="S1867" s="167" t="n"/>
      <c r="T1867" s="167" t="n"/>
      <c r="U1867" s="168" t="n"/>
      <c r="V1867" s="168" t="n"/>
    </row>
    <row r="1868" customFormat="1" s="66">
      <c r="A1868" s="125" t="n"/>
      <c r="B1868" s="125" t="n"/>
      <c r="C1868" s="125" t="n"/>
      <c r="D1868" s="68" t="n"/>
      <c r="E1868" s="125" t="n"/>
      <c r="F1868" s="125" t="n"/>
      <c r="G1868" s="125" t="n"/>
      <c r="H1868" s="125" t="n"/>
      <c r="I1868" s="125" t="n"/>
      <c r="J1868" s="66" t="n"/>
      <c r="K1868" s="66" t="n"/>
      <c r="L1868" s="66" t="n"/>
      <c r="M1868" s="66" t="n"/>
      <c r="N1868" s="66" t="n"/>
      <c r="O1868" s="66" t="n"/>
      <c r="P1868" s="66" t="n"/>
      <c r="Q1868" s="66" t="n"/>
      <c r="R1868" s="166" t="n"/>
      <c r="S1868" s="167" t="n"/>
      <c r="T1868" s="167" t="n"/>
      <c r="U1868" s="168" t="n"/>
      <c r="V1868" s="168" t="n"/>
    </row>
    <row r="1869" customFormat="1" s="66">
      <c r="A1869" s="125" t="n"/>
      <c r="B1869" s="125" t="n"/>
      <c r="C1869" s="125" t="n"/>
      <c r="D1869" s="68" t="n"/>
      <c r="E1869" s="125" t="n"/>
      <c r="F1869" s="125" t="n"/>
      <c r="G1869" s="125" t="n"/>
      <c r="H1869" s="125" t="n"/>
      <c r="I1869" s="125" t="n"/>
      <c r="J1869" s="66" t="n"/>
      <c r="K1869" s="66" t="n"/>
      <c r="L1869" s="66" t="n"/>
      <c r="M1869" s="66" t="n"/>
      <c r="N1869" s="66" t="n"/>
      <c r="O1869" s="66" t="n"/>
      <c r="P1869" s="66" t="n"/>
      <c r="Q1869" s="66" t="n"/>
      <c r="R1869" s="166" t="n"/>
      <c r="S1869" s="167" t="n"/>
      <c r="T1869" s="167" t="n"/>
      <c r="U1869" s="168" t="n"/>
      <c r="V1869" s="168" t="n"/>
    </row>
    <row r="1870" customFormat="1" s="66">
      <c r="A1870" s="125" t="n"/>
      <c r="B1870" s="125" t="n"/>
      <c r="C1870" s="125" t="n"/>
      <c r="D1870" s="68" t="n"/>
      <c r="E1870" s="125" t="n"/>
      <c r="F1870" s="125" t="n"/>
      <c r="G1870" s="125" t="n"/>
      <c r="H1870" s="125" t="n"/>
      <c r="I1870" s="125" t="n"/>
      <c r="J1870" s="66" t="n"/>
      <c r="K1870" s="66" t="n"/>
      <c r="L1870" s="66" t="n"/>
      <c r="M1870" s="66" t="n"/>
      <c r="N1870" s="66" t="n"/>
      <c r="O1870" s="66" t="n"/>
      <c r="P1870" s="66" t="n"/>
      <c r="Q1870" s="66" t="n"/>
      <c r="R1870" s="166" t="n"/>
      <c r="S1870" s="167" t="n"/>
      <c r="T1870" s="167" t="n"/>
      <c r="U1870" s="168" t="n"/>
      <c r="V1870" s="168" t="n"/>
    </row>
    <row r="1871" customFormat="1" s="66">
      <c r="A1871" s="125" t="n"/>
      <c r="B1871" s="125" t="n"/>
      <c r="C1871" s="125" t="n"/>
      <c r="D1871" s="68" t="n"/>
      <c r="E1871" s="125" t="n"/>
      <c r="F1871" s="125" t="n"/>
      <c r="G1871" s="125" t="n"/>
      <c r="H1871" s="125" t="n"/>
      <c r="I1871" s="125" t="n"/>
      <c r="J1871" s="66" t="n"/>
      <c r="K1871" s="66" t="n"/>
      <c r="L1871" s="66" t="n"/>
      <c r="M1871" s="66" t="n"/>
      <c r="N1871" s="66" t="n"/>
      <c r="O1871" s="66" t="n"/>
      <c r="P1871" s="66" t="n"/>
      <c r="Q1871" s="66" t="n"/>
      <c r="R1871" s="166" t="n"/>
      <c r="S1871" s="167" t="n"/>
      <c r="T1871" s="167" t="n"/>
      <c r="U1871" s="168" t="n"/>
      <c r="V1871" s="168" t="n"/>
    </row>
    <row r="1872" customFormat="1" s="66">
      <c r="A1872" s="125" t="n"/>
      <c r="B1872" s="125" t="n"/>
      <c r="C1872" s="125" t="n"/>
      <c r="D1872" s="68" t="n"/>
      <c r="E1872" s="125" t="n"/>
      <c r="F1872" s="125" t="n"/>
      <c r="G1872" s="125" t="n"/>
      <c r="H1872" s="125" t="n"/>
      <c r="I1872" s="125" t="n"/>
      <c r="J1872" s="66" t="n"/>
      <c r="K1872" s="66" t="n"/>
      <c r="L1872" s="66" t="n"/>
      <c r="M1872" s="66" t="n"/>
      <c r="N1872" s="66" t="n"/>
      <c r="O1872" s="66" t="n"/>
      <c r="P1872" s="66" t="n"/>
      <c r="Q1872" s="66" t="n"/>
      <c r="R1872" s="166" t="n"/>
      <c r="S1872" s="167" t="n"/>
      <c r="T1872" s="167" t="n"/>
      <c r="U1872" s="168" t="n"/>
      <c r="V1872" s="168" t="n"/>
    </row>
    <row r="1873" customFormat="1" s="66">
      <c r="A1873" s="125" t="n"/>
      <c r="B1873" s="125" t="n"/>
      <c r="C1873" s="125" t="n"/>
      <c r="D1873" s="68" t="n"/>
      <c r="E1873" s="125" t="n"/>
      <c r="F1873" s="125" t="n"/>
      <c r="G1873" s="125" t="n"/>
      <c r="H1873" s="125" t="n"/>
      <c r="I1873" s="125" t="n"/>
      <c r="J1873" s="66" t="n"/>
      <c r="K1873" s="66" t="n"/>
      <c r="L1873" s="66" t="n"/>
      <c r="M1873" s="66" t="n"/>
      <c r="N1873" s="66" t="n"/>
      <c r="O1873" s="66" t="n"/>
      <c r="P1873" s="66" t="n"/>
      <c r="Q1873" s="66" t="n"/>
      <c r="R1873" s="166" t="n"/>
      <c r="S1873" s="167" t="n"/>
      <c r="T1873" s="167" t="n"/>
      <c r="U1873" s="168" t="n"/>
      <c r="V1873" s="168" t="n"/>
    </row>
    <row r="1874" customFormat="1" s="66">
      <c r="A1874" s="125" t="n"/>
      <c r="B1874" s="125" t="n"/>
      <c r="C1874" s="125" t="n"/>
      <c r="D1874" s="68" t="n"/>
      <c r="E1874" s="125" t="n"/>
      <c r="F1874" s="125" t="n"/>
      <c r="G1874" s="125" t="n"/>
      <c r="H1874" s="125" t="n"/>
      <c r="I1874" s="125" t="n"/>
      <c r="J1874" s="66" t="n"/>
      <c r="K1874" s="66" t="n"/>
      <c r="L1874" s="66" t="n"/>
      <c r="M1874" s="66" t="n"/>
      <c r="N1874" s="66" t="n"/>
      <c r="O1874" s="66" t="n"/>
      <c r="P1874" s="66" t="n"/>
      <c r="Q1874" s="66" t="n"/>
      <c r="R1874" s="166" t="n"/>
      <c r="S1874" s="167" t="n"/>
      <c r="T1874" s="167" t="n"/>
      <c r="U1874" s="168" t="n"/>
      <c r="V1874" s="168" t="n"/>
    </row>
    <row r="1875" customFormat="1" s="66">
      <c r="A1875" s="125" t="n"/>
      <c r="B1875" s="125" t="n"/>
      <c r="C1875" s="125" t="n"/>
      <c r="D1875" s="68" t="n"/>
      <c r="E1875" s="125" t="n"/>
      <c r="F1875" s="125" t="n"/>
      <c r="G1875" s="125" t="n"/>
      <c r="H1875" s="125" t="n"/>
      <c r="I1875" s="125" t="n"/>
      <c r="J1875" s="66" t="n"/>
      <c r="K1875" s="66" t="n"/>
      <c r="L1875" s="66" t="n"/>
      <c r="M1875" s="66" t="n"/>
      <c r="N1875" s="66" t="n"/>
      <c r="O1875" s="66" t="n"/>
      <c r="P1875" s="66" t="n"/>
      <c r="Q1875" s="66" t="n"/>
      <c r="R1875" s="166" t="n"/>
      <c r="S1875" s="167" t="n"/>
      <c r="T1875" s="167" t="n"/>
      <c r="U1875" s="168" t="n"/>
      <c r="V1875" s="168" t="n"/>
    </row>
    <row r="1876" customFormat="1" s="66">
      <c r="A1876" s="125" t="n"/>
      <c r="B1876" s="125" t="n"/>
      <c r="C1876" s="125" t="n"/>
      <c r="D1876" s="68" t="n"/>
      <c r="E1876" s="125" t="n"/>
      <c r="F1876" s="125" t="n"/>
      <c r="G1876" s="125" t="n"/>
      <c r="H1876" s="125" t="n"/>
      <c r="I1876" s="125" t="n"/>
      <c r="J1876" s="66" t="n"/>
      <c r="K1876" s="66" t="n"/>
      <c r="L1876" s="66" t="n"/>
      <c r="M1876" s="66" t="n"/>
      <c r="N1876" s="66" t="n"/>
      <c r="O1876" s="66" t="n"/>
      <c r="P1876" s="66" t="n"/>
      <c r="Q1876" s="66" t="n"/>
      <c r="R1876" s="166" t="n"/>
      <c r="S1876" s="167" t="n"/>
      <c r="T1876" s="167" t="n"/>
      <c r="U1876" s="168" t="n"/>
      <c r="V1876" s="168" t="n"/>
    </row>
    <row r="1877" customFormat="1" s="66">
      <c r="A1877" s="125" t="n"/>
      <c r="B1877" s="125" t="n"/>
      <c r="C1877" s="125" t="n"/>
      <c r="D1877" s="68" t="n"/>
      <c r="E1877" s="125" t="n"/>
      <c r="F1877" s="125" t="n"/>
      <c r="G1877" s="125" t="n"/>
      <c r="H1877" s="125" t="n"/>
      <c r="I1877" s="125" t="n"/>
      <c r="J1877" s="66" t="n"/>
      <c r="K1877" s="66" t="n"/>
      <c r="L1877" s="66" t="n"/>
      <c r="M1877" s="66" t="n"/>
      <c r="N1877" s="66" t="n"/>
      <c r="O1877" s="66" t="n"/>
      <c r="P1877" s="66" t="n"/>
      <c r="Q1877" s="66" t="n"/>
      <c r="R1877" s="166" t="n"/>
      <c r="S1877" s="167" t="n"/>
      <c r="T1877" s="167" t="n"/>
      <c r="U1877" s="168" t="n"/>
      <c r="V1877" s="168" t="n"/>
    </row>
    <row r="1878" customFormat="1" s="66">
      <c r="A1878" s="125" t="n"/>
      <c r="B1878" s="125" t="n"/>
      <c r="C1878" s="125" t="n"/>
      <c r="D1878" s="68" t="n"/>
      <c r="E1878" s="125" t="n"/>
      <c r="F1878" s="125" t="n"/>
      <c r="G1878" s="125" t="n"/>
      <c r="H1878" s="125" t="n"/>
      <c r="I1878" s="125" t="n"/>
      <c r="J1878" s="66" t="n"/>
      <c r="K1878" s="66" t="n"/>
      <c r="L1878" s="66" t="n"/>
      <c r="M1878" s="66" t="n"/>
      <c r="N1878" s="66" t="n"/>
      <c r="O1878" s="66" t="n"/>
      <c r="P1878" s="66" t="n"/>
      <c r="Q1878" s="66" t="n"/>
      <c r="R1878" s="166" t="n"/>
      <c r="S1878" s="167" t="n"/>
      <c r="T1878" s="167" t="n"/>
      <c r="U1878" s="168" t="n"/>
      <c r="V1878" s="168" t="n"/>
    </row>
    <row r="1879" customFormat="1" s="66">
      <c r="A1879" s="125" t="n"/>
      <c r="B1879" s="125" t="n"/>
      <c r="C1879" s="125" t="n"/>
      <c r="D1879" s="68" t="n"/>
      <c r="E1879" s="125" t="n"/>
      <c r="F1879" s="125" t="n"/>
      <c r="G1879" s="125" t="n"/>
      <c r="H1879" s="125" t="n"/>
      <c r="I1879" s="125" t="n"/>
      <c r="J1879" s="66" t="n"/>
      <c r="K1879" s="66" t="n"/>
      <c r="L1879" s="66" t="n"/>
      <c r="M1879" s="66" t="n"/>
      <c r="N1879" s="66" t="n"/>
      <c r="O1879" s="66" t="n"/>
      <c r="P1879" s="66" t="n"/>
      <c r="Q1879" s="66" t="n"/>
      <c r="R1879" s="166" t="n"/>
      <c r="S1879" s="167" t="n"/>
      <c r="T1879" s="167" t="n"/>
      <c r="U1879" s="168" t="n"/>
      <c r="V1879" s="168" t="n"/>
    </row>
    <row r="1880" customFormat="1" s="66">
      <c r="A1880" s="125" t="n"/>
      <c r="B1880" s="125" t="n"/>
      <c r="C1880" s="125" t="n"/>
      <c r="D1880" s="68" t="n"/>
      <c r="E1880" s="125" t="n"/>
      <c r="F1880" s="125" t="n"/>
      <c r="G1880" s="125" t="n"/>
      <c r="H1880" s="125" t="n"/>
      <c r="I1880" s="125" t="n"/>
      <c r="J1880" s="66" t="n"/>
      <c r="K1880" s="66" t="n"/>
      <c r="L1880" s="66" t="n"/>
      <c r="M1880" s="66" t="n"/>
      <c r="N1880" s="66" t="n"/>
      <c r="O1880" s="66" t="n"/>
      <c r="P1880" s="66" t="n"/>
      <c r="Q1880" s="66" t="n"/>
      <c r="R1880" s="166" t="n"/>
      <c r="S1880" s="167" t="n"/>
      <c r="T1880" s="167" t="n"/>
      <c r="U1880" s="168" t="n"/>
      <c r="V1880" s="168" t="n"/>
    </row>
    <row r="1881" customFormat="1" s="66">
      <c r="A1881" s="125" t="n"/>
      <c r="B1881" s="125" t="n"/>
      <c r="C1881" s="125" t="n"/>
      <c r="D1881" s="68" t="n"/>
      <c r="E1881" s="125" t="n"/>
      <c r="F1881" s="125" t="n"/>
      <c r="G1881" s="125" t="n"/>
      <c r="H1881" s="125" t="n"/>
      <c r="I1881" s="125" t="n"/>
      <c r="J1881" s="66" t="n"/>
      <c r="K1881" s="66" t="n"/>
      <c r="L1881" s="66" t="n"/>
      <c r="M1881" s="66" t="n"/>
      <c r="N1881" s="66" t="n"/>
      <c r="O1881" s="66" t="n"/>
      <c r="P1881" s="66" t="n"/>
      <c r="Q1881" s="66" t="n"/>
      <c r="R1881" s="166" t="n"/>
      <c r="S1881" s="167" t="n"/>
      <c r="T1881" s="167" t="n"/>
      <c r="U1881" s="168" t="n"/>
      <c r="V1881" s="168" t="n"/>
    </row>
    <row r="1882" customFormat="1" s="66">
      <c r="A1882" s="125" t="n"/>
      <c r="B1882" s="125" t="n"/>
      <c r="C1882" s="125" t="n"/>
      <c r="D1882" s="68" t="n"/>
      <c r="E1882" s="125" t="n"/>
      <c r="F1882" s="125" t="n"/>
      <c r="G1882" s="125" t="n"/>
      <c r="H1882" s="125" t="n"/>
      <c r="I1882" s="125" t="n"/>
      <c r="J1882" s="66" t="n"/>
      <c r="K1882" s="66" t="n"/>
      <c r="L1882" s="66" t="n"/>
      <c r="M1882" s="66" t="n"/>
      <c r="N1882" s="66" t="n"/>
      <c r="O1882" s="66" t="n"/>
      <c r="P1882" s="66" t="n"/>
      <c r="Q1882" s="66" t="n"/>
      <c r="R1882" s="166" t="n"/>
      <c r="S1882" s="167" t="n"/>
      <c r="T1882" s="167" t="n"/>
      <c r="U1882" s="168" t="n"/>
      <c r="V1882" s="168" t="n"/>
    </row>
    <row r="1883" customFormat="1" s="66">
      <c r="A1883" s="125" t="n"/>
      <c r="B1883" s="125" t="n"/>
      <c r="C1883" s="125" t="n"/>
      <c r="D1883" s="68" t="n"/>
      <c r="E1883" s="125" t="n"/>
      <c r="F1883" s="125" t="n"/>
      <c r="G1883" s="125" t="n"/>
      <c r="H1883" s="125" t="n"/>
      <c r="I1883" s="125" t="n"/>
      <c r="J1883" s="66" t="n"/>
      <c r="K1883" s="66" t="n"/>
      <c r="L1883" s="66" t="n"/>
      <c r="M1883" s="66" t="n"/>
      <c r="N1883" s="66" t="n"/>
      <c r="O1883" s="66" t="n"/>
      <c r="P1883" s="66" t="n"/>
      <c r="Q1883" s="66" t="n"/>
      <c r="R1883" s="166" t="n"/>
      <c r="S1883" s="167" t="n"/>
      <c r="T1883" s="167" t="n"/>
      <c r="U1883" s="168" t="n"/>
      <c r="V1883" s="168" t="n"/>
    </row>
    <row r="1884" customFormat="1" s="66">
      <c r="A1884" s="125" t="n"/>
      <c r="B1884" s="125" t="n"/>
      <c r="C1884" s="125" t="n"/>
      <c r="D1884" s="68" t="n"/>
      <c r="E1884" s="125" t="n"/>
      <c r="F1884" s="125" t="n"/>
      <c r="G1884" s="125" t="n"/>
      <c r="H1884" s="125" t="n"/>
      <c r="I1884" s="125" t="n"/>
      <c r="J1884" s="66" t="n"/>
      <c r="K1884" s="66" t="n"/>
      <c r="L1884" s="66" t="n"/>
      <c r="M1884" s="66" t="n"/>
      <c r="N1884" s="66" t="n"/>
      <c r="O1884" s="66" t="n"/>
      <c r="P1884" s="66" t="n"/>
      <c r="Q1884" s="66" t="n"/>
      <c r="R1884" s="166" t="n"/>
      <c r="S1884" s="167" t="n"/>
      <c r="T1884" s="167" t="n"/>
      <c r="U1884" s="168" t="n"/>
      <c r="V1884" s="168" t="n"/>
    </row>
    <row r="1885" customFormat="1" s="66">
      <c r="A1885" s="125" t="n"/>
      <c r="B1885" s="125" t="n"/>
      <c r="C1885" s="125" t="n"/>
      <c r="D1885" s="68" t="n"/>
      <c r="E1885" s="125" t="n"/>
      <c r="F1885" s="125" t="n"/>
      <c r="G1885" s="125" t="n"/>
      <c r="H1885" s="125" t="n"/>
      <c r="I1885" s="125" t="n"/>
      <c r="J1885" s="66" t="n"/>
      <c r="K1885" s="66" t="n"/>
      <c r="L1885" s="66" t="n"/>
      <c r="M1885" s="66" t="n"/>
      <c r="N1885" s="66" t="n"/>
      <c r="O1885" s="66" t="n"/>
      <c r="P1885" s="66" t="n"/>
      <c r="Q1885" s="66" t="n"/>
      <c r="R1885" s="166" t="n"/>
      <c r="S1885" s="167" t="n"/>
      <c r="T1885" s="167" t="n"/>
      <c r="U1885" s="168" t="n"/>
      <c r="V1885" s="168" t="n"/>
    </row>
    <row r="1886" customFormat="1" s="66">
      <c r="A1886" s="125" t="n"/>
      <c r="B1886" s="125" t="n"/>
      <c r="C1886" s="125" t="n"/>
      <c r="D1886" s="68" t="n"/>
      <c r="E1886" s="125" t="n"/>
      <c r="F1886" s="125" t="n"/>
      <c r="G1886" s="125" t="n"/>
      <c r="H1886" s="125" t="n"/>
      <c r="I1886" s="125" t="n"/>
      <c r="J1886" s="66" t="n"/>
      <c r="K1886" s="66" t="n"/>
      <c r="L1886" s="66" t="n"/>
      <c r="M1886" s="66" t="n"/>
      <c r="N1886" s="66" t="n"/>
      <c r="O1886" s="66" t="n"/>
      <c r="P1886" s="66" t="n"/>
      <c r="Q1886" s="66" t="n"/>
      <c r="R1886" s="166" t="n"/>
      <c r="S1886" s="167" t="n"/>
      <c r="T1886" s="167" t="n"/>
      <c r="U1886" s="168" t="n"/>
      <c r="V1886" s="168" t="n"/>
    </row>
    <row r="1887" customFormat="1" s="66">
      <c r="A1887" s="125" t="n"/>
      <c r="B1887" s="125" t="n"/>
      <c r="C1887" s="125" t="n"/>
      <c r="D1887" s="68" t="n"/>
      <c r="E1887" s="125" t="n"/>
      <c r="F1887" s="125" t="n"/>
      <c r="G1887" s="125" t="n"/>
      <c r="H1887" s="125" t="n"/>
      <c r="I1887" s="125" t="n"/>
      <c r="J1887" s="66" t="n"/>
      <c r="K1887" s="66" t="n"/>
      <c r="L1887" s="66" t="n"/>
      <c r="M1887" s="66" t="n"/>
      <c r="N1887" s="66" t="n"/>
      <c r="O1887" s="66" t="n"/>
      <c r="P1887" s="66" t="n"/>
      <c r="Q1887" s="66" t="n"/>
      <c r="R1887" s="166" t="n"/>
      <c r="S1887" s="167" t="n"/>
      <c r="T1887" s="167" t="n"/>
      <c r="U1887" s="168" t="n"/>
      <c r="V1887" s="168" t="n"/>
    </row>
    <row r="1888" customFormat="1" s="66">
      <c r="A1888" s="125" t="n"/>
      <c r="B1888" s="125" t="n"/>
      <c r="C1888" s="125" t="n"/>
      <c r="D1888" s="68" t="n"/>
      <c r="E1888" s="125" t="n"/>
      <c r="F1888" s="125" t="n"/>
      <c r="G1888" s="125" t="n"/>
      <c r="H1888" s="125" t="n"/>
      <c r="I1888" s="125" t="n"/>
      <c r="J1888" s="66" t="n"/>
      <c r="K1888" s="66" t="n"/>
      <c r="L1888" s="66" t="n"/>
      <c r="M1888" s="66" t="n"/>
      <c r="N1888" s="66" t="n"/>
      <c r="O1888" s="66" t="n"/>
      <c r="P1888" s="66" t="n"/>
      <c r="Q1888" s="66" t="n"/>
      <c r="R1888" s="166" t="n"/>
      <c r="S1888" s="167" t="n"/>
      <c r="T1888" s="167" t="n"/>
      <c r="U1888" s="168" t="n"/>
      <c r="V1888" s="168" t="n"/>
    </row>
    <row r="1889" customFormat="1" s="66">
      <c r="A1889" s="125" t="n"/>
      <c r="B1889" s="125" t="n"/>
      <c r="C1889" s="125" t="n"/>
      <c r="D1889" s="68" t="n"/>
      <c r="E1889" s="125" t="n"/>
      <c r="F1889" s="125" t="n"/>
      <c r="G1889" s="125" t="n"/>
      <c r="H1889" s="125" t="n"/>
      <c r="I1889" s="125" t="n"/>
      <c r="J1889" s="66" t="n"/>
      <c r="K1889" s="66" t="n"/>
      <c r="L1889" s="66" t="n"/>
      <c r="M1889" s="66" t="n"/>
      <c r="N1889" s="66" t="n"/>
      <c r="O1889" s="66" t="n"/>
      <c r="P1889" s="66" t="n"/>
      <c r="Q1889" s="66" t="n"/>
      <c r="R1889" s="166" t="n"/>
      <c r="S1889" s="167" t="n"/>
      <c r="T1889" s="167" t="n"/>
      <c r="U1889" s="168" t="n"/>
      <c r="V1889" s="168" t="n"/>
    </row>
    <row r="1890" customFormat="1" s="66">
      <c r="A1890" s="125" t="n"/>
      <c r="B1890" s="125" t="n"/>
      <c r="C1890" s="125" t="n"/>
      <c r="D1890" s="68" t="n"/>
      <c r="E1890" s="125" t="n"/>
      <c r="F1890" s="125" t="n"/>
      <c r="G1890" s="125" t="n"/>
      <c r="H1890" s="125" t="n"/>
      <c r="I1890" s="125" t="n"/>
      <c r="J1890" s="66" t="n"/>
      <c r="K1890" s="66" t="n"/>
      <c r="L1890" s="66" t="n"/>
      <c r="M1890" s="66" t="n"/>
      <c r="N1890" s="66" t="n"/>
      <c r="O1890" s="66" t="n"/>
      <c r="P1890" s="66" t="n"/>
      <c r="Q1890" s="66" t="n"/>
      <c r="R1890" s="166" t="n"/>
      <c r="S1890" s="167" t="n"/>
      <c r="T1890" s="167" t="n"/>
      <c r="U1890" s="168" t="n"/>
      <c r="V1890" s="168" t="n"/>
    </row>
    <row r="1891" customFormat="1" s="66">
      <c r="A1891" s="125" t="n"/>
      <c r="B1891" s="125" t="n"/>
      <c r="C1891" s="125" t="n"/>
      <c r="D1891" s="68" t="n"/>
      <c r="E1891" s="125" t="n"/>
      <c r="F1891" s="125" t="n"/>
      <c r="G1891" s="125" t="n"/>
      <c r="H1891" s="125" t="n"/>
      <c r="I1891" s="125" t="n"/>
      <c r="J1891" s="66" t="n"/>
      <c r="K1891" s="66" t="n"/>
      <c r="L1891" s="66" t="n"/>
      <c r="M1891" s="66" t="n"/>
      <c r="N1891" s="66" t="n"/>
      <c r="O1891" s="66" t="n"/>
      <c r="P1891" s="66" t="n"/>
      <c r="Q1891" s="66" t="n"/>
      <c r="R1891" s="166" t="n"/>
      <c r="S1891" s="167" t="n"/>
      <c r="T1891" s="167" t="n"/>
      <c r="U1891" s="168" t="n"/>
      <c r="V1891" s="168" t="n"/>
    </row>
    <row r="1892" customFormat="1" s="66">
      <c r="A1892" s="125" t="n"/>
      <c r="B1892" s="125" t="n"/>
      <c r="C1892" s="125" t="n"/>
      <c r="D1892" s="68" t="n"/>
      <c r="E1892" s="125" t="n"/>
      <c r="F1892" s="125" t="n"/>
      <c r="G1892" s="125" t="n"/>
      <c r="H1892" s="125" t="n"/>
      <c r="I1892" s="125" t="n"/>
      <c r="J1892" s="66" t="n"/>
      <c r="K1892" s="66" t="n"/>
      <c r="L1892" s="66" t="n"/>
      <c r="M1892" s="66" t="n"/>
      <c r="N1892" s="66" t="n"/>
      <c r="O1892" s="66" t="n"/>
      <c r="P1892" s="66" t="n"/>
      <c r="Q1892" s="66" t="n"/>
      <c r="R1892" s="166" t="n"/>
      <c r="S1892" s="167" t="n"/>
      <c r="T1892" s="167" t="n"/>
      <c r="U1892" s="168" t="n"/>
      <c r="V1892" s="168" t="n"/>
    </row>
    <row r="1893" customFormat="1" s="66">
      <c r="A1893" s="125" t="n"/>
      <c r="B1893" s="125" t="n"/>
      <c r="C1893" s="125" t="n"/>
      <c r="D1893" s="68" t="n"/>
      <c r="E1893" s="125" t="n"/>
      <c r="F1893" s="125" t="n"/>
      <c r="G1893" s="125" t="n"/>
      <c r="H1893" s="125" t="n"/>
      <c r="I1893" s="125" t="n"/>
      <c r="J1893" s="66" t="n"/>
      <c r="K1893" s="66" t="n"/>
      <c r="L1893" s="66" t="n"/>
      <c r="M1893" s="66" t="n"/>
      <c r="N1893" s="66" t="n"/>
      <c r="O1893" s="66" t="n"/>
      <c r="P1893" s="66" t="n"/>
      <c r="Q1893" s="66" t="n"/>
      <c r="R1893" s="166" t="n"/>
      <c r="S1893" s="167" t="n"/>
      <c r="T1893" s="167" t="n"/>
      <c r="U1893" s="168" t="n"/>
      <c r="V1893" s="168" t="n"/>
    </row>
    <row r="1894" customFormat="1" s="66">
      <c r="A1894" s="125" t="n"/>
      <c r="B1894" s="125" t="n"/>
      <c r="C1894" s="125" t="n"/>
      <c r="D1894" s="68" t="n"/>
      <c r="E1894" s="125" t="n"/>
      <c r="F1894" s="125" t="n"/>
      <c r="G1894" s="125" t="n"/>
      <c r="H1894" s="125" t="n"/>
      <c r="I1894" s="125" t="n"/>
      <c r="J1894" s="66" t="n"/>
      <c r="K1894" s="66" t="n"/>
      <c r="L1894" s="66" t="n"/>
      <c r="M1894" s="66" t="n"/>
      <c r="N1894" s="66" t="n"/>
      <c r="O1894" s="66" t="n"/>
      <c r="P1894" s="66" t="n"/>
      <c r="Q1894" s="66" t="n"/>
      <c r="R1894" s="166" t="n"/>
      <c r="S1894" s="167" t="n"/>
      <c r="T1894" s="167" t="n"/>
      <c r="U1894" s="168" t="n"/>
      <c r="V1894" s="168" t="n"/>
    </row>
    <row r="1895" customFormat="1" s="66">
      <c r="A1895" s="125" t="n"/>
      <c r="B1895" s="125" t="n"/>
      <c r="C1895" s="125" t="n"/>
      <c r="D1895" s="68" t="n"/>
      <c r="E1895" s="125" t="n"/>
      <c r="F1895" s="125" t="n"/>
      <c r="G1895" s="125" t="n"/>
      <c r="H1895" s="125" t="n"/>
      <c r="I1895" s="125" t="n"/>
      <c r="J1895" s="66" t="n"/>
      <c r="K1895" s="66" t="n"/>
      <c r="L1895" s="66" t="n"/>
      <c r="M1895" s="66" t="n"/>
      <c r="N1895" s="66" t="n"/>
      <c r="O1895" s="66" t="n"/>
      <c r="P1895" s="66" t="n"/>
      <c r="Q1895" s="66" t="n"/>
      <c r="R1895" s="166" t="n"/>
      <c r="S1895" s="167" t="n"/>
      <c r="T1895" s="167" t="n"/>
      <c r="U1895" s="168" t="n"/>
      <c r="V1895" s="168" t="n"/>
    </row>
    <row r="1896" customFormat="1" s="66">
      <c r="A1896" s="125" t="n"/>
      <c r="B1896" s="125" t="n"/>
      <c r="C1896" s="125" t="n"/>
      <c r="D1896" s="68" t="n"/>
      <c r="E1896" s="125" t="n"/>
      <c r="F1896" s="125" t="n"/>
      <c r="G1896" s="125" t="n"/>
      <c r="H1896" s="125" t="n"/>
      <c r="I1896" s="125" t="n"/>
      <c r="J1896" s="66" t="n"/>
      <c r="K1896" s="66" t="n"/>
      <c r="L1896" s="66" t="n"/>
      <c r="M1896" s="66" t="n"/>
      <c r="N1896" s="66" t="n"/>
      <c r="O1896" s="66" t="n"/>
      <c r="P1896" s="66" t="n"/>
      <c r="Q1896" s="66" t="n"/>
      <c r="R1896" s="166" t="n"/>
      <c r="S1896" s="167" t="n"/>
      <c r="T1896" s="167" t="n"/>
      <c r="U1896" s="168" t="n"/>
      <c r="V1896" s="168" t="n"/>
    </row>
    <row r="1897" customFormat="1" s="66">
      <c r="A1897" s="125" t="n"/>
      <c r="B1897" s="125" t="n"/>
      <c r="C1897" s="125" t="n"/>
      <c r="D1897" s="68" t="n"/>
      <c r="E1897" s="125" t="n"/>
      <c r="F1897" s="125" t="n"/>
      <c r="G1897" s="125" t="n"/>
      <c r="H1897" s="125" t="n"/>
      <c r="I1897" s="125" t="n"/>
      <c r="J1897" s="66" t="n"/>
      <c r="K1897" s="66" t="n"/>
      <c r="L1897" s="66" t="n"/>
      <c r="M1897" s="66" t="n"/>
      <c r="N1897" s="66" t="n"/>
      <c r="O1897" s="66" t="n"/>
      <c r="P1897" s="66" t="n"/>
      <c r="Q1897" s="66" t="n"/>
      <c r="R1897" s="166" t="n"/>
      <c r="S1897" s="167" t="n"/>
      <c r="T1897" s="167" t="n"/>
      <c r="U1897" s="168" t="n"/>
      <c r="V1897" s="168" t="n"/>
    </row>
    <row r="1898" customFormat="1" s="66">
      <c r="A1898" s="125" t="n"/>
      <c r="B1898" s="125" t="n"/>
      <c r="C1898" s="125" t="n"/>
      <c r="D1898" s="68" t="n"/>
      <c r="E1898" s="125" t="n"/>
      <c r="F1898" s="125" t="n"/>
      <c r="G1898" s="125" t="n"/>
      <c r="H1898" s="125" t="n"/>
      <c r="I1898" s="125" t="n"/>
      <c r="J1898" s="66" t="n"/>
      <c r="K1898" s="66" t="n"/>
      <c r="L1898" s="66" t="n"/>
      <c r="M1898" s="66" t="n"/>
      <c r="N1898" s="66" t="n"/>
      <c r="O1898" s="66" t="n"/>
      <c r="P1898" s="66" t="n"/>
      <c r="Q1898" s="66" t="n"/>
      <c r="R1898" s="166" t="n"/>
      <c r="S1898" s="167" t="n"/>
      <c r="T1898" s="167" t="n"/>
      <c r="U1898" s="168" t="n"/>
      <c r="V1898" s="168" t="n"/>
    </row>
    <row r="1899" customFormat="1" s="66">
      <c r="A1899" s="125" t="n"/>
      <c r="B1899" s="125" t="n"/>
      <c r="C1899" s="125" t="n"/>
      <c r="D1899" s="68" t="n"/>
      <c r="E1899" s="125" t="n"/>
      <c r="F1899" s="125" t="n"/>
      <c r="G1899" s="125" t="n"/>
      <c r="H1899" s="125" t="n"/>
      <c r="I1899" s="125" t="n"/>
      <c r="J1899" s="66" t="n"/>
      <c r="K1899" s="66" t="n"/>
      <c r="L1899" s="66" t="n"/>
      <c r="M1899" s="66" t="n"/>
      <c r="N1899" s="66" t="n"/>
      <c r="O1899" s="66" t="n"/>
      <c r="P1899" s="66" t="n"/>
      <c r="Q1899" s="66" t="n"/>
      <c r="R1899" s="166" t="n"/>
      <c r="S1899" s="167" t="n"/>
      <c r="T1899" s="167" t="n"/>
      <c r="U1899" s="168" t="n"/>
      <c r="V1899" s="168" t="n"/>
    </row>
    <row r="1900" customFormat="1" s="66">
      <c r="A1900" s="125" t="n"/>
      <c r="B1900" s="125" t="n"/>
      <c r="C1900" s="125" t="n"/>
      <c r="D1900" s="68" t="n"/>
      <c r="E1900" s="125" t="n"/>
      <c r="F1900" s="125" t="n"/>
      <c r="G1900" s="125" t="n"/>
      <c r="H1900" s="125" t="n"/>
      <c r="I1900" s="125" t="n"/>
      <c r="J1900" s="66" t="n"/>
      <c r="K1900" s="66" t="n"/>
      <c r="L1900" s="66" t="n"/>
      <c r="M1900" s="66" t="n"/>
      <c r="N1900" s="66" t="n"/>
      <c r="O1900" s="66" t="n"/>
      <c r="P1900" s="66" t="n"/>
      <c r="Q1900" s="66" t="n"/>
      <c r="R1900" s="166" t="n"/>
      <c r="S1900" s="167" t="n"/>
      <c r="T1900" s="167" t="n"/>
      <c r="U1900" s="168" t="n"/>
      <c r="V1900" s="168" t="n"/>
    </row>
    <row r="1901" customFormat="1" s="66">
      <c r="A1901" s="125" t="n"/>
      <c r="B1901" s="125" t="n"/>
      <c r="C1901" s="125" t="n"/>
      <c r="D1901" s="68" t="n"/>
      <c r="E1901" s="125" t="n"/>
      <c r="F1901" s="125" t="n"/>
      <c r="G1901" s="125" t="n"/>
      <c r="H1901" s="125" t="n"/>
      <c r="I1901" s="125" t="n"/>
      <c r="J1901" s="66" t="n"/>
      <c r="K1901" s="66" t="n"/>
      <c r="L1901" s="66" t="n"/>
      <c r="M1901" s="66" t="n"/>
      <c r="N1901" s="66" t="n"/>
      <c r="O1901" s="66" t="n"/>
      <c r="P1901" s="66" t="n"/>
      <c r="Q1901" s="66" t="n"/>
      <c r="R1901" s="166" t="n"/>
      <c r="S1901" s="167" t="n"/>
      <c r="T1901" s="167" t="n"/>
      <c r="U1901" s="168" t="n"/>
      <c r="V1901" s="168" t="n"/>
    </row>
    <row r="1902" customFormat="1" s="66">
      <c r="A1902" s="125" t="n"/>
      <c r="B1902" s="125" t="n"/>
      <c r="C1902" s="125" t="n"/>
      <c r="D1902" s="68" t="n"/>
      <c r="E1902" s="125" t="n"/>
      <c r="F1902" s="125" t="n"/>
      <c r="G1902" s="125" t="n"/>
      <c r="H1902" s="125" t="n"/>
      <c r="I1902" s="125" t="n"/>
      <c r="J1902" s="66" t="n"/>
      <c r="K1902" s="66" t="n"/>
      <c r="L1902" s="66" t="n"/>
      <c r="M1902" s="66" t="n"/>
      <c r="N1902" s="66" t="n"/>
      <c r="O1902" s="66" t="n"/>
      <c r="P1902" s="66" t="n"/>
      <c r="Q1902" s="66" t="n"/>
      <c r="R1902" s="166" t="n"/>
      <c r="S1902" s="167" t="n"/>
      <c r="T1902" s="167" t="n"/>
      <c r="U1902" s="168" t="n"/>
      <c r="V1902" s="168" t="n"/>
    </row>
    <row r="1903" customFormat="1" s="66">
      <c r="A1903" s="125" t="n"/>
      <c r="B1903" s="125" t="n"/>
      <c r="C1903" s="125" t="n"/>
      <c r="D1903" s="68" t="n"/>
      <c r="E1903" s="125" t="n"/>
      <c r="F1903" s="125" t="n"/>
      <c r="G1903" s="125" t="n"/>
      <c r="H1903" s="125" t="n"/>
      <c r="I1903" s="125" t="n"/>
      <c r="J1903" s="66" t="n"/>
      <c r="K1903" s="66" t="n"/>
      <c r="L1903" s="66" t="n"/>
      <c r="M1903" s="66" t="n"/>
      <c r="N1903" s="66" t="n"/>
      <c r="O1903" s="66" t="n"/>
      <c r="P1903" s="66" t="n"/>
      <c r="Q1903" s="66" t="n"/>
      <c r="R1903" s="166" t="n"/>
      <c r="S1903" s="167" t="n"/>
      <c r="T1903" s="167" t="n"/>
      <c r="U1903" s="168" t="n"/>
      <c r="V1903" s="168" t="n"/>
    </row>
    <row r="1904" customFormat="1" s="66">
      <c r="A1904" s="125" t="n"/>
      <c r="B1904" s="125" t="n"/>
      <c r="C1904" s="125" t="n"/>
      <c r="D1904" s="68" t="n"/>
      <c r="E1904" s="125" t="n"/>
      <c r="F1904" s="125" t="n"/>
      <c r="G1904" s="125" t="n"/>
      <c r="H1904" s="125" t="n"/>
      <c r="I1904" s="125" t="n"/>
      <c r="J1904" s="66" t="n"/>
      <c r="K1904" s="66" t="n"/>
      <c r="L1904" s="66" t="n"/>
      <c r="M1904" s="66" t="n"/>
      <c r="N1904" s="66" t="n"/>
      <c r="O1904" s="66" t="n"/>
      <c r="P1904" s="66" t="n"/>
      <c r="Q1904" s="66" t="n"/>
      <c r="R1904" s="166" t="n"/>
      <c r="S1904" s="167" t="n"/>
      <c r="T1904" s="167" t="n"/>
      <c r="U1904" s="168" t="n"/>
      <c r="V1904" s="168" t="n"/>
    </row>
    <row r="1905" customFormat="1" s="66">
      <c r="A1905" s="125" t="n"/>
      <c r="B1905" s="125" t="n"/>
      <c r="C1905" s="125" t="n"/>
      <c r="D1905" s="68" t="n"/>
      <c r="E1905" s="125" t="n"/>
      <c r="F1905" s="125" t="n"/>
      <c r="G1905" s="125" t="n"/>
      <c r="H1905" s="125" t="n"/>
      <c r="I1905" s="125" t="n"/>
      <c r="J1905" s="66" t="n"/>
      <c r="K1905" s="66" t="n"/>
      <c r="L1905" s="66" t="n"/>
      <c r="M1905" s="66" t="n"/>
      <c r="N1905" s="66" t="n"/>
      <c r="O1905" s="66" t="n"/>
      <c r="P1905" s="66" t="n"/>
      <c r="Q1905" s="66" t="n"/>
      <c r="R1905" s="166" t="n"/>
      <c r="S1905" s="167" t="n"/>
      <c r="T1905" s="167" t="n"/>
      <c r="U1905" s="168" t="n"/>
      <c r="V1905" s="168" t="n"/>
    </row>
    <row r="1906" customFormat="1" s="66">
      <c r="A1906" s="125" t="n"/>
      <c r="B1906" s="125" t="n"/>
      <c r="C1906" s="125" t="n"/>
      <c r="D1906" s="68" t="n"/>
      <c r="E1906" s="125" t="n"/>
      <c r="F1906" s="125" t="n"/>
      <c r="G1906" s="125" t="n"/>
      <c r="H1906" s="125" t="n"/>
      <c r="I1906" s="125" t="n"/>
      <c r="J1906" s="66" t="n"/>
      <c r="K1906" s="66" t="n"/>
      <c r="L1906" s="66" t="n"/>
      <c r="M1906" s="66" t="n"/>
      <c r="N1906" s="66" t="n"/>
      <c r="O1906" s="66" t="n"/>
      <c r="P1906" s="66" t="n"/>
      <c r="Q1906" s="66" t="n"/>
      <c r="R1906" s="166" t="n"/>
      <c r="S1906" s="167" t="n"/>
      <c r="T1906" s="167" t="n"/>
      <c r="U1906" s="168" t="n"/>
      <c r="V1906" s="168" t="n"/>
    </row>
    <row r="1907" customFormat="1" s="66">
      <c r="A1907" s="125" t="n"/>
      <c r="B1907" s="125" t="n"/>
      <c r="C1907" s="125" t="n"/>
      <c r="D1907" s="68" t="n"/>
      <c r="E1907" s="125" t="n"/>
      <c r="F1907" s="125" t="n"/>
      <c r="G1907" s="125" t="n"/>
      <c r="H1907" s="125" t="n"/>
      <c r="I1907" s="125" t="n"/>
      <c r="J1907" s="66" t="n"/>
      <c r="K1907" s="66" t="n"/>
      <c r="L1907" s="66" t="n"/>
      <c r="M1907" s="66" t="n"/>
      <c r="N1907" s="66" t="n"/>
      <c r="O1907" s="66" t="n"/>
      <c r="P1907" s="66" t="n"/>
      <c r="Q1907" s="66" t="n"/>
      <c r="R1907" s="166" t="n"/>
      <c r="S1907" s="167" t="n"/>
      <c r="T1907" s="167" t="n"/>
      <c r="U1907" s="168" t="n"/>
      <c r="V1907" s="168" t="n"/>
    </row>
    <row r="1908" customFormat="1" s="66">
      <c r="A1908" s="125" t="n"/>
      <c r="B1908" s="125" t="n"/>
      <c r="C1908" s="125" t="n"/>
      <c r="D1908" s="68" t="n"/>
      <c r="E1908" s="125" t="n"/>
      <c r="F1908" s="125" t="n"/>
      <c r="G1908" s="125" t="n"/>
      <c r="H1908" s="125" t="n"/>
      <c r="I1908" s="125" t="n"/>
      <c r="J1908" s="66" t="n"/>
      <c r="K1908" s="66" t="n"/>
      <c r="L1908" s="66" t="n"/>
      <c r="M1908" s="66" t="n"/>
      <c r="N1908" s="66" t="n"/>
      <c r="O1908" s="66" t="n"/>
      <c r="P1908" s="66" t="n"/>
      <c r="Q1908" s="66" t="n"/>
      <c r="R1908" s="166" t="n"/>
      <c r="S1908" s="167" t="n"/>
      <c r="T1908" s="167" t="n"/>
      <c r="U1908" s="168" t="n"/>
      <c r="V1908" s="168" t="n"/>
    </row>
    <row r="1909" customFormat="1" s="66">
      <c r="A1909" s="125" t="n"/>
      <c r="B1909" s="125" t="n"/>
      <c r="C1909" s="125" t="n"/>
      <c r="D1909" s="68" t="n"/>
      <c r="E1909" s="125" t="n"/>
      <c r="F1909" s="125" t="n"/>
      <c r="G1909" s="125" t="n"/>
      <c r="H1909" s="125" t="n"/>
      <c r="I1909" s="125" t="n"/>
      <c r="J1909" s="66" t="n"/>
      <c r="K1909" s="66" t="n"/>
      <c r="L1909" s="66" t="n"/>
      <c r="M1909" s="66" t="n"/>
      <c r="N1909" s="66" t="n"/>
      <c r="O1909" s="66" t="n"/>
      <c r="P1909" s="66" t="n"/>
      <c r="Q1909" s="66" t="n"/>
      <c r="R1909" s="166" t="n"/>
      <c r="S1909" s="167" t="n"/>
      <c r="T1909" s="167" t="n"/>
      <c r="U1909" s="168" t="n"/>
      <c r="V1909" s="168" t="n"/>
    </row>
    <row r="1910" customFormat="1" s="66">
      <c r="A1910" s="125" t="n"/>
      <c r="B1910" s="125" t="n"/>
      <c r="C1910" s="125" t="n"/>
      <c r="D1910" s="68" t="n"/>
      <c r="E1910" s="125" t="n"/>
      <c r="F1910" s="125" t="n"/>
      <c r="G1910" s="125" t="n"/>
      <c r="H1910" s="125" t="n"/>
      <c r="I1910" s="125" t="n"/>
      <c r="J1910" s="66" t="n"/>
      <c r="K1910" s="66" t="n"/>
      <c r="L1910" s="66" t="n"/>
      <c r="M1910" s="66" t="n"/>
      <c r="N1910" s="66" t="n"/>
      <c r="O1910" s="66" t="n"/>
      <c r="P1910" s="66" t="n"/>
      <c r="Q1910" s="66" t="n"/>
      <c r="R1910" s="166" t="n"/>
      <c r="S1910" s="167" t="n"/>
      <c r="T1910" s="167" t="n"/>
      <c r="U1910" s="168" t="n"/>
      <c r="V1910" s="168" t="n"/>
    </row>
    <row r="1911" customFormat="1" s="66">
      <c r="A1911" s="125" t="n"/>
      <c r="B1911" s="125" t="n"/>
      <c r="C1911" s="125" t="n"/>
      <c r="D1911" s="68" t="n"/>
      <c r="E1911" s="125" t="n"/>
      <c r="F1911" s="125" t="n"/>
      <c r="G1911" s="125" t="n"/>
      <c r="H1911" s="125" t="n"/>
      <c r="I1911" s="125" t="n"/>
      <c r="J1911" s="66" t="n"/>
      <c r="K1911" s="66" t="n"/>
      <c r="L1911" s="66" t="n"/>
      <c r="M1911" s="66" t="n"/>
      <c r="N1911" s="66" t="n"/>
      <c r="O1911" s="66" t="n"/>
      <c r="P1911" s="66" t="n"/>
      <c r="Q1911" s="66" t="n"/>
      <c r="R1911" s="166" t="n"/>
      <c r="S1911" s="167" t="n"/>
      <c r="T1911" s="167" t="n"/>
      <c r="U1911" s="168" t="n"/>
      <c r="V1911" s="168" t="n"/>
    </row>
    <row r="1912" customFormat="1" s="66">
      <c r="A1912" s="125" t="n"/>
      <c r="B1912" s="125" t="n"/>
      <c r="C1912" s="125" t="n"/>
      <c r="D1912" s="68" t="n"/>
      <c r="E1912" s="125" t="n"/>
      <c r="F1912" s="125" t="n"/>
      <c r="G1912" s="125" t="n"/>
      <c r="H1912" s="125" t="n"/>
      <c r="I1912" s="125" t="n"/>
      <c r="J1912" s="66" t="n"/>
      <c r="K1912" s="66" t="n"/>
      <c r="L1912" s="66" t="n"/>
      <c r="M1912" s="66" t="n"/>
      <c r="N1912" s="66" t="n"/>
      <c r="O1912" s="66" t="n"/>
      <c r="P1912" s="66" t="n"/>
      <c r="Q1912" s="66" t="n"/>
      <c r="R1912" s="166" t="n"/>
      <c r="S1912" s="167" t="n"/>
      <c r="T1912" s="167" t="n"/>
      <c r="U1912" s="168" t="n"/>
      <c r="V1912" s="168" t="n"/>
    </row>
    <row r="1913" customFormat="1" s="66">
      <c r="A1913" s="125" t="n"/>
      <c r="B1913" s="125" t="n"/>
      <c r="C1913" s="125" t="n"/>
      <c r="D1913" s="68" t="n"/>
      <c r="E1913" s="125" t="n"/>
      <c r="F1913" s="125" t="n"/>
      <c r="G1913" s="125" t="n"/>
      <c r="H1913" s="125" t="n"/>
      <c r="I1913" s="125" t="n"/>
      <c r="J1913" s="66" t="n"/>
      <c r="K1913" s="66" t="n"/>
      <c r="L1913" s="66" t="n"/>
      <c r="M1913" s="66" t="n"/>
      <c r="N1913" s="66" t="n"/>
      <c r="O1913" s="66" t="n"/>
      <c r="P1913" s="66" t="n"/>
      <c r="Q1913" s="66" t="n"/>
      <c r="R1913" s="166" t="n"/>
      <c r="S1913" s="167" t="n"/>
      <c r="T1913" s="167" t="n"/>
      <c r="U1913" s="168" t="n"/>
      <c r="V1913" s="168" t="n"/>
    </row>
    <row r="1914" customFormat="1" s="66">
      <c r="A1914" s="125" t="n"/>
      <c r="B1914" s="125" t="n"/>
      <c r="C1914" s="125" t="n"/>
      <c r="D1914" s="68" t="n"/>
      <c r="E1914" s="125" t="n"/>
      <c r="F1914" s="125" t="n"/>
      <c r="G1914" s="125" t="n"/>
      <c r="H1914" s="125" t="n"/>
      <c r="I1914" s="125" t="n"/>
      <c r="J1914" s="66" t="n"/>
      <c r="K1914" s="66" t="n"/>
      <c r="L1914" s="66" t="n"/>
      <c r="M1914" s="66" t="n"/>
      <c r="N1914" s="66" t="n"/>
      <c r="O1914" s="66" t="n"/>
      <c r="P1914" s="66" t="n"/>
      <c r="Q1914" s="66" t="n"/>
      <c r="R1914" s="166" t="n"/>
      <c r="S1914" s="167" t="n"/>
      <c r="T1914" s="167" t="n"/>
      <c r="U1914" s="168" t="n"/>
      <c r="V1914" s="168" t="n"/>
    </row>
    <row r="1915" customFormat="1" s="66">
      <c r="A1915" s="125" t="n"/>
      <c r="B1915" s="125" t="n"/>
      <c r="C1915" s="125" t="n"/>
      <c r="D1915" s="68" t="n"/>
      <c r="E1915" s="125" t="n"/>
      <c r="F1915" s="125" t="n"/>
      <c r="G1915" s="125" t="n"/>
      <c r="H1915" s="125" t="n"/>
      <c r="I1915" s="125" t="n"/>
      <c r="J1915" s="66" t="n"/>
      <c r="K1915" s="66" t="n"/>
      <c r="L1915" s="66" t="n"/>
      <c r="M1915" s="66" t="n"/>
      <c r="N1915" s="66" t="n"/>
      <c r="O1915" s="66" t="n"/>
      <c r="P1915" s="66" t="n"/>
      <c r="Q1915" s="66" t="n"/>
      <c r="R1915" s="166" t="n"/>
      <c r="S1915" s="167" t="n"/>
      <c r="T1915" s="167" t="n"/>
      <c r="U1915" s="168" t="n"/>
      <c r="V1915" s="168" t="n"/>
    </row>
    <row r="1916" customFormat="1" s="66">
      <c r="A1916" s="125" t="n"/>
      <c r="B1916" s="125" t="n"/>
      <c r="C1916" s="125" t="n"/>
      <c r="D1916" s="68" t="n"/>
      <c r="E1916" s="125" t="n"/>
      <c r="F1916" s="125" t="n"/>
      <c r="G1916" s="125" t="n"/>
      <c r="H1916" s="125" t="n"/>
      <c r="I1916" s="125" t="n"/>
      <c r="J1916" s="66" t="n"/>
      <c r="K1916" s="66" t="n"/>
      <c r="L1916" s="66" t="n"/>
      <c r="M1916" s="66" t="n"/>
      <c r="N1916" s="66" t="n"/>
      <c r="O1916" s="66" t="n"/>
      <c r="P1916" s="66" t="n"/>
      <c r="Q1916" s="66" t="n"/>
      <c r="R1916" s="166" t="n"/>
      <c r="S1916" s="167" t="n"/>
      <c r="T1916" s="167" t="n"/>
      <c r="U1916" s="168" t="n"/>
      <c r="V1916" s="168" t="n"/>
    </row>
    <row r="1917" customFormat="1" s="66">
      <c r="A1917" s="125" t="n"/>
      <c r="B1917" s="125" t="n"/>
      <c r="C1917" s="125" t="n"/>
      <c r="D1917" s="68" t="n"/>
      <c r="E1917" s="125" t="n"/>
      <c r="F1917" s="125" t="n"/>
      <c r="G1917" s="125" t="n"/>
      <c r="H1917" s="125" t="n"/>
      <c r="I1917" s="125" t="n"/>
      <c r="J1917" s="66" t="n"/>
      <c r="K1917" s="66" t="n"/>
      <c r="L1917" s="66" t="n"/>
      <c r="M1917" s="66" t="n"/>
      <c r="N1917" s="66" t="n"/>
      <c r="O1917" s="66" t="n"/>
      <c r="P1917" s="66" t="n"/>
      <c r="Q1917" s="66" t="n"/>
      <c r="R1917" s="166" t="n"/>
      <c r="S1917" s="167" t="n"/>
      <c r="T1917" s="167" t="n"/>
      <c r="U1917" s="168" t="n"/>
      <c r="V1917" s="168" t="n"/>
    </row>
    <row r="1918" customFormat="1" s="66">
      <c r="A1918" s="125" t="n"/>
      <c r="B1918" s="125" t="n"/>
      <c r="C1918" s="125" t="n"/>
      <c r="D1918" s="68" t="n"/>
      <c r="E1918" s="125" t="n"/>
      <c r="F1918" s="125" t="n"/>
      <c r="G1918" s="125" t="n"/>
      <c r="H1918" s="125" t="n"/>
      <c r="I1918" s="125" t="n"/>
      <c r="J1918" s="66" t="n"/>
      <c r="K1918" s="66" t="n"/>
      <c r="L1918" s="66" t="n"/>
      <c r="M1918" s="66" t="n"/>
      <c r="N1918" s="66" t="n"/>
      <c r="O1918" s="66" t="n"/>
      <c r="P1918" s="66" t="n"/>
      <c r="Q1918" s="66" t="n"/>
      <c r="R1918" s="166" t="n"/>
      <c r="S1918" s="167" t="n"/>
      <c r="T1918" s="167" t="n"/>
      <c r="U1918" s="168" t="n"/>
      <c r="V1918" s="168" t="n"/>
    </row>
    <row r="1919" customFormat="1" s="66">
      <c r="A1919" s="125" t="n"/>
      <c r="B1919" s="125" t="n"/>
      <c r="C1919" s="125" t="n"/>
      <c r="D1919" s="68" t="n"/>
      <c r="E1919" s="125" t="n"/>
      <c r="F1919" s="125" t="n"/>
      <c r="G1919" s="125" t="n"/>
      <c r="H1919" s="125" t="n"/>
      <c r="I1919" s="125" t="n"/>
      <c r="J1919" s="66" t="n"/>
      <c r="K1919" s="66" t="n"/>
      <c r="L1919" s="66" t="n"/>
      <c r="M1919" s="66" t="n"/>
      <c r="N1919" s="66" t="n"/>
      <c r="O1919" s="66" t="n"/>
      <c r="P1919" s="66" t="n"/>
      <c r="Q1919" s="66" t="n"/>
      <c r="R1919" s="166" t="n"/>
      <c r="S1919" s="167" t="n"/>
      <c r="T1919" s="167" t="n"/>
      <c r="U1919" s="168" t="n"/>
      <c r="V1919" s="168" t="n"/>
    </row>
    <row r="1920" customFormat="1" s="66">
      <c r="A1920" s="125" t="n"/>
      <c r="B1920" s="125" t="n"/>
      <c r="C1920" s="125" t="n"/>
      <c r="D1920" s="68" t="n"/>
      <c r="E1920" s="125" t="n"/>
      <c r="F1920" s="125" t="n"/>
      <c r="G1920" s="125" t="n"/>
      <c r="H1920" s="125" t="n"/>
      <c r="I1920" s="125" t="n"/>
      <c r="J1920" s="66" t="n"/>
      <c r="K1920" s="66" t="n"/>
      <c r="L1920" s="66" t="n"/>
      <c r="M1920" s="66" t="n"/>
      <c r="N1920" s="66" t="n"/>
      <c r="O1920" s="66" t="n"/>
      <c r="P1920" s="66" t="n"/>
      <c r="Q1920" s="66" t="n"/>
      <c r="R1920" s="166" t="n"/>
      <c r="S1920" s="167" t="n"/>
      <c r="T1920" s="167" t="n"/>
      <c r="U1920" s="168" t="n"/>
      <c r="V1920" s="168" t="n"/>
    </row>
    <row r="1921" customFormat="1" s="66">
      <c r="A1921" s="125" t="n"/>
      <c r="B1921" s="125" t="n"/>
      <c r="C1921" s="125" t="n"/>
      <c r="D1921" s="68" t="n"/>
      <c r="E1921" s="125" t="n"/>
      <c r="F1921" s="125" t="n"/>
      <c r="G1921" s="125" t="n"/>
      <c r="H1921" s="125" t="n"/>
      <c r="I1921" s="125" t="n"/>
      <c r="J1921" s="66" t="n"/>
      <c r="K1921" s="66" t="n"/>
      <c r="L1921" s="66" t="n"/>
      <c r="M1921" s="66" t="n"/>
      <c r="N1921" s="66" t="n"/>
      <c r="O1921" s="66" t="n"/>
      <c r="P1921" s="66" t="n"/>
      <c r="Q1921" s="66" t="n"/>
      <c r="R1921" s="166" t="n"/>
      <c r="S1921" s="167" t="n"/>
      <c r="T1921" s="167" t="n"/>
      <c r="U1921" s="168" t="n"/>
      <c r="V1921" s="168" t="n"/>
    </row>
    <row r="1922" customFormat="1" s="66">
      <c r="A1922" s="125" t="n"/>
      <c r="B1922" s="125" t="n"/>
      <c r="C1922" s="125" t="n"/>
      <c r="D1922" s="68" t="n"/>
      <c r="E1922" s="125" t="n"/>
      <c r="F1922" s="125" t="n"/>
      <c r="G1922" s="125" t="n"/>
      <c r="H1922" s="125" t="n"/>
      <c r="I1922" s="125" t="n"/>
      <c r="J1922" s="66" t="n"/>
      <c r="K1922" s="66" t="n"/>
      <c r="L1922" s="66" t="n"/>
      <c r="M1922" s="66" t="n"/>
      <c r="N1922" s="66" t="n"/>
      <c r="O1922" s="66" t="n"/>
      <c r="P1922" s="66" t="n"/>
      <c r="Q1922" s="66" t="n"/>
      <c r="R1922" s="166" t="n"/>
      <c r="S1922" s="167" t="n"/>
      <c r="T1922" s="167" t="n"/>
      <c r="U1922" s="168" t="n"/>
      <c r="V1922" s="168" t="n"/>
    </row>
    <row r="1923" customFormat="1" s="66">
      <c r="A1923" s="125" t="n"/>
      <c r="B1923" s="125" t="n"/>
      <c r="C1923" s="125" t="n"/>
      <c r="D1923" s="68" t="n"/>
      <c r="E1923" s="125" t="n"/>
      <c r="F1923" s="125" t="n"/>
      <c r="G1923" s="125" t="n"/>
      <c r="H1923" s="125" t="n"/>
      <c r="I1923" s="125" t="n"/>
      <c r="J1923" s="66" t="n"/>
      <c r="K1923" s="66" t="n"/>
      <c r="L1923" s="66" t="n"/>
      <c r="M1923" s="66" t="n"/>
      <c r="N1923" s="66" t="n"/>
      <c r="O1923" s="66" t="n"/>
      <c r="P1923" s="66" t="n"/>
      <c r="Q1923" s="66" t="n"/>
      <c r="R1923" s="166" t="n"/>
      <c r="S1923" s="167" t="n"/>
      <c r="T1923" s="167" t="n"/>
      <c r="U1923" s="168" t="n"/>
      <c r="V1923" s="168" t="n"/>
    </row>
    <row r="1924" customFormat="1" s="66">
      <c r="A1924" s="125" t="n"/>
      <c r="B1924" s="125" t="n"/>
      <c r="C1924" s="125" t="n"/>
      <c r="D1924" s="68" t="n"/>
      <c r="E1924" s="125" t="n"/>
      <c r="F1924" s="125" t="n"/>
      <c r="G1924" s="125" t="n"/>
      <c r="H1924" s="125" t="n"/>
      <c r="I1924" s="125" t="n"/>
      <c r="J1924" s="66" t="n"/>
      <c r="K1924" s="66" t="n"/>
      <c r="L1924" s="66" t="n"/>
      <c r="M1924" s="66" t="n"/>
      <c r="N1924" s="66" t="n"/>
      <c r="O1924" s="66" t="n"/>
      <c r="P1924" s="66" t="n"/>
      <c r="Q1924" s="66" t="n"/>
      <c r="R1924" s="166" t="n"/>
      <c r="S1924" s="167" t="n"/>
      <c r="T1924" s="167" t="n"/>
      <c r="U1924" s="168" t="n"/>
      <c r="V1924" s="168" t="n"/>
    </row>
    <row r="1925" customFormat="1" s="66">
      <c r="A1925" s="125" t="n"/>
      <c r="B1925" s="125" t="n"/>
      <c r="C1925" s="125" t="n"/>
      <c r="D1925" s="68" t="n"/>
      <c r="E1925" s="125" t="n"/>
      <c r="F1925" s="125" t="n"/>
      <c r="G1925" s="125" t="n"/>
      <c r="H1925" s="125" t="n"/>
      <c r="I1925" s="125" t="n"/>
      <c r="J1925" s="66" t="n"/>
      <c r="K1925" s="66" t="n"/>
      <c r="L1925" s="66" t="n"/>
      <c r="M1925" s="66" t="n"/>
      <c r="N1925" s="66" t="n"/>
      <c r="O1925" s="66" t="n"/>
      <c r="P1925" s="66" t="n"/>
      <c r="Q1925" s="66" t="n"/>
      <c r="R1925" s="166" t="n"/>
      <c r="S1925" s="167" t="n"/>
      <c r="T1925" s="167" t="n"/>
      <c r="U1925" s="168" t="n"/>
      <c r="V1925" s="168" t="n"/>
    </row>
    <row r="1926" customFormat="1" s="66">
      <c r="A1926" s="125" t="n"/>
      <c r="B1926" s="125" t="n"/>
      <c r="C1926" s="125" t="n"/>
      <c r="D1926" s="68" t="n"/>
      <c r="E1926" s="125" t="n"/>
      <c r="F1926" s="125" t="n"/>
      <c r="G1926" s="125" t="n"/>
      <c r="H1926" s="125" t="n"/>
      <c r="I1926" s="125" t="n"/>
      <c r="J1926" s="66" t="n"/>
      <c r="K1926" s="66" t="n"/>
      <c r="L1926" s="66" t="n"/>
      <c r="M1926" s="66" t="n"/>
      <c r="N1926" s="66" t="n"/>
      <c r="O1926" s="66" t="n"/>
      <c r="P1926" s="66" t="n"/>
      <c r="Q1926" s="66" t="n"/>
      <c r="R1926" s="166" t="n"/>
      <c r="S1926" s="167" t="n"/>
      <c r="T1926" s="167" t="n"/>
      <c r="U1926" s="168" t="n"/>
      <c r="V1926" s="168" t="n"/>
    </row>
    <row r="1927" customFormat="1" s="66">
      <c r="A1927" s="125" t="n"/>
      <c r="B1927" s="125" t="n"/>
      <c r="C1927" s="125" t="n"/>
      <c r="D1927" s="68" t="n"/>
      <c r="E1927" s="125" t="n"/>
      <c r="F1927" s="125" t="n"/>
      <c r="G1927" s="125" t="n"/>
      <c r="H1927" s="125" t="n"/>
      <c r="I1927" s="125" t="n"/>
      <c r="J1927" s="66" t="n"/>
      <c r="K1927" s="66" t="n"/>
      <c r="L1927" s="66" t="n"/>
      <c r="M1927" s="66" t="n"/>
      <c r="N1927" s="66" t="n"/>
      <c r="O1927" s="66" t="n"/>
      <c r="P1927" s="66" t="n"/>
      <c r="Q1927" s="66" t="n"/>
      <c r="R1927" s="166" t="n"/>
      <c r="S1927" s="167" t="n"/>
      <c r="T1927" s="167" t="n"/>
      <c r="U1927" s="168" t="n"/>
      <c r="V1927" s="168" t="n"/>
    </row>
    <row r="1928" customFormat="1" s="66">
      <c r="A1928" s="125" t="n"/>
      <c r="B1928" s="125" t="n"/>
      <c r="C1928" s="125" t="n"/>
      <c r="D1928" s="68" t="n"/>
      <c r="E1928" s="125" t="n"/>
      <c r="F1928" s="125" t="n"/>
      <c r="G1928" s="125" t="n"/>
      <c r="H1928" s="125" t="n"/>
      <c r="I1928" s="125" t="n"/>
      <c r="J1928" s="66" t="n"/>
      <c r="K1928" s="66" t="n"/>
      <c r="L1928" s="66" t="n"/>
      <c r="M1928" s="66" t="n"/>
      <c r="N1928" s="66" t="n"/>
      <c r="O1928" s="66" t="n"/>
      <c r="P1928" s="66" t="n"/>
      <c r="Q1928" s="66" t="n"/>
      <c r="R1928" s="166" t="n"/>
      <c r="S1928" s="167" t="n"/>
      <c r="T1928" s="167" t="n"/>
      <c r="U1928" s="168" t="n"/>
      <c r="V1928" s="168" t="n"/>
    </row>
    <row r="1929" customFormat="1" s="66">
      <c r="A1929" s="125" t="n"/>
      <c r="B1929" s="125" t="n"/>
      <c r="C1929" s="125" t="n"/>
      <c r="D1929" s="68" t="n"/>
      <c r="E1929" s="125" t="n"/>
      <c r="F1929" s="125" t="n"/>
      <c r="G1929" s="125" t="n"/>
      <c r="H1929" s="125" t="n"/>
      <c r="I1929" s="125" t="n"/>
      <c r="J1929" s="66" t="n"/>
      <c r="K1929" s="66" t="n"/>
      <c r="L1929" s="66" t="n"/>
      <c r="M1929" s="66" t="n"/>
      <c r="N1929" s="66" t="n"/>
      <c r="O1929" s="66" t="n"/>
      <c r="P1929" s="66" t="n"/>
      <c r="Q1929" s="66" t="n"/>
      <c r="R1929" s="166" t="n"/>
      <c r="S1929" s="167" t="n"/>
      <c r="T1929" s="167" t="n"/>
      <c r="U1929" s="168" t="n"/>
      <c r="V1929" s="168" t="n"/>
    </row>
    <row r="1930" customFormat="1" s="66">
      <c r="A1930" s="125" t="n"/>
      <c r="B1930" s="125" t="n"/>
      <c r="C1930" s="125" t="n"/>
      <c r="D1930" s="68" t="n"/>
      <c r="E1930" s="125" t="n"/>
      <c r="F1930" s="125" t="n"/>
      <c r="G1930" s="125" t="n"/>
      <c r="H1930" s="125" t="n"/>
      <c r="I1930" s="125" t="n"/>
      <c r="J1930" s="66" t="n"/>
      <c r="K1930" s="66" t="n"/>
      <c r="L1930" s="66" t="n"/>
      <c r="M1930" s="66" t="n"/>
      <c r="N1930" s="66" t="n"/>
      <c r="O1930" s="66" t="n"/>
      <c r="P1930" s="66" t="n"/>
      <c r="Q1930" s="66" t="n"/>
      <c r="R1930" s="166" t="n"/>
      <c r="S1930" s="167" t="n"/>
      <c r="T1930" s="167" t="n"/>
      <c r="U1930" s="168" t="n"/>
      <c r="V1930" s="168" t="n"/>
    </row>
    <row r="1931" customFormat="1" s="66">
      <c r="A1931" s="125" t="n"/>
      <c r="B1931" s="125" t="n"/>
      <c r="C1931" s="125" t="n"/>
      <c r="D1931" s="68" t="n"/>
      <c r="E1931" s="125" t="n"/>
      <c r="F1931" s="125" t="n"/>
      <c r="G1931" s="125" t="n"/>
      <c r="H1931" s="125" t="n"/>
      <c r="I1931" s="125" t="n"/>
      <c r="J1931" s="66" t="n"/>
      <c r="K1931" s="66" t="n"/>
      <c r="L1931" s="66" t="n"/>
      <c r="M1931" s="66" t="n"/>
      <c r="N1931" s="66" t="n"/>
      <c r="O1931" s="66" t="n"/>
      <c r="P1931" s="66" t="n"/>
      <c r="Q1931" s="66" t="n"/>
      <c r="R1931" s="166" t="n"/>
      <c r="S1931" s="167" t="n"/>
      <c r="T1931" s="167" t="n"/>
      <c r="U1931" s="168" t="n"/>
      <c r="V1931" s="168" t="n"/>
    </row>
    <row r="1932" customFormat="1" s="66">
      <c r="A1932" s="125" t="n"/>
      <c r="B1932" s="125" t="n"/>
      <c r="C1932" s="125" t="n"/>
      <c r="D1932" s="68" t="n"/>
      <c r="E1932" s="125" t="n"/>
      <c r="F1932" s="125" t="n"/>
      <c r="G1932" s="125" t="n"/>
      <c r="H1932" s="125" t="n"/>
      <c r="I1932" s="125" t="n"/>
      <c r="J1932" s="66" t="n"/>
      <c r="K1932" s="66" t="n"/>
      <c r="L1932" s="66" t="n"/>
      <c r="M1932" s="66" t="n"/>
      <c r="N1932" s="66" t="n"/>
      <c r="O1932" s="66" t="n"/>
      <c r="P1932" s="66" t="n"/>
      <c r="Q1932" s="66" t="n"/>
      <c r="R1932" s="166" t="n"/>
      <c r="S1932" s="167" t="n"/>
      <c r="T1932" s="167" t="n"/>
      <c r="U1932" s="168" t="n"/>
      <c r="V1932" s="168" t="n"/>
    </row>
    <row r="1933" s="112">
      <c r="B1933" s="130" t="n"/>
      <c r="C1933" s="130" t="n"/>
      <c r="F1933" s="130" t="n"/>
      <c r="G1933" s="130" t="n"/>
      <c r="H1933" s="130" t="n"/>
      <c r="I1933" s="130" t="n"/>
    </row>
  </sheetData>
  <mergeCells count="310">
    <mergeCell ref="H1281:H1285"/>
    <mergeCell ref="G1109:G1124"/>
    <mergeCell ref="H955:H962"/>
    <mergeCell ref="H1393:H1396"/>
    <mergeCell ref="H755:H758"/>
    <mergeCell ref="F1643:F1729"/>
    <mergeCell ref="H928:H929"/>
    <mergeCell ref="G752:G762"/>
    <mergeCell ref="H619:H627"/>
    <mergeCell ref="G781:G785"/>
    <mergeCell ref="G908:G922"/>
    <mergeCell ref="H1363:H1365"/>
    <mergeCell ref="G939:G954"/>
    <mergeCell ref="H916:H922"/>
    <mergeCell ref="H1428:H1432"/>
    <mergeCell ref="F1018:F1124"/>
    <mergeCell ref="G555:G591"/>
    <mergeCell ref="H707:H708"/>
    <mergeCell ref="G170:G176"/>
    <mergeCell ref="F78:F163"/>
    <mergeCell ref="F1579:F1642"/>
    <mergeCell ref="G1595:G1610"/>
    <mergeCell ref="H1675:H1684"/>
    <mergeCell ref="H775:H780"/>
    <mergeCell ref="F1481:F1578"/>
    <mergeCell ref="H1067:H1073"/>
    <mergeCell ref="H544:H545"/>
    <mergeCell ref="G394:G420"/>
    <mergeCell ref="G1264:G1280"/>
    <mergeCell ref="H548:H554"/>
    <mergeCell ref="H1293:H1301"/>
    <mergeCell ref="H770:H774"/>
    <mergeCell ref="H170:H176"/>
    <mergeCell ref="H424:H429"/>
    <mergeCell ref="H1052:H1059"/>
    <mergeCell ref="F857:F877"/>
    <mergeCell ref="H1659:H1667"/>
    <mergeCell ref="G13:G33"/>
    <mergeCell ref="G1281:G1301"/>
    <mergeCell ref="G1481:G1496"/>
    <mergeCell ref="G527:G543"/>
    <mergeCell ref="H1489:H1496"/>
    <mergeCell ref="H1590:H1594"/>
    <mergeCell ref="H1231:H1240"/>
    <mergeCell ref="G1302:G1320"/>
    <mergeCell ref="G770:G774"/>
    <mergeCell ref="H311:H330"/>
    <mergeCell ref="H781:H785"/>
    <mergeCell ref="G878:G893"/>
    <mergeCell ref="H1575:H1578"/>
    <mergeCell ref="H871:H877"/>
    <mergeCell ref="H1169:H1175"/>
    <mergeCell ref="H1278:H1280"/>
    <mergeCell ref="H405:H420"/>
    <mergeCell ref="H1316:H1320"/>
    <mergeCell ref="G973:G988"/>
    <mergeCell ref="H746:H748"/>
    <mergeCell ref="H380:H386"/>
    <mergeCell ref="H801:H856"/>
    <mergeCell ref="H78:H117"/>
    <mergeCell ref="G775:G780"/>
    <mergeCell ref="H13:H20"/>
    <mergeCell ref="H1203:H1209"/>
    <mergeCell ref="F923:F1017"/>
    <mergeCell ref="G1196:G1230"/>
    <mergeCell ref="H134:H146"/>
    <mergeCell ref="H1331:H1333"/>
    <mergeCell ref="H430:H437"/>
    <mergeCell ref="H536:H543"/>
    <mergeCell ref="H749:H751"/>
    <mergeCell ref="H546:H547"/>
    <mergeCell ref="G1353:G1368"/>
    <mergeCell ref="G857:G877"/>
    <mergeCell ref="H1433:H1444"/>
    <mergeCell ref="G1248:G1263"/>
    <mergeCell ref="H387:H393"/>
    <mergeCell ref="H1720:H1723"/>
    <mergeCell ref="H1146:H1153"/>
    <mergeCell ref="H759:H762"/>
    <mergeCell ref="H982:H986"/>
    <mergeCell ref="H581:H584"/>
    <mergeCell ref="H971:H972"/>
    <mergeCell ref="H1506:H1512"/>
    <mergeCell ref="G1579:G1594"/>
    <mergeCell ref="G1497:G1512"/>
    <mergeCell ref="H953:H954"/>
    <mergeCell ref="F700:F726"/>
    <mergeCell ref="F878:F922"/>
    <mergeCell ref="G1337:G1352"/>
    <mergeCell ref="H199:H214"/>
    <mergeCell ref="H1691:H1699"/>
    <mergeCell ref="G1401:G1416"/>
    <mergeCell ref="H1049:H1051"/>
    <mergeCell ref="G923:G938"/>
    <mergeCell ref="F544:F618"/>
    <mergeCell ref="H1334:H1336"/>
    <mergeCell ref="H1535:H1550"/>
    <mergeCell ref="G763:G769"/>
    <mergeCell ref="G1052:G1073"/>
    <mergeCell ref="G1513:G1534"/>
    <mergeCell ref="H129:H133"/>
    <mergeCell ref="H888:H893"/>
    <mergeCell ref="H993:H999"/>
    <mergeCell ref="H1481:H1488"/>
    <mergeCell ref="G421:G429"/>
    <mergeCell ref="H793:H796"/>
    <mergeCell ref="H124:H128"/>
    <mergeCell ref="H1366:H1368"/>
    <mergeCell ref="H164:H169"/>
    <mergeCell ref="H1551:H1562"/>
    <mergeCell ref="H27:H33"/>
    <mergeCell ref="H732:H733"/>
    <mergeCell ref="H1513:H1523"/>
    <mergeCell ref="G1563:G1578"/>
    <mergeCell ref="G1611:G1626"/>
    <mergeCell ref="H1643:H1651"/>
    <mergeCell ref="H630:H663"/>
    <mergeCell ref="H923:H925"/>
    <mergeCell ref="H50:H54"/>
    <mergeCell ref="H1604:H1610"/>
    <mergeCell ref="G1417:G1432"/>
    <mergeCell ref="F394:F543"/>
    <mergeCell ref="H610:H612"/>
    <mergeCell ref="F1231:F1320"/>
    <mergeCell ref="G34:G49"/>
    <mergeCell ref="H1244:H1247"/>
    <mergeCell ref="H1248:H1255"/>
    <mergeCell ref="G894:G907"/>
    <mergeCell ref="H592:H597"/>
    <mergeCell ref="H1474:H1480"/>
    <mergeCell ref="H1074:H1081"/>
    <mergeCell ref="H987:H988"/>
    <mergeCell ref="H1622:H1626"/>
    <mergeCell ref="H590:H591"/>
    <mergeCell ref="G1036:G1051"/>
    <mergeCell ref="H1241:H1243"/>
    <mergeCell ref="H1101:H1104"/>
    <mergeCell ref="H600:H602"/>
    <mergeCell ref="H10:H12"/>
    <mergeCell ref="H1008:H1017"/>
    <mergeCell ref="H1060:H1066"/>
    <mergeCell ref="H1125:H1131"/>
    <mergeCell ref="H598:H599"/>
    <mergeCell ref="H963:H970"/>
    <mergeCell ref="H1176:H1179"/>
    <mergeCell ref="H1497:H1505"/>
    <mergeCell ref="G164:G169"/>
    <mergeCell ref="G1093:G1108"/>
    <mergeCell ref="H1109:H1120"/>
    <mergeCell ref="H585:H589"/>
    <mergeCell ref="H66:H70"/>
    <mergeCell ref="H1611:H1621"/>
    <mergeCell ref="G619:G699"/>
    <mergeCell ref="H789:H792"/>
    <mergeCell ref="H155:H163"/>
    <mergeCell ref="H1264:H1270"/>
    <mergeCell ref="H1724:H1729"/>
    <mergeCell ref="H1321:H1330"/>
    <mergeCell ref="H753:H754"/>
    <mergeCell ref="H1381:H1384"/>
    <mergeCell ref="G700:G726"/>
    <mergeCell ref="H1412:H1416"/>
    <mergeCell ref="G989:G1007"/>
    <mergeCell ref="H1445:H1448"/>
    <mergeCell ref="H1309:H1315"/>
    <mergeCell ref="H786:H788"/>
    <mergeCell ref="H1018:H1021"/>
    <mergeCell ref="G184:G393"/>
    <mergeCell ref="H864:H870"/>
    <mergeCell ref="H608:H609"/>
    <mergeCell ref="H1271:H1277"/>
    <mergeCell ref="F164:F183"/>
    <mergeCell ref="H1093:H1100"/>
    <mergeCell ref="H1139:H1145"/>
    <mergeCell ref="H613:H618"/>
    <mergeCell ref="H930:H936"/>
    <mergeCell ref="H908:H915"/>
    <mergeCell ref="H147:H154"/>
    <mergeCell ref="H937:H938"/>
    <mergeCell ref="H215:H310"/>
    <mergeCell ref="H1668:H1674"/>
    <mergeCell ref="G727:G751"/>
    <mergeCell ref="G1385:G1400"/>
    <mergeCell ref="G603:G612"/>
    <mergeCell ref="H1638:H1642"/>
    <mergeCell ref="G1449:G1464"/>
    <mergeCell ref="H2:H9"/>
    <mergeCell ref="H1595:H1603"/>
    <mergeCell ref="H1585:H1589"/>
    <mergeCell ref="H899:H907"/>
    <mergeCell ref="F2:F77"/>
    <mergeCell ref="H421:H423"/>
    <mergeCell ref="H1025:H1031"/>
    <mergeCell ref="H894:H898"/>
    <mergeCell ref="H1196:H1202"/>
    <mergeCell ref="H60:H62"/>
    <mergeCell ref="H1397:H1400"/>
    <mergeCell ref="G1321:G1336"/>
    <mergeCell ref="F619:F699"/>
    <mergeCell ref="H1082:H1087"/>
    <mergeCell ref="G1707:G1729"/>
    <mergeCell ref="H1154:H1161"/>
    <mergeCell ref="G1074:G1092"/>
    <mergeCell ref="H947:H952"/>
    <mergeCell ref="H555:H580"/>
    <mergeCell ref="H1256:H1258"/>
    <mergeCell ref="G786:G856"/>
    <mergeCell ref="H1036:H1043"/>
    <mergeCell ref="H1022:H1024"/>
    <mergeCell ref="H1707:H1713"/>
    <mergeCell ref="H1627:H1637"/>
    <mergeCell ref="G1465:G1480"/>
    <mergeCell ref="G613:G618"/>
    <mergeCell ref="G955:G972"/>
    <mergeCell ref="F727:F856"/>
    <mergeCell ref="G1643:G1658"/>
    <mergeCell ref="H1105:H1108"/>
    <mergeCell ref="G1125:G1145"/>
    <mergeCell ref="H1000:H1007"/>
    <mergeCell ref="H734:H739"/>
    <mergeCell ref="H1700:H1706"/>
    <mergeCell ref="H44:H49"/>
    <mergeCell ref="H1224:H1230"/>
    <mergeCell ref="H1162:H1168"/>
    <mergeCell ref="H857:H863"/>
    <mergeCell ref="G1535:G1562"/>
    <mergeCell ref="G1180:G1195"/>
    <mergeCell ref="H63:H65"/>
    <mergeCell ref="H1286:H1292"/>
    <mergeCell ref="H55:H59"/>
    <mergeCell ref="B2:B1729"/>
    <mergeCell ref="H331:H355"/>
    <mergeCell ref="H1217:H1223"/>
    <mergeCell ref="H1401:H1411"/>
    <mergeCell ref="H438:H526"/>
    <mergeCell ref="G1008:G1017"/>
    <mergeCell ref="G1369:G1384"/>
    <mergeCell ref="H1180:H1190"/>
    <mergeCell ref="G177:G183"/>
    <mergeCell ref="H356:H369"/>
    <mergeCell ref="G1433:G1448"/>
    <mergeCell ref="H973:H981"/>
    <mergeCell ref="H34:H43"/>
    <mergeCell ref="H177:H183"/>
    <mergeCell ref="H370:H379"/>
    <mergeCell ref="H1369:H1380"/>
    <mergeCell ref="H763:H766"/>
    <mergeCell ref="G592:G602"/>
    <mergeCell ref="G2:G12"/>
    <mergeCell ref="G1659:G1674"/>
    <mergeCell ref="G1162:G1179"/>
    <mergeCell ref="H1652:H1658"/>
    <mergeCell ref="H1579:H1584"/>
    <mergeCell ref="H664:H699"/>
    <mergeCell ref="H1685:H1690"/>
    <mergeCell ref="H1088:H1092"/>
    <mergeCell ref="H797:H798"/>
    <mergeCell ref="H1121:H1124"/>
    <mergeCell ref="H402:H404"/>
    <mergeCell ref="G1675:G1690"/>
    <mergeCell ref="G1231:G1247"/>
    <mergeCell ref="H700:H703"/>
    <mergeCell ref="H1385:H1392"/>
    <mergeCell ref="H799:H800"/>
    <mergeCell ref="H712:H726"/>
    <mergeCell ref="H926:H927"/>
    <mergeCell ref="H1417:H1427"/>
    <mergeCell ref="H1259:H1263"/>
    <mergeCell ref="F1125:F1230"/>
    <mergeCell ref="G1018:G1035"/>
    <mergeCell ref="G430:G526"/>
    <mergeCell ref="H184:H198"/>
    <mergeCell ref="H1210:H1216"/>
    <mergeCell ref="H1302:H1308"/>
    <mergeCell ref="H878:H887"/>
    <mergeCell ref="G544:G554"/>
    <mergeCell ref="H71:H77"/>
    <mergeCell ref="H1191:H1195"/>
    <mergeCell ref="H1132:H1138"/>
    <mergeCell ref="H394:H400"/>
    <mergeCell ref="H1460:H1464"/>
    <mergeCell ref="G50:G77"/>
    <mergeCell ref="H1563:H1574"/>
    <mergeCell ref="H1349:H1352"/>
    <mergeCell ref="H527:H530"/>
    <mergeCell ref="G1146:G1161"/>
    <mergeCell ref="H21:H26"/>
    <mergeCell ref="H1714:H1719"/>
    <mergeCell ref="H939:H946"/>
    <mergeCell ref="H727:H730"/>
    <mergeCell ref="H1044:H1048"/>
    <mergeCell ref="G1627:G1642"/>
    <mergeCell ref="G1691:G1706"/>
    <mergeCell ref="F184:F393"/>
    <mergeCell ref="H709:H711"/>
    <mergeCell ref="G78:G163"/>
    <mergeCell ref="H1353:H1362"/>
    <mergeCell ref="H603:H607"/>
    <mergeCell ref="H1465:H1473"/>
    <mergeCell ref="H118:H123"/>
    <mergeCell ref="H1449:H1459"/>
    <mergeCell ref="H742:H745"/>
    <mergeCell ref="H704:H706"/>
    <mergeCell ref="H1032:H1035"/>
    <mergeCell ref="H1337:H1348"/>
    <mergeCell ref="F1321:F1400"/>
    <mergeCell ref="H1524:H1534"/>
    <mergeCell ref="F1401:F1480"/>
    <mergeCell ref="H531:H535"/>
    <mergeCell ref="H989:H992"/>
  </mergeCells>
  <conditionalFormatting sqref="K77">
    <cfRule type="expression" priority="396" dxfId="0" stopIfTrue="1">
      <formula>AND($J77="",$I77&lt;&gt;"")</formula>
    </cfRule>
  </conditionalFormatting>
  <conditionalFormatting sqref="K131">
    <cfRule type="expression" priority="448" dxfId="0" stopIfTrue="1">
      <formula>AND($J131="",#REF!&lt;&gt;"")</formula>
    </cfRule>
  </conditionalFormatting>
  <conditionalFormatting sqref="K139">
    <cfRule type="expression" priority="440" dxfId="0" stopIfTrue="1">
      <formula>AND($J139="",#REF!&lt;&gt;"")</formula>
    </cfRule>
  </conditionalFormatting>
  <conditionalFormatting sqref="K147">
    <cfRule type="expression" priority="449" dxfId="0" stopIfTrue="1">
      <formula>AND($J147="",#REF!&lt;&gt;"")</formula>
    </cfRule>
  </conditionalFormatting>
  <conditionalFormatting sqref="K149">
    <cfRule type="expression" priority="450" dxfId="0" stopIfTrue="1">
      <formula>AND($J149="",$I149&lt;&gt;"")</formula>
    </cfRule>
  </conditionalFormatting>
  <conditionalFormatting sqref="K187">
    <cfRule type="expression" priority="26" dxfId="0" stopIfTrue="1">
      <formula>AND($J187="",$I187&lt;&gt;"")</formula>
    </cfRule>
  </conditionalFormatting>
  <conditionalFormatting sqref="K188">
    <cfRule type="expression" priority="435" dxfId="0" stopIfTrue="1">
      <formula>AND($J188="",#REF!&lt;&gt;"")</formula>
    </cfRule>
  </conditionalFormatting>
  <conditionalFormatting sqref="K193">
    <cfRule type="expression" priority="24" dxfId="0" stopIfTrue="1">
      <formula>AND($J193="",$I193&lt;&gt;"")</formula>
    </cfRule>
  </conditionalFormatting>
  <conditionalFormatting sqref="K194">
    <cfRule type="expression" priority="25" dxfId="0" stopIfTrue="1">
      <formula>AND($J194="",$I194&lt;&gt;"")</formula>
    </cfRule>
  </conditionalFormatting>
  <conditionalFormatting sqref="K197">
    <cfRule type="expression" priority="23" dxfId="0" stopIfTrue="1">
      <formula>AND($J197="",$I197&lt;&gt;"")</formula>
    </cfRule>
  </conditionalFormatting>
  <conditionalFormatting sqref="K198">
    <cfRule type="expression" priority="28" dxfId="0" stopIfTrue="1">
      <formula>AND($J198="",$I196&lt;&gt;"")</formula>
    </cfRule>
  </conditionalFormatting>
  <conditionalFormatting sqref="K199">
    <cfRule type="expression" priority="1533" dxfId="0" stopIfTrue="1">
      <formula>AND($J199="",$I197&lt;&gt;"")</formula>
    </cfRule>
  </conditionalFormatting>
  <conditionalFormatting sqref="K205">
    <cfRule type="expression" priority="21" dxfId="0" stopIfTrue="1">
      <formula>AND($J205="",$I205&lt;&gt;"")</formula>
    </cfRule>
  </conditionalFormatting>
  <conditionalFormatting sqref="K207">
    <cfRule type="expression" priority="14" dxfId="0" stopIfTrue="1">
      <formula>AND($J207="",$I207&lt;&gt;"")</formula>
    </cfRule>
  </conditionalFormatting>
  <conditionalFormatting sqref="K221">
    <cfRule type="expression" priority="20" dxfId="0" stopIfTrue="1">
      <formula>AND($J221="",$I221&lt;&gt;"")</formula>
    </cfRule>
  </conditionalFormatting>
  <conditionalFormatting sqref="K334">
    <cfRule type="expression" priority="16" dxfId="0" stopIfTrue="1">
      <formula>AND($J334="",$I334&lt;&gt;"")</formula>
    </cfRule>
  </conditionalFormatting>
  <conditionalFormatting sqref="K343">
    <cfRule type="expression" priority="15" dxfId="0" stopIfTrue="1">
      <formula>AND($J343="",$I343&lt;&gt;"")</formula>
    </cfRule>
  </conditionalFormatting>
  <conditionalFormatting sqref="K375">
    <cfRule type="expression" priority="3" dxfId="0" stopIfTrue="1">
      <formula>AND($J375="",$I375&lt;&gt;"")</formula>
    </cfRule>
  </conditionalFormatting>
  <conditionalFormatting sqref="K376">
    <cfRule type="expression" priority="6" dxfId="0" stopIfTrue="1">
      <formula>AND($J376="",$I376&lt;&gt;"")</formula>
    </cfRule>
  </conditionalFormatting>
  <conditionalFormatting sqref="K377">
    <cfRule type="expression" priority="5" dxfId="0" stopIfTrue="1">
      <formula>AND($J377="",$I377&lt;&gt;"")</formula>
    </cfRule>
  </conditionalFormatting>
  <conditionalFormatting sqref="K378">
    <cfRule type="expression" priority="4" dxfId="0" stopIfTrue="1">
      <formula>AND($J378="",$I378&lt;&gt;"")</formula>
    </cfRule>
  </conditionalFormatting>
  <conditionalFormatting sqref="K385">
    <cfRule type="expression" priority="13" dxfId="0" stopIfTrue="1">
      <formula>AND($J385="",$I385&lt;&gt;"")</formula>
    </cfRule>
  </conditionalFormatting>
  <conditionalFormatting sqref="K386">
    <cfRule type="expression" priority="12" dxfId="0" stopIfTrue="1">
      <formula>AND($J386="",$I386&lt;&gt;"")</formula>
    </cfRule>
  </conditionalFormatting>
  <conditionalFormatting sqref="K392">
    <cfRule type="expression" priority="11" dxfId="0" stopIfTrue="1">
      <formula>AND($J392="",$I392&lt;&gt;"")</formula>
    </cfRule>
  </conditionalFormatting>
  <conditionalFormatting sqref="K393">
    <cfRule type="expression" priority="10" dxfId="0" stopIfTrue="1">
      <formula>AND($J393="",$I393&lt;&gt;"")</formula>
    </cfRule>
  </conditionalFormatting>
  <conditionalFormatting sqref="K424">
    <cfRule type="expression" priority="392" dxfId="0" stopIfTrue="1">
      <formula>AND($J424="",$I424&lt;&gt;"")</formula>
    </cfRule>
  </conditionalFormatting>
  <conditionalFormatting sqref="K425">
    <cfRule type="expression" priority="391" dxfId="0" stopIfTrue="1">
      <formula>AND($J425="",$I425&lt;&gt;"")</formula>
    </cfRule>
  </conditionalFormatting>
  <conditionalFormatting sqref="K715">
    <cfRule type="expression" priority="429" dxfId="0" stopIfTrue="1">
      <formula>AND($J715="",$I715&lt;&gt;"")</formula>
    </cfRule>
  </conditionalFormatting>
  <conditionalFormatting sqref="K716">
    <cfRule type="expression" priority="428" dxfId="0" stopIfTrue="1">
      <formula>AND($J716="",$I716&lt;&gt;"")</formula>
    </cfRule>
  </conditionalFormatting>
  <conditionalFormatting sqref="K717">
    <cfRule type="expression" priority="427" dxfId="0" stopIfTrue="1">
      <formula>AND($J717="",$I717&lt;&gt;"")</formula>
    </cfRule>
  </conditionalFormatting>
  <conditionalFormatting sqref="K718">
    <cfRule type="expression" priority="426" dxfId="0" stopIfTrue="1">
      <formula>AND($J718="",$I718&lt;&gt;"")</formula>
    </cfRule>
  </conditionalFormatting>
  <conditionalFormatting sqref="K719">
    <cfRule type="expression" priority="425" dxfId="0" stopIfTrue="1">
      <formula>AND($J719="",$I719&lt;&gt;"")</formula>
    </cfRule>
  </conditionalFormatting>
  <conditionalFormatting sqref="K720">
    <cfRule type="expression" priority="424" dxfId="0" stopIfTrue="1">
      <formula>AND($J720="",$I720&lt;&gt;"")</formula>
    </cfRule>
  </conditionalFormatting>
  <conditionalFormatting sqref="K721">
    <cfRule type="expression" priority="423" dxfId="0" stopIfTrue="1">
      <formula>AND($J721="",$I721&lt;&gt;"")</formula>
    </cfRule>
  </conditionalFormatting>
  <conditionalFormatting sqref="K722">
    <cfRule type="expression" priority="422" dxfId="0" stopIfTrue="1">
      <formula>AND($J722="",$I722&lt;&gt;"")</formula>
    </cfRule>
  </conditionalFormatting>
  <conditionalFormatting sqref="K723">
    <cfRule type="expression" priority="421" dxfId="0" stopIfTrue="1">
      <formula>AND($J723="",$I723&lt;&gt;"")</formula>
    </cfRule>
  </conditionalFormatting>
  <conditionalFormatting sqref="K724">
    <cfRule type="expression" priority="420" dxfId="0" stopIfTrue="1">
      <formula>AND($J724="",$I724&lt;&gt;"")</formula>
    </cfRule>
  </conditionalFormatting>
  <conditionalFormatting sqref="K725">
    <cfRule type="expression" priority="419" dxfId="0" stopIfTrue="1">
      <formula>AND($J725="",$I725&lt;&gt;"")</formula>
    </cfRule>
  </conditionalFormatting>
  <conditionalFormatting sqref="K726">
    <cfRule type="expression" priority="418" dxfId="0" stopIfTrue="1">
      <formula>AND($J726="",$I726&lt;&gt;"")</formula>
    </cfRule>
  </conditionalFormatting>
  <conditionalFormatting sqref="K730">
    <cfRule type="expression" priority="2" dxfId="0" stopIfTrue="1">
      <formula>AND($J730="",$I730&lt;&gt;"")</formula>
    </cfRule>
  </conditionalFormatting>
  <conditionalFormatting sqref="K738">
    <cfRule type="expression" priority="1" dxfId="0" stopIfTrue="1">
      <formula>AND($J738="",$I738&lt;&gt;"")</formula>
    </cfRule>
  </conditionalFormatting>
  <conditionalFormatting sqref="K892">
    <cfRule type="expression" priority="401" dxfId="0" stopIfTrue="1">
      <formula>AND($J892="",$I892&lt;&gt;"")</formula>
    </cfRule>
  </conditionalFormatting>
  <conditionalFormatting sqref="K893">
    <cfRule type="expression" priority="399" dxfId="0" stopIfTrue="1">
      <formula>AND($J893="",$I893&lt;&gt;"")</formula>
    </cfRule>
  </conditionalFormatting>
  <conditionalFormatting sqref="K923">
    <cfRule type="expression" priority="289" dxfId="0" stopIfTrue="1">
      <formula>AND($J923="",$I923&lt;&gt;"")</formula>
    </cfRule>
  </conditionalFormatting>
  <conditionalFormatting sqref="K946">
    <cfRule type="expression" priority="137" dxfId="0" stopIfTrue="1">
      <formula>AND($J946="",$I946&lt;&gt;"")</formula>
    </cfRule>
  </conditionalFormatting>
  <conditionalFormatting sqref="K947">
    <cfRule type="expression" priority="287" dxfId="0" stopIfTrue="1">
      <formula>AND($J947="",$I947&lt;&gt;"")</formula>
    </cfRule>
  </conditionalFormatting>
  <conditionalFormatting sqref="K960">
    <cfRule type="expression" priority="244" dxfId="0" stopIfTrue="1">
      <formula>AND($J960="",$I960&lt;&gt;"")</formula>
    </cfRule>
  </conditionalFormatting>
  <conditionalFormatting sqref="K968">
    <cfRule type="expression" priority="243" dxfId="0" stopIfTrue="1">
      <formula>AND($J968="",$I968&lt;&gt;"")</formula>
    </cfRule>
  </conditionalFormatting>
  <conditionalFormatting sqref="K971">
    <cfRule type="expression" priority="372" dxfId="0" stopIfTrue="1">
      <formula>AND($J971="",$I971&lt;&gt;"")</formula>
    </cfRule>
  </conditionalFormatting>
  <conditionalFormatting sqref="K972">
    <cfRule type="expression" priority="134" dxfId="0" stopIfTrue="1">
      <formula>AND($J972="",$I972&lt;&gt;"")</formula>
    </cfRule>
  </conditionalFormatting>
  <conditionalFormatting sqref="K979">
    <cfRule type="expression" priority="242" dxfId="0" stopIfTrue="1">
      <formula>AND($J979="",$I979&lt;&gt;"")</formula>
    </cfRule>
  </conditionalFormatting>
  <conditionalFormatting sqref="K997">
    <cfRule type="expression" priority="240" dxfId="0" stopIfTrue="1">
      <formula>AND($J997="",$I997&lt;&gt;"")</formula>
    </cfRule>
  </conditionalFormatting>
  <conditionalFormatting sqref="K1014">
    <cfRule type="expression" priority="238" dxfId="0" stopIfTrue="1">
      <formula>AND($J1014="",$I1014&lt;&gt;"")</formula>
    </cfRule>
  </conditionalFormatting>
  <conditionalFormatting sqref="K1022">
    <cfRule type="expression" priority="236" dxfId="0" stopIfTrue="1">
      <formula>AND($J1022="",$I1022&lt;&gt;"")</formula>
    </cfRule>
  </conditionalFormatting>
  <conditionalFormatting sqref="K1029">
    <cfRule type="expression" priority="235" dxfId="0" stopIfTrue="1">
      <formula>AND($J1029="",$I1029&lt;&gt;"")</formula>
    </cfRule>
  </conditionalFormatting>
  <conditionalFormatting sqref="K1039">
    <cfRule type="expression" priority="366" dxfId="0" stopIfTrue="1">
      <formula>AND($J1039="",$I1039&lt;&gt;"")</formula>
    </cfRule>
  </conditionalFormatting>
  <conditionalFormatting sqref="K1046">
    <cfRule type="expression" priority="232" dxfId="0" stopIfTrue="1">
      <formula>AND($J1046="",$I1046&lt;&gt;"")</formula>
    </cfRule>
  </conditionalFormatting>
  <conditionalFormatting sqref="K1049">
    <cfRule type="expression" priority="231" dxfId="0" stopIfTrue="1">
      <formula>AND($J1049="",$I1049&lt;&gt;"")</formula>
    </cfRule>
  </conditionalFormatting>
  <conditionalFormatting sqref="K1064">
    <cfRule type="expression" priority="229" dxfId="0" stopIfTrue="1">
      <formula>AND($J1064="",$I1064&lt;&gt;"")</formula>
    </cfRule>
  </conditionalFormatting>
  <conditionalFormatting sqref="K1071">
    <cfRule type="expression" priority="228" dxfId="0" stopIfTrue="1">
      <formula>AND($J1071="",$I1071&lt;&gt;"")</formula>
    </cfRule>
  </conditionalFormatting>
  <conditionalFormatting sqref="K1090">
    <cfRule type="expression" priority="225" dxfId="0" stopIfTrue="1">
      <formula>AND($J1090="",$I1090&lt;&gt;"")</formula>
    </cfRule>
  </conditionalFormatting>
  <conditionalFormatting sqref="K1121">
    <cfRule type="expression" priority="281" dxfId="0" stopIfTrue="1">
      <formula>AND($J1121="",$I1121&lt;&gt;"")</formula>
    </cfRule>
  </conditionalFormatting>
  <conditionalFormatting sqref="K1124">
    <cfRule type="expression" priority="111" dxfId="0" stopIfTrue="1">
      <formula>AND($J1124="",$I1124&lt;&gt;"")</formula>
    </cfRule>
  </conditionalFormatting>
  <conditionalFormatting sqref="K1129">
    <cfRule type="expression" priority="219" dxfId="0" stopIfTrue="1">
      <formula>AND($J1129="",$I1129&lt;&gt;"")</formula>
    </cfRule>
  </conditionalFormatting>
  <conditionalFormatting sqref="K1136">
    <cfRule type="expression" priority="218" dxfId="0" stopIfTrue="1">
      <formula>AND($J1136="",$I1136&lt;&gt;"")</formula>
    </cfRule>
  </conditionalFormatting>
  <conditionalFormatting sqref="K1143">
    <cfRule type="expression" priority="217" dxfId="0" stopIfTrue="1">
      <formula>AND($J1143="",$I1143&lt;&gt;"")</formula>
    </cfRule>
  </conditionalFormatting>
  <conditionalFormatting sqref="K1146">
    <cfRule type="expression" priority="280" dxfId="0" stopIfTrue="1">
      <formula>AND($J1146="",$I1146&lt;&gt;"")</formula>
    </cfRule>
  </conditionalFormatting>
  <conditionalFormatting sqref="K1151">
    <cfRule type="expression" priority="216" dxfId="0" stopIfTrue="1">
      <formula>AND($J1151="",$I1151&lt;&gt;"")</formula>
    </cfRule>
  </conditionalFormatting>
  <conditionalFormatting sqref="K1154">
    <cfRule type="expression" priority="279" dxfId="0" stopIfTrue="1">
      <formula>AND($J1154="",$I1154&lt;&gt;"")</formula>
    </cfRule>
  </conditionalFormatting>
  <conditionalFormatting sqref="K1159">
    <cfRule type="expression" priority="215" dxfId="0" stopIfTrue="1">
      <formula>AND($J1159="",$I1159&lt;&gt;"")</formula>
    </cfRule>
  </conditionalFormatting>
  <conditionalFormatting sqref="K1166">
    <cfRule type="expression" priority="214" dxfId="0" stopIfTrue="1">
      <formula>AND($J1166="",$I1166&lt;&gt;"")</formula>
    </cfRule>
  </conditionalFormatting>
  <conditionalFormatting sqref="K1173">
    <cfRule type="expression" priority="213" dxfId="0" stopIfTrue="1">
      <formula>AND($J1173="",$I1173&lt;&gt;"")</formula>
    </cfRule>
  </conditionalFormatting>
  <conditionalFormatting sqref="K1193">
    <cfRule type="expression" priority="210" dxfId="0" stopIfTrue="1">
      <formula>AND($J1193="",$I1193&lt;&gt;"")</formula>
    </cfRule>
  </conditionalFormatting>
  <conditionalFormatting sqref="K1200">
    <cfRule type="expression" priority="209" dxfId="0" stopIfTrue="1">
      <formula>AND($J1200="",$I1200&lt;&gt;"")</formula>
    </cfRule>
  </conditionalFormatting>
  <conditionalFormatting sqref="K1207">
    <cfRule type="expression" priority="208" dxfId="0" stopIfTrue="1">
      <formula>AND($J1207="",$I1207&lt;&gt;"")</formula>
    </cfRule>
  </conditionalFormatting>
  <conditionalFormatting sqref="K1214">
    <cfRule type="expression" priority="207" dxfId="0" stopIfTrue="1">
      <formula>AND($J1214="",$I1214&lt;&gt;"")</formula>
    </cfRule>
  </conditionalFormatting>
  <conditionalFormatting sqref="K1221">
    <cfRule type="expression" priority="206" dxfId="0" stopIfTrue="1">
      <formula>AND($J1221="",$I1221&lt;&gt;"")</formula>
    </cfRule>
  </conditionalFormatting>
  <conditionalFormatting sqref="K1228">
    <cfRule type="expression" priority="205" dxfId="0" stopIfTrue="1">
      <formula>AND($J1228="",$I1228&lt;&gt;"")</formula>
    </cfRule>
  </conditionalFormatting>
  <conditionalFormatting sqref="K1241">
    <cfRule type="expression" priority="203" dxfId="0" stopIfTrue="1">
      <formula>AND($J1241="",$I1241&lt;&gt;"")</formula>
    </cfRule>
  </conditionalFormatting>
  <conditionalFormatting sqref="K1256">
    <cfRule type="expression" priority="200" dxfId="0" stopIfTrue="1">
      <formula>AND($J1256="",$I1256&lt;&gt;"")</formula>
    </cfRule>
  </conditionalFormatting>
  <conditionalFormatting sqref="K1261">
    <cfRule type="expression" priority="199" dxfId="0" stopIfTrue="1">
      <formula>AND($J1261="",$I1261&lt;&gt;"")</formula>
    </cfRule>
  </conditionalFormatting>
  <conditionalFormatting sqref="K1268">
    <cfRule type="expression" priority="198" dxfId="0" stopIfTrue="1">
      <formula>AND($J1268="",$I1268&lt;&gt;"")</formula>
    </cfRule>
  </conditionalFormatting>
  <conditionalFormatting sqref="K1275">
    <cfRule type="expression" priority="197" dxfId="0" stopIfTrue="1">
      <formula>AND($J1275="",$I1275&lt;&gt;"")</formula>
    </cfRule>
  </conditionalFormatting>
  <conditionalFormatting sqref="K1278">
    <cfRule type="expression" priority="196" dxfId="0" stopIfTrue="1">
      <formula>AND($J1278="",$I1278&lt;&gt;"")</formula>
    </cfRule>
  </conditionalFormatting>
  <conditionalFormatting sqref="K1283">
    <cfRule type="expression" priority="195" dxfId="0" stopIfTrue="1">
      <formula>AND($J1283="",$I1283&lt;&gt;"")</formula>
    </cfRule>
  </conditionalFormatting>
  <conditionalFormatting sqref="K1290">
    <cfRule type="expression" priority="194" dxfId="0" stopIfTrue="1">
      <formula>AND($J1290="",$I1290&lt;&gt;"")</formula>
    </cfRule>
  </conditionalFormatting>
  <conditionalFormatting sqref="K1306">
    <cfRule type="expression" priority="192" dxfId="0" stopIfTrue="1">
      <formula>AND($J1306="",$I1306&lt;&gt;"")</formula>
    </cfRule>
  </conditionalFormatting>
  <conditionalFormatting sqref="K1313">
    <cfRule type="expression" priority="191" dxfId="0" stopIfTrue="1">
      <formula>AND($J1313="",$I1313&lt;&gt;"")</formula>
    </cfRule>
  </conditionalFormatting>
  <conditionalFormatting sqref="K1318">
    <cfRule type="expression" priority="190" dxfId="0" stopIfTrue="1">
      <formula>AND($J1318="",$I1318&lt;&gt;"")</formula>
    </cfRule>
  </conditionalFormatting>
  <conditionalFormatting sqref="K1328">
    <cfRule type="expression" priority="189" dxfId="0" stopIfTrue="1">
      <formula>AND($J1328="",$I1328&lt;&gt;"")</formula>
    </cfRule>
  </conditionalFormatting>
  <conditionalFormatting sqref="K1331">
    <cfRule type="expression" priority="188" dxfId="0" stopIfTrue="1">
      <formula>AND($J1331="",$I1331&lt;&gt;"")</formula>
    </cfRule>
  </conditionalFormatting>
  <conditionalFormatting sqref="K1334">
    <cfRule type="expression" priority="187" dxfId="0" stopIfTrue="1">
      <formula>AND($J1334="",$I1334&lt;&gt;"")</formula>
    </cfRule>
  </conditionalFormatting>
  <conditionalFormatting sqref="K1346">
    <cfRule type="expression" priority="186" dxfId="0" stopIfTrue="1">
      <formula>AND($J1346="",$I1346&lt;&gt;"")</formula>
    </cfRule>
  </conditionalFormatting>
  <conditionalFormatting sqref="K1360">
    <cfRule type="expression" priority="184" dxfId="0" stopIfTrue="1">
      <formula>AND($J1360="",$I1360&lt;&gt;"")</formula>
    </cfRule>
  </conditionalFormatting>
  <conditionalFormatting sqref="K1363">
    <cfRule type="expression" priority="183" dxfId="0" stopIfTrue="1">
      <formula>AND($J1363="",$I1363&lt;&gt;"")</formula>
    </cfRule>
  </conditionalFormatting>
  <conditionalFormatting sqref="K1366">
    <cfRule type="expression" priority="182" dxfId="0" stopIfTrue="1">
      <formula>AND($J1366="",$I1366&lt;&gt;"")</formula>
    </cfRule>
  </conditionalFormatting>
  <conditionalFormatting sqref="K1378">
    <cfRule type="expression" priority="181" dxfId="0" stopIfTrue="1">
      <formula>AND($J1378="",$I1378&lt;&gt;"")</formula>
    </cfRule>
  </conditionalFormatting>
  <conditionalFormatting sqref="K1385">
    <cfRule type="expression" priority="272" dxfId="0" stopIfTrue="1">
      <formula>AND($J1385="",$I1385&lt;&gt;"")</formula>
    </cfRule>
  </conditionalFormatting>
  <conditionalFormatting sqref="K1390">
    <cfRule type="expression" priority="179" dxfId="0" stopIfTrue="1">
      <formula>AND($J1390="",$I1390&lt;&gt;"")</formula>
    </cfRule>
  </conditionalFormatting>
  <conditionalFormatting sqref="K1409">
    <cfRule type="expression" priority="176" dxfId="0" stopIfTrue="1">
      <formula>AND($J1409="",$I1409&lt;&gt;"")</formula>
    </cfRule>
  </conditionalFormatting>
  <conditionalFormatting sqref="K1414">
    <cfRule type="expression" priority="175" dxfId="0" stopIfTrue="1">
      <formula>AND($J1414="",$I1414&lt;&gt;"")</formula>
    </cfRule>
  </conditionalFormatting>
  <conditionalFormatting sqref="K1428">
    <cfRule type="expression" priority="269" dxfId="0" stopIfTrue="1">
      <formula>AND($J1428="",$I1428&lt;&gt;"")</formula>
    </cfRule>
  </conditionalFormatting>
  <conditionalFormatting sqref="K1442">
    <cfRule type="expression" priority="172" dxfId="0" stopIfTrue="1">
      <formula>AND($J1442="",$I1442&lt;&gt;"")</formula>
    </cfRule>
  </conditionalFormatting>
  <conditionalFormatting sqref="K1457">
    <cfRule type="expression" priority="170" dxfId="0" stopIfTrue="1">
      <formula>AND($J1457="",$I1457&lt;&gt;"")</formula>
    </cfRule>
  </conditionalFormatting>
  <conditionalFormatting sqref="K1462">
    <cfRule type="expression" priority="169" dxfId="0" stopIfTrue="1">
      <formula>AND($J1462="",$I1462&lt;&gt;"")</formula>
    </cfRule>
  </conditionalFormatting>
  <conditionalFormatting sqref="K1471">
    <cfRule type="expression" priority="168" dxfId="0" stopIfTrue="1">
      <formula>AND($J1471="",$I1471&lt;&gt;"")</formula>
    </cfRule>
  </conditionalFormatting>
  <conditionalFormatting sqref="K1483">
    <cfRule type="expression" priority="249" dxfId="0" stopIfTrue="1">
      <formula>AND($J1483="",$I1483&lt;&gt;"")</formula>
    </cfRule>
  </conditionalFormatting>
  <conditionalFormatting sqref="K1489">
    <cfRule type="expression" priority="248" dxfId="0" stopIfTrue="1">
      <formula>AND($J1489="",$I1489&lt;&gt;"")</formula>
    </cfRule>
  </conditionalFormatting>
  <conditionalFormatting sqref="K1494">
    <cfRule type="expression" priority="166" dxfId="0" stopIfTrue="1">
      <formula>AND($J1494="",$I1494&lt;&gt;"")</formula>
    </cfRule>
  </conditionalFormatting>
  <conditionalFormatting sqref="K1503">
    <cfRule type="expression" priority="165" dxfId="0" stopIfTrue="1">
      <formula>AND($J1503="",$I1503&lt;&gt;"")</formula>
    </cfRule>
  </conditionalFormatting>
  <conditionalFormatting sqref="K1510">
    <cfRule type="expression" priority="164" dxfId="0" stopIfTrue="1">
      <formula>AND($J1510="",$I1510&lt;&gt;"")</formula>
    </cfRule>
  </conditionalFormatting>
  <conditionalFormatting sqref="K1513">
    <cfRule type="expression" priority="263" dxfId="0" stopIfTrue="1">
      <formula>AND($J1513="",$I1513&lt;&gt;"")</formula>
    </cfRule>
  </conditionalFormatting>
  <conditionalFormatting sqref="K1514">
    <cfRule type="expression" priority="247" dxfId="0" stopIfTrue="1">
      <formula>AND($J1514="",$I1514&lt;&gt;"")</formula>
    </cfRule>
  </conditionalFormatting>
  <conditionalFormatting sqref="K1538">
    <cfRule type="expression" priority="246" dxfId="0" stopIfTrue="1">
      <formula>AND($J1538="",$I1538&lt;&gt;"")</formula>
    </cfRule>
  </conditionalFormatting>
  <conditionalFormatting sqref="K1548">
    <cfRule type="expression" priority="161" dxfId="0" stopIfTrue="1">
      <formula>AND($J1548="",$I1548&lt;&gt;"")</formula>
    </cfRule>
  </conditionalFormatting>
  <conditionalFormatting sqref="K1579">
    <cfRule type="expression" priority="258" dxfId="0" stopIfTrue="1">
      <formula>AND($J1579="",$I1579&lt;&gt;"")</formula>
    </cfRule>
  </conditionalFormatting>
  <conditionalFormatting sqref="K1582">
    <cfRule type="expression" priority="158" dxfId="0" stopIfTrue="1">
      <formula>AND($J1582="",$I1582&lt;&gt;"")</formula>
    </cfRule>
  </conditionalFormatting>
  <conditionalFormatting sqref="K1587">
    <cfRule type="expression" priority="157" dxfId="0" stopIfTrue="1">
      <formula>AND($J1587="",$I1587&lt;&gt;"")</formula>
    </cfRule>
  </conditionalFormatting>
  <conditionalFormatting sqref="K1592">
    <cfRule type="expression" priority="156" dxfId="0" stopIfTrue="1">
      <formula>AND($J1592="",$I1592&lt;&gt;"")</formula>
    </cfRule>
  </conditionalFormatting>
  <conditionalFormatting sqref="K1601">
    <cfRule type="expression" priority="155" dxfId="0" stopIfTrue="1">
      <formula>AND($J1601="",$I1601&lt;&gt;"")</formula>
    </cfRule>
  </conditionalFormatting>
  <conditionalFormatting sqref="K1619">
    <cfRule type="expression" priority="153" dxfId="0" stopIfTrue="1">
      <formula>AND($J1619="",$I1619&lt;&gt;"")</formula>
    </cfRule>
  </conditionalFormatting>
  <conditionalFormatting sqref="K1624">
    <cfRule type="expression" priority="152" dxfId="0" stopIfTrue="1">
      <formula>AND($J1624="",$I1624&lt;&gt;"")</formula>
    </cfRule>
  </conditionalFormatting>
  <conditionalFormatting sqref="K1635">
    <cfRule type="expression" priority="151" dxfId="0" stopIfTrue="1">
      <formula>AND($J1635="",$I1635&lt;&gt;"")</formula>
    </cfRule>
  </conditionalFormatting>
  <conditionalFormatting sqref="K1642">
    <cfRule type="expression" priority="41" dxfId="0" stopIfTrue="1">
      <formula>AND($J1642="",$I1642&lt;&gt;"")</formula>
    </cfRule>
  </conditionalFormatting>
  <conditionalFormatting sqref="K1643">
    <cfRule type="expression" priority="254" dxfId="0" stopIfTrue="1">
      <formula>AND($J1643="",$I1643&lt;&gt;"")</formula>
    </cfRule>
  </conditionalFormatting>
  <conditionalFormatting sqref="K1656">
    <cfRule type="expression" priority="148" dxfId="0" stopIfTrue="1">
      <formula>AND($J1656="",$I1656&lt;&gt;"")</formula>
    </cfRule>
  </conditionalFormatting>
  <conditionalFormatting sqref="K1665">
    <cfRule type="expression" priority="147" dxfId="0" stopIfTrue="1">
      <formula>AND($J1665="",$I1665&lt;&gt;"")</formula>
    </cfRule>
  </conditionalFormatting>
  <conditionalFormatting sqref="K1672">
    <cfRule type="expression" priority="146" dxfId="0" stopIfTrue="1">
      <formula>AND($J1672="",$I1672&lt;&gt;"")</formula>
    </cfRule>
  </conditionalFormatting>
  <conditionalFormatting sqref="K1682">
    <cfRule type="expression" priority="145" dxfId="0" stopIfTrue="1">
      <formula>AND($J1682="",$I1682&lt;&gt;"")</formula>
    </cfRule>
  </conditionalFormatting>
  <conditionalFormatting sqref="K1697">
    <cfRule type="expression" priority="143" dxfId="0" stopIfTrue="1">
      <formula>AND($J1697="",$I1697&lt;&gt;"")</formula>
    </cfRule>
  </conditionalFormatting>
  <conditionalFormatting sqref="K1700">
    <cfRule type="expression" priority="250" dxfId="0" stopIfTrue="1">
      <formula>AND($J1700="",$I1700&lt;&gt;"")</formula>
    </cfRule>
  </conditionalFormatting>
  <conditionalFormatting sqref="K1701">
    <cfRule type="expression" priority="293" dxfId="0" stopIfTrue="1">
      <formula>AND($J1701="",$I1701&lt;&gt;"")</formula>
    </cfRule>
  </conditionalFormatting>
  <conditionalFormatting sqref="K1711">
    <cfRule type="expression" priority="141" dxfId="0" stopIfTrue="1">
      <formula>AND($J1711="",$I1711&lt;&gt;"")</formula>
    </cfRule>
  </conditionalFormatting>
  <conditionalFormatting sqref="K2:K12">
    <cfRule type="expression" priority="454" dxfId="0" stopIfTrue="1">
      <formula>AND($J2="",$I2&lt;&gt;"")</formula>
    </cfRule>
  </conditionalFormatting>
  <conditionalFormatting sqref="K13:K27">
    <cfRule type="expression" priority="394" dxfId="0" stopIfTrue="1">
      <formula>AND($J13="",$I13&lt;&gt;"")</formula>
    </cfRule>
  </conditionalFormatting>
  <conditionalFormatting sqref="K34:K49">
    <cfRule type="expression" priority="453" dxfId="0" stopIfTrue="1">
      <formula>AND($J34="",$I34&lt;&gt;"")</formula>
    </cfRule>
  </conditionalFormatting>
  <conditionalFormatting sqref="K50:K70">
    <cfRule type="expression" priority="452" dxfId="0" stopIfTrue="1">
      <formula>AND($J50="",$I50&lt;&gt;"")</formula>
    </cfRule>
  </conditionalFormatting>
  <conditionalFormatting sqref="K71:K72">
    <cfRule type="expression" priority="398" dxfId="0" stopIfTrue="1">
      <formula>AND($J71="",$I71&lt;&gt;"")</formula>
    </cfRule>
  </conditionalFormatting>
  <conditionalFormatting sqref="K73:K76">
    <cfRule type="expression" priority="397" dxfId="0" stopIfTrue="1">
      <formula>AND($J73="",$I73&lt;&gt;"")</formula>
    </cfRule>
  </conditionalFormatting>
  <conditionalFormatting sqref="K78:K117">
    <cfRule type="expression" priority="442" dxfId="0" stopIfTrue="1">
      <formula>AND($J78="",$I78&lt;&gt;"")</formula>
    </cfRule>
  </conditionalFormatting>
  <conditionalFormatting sqref="K118:K120">
    <cfRule type="expression" priority="451" dxfId="0" stopIfTrue="1">
      <formula>AND($J118="",$I129&lt;&gt;"")</formula>
    </cfRule>
  </conditionalFormatting>
  <conditionalFormatting sqref="K124:K126">
    <cfRule type="expression" priority="445" dxfId="0" stopIfTrue="1">
      <formula>AND($J124="",$I134&lt;&gt;"")</formula>
    </cfRule>
  </conditionalFormatting>
  <conditionalFormatting sqref="K129:K130">
    <cfRule type="expression" priority="446" dxfId="0" stopIfTrue="1">
      <formula>AND($J129="",$I139&lt;&gt;"")</formula>
    </cfRule>
  </conditionalFormatting>
  <conditionalFormatting sqref="K134:K136">
    <cfRule type="expression" priority="441" dxfId="0" stopIfTrue="1">
      <formula>AND($J134="",#REF!&lt;&gt;"")</formula>
    </cfRule>
  </conditionalFormatting>
  <conditionalFormatting sqref="K137:K138">
    <cfRule type="expression" priority="444" dxfId="0" stopIfTrue="1">
      <formula>AND($J137="",#REF!&lt;&gt;"")</formula>
    </cfRule>
  </conditionalFormatting>
  <conditionalFormatting sqref="K140:K146">
    <cfRule type="expression" priority="439" dxfId="0" stopIfTrue="1">
      <formula>AND($J140="",#REF!&lt;&gt;"")</formula>
    </cfRule>
  </conditionalFormatting>
  <conditionalFormatting sqref="K150:K157">
    <cfRule type="expression" priority="438" dxfId="0" stopIfTrue="1">
      <formula>AND($J150="",$I150&lt;&gt;"")</formula>
    </cfRule>
  </conditionalFormatting>
  <conditionalFormatting sqref="K158:K163">
    <cfRule type="expression" priority="447" dxfId="0" stopIfTrue="1">
      <formula>AND($J158="",$I157&lt;&gt;"")</formula>
    </cfRule>
  </conditionalFormatting>
  <conditionalFormatting sqref="K170:K183">
    <cfRule type="expression" priority="436" dxfId="0" stopIfTrue="1">
      <formula>AND($J170="",$I170&lt;&gt;"")</formula>
    </cfRule>
  </conditionalFormatting>
  <conditionalFormatting sqref="K181:K183">
    <cfRule type="expression" priority="437" dxfId="0" stopIfTrue="1">
      <formula>AND($J181="",$I181&lt;&gt;"")</formula>
    </cfRule>
  </conditionalFormatting>
  <conditionalFormatting sqref="K184:K186">
    <cfRule type="expression" priority="27" dxfId="0" stopIfTrue="1">
      <formula>AND($J184="",$I184&lt;&gt;"")</formula>
    </cfRule>
  </conditionalFormatting>
  <conditionalFormatting sqref="K200:K201">
    <cfRule type="expression" priority="22" dxfId="0" stopIfTrue="1">
      <formula>AND($J200="",$I200&lt;&gt;"")</formula>
    </cfRule>
  </conditionalFormatting>
  <conditionalFormatting sqref="K222:K223">
    <cfRule type="expression" priority="19" dxfId="0" stopIfTrue="1">
      <formula>AND($J222="",$I222&lt;&gt;"")</formula>
    </cfRule>
  </conditionalFormatting>
  <conditionalFormatting sqref="K295:K310">
    <cfRule type="expression" priority="18" dxfId="0" stopIfTrue="1">
      <formula>AND($J295="",$I295&lt;&gt;"")</formula>
    </cfRule>
  </conditionalFormatting>
  <conditionalFormatting sqref="K430:K433">
    <cfRule type="expression" priority="390" dxfId="0" stopIfTrue="1">
      <formula>AND($J430="",$I430&lt;&gt;"")</formula>
    </cfRule>
  </conditionalFormatting>
  <conditionalFormatting sqref="K438:K508">
    <cfRule type="expression" priority="389" dxfId="0" stopIfTrue="1">
      <formula>AND($J438="",$I438&lt;&gt;"")</formula>
    </cfRule>
  </conditionalFormatting>
  <conditionalFormatting sqref="K527:K531">
    <cfRule type="expression" priority="388" dxfId="0" stopIfTrue="1">
      <formula>AND($J527="",$I527&lt;&gt;"")</formula>
    </cfRule>
  </conditionalFormatting>
  <conditionalFormatting sqref="K532:K535">
    <cfRule type="expression" priority="387" dxfId="0" stopIfTrue="1">
      <formula>AND($J532="",$I532&lt;&gt;"")</formula>
    </cfRule>
  </conditionalFormatting>
  <conditionalFormatting sqref="K555:K567">
    <cfRule type="expression" priority="385" dxfId="0" stopIfTrue="1">
      <formula>AND($J555="",$I555&lt;&gt;"")</formula>
    </cfRule>
  </conditionalFormatting>
  <conditionalFormatting sqref="K619:K699">
    <cfRule type="expression" priority="431" dxfId="0" stopIfTrue="1">
      <formula>AND($J619="",$I619&lt;&gt;"")</formula>
    </cfRule>
  </conditionalFormatting>
  <conditionalFormatting sqref="K700:K714">
    <cfRule type="expression" priority="430" dxfId="0" stopIfTrue="1">
      <formula>AND($J700="",$I700&lt;&gt;"")</formula>
    </cfRule>
  </conditionalFormatting>
  <conditionalFormatting sqref="K766:K816">
    <cfRule type="expression" priority="417" dxfId="0" stopIfTrue="1">
      <formula>AND($J766="",#REF!&lt;&gt;"")</formula>
    </cfRule>
  </conditionalFormatting>
  <conditionalFormatting sqref="K817:K820">
    <cfRule type="expression" priority="415" dxfId="0" stopIfTrue="1">
      <formula>AND($J817="",#REF!&lt;&gt;"")</formula>
    </cfRule>
  </conditionalFormatting>
  <conditionalFormatting sqref="K821:K824">
    <cfRule type="expression" priority="414" dxfId="0" stopIfTrue="1">
      <formula>AND($J821="",#REF!&lt;&gt;"")</formula>
    </cfRule>
  </conditionalFormatting>
  <conditionalFormatting sqref="K825:K828">
    <cfRule type="expression" priority="413" dxfId="0" stopIfTrue="1">
      <formula>AND($J825="",#REF!&lt;&gt;"")</formula>
    </cfRule>
  </conditionalFormatting>
  <conditionalFormatting sqref="K829:K832">
    <cfRule type="expression" priority="412" dxfId="0" stopIfTrue="1">
      <formula>AND($J829="",#REF!&lt;&gt;"")</formula>
    </cfRule>
  </conditionalFormatting>
  <conditionalFormatting sqref="K833:K836">
    <cfRule type="expression" priority="411" dxfId="0" stopIfTrue="1">
      <formula>AND($J833="",#REF!&lt;&gt;"")</formula>
    </cfRule>
  </conditionalFormatting>
  <conditionalFormatting sqref="K837:K840">
    <cfRule type="expression" priority="410" dxfId="0" stopIfTrue="1">
      <formula>AND($J837="",#REF!&lt;&gt;"")</formula>
    </cfRule>
  </conditionalFormatting>
  <conditionalFormatting sqref="K841:K844">
    <cfRule type="expression" priority="409" dxfId="0" stopIfTrue="1">
      <formula>AND($J841="",#REF!&lt;&gt;"")</formula>
    </cfRule>
  </conditionalFormatting>
  <conditionalFormatting sqref="K845:K848">
    <cfRule type="expression" priority="408" dxfId="0" stopIfTrue="1">
      <formula>AND($J845="",#REF!&lt;&gt;"")</formula>
    </cfRule>
  </conditionalFormatting>
  <conditionalFormatting sqref="K849:K852">
    <cfRule type="expression" priority="407" dxfId="0" stopIfTrue="1">
      <formula>AND($J849="",#REF!&lt;&gt;"")</formula>
    </cfRule>
  </conditionalFormatting>
  <conditionalFormatting sqref="K853:K856">
    <cfRule type="expression" priority="406" dxfId="0" stopIfTrue="1">
      <formula>AND($J853="",#REF!&lt;&gt;"")</formula>
    </cfRule>
  </conditionalFormatting>
  <conditionalFormatting sqref="K857:K877">
    <cfRule type="expression" priority="405" dxfId="0" stopIfTrue="1">
      <formula>AND($J857="",$I857&lt;&gt;"")</formula>
    </cfRule>
  </conditionalFormatting>
  <conditionalFormatting sqref="K878:K891">
    <cfRule type="expression" priority="403" dxfId="0" stopIfTrue="1">
      <formula>AND($J878="",$I878&lt;&gt;"")</formula>
    </cfRule>
  </conditionalFormatting>
  <conditionalFormatting sqref="K894:K898">
    <cfRule type="expression" priority="382" dxfId="0" stopIfTrue="1">
      <formula>AND($J894="",$I894&lt;&gt;"")</formula>
    </cfRule>
  </conditionalFormatting>
  <conditionalFormatting sqref="K899:K901">
    <cfRule type="expression" priority="380" dxfId="0" stopIfTrue="1">
      <formula>AND($J899="",$I899&lt;&gt;"")</formula>
    </cfRule>
  </conditionalFormatting>
  <conditionalFormatting sqref="K908:K917">
    <cfRule type="expression" priority="378" dxfId="0" stopIfTrue="1">
      <formula>AND($J908="",$I908&lt;&gt;"")</formula>
    </cfRule>
  </conditionalFormatting>
  <conditionalFormatting sqref="K924:K934">
    <cfRule type="expression" priority="377" dxfId="0" stopIfTrue="1">
      <formula>AND($J924="",$I924&lt;&gt;"")</formula>
    </cfRule>
  </conditionalFormatting>
  <conditionalFormatting sqref="K935:K936">
    <cfRule type="expression" priority="245" dxfId="0" stopIfTrue="1">
      <formula>AND($J935="",$I935&lt;&gt;"")</formula>
    </cfRule>
  </conditionalFormatting>
  <conditionalFormatting sqref="K937:K938">
    <cfRule type="expression" priority="376" dxfId="0" stopIfTrue="1">
      <formula>AND($J937="",$I937&lt;&gt;"")</formula>
    </cfRule>
  </conditionalFormatting>
  <conditionalFormatting sqref="K939:K940">
    <cfRule type="expression" priority="288" dxfId="0" stopIfTrue="1">
      <formula>AND($J939="",$I939&lt;&gt;"")</formula>
    </cfRule>
  </conditionalFormatting>
  <conditionalFormatting sqref="K941:K945">
    <cfRule type="expression" priority="375" dxfId="0" stopIfTrue="1">
      <formula>AND($J941="",$I941&lt;&gt;"")</formula>
    </cfRule>
  </conditionalFormatting>
  <conditionalFormatting sqref="K948:K959">
    <cfRule type="expression" priority="374" dxfId="0" stopIfTrue="1">
      <formula>AND($J948="",$I948&lt;&gt;"")</formula>
    </cfRule>
  </conditionalFormatting>
  <conditionalFormatting sqref="K961:K962">
    <cfRule type="expression" priority="136" dxfId="0" stopIfTrue="1">
      <formula>AND($J961="",$I961&lt;&gt;"")</formula>
    </cfRule>
  </conditionalFormatting>
  <conditionalFormatting sqref="K963:K967">
    <cfRule type="expression" priority="373" dxfId="0" stopIfTrue="1">
      <formula>AND($J963="",$I963&lt;&gt;"")</formula>
    </cfRule>
  </conditionalFormatting>
  <conditionalFormatting sqref="K969:K970">
    <cfRule type="expression" priority="135" dxfId="0" stopIfTrue="1">
      <formula>AND($J969="",$I969&lt;&gt;"")</formula>
    </cfRule>
  </conditionalFormatting>
  <conditionalFormatting sqref="K973:K975">
    <cfRule type="expression" priority="286" dxfId="0" stopIfTrue="1">
      <formula>AND($J973="",$I973&lt;&gt;"")</formula>
    </cfRule>
  </conditionalFormatting>
  <conditionalFormatting sqref="K976:K978">
    <cfRule type="expression" priority="371" dxfId="0" stopIfTrue="1">
      <formula>AND($J976="",$I976&lt;&gt;"")</formula>
    </cfRule>
  </conditionalFormatting>
  <conditionalFormatting sqref="K980:K981">
    <cfRule type="expression" priority="133" dxfId="0" stopIfTrue="1">
      <formula>AND($J980="",$I980&lt;&gt;"")</formula>
    </cfRule>
  </conditionalFormatting>
  <conditionalFormatting sqref="K982:K983">
    <cfRule type="expression" priority="241" dxfId="0" stopIfTrue="1">
      <formula>AND($J982="",$I982&lt;&gt;"")</formula>
    </cfRule>
  </conditionalFormatting>
  <conditionalFormatting sqref="K984:K986">
    <cfRule type="expression" priority="132" dxfId="0" stopIfTrue="1">
      <formula>AND($J984="",$I984&lt;&gt;"")</formula>
    </cfRule>
  </conditionalFormatting>
  <conditionalFormatting sqref="K987:K996">
    <cfRule type="expression" priority="370" dxfId="0" stopIfTrue="1">
      <formula>AND($J987="",$I987&lt;&gt;"")</formula>
    </cfRule>
  </conditionalFormatting>
  <conditionalFormatting sqref="K998:K999">
    <cfRule type="expression" priority="131" dxfId="0" stopIfTrue="1">
      <formula>AND($J998="",$I998&lt;&gt;"")</formula>
    </cfRule>
  </conditionalFormatting>
  <conditionalFormatting sqref="K1000:K1003">
    <cfRule type="expression" priority="369" dxfId="0" stopIfTrue="1">
      <formula>AND($J1000="",$I1000&lt;&gt;"")</formula>
    </cfRule>
  </conditionalFormatting>
  <conditionalFormatting sqref="K1004:K1005">
    <cfRule type="expression" priority="239" dxfId="0" stopIfTrue="1">
      <formula>AND($J1004="",$I1004&lt;&gt;"")</formula>
    </cfRule>
  </conditionalFormatting>
  <conditionalFormatting sqref="K1006:K1007">
    <cfRule type="expression" priority="130" dxfId="0" stopIfTrue="1">
      <formula>AND($J1006="",$I1006&lt;&gt;"")</formula>
    </cfRule>
  </conditionalFormatting>
  <conditionalFormatting sqref="K1008:K1010">
    <cfRule type="expression" priority="285" dxfId="0" stopIfTrue="1">
      <formula>AND($J1008="",$I1008&lt;&gt;"")</formula>
    </cfRule>
  </conditionalFormatting>
  <conditionalFormatting sqref="K1011:K1013">
    <cfRule type="expression" priority="368" dxfId="0" stopIfTrue="1">
      <formula>AND($J1011="",$I1011&lt;&gt;"")</formula>
    </cfRule>
  </conditionalFormatting>
  <conditionalFormatting sqref="K1015:K1017">
    <cfRule type="expression" priority="129" dxfId="0" stopIfTrue="1">
      <formula>AND($J1015="",$I1015&lt;&gt;"")</formula>
    </cfRule>
  </conditionalFormatting>
  <conditionalFormatting sqref="K1018:K1019">
    <cfRule type="expression" priority="237" dxfId="0" stopIfTrue="1">
      <formula>AND($J1018="",$I1018&lt;&gt;"")</formula>
    </cfRule>
  </conditionalFormatting>
  <conditionalFormatting sqref="K1020:K1021">
    <cfRule type="expression" priority="128" dxfId="0" stopIfTrue="1">
      <formula>AND($J1020="",$I1020&lt;&gt;"")</formula>
    </cfRule>
  </conditionalFormatting>
  <conditionalFormatting sqref="K1023:K1024">
    <cfRule type="expression" priority="127" dxfId="0" stopIfTrue="1">
      <formula>AND($J1023="",$I1023&lt;&gt;"")</formula>
    </cfRule>
  </conditionalFormatting>
  <conditionalFormatting sqref="K1025:K1028">
    <cfRule type="expression" priority="367" dxfId="0" stopIfTrue="1">
      <formula>AND($J1025="",$I1025&lt;&gt;"")</formula>
    </cfRule>
  </conditionalFormatting>
  <conditionalFormatting sqref="K1030:K1031">
    <cfRule type="expression" priority="126" dxfId="0" stopIfTrue="1">
      <formula>AND($J1030="",$I1030&lt;&gt;"")</formula>
    </cfRule>
  </conditionalFormatting>
  <conditionalFormatting sqref="K1032:K1033">
    <cfRule type="expression" priority="234" dxfId="0" stopIfTrue="1">
      <formula>AND($J1032="",$I1032&lt;&gt;"")</formula>
    </cfRule>
  </conditionalFormatting>
  <conditionalFormatting sqref="K1034:K1035">
    <cfRule type="expression" priority="125" dxfId="0" stopIfTrue="1">
      <formula>AND($J1034="",$I1034&lt;&gt;"")</formula>
    </cfRule>
  </conditionalFormatting>
  <conditionalFormatting sqref="K1036:K1038">
    <cfRule type="expression" priority="284" dxfId="0" stopIfTrue="1">
      <formula>AND($J1036="",$I1036&lt;&gt;"")</formula>
    </cfRule>
  </conditionalFormatting>
  <conditionalFormatting sqref="K1040:K1041">
    <cfRule type="expression" priority="233" dxfId="0" stopIfTrue="1">
      <formula>AND($J1040="",$I1040&lt;&gt;"")</formula>
    </cfRule>
  </conditionalFormatting>
  <conditionalFormatting sqref="K1042:K1043">
    <cfRule type="expression" priority="124" dxfId="0" stopIfTrue="1">
      <formula>AND($J1042="",$I1042&lt;&gt;"")</formula>
    </cfRule>
  </conditionalFormatting>
  <conditionalFormatting sqref="K1044:K1045">
    <cfRule type="expression" priority="365" dxfId="0" stopIfTrue="1">
      <formula>AND($J1044="",$I1044&lt;&gt;"")</formula>
    </cfRule>
  </conditionalFormatting>
  <conditionalFormatting sqref="K1047:K1048">
    <cfRule type="expression" priority="123" dxfId="0" stopIfTrue="1">
      <formula>AND($J1047="",$I1047&lt;&gt;"")</formula>
    </cfRule>
  </conditionalFormatting>
  <conditionalFormatting sqref="K1050:K1051">
    <cfRule type="expression" priority="122" dxfId="0" stopIfTrue="1">
      <formula>AND($J1050="",$I1050&lt;&gt;"")</formula>
    </cfRule>
  </conditionalFormatting>
  <conditionalFormatting sqref="K1052:K1055">
    <cfRule type="expression" priority="364" dxfId="0" stopIfTrue="1">
      <formula>AND($J1052="",$I1052&lt;&gt;"")</formula>
    </cfRule>
  </conditionalFormatting>
  <conditionalFormatting sqref="K1056:K1057">
    <cfRule type="expression" priority="230" dxfId="0" stopIfTrue="1">
      <formula>AND($J1056="",$I1056&lt;&gt;"")</formula>
    </cfRule>
  </conditionalFormatting>
  <conditionalFormatting sqref="K1058:K1059">
    <cfRule type="expression" priority="121" dxfId="0" stopIfTrue="1">
      <formula>AND($J1058="",$I1058&lt;&gt;"")</formula>
    </cfRule>
  </conditionalFormatting>
  <conditionalFormatting sqref="K1060:K1063">
    <cfRule type="expression" priority="363" dxfId="0" stopIfTrue="1">
      <formula>AND($J1060="",$I1060&lt;&gt;"")</formula>
    </cfRule>
  </conditionalFormatting>
  <conditionalFormatting sqref="K1065:K1066">
    <cfRule type="expression" priority="120" dxfId="0" stopIfTrue="1">
      <formula>AND($J1065="",$I1065&lt;&gt;"")</formula>
    </cfRule>
  </conditionalFormatting>
  <conditionalFormatting sqref="K1067:K1070">
    <cfRule type="expression" priority="362" dxfId="0" stopIfTrue="1">
      <formula>AND($J1067="",$I1067&lt;&gt;"")</formula>
    </cfRule>
  </conditionalFormatting>
  <conditionalFormatting sqref="K1072:K1073">
    <cfRule type="expression" priority="119" dxfId="0" stopIfTrue="1">
      <formula>AND($J1072="",$I1072&lt;&gt;"")</formula>
    </cfRule>
  </conditionalFormatting>
  <conditionalFormatting sqref="K1074:K1077">
    <cfRule type="expression" priority="361" dxfId="0" stopIfTrue="1">
      <formula>AND($J1074="",$I1074&lt;&gt;"")</formula>
    </cfRule>
  </conditionalFormatting>
  <conditionalFormatting sqref="K1078:K1079">
    <cfRule type="expression" priority="227" dxfId="0" stopIfTrue="1">
      <formula>AND($J1078="",$I1078&lt;&gt;"")</formula>
    </cfRule>
  </conditionalFormatting>
  <conditionalFormatting sqref="K1080:K1081">
    <cfRule type="expression" priority="118" dxfId="0" stopIfTrue="1">
      <formula>AND($J1080="",$I1080&lt;&gt;"")</formula>
    </cfRule>
  </conditionalFormatting>
  <conditionalFormatting sqref="K1082:K1083">
    <cfRule type="expression" priority="360" dxfId="0" stopIfTrue="1">
      <formula>AND($J1082="",$I1082&lt;&gt;"")</formula>
    </cfRule>
  </conditionalFormatting>
  <conditionalFormatting sqref="K1084:K1085">
    <cfRule type="expression" priority="226" dxfId="0" stopIfTrue="1">
      <formula>AND($J1084="",$I1084&lt;&gt;"")</formula>
    </cfRule>
  </conditionalFormatting>
  <conditionalFormatting sqref="K1086:K1087">
    <cfRule type="expression" priority="117" dxfId="0" stopIfTrue="1">
      <formula>AND($J1086="",$I1086&lt;&gt;"")</formula>
    </cfRule>
  </conditionalFormatting>
  <conditionalFormatting sqref="K1088:K1089">
    <cfRule type="expression" priority="359" dxfId="0" stopIfTrue="1">
      <formula>AND($J1088="",$I1088&lt;&gt;"")</formula>
    </cfRule>
  </conditionalFormatting>
  <conditionalFormatting sqref="K1091:K1092">
    <cfRule type="expression" priority="116" dxfId="0" stopIfTrue="1">
      <formula>AND($J1091="",$I1091&lt;&gt;"")</formula>
    </cfRule>
  </conditionalFormatting>
  <conditionalFormatting sqref="K1093:K1094">
    <cfRule type="expression" priority="283" dxfId="0" stopIfTrue="1">
      <formula>AND($J1093="",$I1093&lt;&gt;"")</formula>
    </cfRule>
  </conditionalFormatting>
  <conditionalFormatting sqref="K1095:K1097">
    <cfRule type="expression" priority="224" dxfId="0" stopIfTrue="1">
      <formula>AND($J1095="",$I1095&lt;&gt;"")</formula>
    </cfRule>
  </conditionalFormatting>
  <conditionalFormatting sqref="K1098:K1100">
    <cfRule type="expression" priority="115" dxfId="0" stopIfTrue="1">
      <formula>AND($J1098="",$I1098&lt;&gt;"")</formula>
    </cfRule>
  </conditionalFormatting>
  <conditionalFormatting sqref="K1101:K1102">
    <cfRule type="expression" priority="223" dxfId="0" stopIfTrue="1">
      <formula>AND($J1101="",$I1101&lt;&gt;"")</formula>
    </cfRule>
  </conditionalFormatting>
  <conditionalFormatting sqref="K1103:K1104">
    <cfRule type="expression" priority="114" dxfId="0" stopIfTrue="1">
      <formula>AND($J1103="",$I1103&lt;&gt;"")</formula>
    </cfRule>
  </conditionalFormatting>
  <conditionalFormatting sqref="K1105:K1106">
    <cfRule type="expression" priority="222" dxfId="0" stopIfTrue="1">
      <formula>AND($J1105="",$I1105&lt;&gt;"")</formula>
    </cfRule>
  </conditionalFormatting>
  <conditionalFormatting sqref="K1107:K1108">
    <cfRule type="expression" priority="113" dxfId="0" stopIfTrue="1">
      <formula>AND($J1107="",$I1107&lt;&gt;"")</formula>
    </cfRule>
  </conditionalFormatting>
  <conditionalFormatting sqref="K1109:K1111">
    <cfRule type="expression" priority="282" dxfId="0" stopIfTrue="1">
      <formula>AND($J1109="",$I1109&lt;&gt;"")</formula>
    </cfRule>
  </conditionalFormatting>
  <conditionalFormatting sqref="K1112:K1116">
    <cfRule type="expression" priority="358" dxfId="0" stopIfTrue="1">
      <formula>AND($J1112="",$I1112&lt;&gt;"")</formula>
    </cfRule>
  </conditionalFormatting>
  <conditionalFormatting sqref="K1117:K1118">
    <cfRule type="expression" priority="221" dxfId="0" stopIfTrue="1">
      <formula>AND($J1117="",$I1117&lt;&gt;"")</formula>
    </cfRule>
  </conditionalFormatting>
  <conditionalFormatting sqref="K1119:K1120">
    <cfRule type="expression" priority="112" dxfId="0" stopIfTrue="1">
      <formula>AND($J1119="",$I1119&lt;&gt;"")</formula>
    </cfRule>
  </conditionalFormatting>
  <conditionalFormatting sqref="K1122:K1123">
    <cfRule type="expression" priority="220" dxfId="0" stopIfTrue="1">
      <formula>AND($J1122="",$I1122&lt;&gt;"")</formula>
    </cfRule>
  </conditionalFormatting>
  <conditionalFormatting sqref="K1125:K1128">
    <cfRule type="expression" priority="357" dxfId="0" stopIfTrue="1">
      <formula>AND($J1125="",$I1125&lt;&gt;"")</formula>
    </cfRule>
  </conditionalFormatting>
  <conditionalFormatting sqref="K1130:K1131">
    <cfRule type="expression" priority="110" dxfId="0" stopIfTrue="1">
      <formula>AND($J1130="",$I1130&lt;&gt;"")</formula>
    </cfRule>
  </conditionalFormatting>
  <conditionalFormatting sqref="K1132:K1135">
    <cfRule type="expression" priority="356" dxfId="0" stopIfTrue="1">
      <formula>AND($J1132="",$I1132&lt;&gt;"")</formula>
    </cfRule>
  </conditionalFormatting>
  <conditionalFormatting sqref="K1137:K1138">
    <cfRule type="expression" priority="109" dxfId="0" stopIfTrue="1">
      <formula>AND($J1137="",$I1137&lt;&gt;"")</formula>
    </cfRule>
  </conditionalFormatting>
  <conditionalFormatting sqref="K1139:K1142">
    <cfRule type="expression" priority="355" dxfId="0" stopIfTrue="1">
      <formula>AND($J1139="",$I1139&lt;&gt;"")</formula>
    </cfRule>
  </conditionalFormatting>
  <conditionalFormatting sqref="K1144:K1145">
    <cfRule type="expression" priority="108" dxfId="0" stopIfTrue="1">
      <formula>AND($J1144="",$I1144&lt;&gt;"")</formula>
    </cfRule>
  </conditionalFormatting>
  <conditionalFormatting sqref="K1147:K1150">
    <cfRule type="expression" priority="354" dxfId="0" stopIfTrue="1">
      <formula>AND($J1147="",$I1147&lt;&gt;"")</formula>
    </cfRule>
  </conditionalFormatting>
  <conditionalFormatting sqref="K1152:K1153">
    <cfRule type="expression" priority="107" dxfId="0" stopIfTrue="1">
      <formula>AND($J1152="",$I1152&lt;&gt;"")</formula>
    </cfRule>
  </conditionalFormatting>
  <conditionalFormatting sqref="K1155:K1158">
    <cfRule type="expression" priority="353" dxfId="0" stopIfTrue="1">
      <formula>AND($J1155="",$I1155&lt;&gt;"")</formula>
    </cfRule>
  </conditionalFormatting>
  <conditionalFormatting sqref="K1160:K1161">
    <cfRule type="expression" priority="106" dxfId="0" stopIfTrue="1">
      <formula>AND($J1160="",$I1160&lt;&gt;"")</formula>
    </cfRule>
  </conditionalFormatting>
  <conditionalFormatting sqref="K1162:K1165">
    <cfRule type="expression" priority="352" dxfId="0" stopIfTrue="1">
      <formula>AND($J1162="",$I1162&lt;&gt;"")</formula>
    </cfRule>
  </conditionalFormatting>
  <conditionalFormatting sqref="K1167:K1168">
    <cfRule type="expression" priority="105" dxfId="0" stopIfTrue="1">
      <formula>AND($J1167="",$I1167&lt;&gt;"")</formula>
    </cfRule>
  </conditionalFormatting>
  <conditionalFormatting sqref="K1169:K1172">
    <cfRule type="expression" priority="351" dxfId="0" stopIfTrue="1">
      <formula>AND($J1169="",$I1169&lt;&gt;"")</formula>
    </cfRule>
  </conditionalFormatting>
  <conditionalFormatting sqref="K1174:K1175">
    <cfRule type="expression" priority="104" dxfId="0" stopIfTrue="1">
      <formula>AND($J1174="",$I1174&lt;&gt;"")</formula>
    </cfRule>
  </conditionalFormatting>
  <conditionalFormatting sqref="K1176:K1177">
    <cfRule type="expression" priority="212" dxfId="0" stopIfTrue="1">
      <formula>AND($J1176="",$I1176&lt;&gt;"")</formula>
    </cfRule>
  </conditionalFormatting>
  <conditionalFormatting sqref="K1178:K1179">
    <cfRule type="expression" priority="103" dxfId="0" stopIfTrue="1">
      <formula>AND($J1178="",$I1178&lt;&gt;"")</formula>
    </cfRule>
  </conditionalFormatting>
  <conditionalFormatting sqref="K1180:K1182">
    <cfRule type="expression" priority="278" dxfId="0" stopIfTrue="1">
      <formula>AND($J1180="",$I1180&lt;&gt;"")</formula>
    </cfRule>
  </conditionalFormatting>
  <conditionalFormatting sqref="K1183:K1186">
    <cfRule type="expression" priority="350" dxfId="0" stopIfTrue="1">
      <formula>AND($J1183="",$I1183&lt;&gt;"")</formula>
    </cfRule>
  </conditionalFormatting>
  <conditionalFormatting sqref="K1187:K1188">
    <cfRule type="expression" priority="211" dxfId="0" stopIfTrue="1">
      <formula>AND($J1187="",$I1187&lt;&gt;"")</formula>
    </cfRule>
  </conditionalFormatting>
  <conditionalFormatting sqref="K1189:K1190">
    <cfRule type="expression" priority="102" dxfId="0" stopIfTrue="1">
      <formula>AND($J1189="",$I1189&lt;&gt;"")</formula>
    </cfRule>
  </conditionalFormatting>
  <conditionalFormatting sqref="K1191:K1192">
    <cfRule type="expression" priority="349" dxfId="0" stopIfTrue="1">
      <formula>AND($J1191="",$I1191&lt;&gt;"")</formula>
    </cfRule>
  </conditionalFormatting>
  <conditionalFormatting sqref="K1194:K1195">
    <cfRule type="expression" priority="101" dxfId="0" stopIfTrue="1">
      <formula>AND($J1194="",$I1194&lt;&gt;"")</formula>
    </cfRule>
  </conditionalFormatting>
  <conditionalFormatting sqref="K1196:K1199">
    <cfRule type="expression" priority="348" dxfId="0" stopIfTrue="1">
      <formula>AND($J1196="",$I1196&lt;&gt;"")</formula>
    </cfRule>
  </conditionalFormatting>
  <conditionalFormatting sqref="K1201:K1202">
    <cfRule type="expression" priority="100" dxfId="0" stopIfTrue="1">
      <formula>AND($J1201="",$I1201&lt;&gt;"")</formula>
    </cfRule>
  </conditionalFormatting>
  <conditionalFormatting sqref="K1203:K1206">
    <cfRule type="expression" priority="347" dxfId="0" stopIfTrue="1">
      <formula>AND($J1203="",$I1203&lt;&gt;"")</formula>
    </cfRule>
  </conditionalFormatting>
  <conditionalFormatting sqref="K1208:K1209">
    <cfRule type="expression" priority="99" dxfId="0" stopIfTrue="1">
      <formula>AND($J1208="",$I1208&lt;&gt;"")</formula>
    </cfRule>
  </conditionalFormatting>
  <conditionalFormatting sqref="K1210:K1213">
    <cfRule type="expression" priority="346" dxfId="0" stopIfTrue="1">
      <formula>AND($J1210="",$I1210&lt;&gt;"")</formula>
    </cfRule>
  </conditionalFormatting>
  <conditionalFormatting sqref="K1215:K1216">
    <cfRule type="expression" priority="98" dxfId="0" stopIfTrue="1">
      <formula>AND($J1215="",$I1215&lt;&gt;"")</formula>
    </cfRule>
  </conditionalFormatting>
  <conditionalFormatting sqref="K1217:K1220">
    <cfRule type="expression" priority="345" dxfId="0" stopIfTrue="1">
      <formula>AND($J1217="",$I1217&lt;&gt;"")</formula>
    </cfRule>
  </conditionalFormatting>
  <conditionalFormatting sqref="K1222:K1223">
    <cfRule type="expression" priority="97" dxfId="0" stopIfTrue="1">
      <formula>AND($J1222="",$I1222&lt;&gt;"")</formula>
    </cfRule>
  </conditionalFormatting>
  <conditionalFormatting sqref="K1224:K1227">
    <cfRule type="expression" priority="344" dxfId="0" stopIfTrue="1">
      <formula>AND($J1224="",$I1224&lt;&gt;"")</formula>
    </cfRule>
  </conditionalFormatting>
  <conditionalFormatting sqref="K1229:K1230">
    <cfRule type="expression" priority="96" dxfId="0" stopIfTrue="1">
      <formula>AND($J1229="",$I1229&lt;&gt;"")</formula>
    </cfRule>
  </conditionalFormatting>
  <conditionalFormatting sqref="K1231:K1236">
    <cfRule type="expression" priority="343" dxfId="0" stopIfTrue="1">
      <formula>AND($J1231="",$I1231&lt;&gt;"")</formula>
    </cfRule>
  </conditionalFormatting>
  <conditionalFormatting sqref="K1237:K1238">
    <cfRule type="expression" priority="204" dxfId="0" stopIfTrue="1">
      <formula>AND($J1237="",$I1237&lt;&gt;"")</formula>
    </cfRule>
  </conditionalFormatting>
  <conditionalFormatting sqref="K1239:K1240">
    <cfRule type="expression" priority="95" dxfId="0" stopIfTrue="1">
      <formula>AND($J1239="",$I1239&lt;&gt;"")</formula>
    </cfRule>
  </conditionalFormatting>
  <conditionalFormatting sqref="K1242:K1243">
    <cfRule type="expression" priority="94" dxfId="0" stopIfTrue="1">
      <formula>AND($J1242="",$I1242&lt;&gt;"")</formula>
    </cfRule>
  </conditionalFormatting>
  <conditionalFormatting sqref="K1244:K1245">
    <cfRule type="expression" priority="202" dxfId="0" stopIfTrue="1">
      <formula>AND($J1244="",$I1244&lt;&gt;"")</formula>
    </cfRule>
  </conditionalFormatting>
  <conditionalFormatting sqref="K1246:K1247">
    <cfRule type="expression" priority="93" dxfId="0" stopIfTrue="1">
      <formula>AND($J1246="",$I1246&lt;&gt;"")</formula>
    </cfRule>
  </conditionalFormatting>
  <conditionalFormatting sqref="K1248:K1249">
    <cfRule type="expression" priority="277" dxfId="0" stopIfTrue="1">
      <formula>AND($J1248="",$I1248&lt;&gt;"")</formula>
    </cfRule>
  </conditionalFormatting>
  <conditionalFormatting sqref="K1250:K1251">
    <cfRule type="expression" priority="342" dxfId="0" stopIfTrue="1">
      <formula>AND($J1250="",$I1250&lt;&gt;"")</formula>
    </cfRule>
  </conditionalFormatting>
  <conditionalFormatting sqref="K1252:K1253">
    <cfRule type="expression" priority="201" dxfId="0" stopIfTrue="1">
      <formula>AND($J1252="",$I1252&lt;&gt;"")</formula>
    </cfRule>
  </conditionalFormatting>
  <conditionalFormatting sqref="K1254:K1255">
    <cfRule type="expression" priority="92" dxfId="0" stopIfTrue="1">
      <formula>AND($J1254="",$I1254&lt;&gt;"")</formula>
    </cfRule>
  </conditionalFormatting>
  <conditionalFormatting sqref="K1257:K1258">
    <cfRule type="expression" priority="91" dxfId="0" stopIfTrue="1">
      <formula>AND($J1257="",$I1257&lt;&gt;"")</formula>
    </cfRule>
  </conditionalFormatting>
  <conditionalFormatting sqref="K1259:K1260">
    <cfRule type="expression" priority="341" dxfId="0" stopIfTrue="1">
      <formula>AND($J1259="",$I1259&lt;&gt;"")</formula>
    </cfRule>
  </conditionalFormatting>
  <conditionalFormatting sqref="K1262:K1263">
    <cfRule type="expression" priority="90" dxfId="0" stopIfTrue="1">
      <formula>AND($J1262="",$I1262&lt;&gt;"")</formula>
    </cfRule>
  </conditionalFormatting>
  <conditionalFormatting sqref="K1264:K1267">
    <cfRule type="expression" priority="340" dxfId="0" stopIfTrue="1">
      <formula>AND($J1264="",$I1264&lt;&gt;"")</formula>
    </cfRule>
  </conditionalFormatting>
  <conditionalFormatting sqref="K1269:K1270">
    <cfRule type="expression" priority="89" dxfId="0" stopIfTrue="1">
      <formula>AND($J1269="",$I1269&lt;&gt;"")</formula>
    </cfRule>
  </conditionalFormatting>
  <conditionalFormatting sqref="K1271:K1274">
    <cfRule type="expression" priority="339" dxfId="0" stopIfTrue="1">
      <formula>AND($J1271="",$I1271&lt;&gt;"")</formula>
    </cfRule>
  </conditionalFormatting>
  <conditionalFormatting sqref="K1276:K1277">
    <cfRule type="expression" priority="88" dxfId="0" stopIfTrue="1">
      <formula>AND($J1276="",$I1276&lt;&gt;"")</formula>
    </cfRule>
  </conditionalFormatting>
  <conditionalFormatting sqref="K1279:K1280">
    <cfRule type="expression" priority="87" dxfId="0" stopIfTrue="1">
      <formula>AND($J1279="",$I1279&lt;&gt;"")</formula>
    </cfRule>
  </conditionalFormatting>
  <conditionalFormatting sqref="K1281:K1282">
    <cfRule type="expression" priority="338" dxfId="0" stopIfTrue="1">
      <formula>AND($J1281="",$I1281&lt;&gt;"")</formula>
    </cfRule>
  </conditionalFormatting>
  <conditionalFormatting sqref="K1284:K1285">
    <cfRule type="expression" priority="86" dxfId="0" stopIfTrue="1">
      <formula>AND($J1284="",$I1284&lt;&gt;"")</formula>
    </cfRule>
  </conditionalFormatting>
  <conditionalFormatting sqref="K1286:K1289">
    <cfRule type="expression" priority="337" dxfId="0" stopIfTrue="1">
      <formula>AND($J1286="",$I1286&lt;&gt;"")</formula>
    </cfRule>
  </conditionalFormatting>
  <conditionalFormatting sqref="K1291:K1292">
    <cfRule type="expression" priority="85" dxfId="0" stopIfTrue="1">
      <formula>AND($J1291="",$I1291&lt;&gt;"")</formula>
    </cfRule>
  </conditionalFormatting>
  <conditionalFormatting sqref="K1293:K1297">
    <cfRule type="expression" priority="336" dxfId="0" stopIfTrue="1">
      <formula>AND($J1293="",$I1293&lt;&gt;"")</formula>
    </cfRule>
  </conditionalFormatting>
  <conditionalFormatting sqref="K1298:K1299">
    <cfRule type="expression" priority="193" dxfId="0" stopIfTrue="1">
      <formula>AND($J1298="",$I1298&lt;&gt;"")</formula>
    </cfRule>
  </conditionalFormatting>
  <conditionalFormatting sqref="K1300:K1301">
    <cfRule type="expression" priority="84" dxfId="0" stopIfTrue="1">
      <formula>AND($J1300="",$I1300&lt;&gt;"")</formula>
    </cfRule>
  </conditionalFormatting>
  <conditionalFormatting sqref="K1302:K1305">
    <cfRule type="expression" priority="335" dxfId="0" stopIfTrue="1">
      <formula>AND($J1302="",$I1302&lt;&gt;"")</formula>
    </cfRule>
  </conditionalFormatting>
  <conditionalFormatting sqref="K1307:K1308">
    <cfRule type="expression" priority="83" dxfId="0" stopIfTrue="1">
      <formula>AND($J1307="",$I1307&lt;&gt;"")</formula>
    </cfRule>
  </conditionalFormatting>
  <conditionalFormatting sqref="K1309:K1312">
    <cfRule type="expression" priority="334" dxfId="0" stopIfTrue="1">
      <formula>AND($J1309="",$I1309&lt;&gt;"")</formula>
    </cfRule>
  </conditionalFormatting>
  <conditionalFormatting sqref="K1314:K1315">
    <cfRule type="expression" priority="82" dxfId="0" stopIfTrue="1">
      <formula>AND($J1314="",$I1314&lt;&gt;"")</formula>
    </cfRule>
  </conditionalFormatting>
  <conditionalFormatting sqref="K1316:K1317">
    <cfRule type="expression" priority="333" dxfId="0" stopIfTrue="1">
      <formula>AND($J1316="",$I1316&lt;&gt;"")</formula>
    </cfRule>
  </conditionalFormatting>
  <conditionalFormatting sqref="K1319:K1320">
    <cfRule type="expression" priority="81" dxfId="0" stopIfTrue="1">
      <formula>AND($J1319="",$I1319&lt;&gt;"")</formula>
    </cfRule>
  </conditionalFormatting>
  <conditionalFormatting sqref="K1321:K1323">
    <cfRule type="expression" priority="276" dxfId="0" stopIfTrue="1">
      <formula>AND($J1321="",$I1321&lt;&gt;"")</formula>
    </cfRule>
  </conditionalFormatting>
  <conditionalFormatting sqref="K1324:K1327">
    <cfRule type="expression" priority="332" dxfId="0" stopIfTrue="1">
      <formula>AND($J1324="",$I1324&lt;&gt;"")</formula>
    </cfRule>
  </conditionalFormatting>
  <conditionalFormatting sqref="K1329:K1330">
    <cfRule type="expression" priority="80" dxfId="0" stopIfTrue="1">
      <formula>AND($J1329="",$I1329&lt;&gt;"")</formula>
    </cfRule>
  </conditionalFormatting>
  <conditionalFormatting sqref="K1332:K1333">
    <cfRule type="expression" priority="79" dxfId="0" stopIfTrue="1">
      <formula>AND($J1332="",$I1332&lt;&gt;"")</formula>
    </cfRule>
  </conditionalFormatting>
  <conditionalFormatting sqref="K1335:K1336">
    <cfRule type="expression" priority="78" dxfId="0" stopIfTrue="1">
      <formula>AND($J1335="",$I1335&lt;&gt;"")</formula>
    </cfRule>
  </conditionalFormatting>
  <conditionalFormatting sqref="K1337:K1339">
    <cfRule type="expression" priority="275" dxfId="0" stopIfTrue="1">
      <formula>AND($J1337="",$I1337&lt;&gt;"")</formula>
    </cfRule>
  </conditionalFormatting>
  <conditionalFormatting sqref="K1340:K1345">
    <cfRule type="expression" priority="331" dxfId="0" stopIfTrue="1">
      <formula>AND($J1340="",$I1340&lt;&gt;"")</formula>
    </cfRule>
  </conditionalFormatting>
  <conditionalFormatting sqref="K1347:K1348">
    <cfRule type="expression" priority="77" dxfId="0" stopIfTrue="1">
      <formula>AND($J1347="",$I1347&lt;&gt;"")</formula>
    </cfRule>
  </conditionalFormatting>
  <conditionalFormatting sqref="K1349:K1350">
    <cfRule type="expression" priority="185" dxfId="0" stopIfTrue="1">
      <formula>AND($J1349="",$I1349&lt;&gt;"")</formula>
    </cfRule>
  </conditionalFormatting>
  <conditionalFormatting sqref="K1351:K1352">
    <cfRule type="expression" priority="76" dxfId="0" stopIfTrue="1">
      <formula>AND($J1351="",$I1351&lt;&gt;"")</formula>
    </cfRule>
  </conditionalFormatting>
  <conditionalFormatting sqref="K1353:K1355">
    <cfRule type="expression" priority="274" dxfId="0" stopIfTrue="1">
      <formula>AND($J1353="",$I1353&lt;&gt;"")</formula>
    </cfRule>
  </conditionalFormatting>
  <conditionalFormatting sqref="K1356:K1359">
    <cfRule type="expression" priority="330" dxfId="0" stopIfTrue="1">
      <formula>AND($J1356="",$I1356&lt;&gt;"")</formula>
    </cfRule>
  </conditionalFormatting>
  <conditionalFormatting sqref="K1361:K1362">
    <cfRule type="expression" priority="75" dxfId="0" stopIfTrue="1">
      <formula>AND($J1361="",$I1361&lt;&gt;"")</formula>
    </cfRule>
  </conditionalFormatting>
  <conditionalFormatting sqref="K1364:K1365">
    <cfRule type="expression" priority="74" dxfId="0" stopIfTrue="1">
      <formula>AND($J1364="",$I1364&lt;&gt;"")</formula>
    </cfRule>
  </conditionalFormatting>
  <conditionalFormatting sqref="K1367:K1368">
    <cfRule type="expression" priority="73" dxfId="0" stopIfTrue="1">
      <formula>AND($J1367="",$I1367&lt;&gt;"")</formula>
    </cfRule>
  </conditionalFormatting>
  <conditionalFormatting sqref="K1369:K1370">
    <cfRule type="expression" priority="273" dxfId="0" stopIfTrue="1">
      <formula>AND($J1369="",$I1369&lt;&gt;"")</formula>
    </cfRule>
  </conditionalFormatting>
  <conditionalFormatting sqref="K1371:K1377">
    <cfRule type="expression" priority="329" dxfId="0" stopIfTrue="1">
      <formula>AND($J1371="",$I1371&lt;&gt;"")</formula>
    </cfRule>
  </conditionalFormatting>
  <conditionalFormatting sqref="K1379:K1380">
    <cfRule type="expression" priority="72" dxfId="0" stopIfTrue="1">
      <formula>AND($J1379="",$I1379&lt;&gt;"")</formula>
    </cfRule>
  </conditionalFormatting>
  <conditionalFormatting sqref="K1381:K1382">
    <cfRule type="expression" priority="180" dxfId="0" stopIfTrue="1">
      <formula>AND($J1381="",$I1381&lt;&gt;"")</formula>
    </cfRule>
  </conditionalFormatting>
  <conditionalFormatting sqref="K1383:K1384">
    <cfRule type="expression" priority="71" dxfId="0" stopIfTrue="1">
      <formula>AND($J1383="",$I1383&lt;&gt;"")</formula>
    </cfRule>
  </conditionalFormatting>
  <conditionalFormatting sqref="K1386:K1389">
    <cfRule type="expression" priority="328" dxfId="0" stopIfTrue="1">
      <formula>AND($J1386="",$I1386&lt;&gt;"")</formula>
    </cfRule>
  </conditionalFormatting>
  <conditionalFormatting sqref="K1391:K1392">
    <cfRule type="expression" priority="70" dxfId="0" stopIfTrue="1">
      <formula>AND($J1391="",$I1391&lt;&gt;"")</formula>
    </cfRule>
  </conditionalFormatting>
  <conditionalFormatting sqref="K1393:K1394">
    <cfRule type="expression" priority="178" dxfId="0" stopIfTrue="1">
      <formula>AND($J1393="",$I1393&lt;&gt;"")</formula>
    </cfRule>
  </conditionalFormatting>
  <conditionalFormatting sqref="K1395:K1396">
    <cfRule type="expression" priority="69" dxfId="0" stopIfTrue="1">
      <formula>AND($J1395="",$I1395&lt;&gt;"")</formula>
    </cfRule>
  </conditionalFormatting>
  <conditionalFormatting sqref="K1397:K1398">
    <cfRule type="expression" priority="177" dxfId="0" stopIfTrue="1">
      <formula>AND($J1397="",$I1397&lt;&gt;"")</formula>
    </cfRule>
  </conditionalFormatting>
  <conditionalFormatting sqref="K1399:K1400">
    <cfRule type="expression" priority="68" dxfId="0" stopIfTrue="1">
      <formula>AND($J1399="",$I1399&lt;&gt;"")</formula>
    </cfRule>
  </conditionalFormatting>
  <conditionalFormatting sqref="K1401:K1403">
    <cfRule type="expression" priority="271" dxfId="0" stopIfTrue="1">
      <formula>AND($J1401="",$I1401&lt;&gt;"")</formula>
    </cfRule>
  </conditionalFormatting>
  <conditionalFormatting sqref="K1404:K1408">
    <cfRule type="expression" priority="327" dxfId="0" stopIfTrue="1">
      <formula>AND($J1404="",$I1404&lt;&gt;"")</formula>
    </cfRule>
  </conditionalFormatting>
  <conditionalFormatting sqref="K1410:K1411">
    <cfRule type="expression" priority="67" dxfId="0" stopIfTrue="1">
      <formula>AND($J1410="",$I1410&lt;&gt;"")</formula>
    </cfRule>
  </conditionalFormatting>
  <conditionalFormatting sqref="K1412:K1413">
    <cfRule type="expression" priority="326" dxfId="0" stopIfTrue="1">
      <formula>AND($J1412="",$I1412&lt;&gt;"")</formula>
    </cfRule>
  </conditionalFormatting>
  <conditionalFormatting sqref="K1415:K1416">
    <cfRule type="expression" priority="66" dxfId="0" stopIfTrue="1">
      <formula>AND($J1415="",$I1415&lt;&gt;"")</formula>
    </cfRule>
  </conditionalFormatting>
  <conditionalFormatting sqref="K1417:K1418">
    <cfRule type="expression" priority="270" dxfId="0" stopIfTrue="1">
      <formula>AND($J1417="",$I1417&lt;&gt;"")</formula>
    </cfRule>
  </conditionalFormatting>
  <conditionalFormatting sqref="K1419:K1423">
    <cfRule type="expression" priority="325" dxfId="0" stopIfTrue="1">
      <formula>AND($J1419="",$I1419&lt;&gt;"")</formula>
    </cfRule>
  </conditionalFormatting>
  <conditionalFormatting sqref="K1424:K1425">
    <cfRule type="expression" priority="174" dxfId="0" stopIfTrue="1">
      <formula>AND($J1424="",$I1424&lt;&gt;"")</formula>
    </cfRule>
  </conditionalFormatting>
  <conditionalFormatting sqref="K1426:K1427">
    <cfRule type="expression" priority="65" dxfId="0" stopIfTrue="1">
      <formula>AND($J1426="",$I1426&lt;&gt;"")</formula>
    </cfRule>
  </conditionalFormatting>
  <conditionalFormatting sqref="K1429:K1430">
    <cfRule type="expression" priority="173" dxfId="0" stopIfTrue="1">
      <formula>AND($J1429="",$I1429&lt;&gt;"")</formula>
    </cfRule>
  </conditionalFormatting>
  <conditionalFormatting sqref="K1431:K1432">
    <cfRule type="expression" priority="64" dxfId="0" stopIfTrue="1">
      <formula>AND($J1431="",$I1431&lt;&gt;"")</formula>
    </cfRule>
  </conditionalFormatting>
  <conditionalFormatting sqref="K1433:K1435">
    <cfRule type="expression" priority="268" dxfId="0" stopIfTrue="1">
      <formula>AND($J1433="",$I1433&lt;&gt;"")</formula>
    </cfRule>
  </conditionalFormatting>
  <conditionalFormatting sqref="K1436:K1441">
    <cfRule type="expression" priority="324" dxfId="0" stopIfTrue="1">
      <formula>AND($J1436="",$I1436&lt;&gt;"")</formula>
    </cfRule>
  </conditionalFormatting>
  <conditionalFormatting sqref="K1443:K1444">
    <cfRule type="expression" priority="63" dxfId="0" stopIfTrue="1">
      <formula>AND($J1443="",$I1443&lt;&gt;"")</formula>
    </cfRule>
  </conditionalFormatting>
  <conditionalFormatting sqref="K1445:K1446">
    <cfRule type="expression" priority="171" dxfId="0" stopIfTrue="1">
      <formula>AND($J1445="",$I1445&lt;&gt;"")</formula>
    </cfRule>
  </conditionalFormatting>
  <conditionalFormatting sqref="K1447:K1448">
    <cfRule type="expression" priority="62" dxfId="0" stopIfTrue="1">
      <formula>AND($J1447="",$I1447&lt;&gt;"")</formula>
    </cfRule>
  </conditionalFormatting>
  <conditionalFormatting sqref="K1449:K1451">
    <cfRule type="expression" priority="267" dxfId="0" stopIfTrue="1">
      <formula>AND($J1449="",$I1449&lt;&gt;"")</formula>
    </cfRule>
  </conditionalFormatting>
  <conditionalFormatting sqref="K1452:K1456">
    <cfRule type="expression" priority="323" dxfId="0" stopIfTrue="1">
      <formula>AND($J1452="",$I1452&lt;&gt;"")</formula>
    </cfRule>
  </conditionalFormatting>
  <conditionalFormatting sqref="K1458:K1459">
    <cfRule type="expression" priority="61" dxfId="0" stopIfTrue="1">
      <formula>AND($J1458="",$I1458&lt;&gt;"")</formula>
    </cfRule>
  </conditionalFormatting>
  <conditionalFormatting sqref="K1460:K1461">
    <cfRule type="expression" priority="322" dxfId="0" stopIfTrue="1">
      <formula>AND($J1460="",$I1460&lt;&gt;"")</formula>
    </cfRule>
  </conditionalFormatting>
  <conditionalFormatting sqref="K1463:K1464">
    <cfRule type="expression" priority="60" dxfId="0" stopIfTrue="1">
      <formula>AND($J1463="",$I1463&lt;&gt;"")</formula>
    </cfRule>
  </conditionalFormatting>
  <conditionalFormatting sqref="K1465:K1466">
    <cfRule type="expression" priority="266" dxfId="0" stopIfTrue="1">
      <formula>AND($J1465="",$I1465&lt;&gt;"")</formula>
    </cfRule>
  </conditionalFormatting>
  <conditionalFormatting sqref="K1467:K1470">
    <cfRule type="expression" priority="321" dxfId="0" stopIfTrue="1">
      <formula>AND($J1467="",$I1467&lt;&gt;"")</formula>
    </cfRule>
  </conditionalFormatting>
  <conditionalFormatting sqref="K1472:K1473">
    <cfRule type="expression" priority="59" dxfId="0" stopIfTrue="1">
      <formula>AND($J1472="",$I1472&lt;&gt;"")</formula>
    </cfRule>
  </conditionalFormatting>
  <conditionalFormatting sqref="K1474:K1475">
    <cfRule type="expression" priority="320" dxfId="0" stopIfTrue="1">
      <formula>AND($J1474="",$I1474&lt;&gt;"")</formula>
    </cfRule>
  </conditionalFormatting>
  <conditionalFormatting sqref="K1476:K1478">
    <cfRule type="expression" priority="167" dxfId="0" stopIfTrue="1">
      <formula>AND($J1476="",$I1476&lt;&gt;"")</formula>
    </cfRule>
  </conditionalFormatting>
  <conditionalFormatting sqref="K1479:K1480">
    <cfRule type="expression" priority="58" dxfId="0" stopIfTrue="1">
      <formula>AND($J1479="",$I1479&lt;&gt;"")</formula>
    </cfRule>
  </conditionalFormatting>
  <conditionalFormatting sqref="K1481:K1482">
    <cfRule type="expression" priority="265" dxfId="0" stopIfTrue="1">
      <formula>AND($J1481="",$I1481&lt;&gt;"")</formula>
    </cfRule>
  </conditionalFormatting>
  <conditionalFormatting sqref="K1484:K1488">
    <cfRule type="expression" priority="319" dxfId="0" stopIfTrue="1">
      <formula>AND($J1484="",$I1484&lt;&gt;"")</formula>
    </cfRule>
  </conditionalFormatting>
  <conditionalFormatting sqref="K1490:K1493">
    <cfRule type="expression" priority="318" dxfId="0" stopIfTrue="1">
      <formula>AND($J1490="",$I1490&lt;&gt;"")</formula>
    </cfRule>
  </conditionalFormatting>
  <conditionalFormatting sqref="K1495:K1496">
    <cfRule type="expression" priority="57" dxfId="0" stopIfTrue="1">
      <formula>AND($J1495="",$I1495&lt;&gt;"")</formula>
    </cfRule>
  </conditionalFormatting>
  <conditionalFormatting sqref="K1497:K1498">
    <cfRule type="expression" priority="264" dxfId="0" stopIfTrue="1">
      <formula>AND($J1497="",$I1497&lt;&gt;"")</formula>
    </cfRule>
  </conditionalFormatting>
  <conditionalFormatting sqref="K1499:K1502">
    <cfRule type="expression" priority="317" dxfId="0" stopIfTrue="1">
      <formula>AND($J1499="",$I1499&lt;&gt;"")</formula>
    </cfRule>
  </conditionalFormatting>
  <conditionalFormatting sqref="K1504:K1505">
    <cfRule type="expression" priority="56" dxfId="0" stopIfTrue="1">
      <formula>AND($J1504="",$I1504&lt;&gt;"")</formula>
    </cfRule>
  </conditionalFormatting>
  <conditionalFormatting sqref="K1506:K1509">
    <cfRule type="expression" priority="316" dxfId="0" stopIfTrue="1">
      <formula>AND($J1506="",$I1506&lt;&gt;"")</formula>
    </cfRule>
  </conditionalFormatting>
  <conditionalFormatting sqref="K1511:K1512">
    <cfRule type="expression" priority="55" dxfId="0" stopIfTrue="1">
      <formula>AND($J1511="",$I1511&lt;&gt;"")</formula>
    </cfRule>
  </conditionalFormatting>
  <conditionalFormatting sqref="K1515:K1519">
    <cfRule type="expression" priority="315" dxfId="0" stopIfTrue="1">
      <formula>AND($J1515="",$I1515&lt;&gt;"")</formula>
    </cfRule>
  </conditionalFormatting>
  <conditionalFormatting sqref="K1520:K1521">
    <cfRule type="expression" priority="163" dxfId="0" stopIfTrue="1">
      <formula>AND($J1520="",$I1520&lt;&gt;"")</formula>
    </cfRule>
  </conditionalFormatting>
  <conditionalFormatting sqref="K1522:K1523">
    <cfRule type="expression" priority="54" dxfId="0" stopIfTrue="1">
      <formula>AND($J1522="",$I1522&lt;&gt;"")</formula>
    </cfRule>
  </conditionalFormatting>
  <conditionalFormatting sqref="K1524:K1525">
    <cfRule type="expression" priority="262" dxfId="0" stopIfTrue="1">
      <formula>AND($J1524="",$I1524&lt;&gt;"")</formula>
    </cfRule>
  </conditionalFormatting>
  <conditionalFormatting sqref="K1526:K1530">
    <cfRule type="expression" priority="314" dxfId="0" stopIfTrue="1">
      <formula>AND($J1526="",$I1526&lt;&gt;"")</formula>
    </cfRule>
  </conditionalFormatting>
  <conditionalFormatting sqref="K1531:K1532">
    <cfRule type="expression" priority="162" dxfId="0" stopIfTrue="1">
      <formula>AND($J1531="",$I1531&lt;&gt;"")</formula>
    </cfRule>
  </conditionalFormatting>
  <conditionalFormatting sqref="K1533:K1534">
    <cfRule type="expression" priority="53" dxfId="0" stopIfTrue="1">
      <formula>AND($J1533="",$I1533&lt;&gt;"")</formula>
    </cfRule>
  </conditionalFormatting>
  <conditionalFormatting sqref="K1535:K1537">
    <cfRule type="expression" priority="261" dxfId="0" stopIfTrue="1">
      <formula>AND($J1535="",$I1535&lt;&gt;"")</formula>
    </cfRule>
  </conditionalFormatting>
  <conditionalFormatting sqref="K1539:K1547">
    <cfRule type="expression" priority="313" dxfId="0" stopIfTrue="1">
      <formula>AND($J1539="",$I1539&lt;&gt;"")</formula>
    </cfRule>
  </conditionalFormatting>
  <conditionalFormatting sqref="K1549:K1550">
    <cfRule type="expression" priority="52" dxfId="0" stopIfTrue="1">
      <formula>AND($J1549="",$I1549&lt;&gt;"")</formula>
    </cfRule>
  </conditionalFormatting>
  <conditionalFormatting sqref="K1551:K1553">
    <cfRule type="expression" priority="260" dxfId="0" stopIfTrue="1">
      <formula>AND($J1551="",$I1551&lt;&gt;"")</formula>
    </cfRule>
  </conditionalFormatting>
  <conditionalFormatting sqref="K1554:K1558">
    <cfRule type="expression" priority="312" dxfId="0" stopIfTrue="1">
      <formula>AND($J1554="",$I1554&lt;&gt;"")</formula>
    </cfRule>
  </conditionalFormatting>
  <conditionalFormatting sqref="K1559:K1560">
    <cfRule type="expression" priority="160" dxfId="0" stopIfTrue="1">
      <formula>AND($J1559="",$I1559&lt;&gt;"")</formula>
    </cfRule>
  </conditionalFormatting>
  <conditionalFormatting sqref="K1561:K1562">
    <cfRule type="expression" priority="51" dxfId="0" stopIfTrue="1">
      <formula>AND($J1561="",$I1561&lt;&gt;"")</formula>
    </cfRule>
  </conditionalFormatting>
  <conditionalFormatting sqref="K1563:K1565">
    <cfRule type="expression" priority="259" dxfId="0" stopIfTrue="1">
      <formula>AND($J1563="",$I1563&lt;&gt;"")</formula>
    </cfRule>
  </conditionalFormatting>
  <conditionalFormatting sqref="K1566:K1570">
    <cfRule type="expression" priority="311" dxfId="0" stopIfTrue="1">
      <formula>AND($J1566="",$I1566&lt;&gt;"")</formula>
    </cfRule>
  </conditionalFormatting>
  <conditionalFormatting sqref="K1571:K1572">
    <cfRule type="expression" priority="159" dxfId="0" stopIfTrue="1">
      <formula>AND($J1571="",$I1571&lt;&gt;"")</formula>
    </cfRule>
  </conditionalFormatting>
  <conditionalFormatting sqref="K1573:K1574">
    <cfRule type="expression" priority="50" dxfId="0" stopIfTrue="1">
      <formula>AND($J1573="",$I1573&lt;&gt;"")</formula>
    </cfRule>
  </conditionalFormatting>
  <conditionalFormatting sqref="K1575:K1578">
    <cfRule type="expression" priority="310" dxfId="0" stopIfTrue="1">
      <formula>AND($J1575="",$I1575&lt;&gt;"")</formula>
    </cfRule>
  </conditionalFormatting>
  <conditionalFormatting sqref="K1580:K1581">
    <cfRule type="expression" priority="309" dxfId="0" stopIfTrue="1">
      <formula>AND($J1580="",$I1580&lt;&gt;"")</formula>
    </cfRule>
  </conditionalFormatting>
  <conditionalFormatting sqref="K1583:K1584">
    <cfRule type="expression" priority="49" dxfId="0" stopIfTrue="1">
      <formula>AND($J1583="",$I1583&lt;&gt;"")</formula>
    </cfRule>
  </conditionalFormatting>
  <conditionalFormatting sqref="K1585:K1586">
    <cfRule type="expression" priority="308" dxfId="0" stopIfTrue="1">
      <formula>AND($J1585="",$I1585&lt;&gt;"")</formula>
    </cfRule>
  </conditionalFormatting>
  <conditionalFormatting sqref="K1588:K1589">
    <cfRule type="expression" priority="48" dxfId="0" stopIfTrue="1">
      <formula>AND($J1588="",$I1588&lt;&gt;"")</formula>
    </cfRule>
  </conditionalFormatting>
  <conditionalFormatting sqref="K1590:K1591">
    <cfRule type="expression" priority="307" dxfId="0" stopIfTrue="1">
      <formula>AND($J1590="",$I1590&lt;&gt;"")</formula>
    </cfRule>
  </conditionalFormatting>
  <conditionalFormatting sqref="K1593:K1594">
    <cfRule type="expression" priority="47" dxfId="0" stopIfTrue="1">
      <formula>AND($J1593="",$I1593&lt;&gt;"")</formula>
    </cfRule>
  </conditionalFormatting>
  <conditionalFormatting sqref="K1595:K1596">
    <cfRule type="expression" priority="257" dxfId="0" stopIfTrue="1">
      <formula>AND($J1595="",$I1595&lt;&gt;"")</formula>
    </cfRule>
  </conditionalFormatting>
  <conditionalFormatting sqref="K1597:K1600">
    <cfRule type="expression" priority="306" dxfId="0" stopIfTrue="1">
      <formula>AND($J1597="",$I1597&lt;&gt;"")</formula>
    </cfRule>
  </conditionalFormatting>
  <conditionalFormatting sqref="K1602:K1603">
    <cfRule type="expression" priority="46" dxfId="0" stopIfTrue="1">
      <formula>AND($J1602="",$I1602&lt;&gt;"")</formula>
    </cfRule>
  </conditionalFormatting>
  <conditionalFormatting sqref="K1604:K1605">
    <cfRule type="expression" priority="305" dxfId="0" stopIfTrue="1">
      <formula>AND($J1604="",$I1604&lt;&gt;"")</formula>
    </cfRule>
  </conditionalFormatting>
  <conditionalFormatting sqref="K1606:K1608">
    <cfRule type="expression" priority="154" dxfId="0" stopIfTrue="1">
      <formula>AND($J1606="",$I1606&lt;&gt;"")</formula>
    </cfRule>
  </conditionalFormatting>
  <conditionalFormatting sqref="K1609:K1610">
    <cfRule type="expression" priority="45" dxfId="0" stopIfTrue="1">
      <formula>AND($J1609="",$I1609&lt;&gt;"")</formula>
    </cfRule>
  </conditionalFormatting>
  <conditionalFormatting sqref="K1611:K1612">
    <cfRule type="expression" priority="256" dxfId="0" stopIfTrue="1">
      <formula>AND($J1611="",$I1611&lt;&gt;"")</formula>
    </cfRule>
  </conditionalFormatting>
  <conditionalFormatting sqref="K1613:K1618">
    <cfRule type="expression" priority="304" dxfId="0" stopIfTrue="1">
      <formula>AND($J1613="",$I1613&lt;&gt;"")</formula>
    </cfRule>
  </conditionalFormatting>
  <conditionalFormatting sqref="K1620:K1621">
    <cfRule type="expression" priority="44" dxfId="0" stopIfTrue="1">
      <formula>AND($J1620="",$I1620&lt;&gt;"")</formula>
    </cfRule>
  </conditionalFormatting>
  <conditionalFormatting sqref="K1622:K1623">
    <cfRule type="expression" priority="303" dxfId="0" stopIfTrue="1">
      <formula>AND($J1622="",$I1622&lt;&gt;"")</formula>
    </cfRule>
  </conditionalFormatting>
  <conditionalFormatting sqref="K1625:K1626">
    <cfRule type="expression" priority="43" dxfId="0" stopIfTrue="1">
      <formula>AND($J1625="",$I1625&lt;&gt;"")</formula>
    </cfRule>
  </conditionalFormatting>
  <conditionalFormatting sqref="K1627:K1628">
    <cfRule type="expression" priority="255" dxfId="0" stopIfTrue="1">
      <formula>AND($J1627="",$I1627&lt;&gt;"")</formula>
    </cfRule>
  </conditionalFormatting>
  <conditionalFormatting sqref="K1629:K1634">
    <cfRule type="expression" priority="302" dxfId="0" stopIfTrue="1">
      <formula>AND($J1629="",$I1629&lt;&gt;"")</formula>
    </cfRule>
  </conditionalFormatting>
  <conditionalFormatting sqref="K1636:K1637">
    <cfRule type="expression" priority="42" dxfId="0" stopIfTrue="1">
      <formula>AND($J1636="",$I1636&lt;&gt;"")</formula>
    </cfRule>
  </conditionalFormatting>
  <conditionalFormatting sqref="K1638:K1639">
    <cfRule type="expression" priority="301" dxfId="0" stopIfTrue="1">
      <formula>AND($J1638="",$I1638&lt;&gt;"")</formula>
    </cfRule>
  </conditionalFormatting>
  <conditionalFormatting sqref="K1640:K1641">
    <cfRule type="expression" priority="150" dxfId="0" stopIfTrue="1">
      <formula>AND($J1640="",$I1640&lt;&gt;"")</formula>
    </cfRule>
  </conditionalFormatting>
  <conditionalFormatting sqref="K1644:K1647">
    <cfRule type="expression" priority="300" dxfId="0" stopIfTrue="1">
      <formula>AND($J1644="",$I1644&lt;&gt;"")</formula>
    </cfRule>
  </conditionalFormatting>
  <conditionalFormatting sqref="K1648:K1649">
    <cfRule type="expression" priority="149" dxfId="0" stopIfTrue="1">
      <formula>AND($J1648="",$I1648&lt;&gt;"")</formula>
    </cfRule>
  </conditionalFormatting>
  <conditionalFormatting sqref="K1650:K1651">
    <cfRule type="expression" priority="40" dxfId="0" stopIfTrue="1">
      <formula>AND($J1650="",$I1650&lt;&gt;"")</formula>
    </cfRule>
  </conditionalFormatting>
  <conditionalFormatting sqref="K1652:K1655">
    <cfRule type="expression" priority="299" dxfId="0" stopIfTrue="1">
      <formula>AND($J1652="",$I1652&lt;&gt;"")</formula>
    </cfRule>
  </conditionalFormatting>
  <conditionalFormatting sqref="K1657:K1658">
    <cfRule type="expression" priority="39" dxfId="0" stopIfTrue="1">
      <formula>AND($J1657="",$I1657&lt;&gt;"")</formula>
    </cfRule>
  </conditionalFormatting>
  <conditionalFormatting sqref="K1659:K1660">
    <cfRule type="expression" priority="253" dxfId="0" stopIfTrue="1">
      <formula>AND($J1659="",$I1659&lt;&gt;"")</formula>
    </cfRule>
  </conditionalFormatting>
  <conditionalFormatting sqref="K1661:K1664">
    <cfRule type="expression" priority="298" dxfId="0" stopIfTrue="1">
      <formula>AND($J1661="",$I1661&lt;&gt;"")</formula>
    </cfRule>
  </conditionalFormatting>
  <conditionalFormatting sqref="K1666:K1667">
    <cfRule type="expression" priority="38" dxfId="0" stopIfTrue="1">
      <formula>AND($J1666="",$I1666&lt;&gt;"")</formula>
    </cfRule>
  </conditionalFormatting>
  <conditionalFormatting sqref="K1668:K1671">
    <cfRule type="expression" priority="297" dxfId="0" stopIfTrue="1">
      <formula>AND($J1668="",$I1668&lt;&gt;"")</formula>
    </cfRule>
  </conditionalFormatting>
  <conditionalFormatting sqref="K1673:K1674">
    <cfRule type="expression" priority="37" dxfId="0" stopIfTrue="1">
      <formula>AND($J1673="",$I1673&lt;&gt;"")</formula>
    </cfRule>
  </conditionalFormatting>
  <conditionalFormatting sqref="K1675:K1676">
    <cfRule type="expression" priority="252" dxfId="0" stopIfTrue="1">
      <formula>AND($J1675="",$I1675&lt;&gt;"")</formula>
    </cfRule>
  </conditionalFormatting>
  <conditionalFormatting sqref="K1677:K1681">
    <cfRule type="expression" priority="296" dxfId="0" stopIfTrue="1">
      <formula>AND($J1677="",$I1677&lt;&gt;"")</formula>
    </cfRule>
  </conditionalFormatting>
  <conditionalFormatting sqref="K1683:K1684">
    <cfRule type="expression" priority="36" dxfId="0" stopIfTrue="1">
      <formula>AND($J1683="",$I1683&lt;&gt;"")</formula>
    </cfRule>
  </conditionalFormatting>
  <conditionalFormatting sqref="K1685:K1686">
    <cfRule type="expression" priority="295" dxfId="0" stopIfTrue="1">
      <formula>AND($J1685="",$I1685&lt;&gt;"")</formula>
    </cfRule>
  </conditionalFormatting>
  <conditionalFormatting sqref="K1687:K1688">
    <cfRule type="expression" priority="144" dxfId="0" stopIfTrue="1">
      <formula>AND($J1687="",$I1687&lt;&gt;"")</formula>
    </cfRule>
  </conditionalFormatting>
  <conditionalFormatting sqref="K1689:K1690">
    <cfRule type="expression" priority="35" dxfId="0" stopIfTrue="1">
      <formula>AND($J1689="",$I1689&lt;&gt;"")</formula>
    </cfRule>
  </conditionalFormatting>
  <conditionalFormatting sqref="K1691:K1692">
    <cfRule type="expression" priority="251" dxfId="0" stopIfTrue="1">
      <formula>AND($J1691="",$I1691&lt;&gt;"")</formula>
    </cfRule>
  </conditionalFormatting>
  <conditionalFormatting sqref="K1693:K1696">
    <cfRule type="expression" priority="294" dxfId="0" stopIfTrue="1">
      <formula>AND($J1693="",$I1693&lt;&gt;"")</formula>
    </cfRule>
  </conditionalFormatting>
  <conditionalFormatting sqref="K1698:K1699">
    <cfRule type="expression" priority="34" dxfId="0" stopIfTrue="1">
      <formula>AND($J1698="",$I1698&lt;&gt;"")</formula>
    </cfRule>
  </conditionalFormatting>
  <conditionalFormatting sqref="K1702:K1704">
    <cfRule type="expression" priority="142" dxfId="0" stopIfTrue="1">
      <formula>AND($J1702="",$I1702&lt;&gt;"")</formula>
    </cfRule>
  </conditionalFormatting>
  <conditionalFormatting sqref="K1705:K1706">
    <cfRule type="expression" priority="33" dxfId="0" stopIfTrue="1">
      <formula>AND($J1705="",$I1705&lt;&gt;"")</formula>
    </cfRule>
  </conditionalFormatting>
  <conditionalFormatting sqref="K1707:K1710">
    <cfRule type="expression" priority="292" dxfId="0" stopIfTrue="1">
      <formula>AND($J1707="",$I1707&lt;&gt;"")</formula>
    </cfRule>
  </conditionalFormatting>
  <conditionalFormatting sqref="K1712:K1713">
    <cfRule type="expression" priority="32" dxfId="0" stopIfTrue="1">
      <formula>AND($J1712="",$I1712&lt;&gt;"")</formula>
    </cfRule>
  </conditionalFormatting>
  <conditionalFormatting sqref="K1714:K1715">
    <cfRule type="expression" priority="291" dxfId="0" stopIfTrue="1">
      <formula>AND($J1714="",$I1714&lt;&gt;"")</formula>
    </cfRule>
  </conditionalFormatting>
  <conditionalFormatting sqref="K1716:K1717">
    <cfRule type="expression" priority="140" dxfId="0" stopIfTrue="1">
      <formula>AND($J1716="",$I1716&lt;&gt;"")</formula>
    </cfRule>
  </conditionalFormatting>
  <conditionalFormatting sqref="K1718:K1719">
    <cfRule type="expression" priority="31" dxfId="0" stopIfTrue="1">
      <formula>AND($J1718="",$I1718&lt;&gt;"")</formula>
    </cfRule>
  </conditionalFormatting>
  <conditionalFormatting sqref="K1720:K1721">
    <cfRule type="expression" priority="139" dxfId="0" stopIfTrue="1">
      <formula>AND($J1720="",$I1720&lt;&gt;"")</formula>
    </cfRule>
  </conditionalFormatting>
  <conditionalFormatting sqref="K1722:K1723">
    <cfRule type="expression" priority="30" dxfId="0" stopIfTrue="1">
      <formula>AND($J1722="",$I1722&lt;&gt;"")</formula>
    </cfRule>
  </conditionalFormatting>
  <conditionalFormatting sqref="K1724:K1725">
    <cfRule type="expression" priority="290" dxfId="0" stopIfTrue="1">
      <formula>AND($J1724="",$I1724&lt;&gt;"")</formula>
    </cfRule>
  </conditionalFormatting>
  <conditionalFormatting sqref="K1726:K1727">
    <cfRule type="expression" priority="138" dxfId="0" stopIfTrue="1">
      <formula>AND($J1726="",$I1726&lt;&gt;"")</formula>
    </cfRule>
  </conditionalFormatting>
  <conditionalFormatting sqref="K1728:K1729">
    <cfRule type="expression" priority="29" dxfId="0" stopIfTrue="1">
      <formula>AND($J1728="",$I1728&lt;&gt;"")</formula>
    </cfRule>
  </conditionalFormatting>
  <conditionalFormatting sqref="Y1730:Y65363">
    <cfRule type="duplicateValues" priority="1530" dxfId="1"/>
  </conditionalFormatting>
  <conditionalFormatting sqref="K121:K123 K127:K128 K132:K133">
    <cfRule type="expression" priority="443" dxfId="0" stopIfTrue="1">
      <formula>AND($J121="",#REF!&lt;&gt;"")</formula>
    </cfRule>
  </conditionalFormatting>
  <conditionalFormatting sqref="K189:K192 K195:K196 K202:K204 K206 K208:K220 K224:K294 K311:K330 K332:K333 K335:K342 K344:K374 K379:K384 K387:K391 K394:K400">
    <cfRule type="expression" priority="434" dxfId="0" stopIfTrue="1">
      <formula>AND($J189="",$I189&lt;&gt;"")</formula>
    </cfRule>
  </conditionalFormatting>
  <conditionalFormatting sqref="K401:K411 K421:K423">
    <cfRule type="expression" priority="393" dxfId="0" stopIfTrue="1">
      <formula>AND($J401="",$I401&lt;&gt;"")</formula>
    </cfRule>
  </conditionalFormatting>
  <conditionalFormatting sqref="K536:K537 K544 K546 K548:K553">
    <cfRule type="expression" priority="386" dxfId="0" stopIfTrue="1">
      <formula>AND($J536="",$I536&lt;&gt;"")</formula>
    </cfRule>
  </conditionalFormatting>
  <conditionalFormatting sqref="K545 K547 K554 K568:K581 K583:K584 K588:K589 K592:K618">
    <cfRule type="expression" priority="395" dxfId="0" stopIfTrue="1">
      <formula>AND($J545="",$I545&lt;&gt;"")</formula>
    </cfRule>
  </conditionalFormatting>
  <conditionalFormatting sqref="K582 K585:K587 K590:K591">
    <cfRule type="expression" priority="384" dxfId="0" stopIfTrue="1">
      <formula>AND($J582="",$I582&lt;&gt;"")</formula>
    </cfRule>
  </conditionalFormatting>
  <conditionalFormatting sqref="K727:K729 K731:K737 K739:K765">
    <cfRule type="expression" priority="416" dxfId="0" stopIfTrue="1">
      <formula>AND($J727="",$I727&lt;&gt;"")</formula>
    </cfRule>
  </conditionalFormatting>
  <conditionalFormatting sqref="K878 K880:K890">
    <cfRule type="expression" priority="404" dxfId="0" stopIfTrue="1">
      <formula>AND($J878="",$I878&lt;&gt;"")</formula>
    </cfRule>
  </conditionalFormatting>
  <conditionalFormatting sqref="E1730:E1048576 I1730:I1048576">
    <cfRule type="duplicateValues" priority="1532" dxfId="1"/>
  </conditionalFormatting>
  <dataValidations count="1">
    <dataValidation sqref="J2:J27 J34:J147 J149:J163 J170:J197 J200:J234 J236:J330 J332:J411 J421:J425 J430:J433 J438:J508 J527:J537 J544:J722 J724:J901 J908:J917 J923:J1729 AB785:AB786 AB791:AB792 AB1489 AB1538" showDropDown="0" showInputMessage="1" showErrorMessage="1" allowBlank="1" type="list">
      <formula1>"ILF,EIF,EI,EO,EQ"</formula1>
    </dataValidation>
  </dataValidations>
  <pageMargins left="0.75" right="0.75" top="1" bottom="1" header="0.5" footer="0.5"/>
  <pageSetup orientation="portrait" paperSize="9" scale="27" horizontalDpi="600" verticalDpi="600"/>
  <headerFooter alignWithMargins="0">
    <oddHeader>&amp;L&amp;G&amp;C超级邮箱应用软件功能点调查表(0422)&amp;R内部公开</oddHeader>
    <oddFooter>&amp;L&amp;D&amp;C华为机密，未经许可不得扩散&amp;R第&amp;P页，共&amp;N页</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sheetPr>
  <dimension ref="A2:L104"/>
  <sheetViews>
    <sheetView workbookViewId="0">
      <selection activeCell="F14" sqref="F14"/>
    </sheetView>
  </sheetViews>
  <sheetFormatPr baseColWidth="8" defaultColWidth="9" defaultRowHeight="12"/>
  <cols>
    <col width="4.5" customWidth="1" style="14" min="1" max="1"/>
    <col width="18" customWidth="1" style="14" min="2" max="2"/>
    <col width="77.5" customWidth="1" style="14" min="3" max="3"/>
    <col width="9.25" customWidth="1" style="14" min="4" max="4"/>
    <col width="8.25" customWidth="1" style="14" min="5" max="5"/>
    <col width="11.875" customWidth="1" style="14" min="6" max="6"/>
    <col width="9" customWidth="1" style="14" min="7" max="7"/>
    <col width="9.5" customWidth="1" style="14" min="8" max="8"/>
    <col width="9" customWidth="1" style="14" min="9" max="16384"/>
  </cols>
  <sheetData>
    <row r="2" customFormat="1" s="14">
      <c r="A2" s="15" t="inlineStr">
        <is>
          <t>VAF计算表</t>
        </is>
      </c>
      <c r="B2" s="159" t="n"/>
      <c r="C2" s="159" t="n"/>
      <c r="D2" s="159" t="n"/>
      <c r="E2" s="159" t="n"/>
      <c r="F2" s="160" t="n"/>
    </row>
    <row r="3" ht="14.4" customFormat="1" customHeight="1" s="14">
      <c r="A3" s="16" t="inlineStr">
        <is>
          <t>通用系统特征</t>
        </is>
      </c>
      <c r="B3" s="163" t="n"/>
      <c r="C3" s="16" t="inlineStr">
        <is>
          <t>描述</t>
        </is>
      </c>
      <c r="D3" s="16" t="inlineStr">
        <is>
          <t>权重Wi</t>
        </is>
      </c>
      <c r="E3" s="16" t="inlineStr">
        <is>
          <t>得分Fi</t>
        </is>
      </c>
      <c r="F3" s="16" t="inlineStr">
        <is>
          <t>加权值Wi*Fi</t>
        </is>
      </c>
    </row>
    <row r="4" ht="24" customFormat="1" customHeight="1" s="14">
      <c r="A4" s="17" t="inlineStr">
        <is>
          <t>G1</t>
        </is>
      </c>
      <c r="B4" s="18" t="inlineStr">
        <is>
          <t>系统性能</t>
        </is>
      </c>
      <c r="C4" s="19" t="inlineStr">
        <is>
          <t>系统性能是结合应用系统在满足性能指标的情况下对计算机资源的利用程度（CPU的利用率）以及对事务处理的相应时间进行综合判别</t>
        </is>
      </c>
      <c r="D4" s="20" t="n">
        <v>0.15</v>
      </c>
      <c r="E4" s="21">
        <f>D18</f>
        <v/>
      </c>
      <c r="F4" s="21">
        <f>E4*D4</f>
        <v/>
      </c>
    </row>
    <row r="5" customFormat="1" s="14">
      <c r="A5" s="22" t="inlineStr">
        <is>
          <t>G2</t>
        </is>
      </c>
      <c r="B5" s="18" t="inlineStr">
        <is>
          <t>应用云化</t>
        </is>
      </c>
      <c r="C5" s="19" t="inlineStr">
        <is>
          <t>应用云化部署主要是体现系统部署方式和提供应用服务的状态</t>
        </is>
      </c>
      <c r="D5" s="20" t="n">
        <v>0.15</v>
      </c>
      <c r="E5" s="21">
        <f>D34</f>
        <v/>
      </c>
      <c r="F5" s="21">
        <f>E5*D5</f>
        <v/>
      </c>
    </row>
    <row r="6" customFormat="1" s="14">
      <c r="A6" s="22" t="inlineStr">
        <is>
          <t>G3</t>
        </is>
      </c>
      <c r="B6" s="18" t="inlineStr">
        <is>
          <t>易修改性</t>
        </is>
      </c>
      <c r="C6" s="19" t="inlineStr">
        <is>
          <t>易修改性描述了业务规则、业务流程、展现形式对修改处理逻辑或数据结构的难易程度的影响</t>
        </is>
      </c>
      <c r="D6" s="20" t="n">
        <v>0.1</v>
      </c>
      <c r="E6" s="21">
        <f>D54</f>
        <v/>
      </c>
      <c r="F6" s="21">
        <f>E6*D6</f>
        <v/>
      </c>
    </row>
    <row r="7" customFormat="1" s="14">
      <c r="A7" s="17" t="inlineStr">
        <is>
          <t>G4</t>
        </is>
      </c>
      <c r="B7" s="18" t="inlineStr">
        <is>
          <t>可靠性</t>
        </is>
      </c>
      <c r="C7" s="23" t="inlineStr">
        <is>
          <t>可靠性描述了应用系统在软硬件方面对潜在故障的备份、应急和容灾等应对措施的完善程度</t>
        </is>
      </c>
      <c r="D7" s="20" t="n">
        <v>0.1</v>
      </c>
      <c r="E7" s="21">
        <f>D62</f>
        <v/>
      </c>
      <c r="F7" s="21">
        <f>E7*D7</f>
        <v/>
      </c>
    </row>
    <row r="8" customFormat="1" s="14">
      <c r="A8" s="22" t="inlineStr">
        <is>
          <t>G5</t>
        </is>
      </c>
      <c r="B8" s="18" t="inlineStr">
        <is>
          <t>用户体验</t>
        </is>
      </c>
      <c r="C8" s="19" t="inlineStr">
        <is>
          <t>用户体验描述了应用系统中为提高用户易用性和界面亲和性而采用的技术</t>
        </is>
      </c>
      <c r="D8" s="20" t="n">
        <v>0.1</v>
      </c>
      <c r="E8" s="21">
        <f>D69</f>
        <v/>
      </c>
      <c r="F8" s="21">
        <f>E8*D8</f>
        <v/>
      </c>
    </row>
    <row r="9" ht="31.9" customFormat="1" customHeight="1" s="14">
      <c r="A9" s="22" t="inlineStr">
        <is>
          <t>G6</t>
        </is>
      </c>
      <c r="B9" s="18" t="inlineStr">
        <is>
          <t>架构合理性</t>
        </is>
      </c>
      <c r="C9" s="19" t="inlineStr">
        <is>
          <t>架构合理性描述了应用系统耦合与开放的整体架构、功能模块耦合度、协议、接口开放程度和标准程度对应用系统开发的影响程度。</t>
        </is>
      </c>
      <c r="D9" s="20" t="n">
        <v>0.1</v>
      </c>
      <c r="E9" s="21">
        <f>D78</f>
        <v/>
      </c>
      <c r="F9" s="21">
        <f>E9*D9</f>
        <v/>
      </c>
      <c r="G9" s="14" t="inlineStr">
        <is>
          <t>无法证明接口开放程度高，且仅能运等系统才会高开放</t>
        </is>
      </c>
    </row>
    <row r="10" ht="31.9" customFormat="1" customHeight="1" s="14">
      <c r="A10" s="22" t="inlineStr">
        <is>
          <t>G7</t>
        </is>
      </c>
      <c r="B10" s="24" t="inlineStr">
        <is>
          <t>处理复杂性</t>
        </is>
      </c>
      <c r="C10" s="19" t="inlineStr">
        <is>
          <t>处理复杂性描述处理逻辑（主要是计算操作）的复杂程度对应用系统开发的影响程度</t>
        </is>
      </c>
      <c r="D10" s="20" t="n">
        <v>0.05</v>
      </c>
      <c r="E10" s="21">
        <f>D86</f>
        <v/>
      </c>
      <c r="F10" s="21">
        <f>E10*D10</f>
        <v/>
      </c>
    </row>
    <row r="11" ht="36" customFormat="1" customHeight="1" s="14">
      <c r="A11" s="22" t="inlineStr">
        <is>
          <t>G8</t>
        </is>
      </c>
      <c r="B11" s="18" t="inlineStr">
        <is>
          <t>安全性</t>
        </is>
      </c>
      <c r="C11" s="19" t="inlineStr">
        <is>
          <t>安全性描述了应用系统所采用的保障系统安全的相关举措，包括访问安全（权限控制、身份验证、网络分段）、数据安全（操作日志、数据备份、数据加密）、通信安全（SSL策略、CA认证、加密传输和验证）和异常告警（实时告警、告警日志）</t>
        </is>
      </c>
      <c r="D11" s="20" t="n">
        <v>0.05</v>
      </c>
      <c r="E11" s="21">
        <f>D94</f>
        <v/>
      </c>
      <c r="F11" s="21">
        <f>E11*D11</f>
        <v/>
      </c>
    </row>
    <row r="12" customFormat="1" s="14">
      <c r="A12" s="22" t="inlineStr">
        <is>
          <t>G9</t>
        </is>
      </c>
      <c r="B12" s="24" t="inlineStr">
        <is>
          <t>事务处理量</t>
        </is>
      </c>
      <c r="C12" s="19" t="inlineStr">
        <is>
          <t>事务处理量衡量的是应用系统的分类。</t>
        </is>
      </c>
      <c r="D12" s="20" t="n">
        <v>0.05</v>
      </c>
      <c r="E12" s="21">
        <f>D102</f>
        <v/>
      </c>
      <c r="F12" s="21">
        <f>E12*D12</f>
        <v/>
      </c>
    </row>
    <row r="13" customFormat="1" s="14">
      <c r="A13" s="179" t="inlineStr">
        <is>
          <t xml:space="preserve">调整系数值：VAF = 0.65 + 0.14*∑Wi Fi =           </t>
        </is>
      </c>
      <c r="B13" s="157" t="n"/>
      <c r="C13" s="157" t="n"/>
      <c r="D13" s="157" t="n"/>
      <c r="E13" s="177" t="n"/>
      <c r="F13" s="180">
        <f>0.65+0.14*SUM(F4:F12)</f>
        <v/>
      </c>
    </row>
    <row r="14" customFormat="1" s="14">
      <c r="A14" s="29" t="n"/>
      <c r="B14" s="29" t="n"/>
      <c r="C14" s="29" t="n"/>
      <c r="D14" s="29" t="n"/>
      <c r="E14" s="29" t="n"/>
      <c r="F14" s="30" t="n"/>
    </row>
    <row r="15" customFormat="1" s="14">
      <c r="A15" s="29" t="n"/>
      <c r="B15" s="29" t="n"/>
      <c r="C15" s="29" t="n"/>
      <c r="D15" s="29" t="n"/>
      <c r="E15" s="29" t="n"/>
      <c r="F15" s="30" t="n"/>
    </row>
    <row r="16" customFormat="1" s="14">
      <c r="B16" s="29" t="n"/>
      <c r="C16" s="29" t="n"/>
    </row>
    <row r="17" customFormat="1" s="14">
      <c r="A17" s="31" t="inlineStr">
        <is>
          <t>序号</t>
        </is>
      </c>
      <c r="B17" s="32" t="inlineStr">
        <is>
          <t>系统类型</t>
        </is>
      </c>
      <c r="C17" s="33" t="inlineStr">
        <is>
          <t xml:space="preserve">系统性能 </t>
        </is>
      </c>
      <c r="D17" s="34" t="inlineStr">
        <is>
          <t>得分</t>
        </is>
      </c>
      <c r="F17" s="35" t="n"/>
      <c r="H17" s="35" t="n"/>
    </row>
    <row r="18" ht="28.9" customFormat="1" customHeight="1" s="14">
      <c r="A18" s="181" t="inlineStr">
        <is>
          <t>G1</t>
        </is>
      </c>
      <c r="B18" s="182" t="inlineStr">
        <is>
          <t>OLAP/OLTP</t>
        </is>
      </c>
      <c r="C18" s="38" t="n"/>
      <c r="D18" s="183" t="n">
        <v>2</v>
      </c>
      <c r="H18" s="40" t="n"/>
      <c r="I18" s="40" t="n"/>
      <c r="J18" s="40" t="n"/>
      <c r="K18" s="40" t="n"/>
      <c r="L18" s="40" t="n"/>
    </row>
    <row r="19" customFormat="1" s="14">
      <c r="A19" s="164" t="n"/>
      <c r="C19" s="43" t="n"/>
      <c r="D19" s="165" t="n"/>
      <c r="F19" s="35" t="n"/>
      <c r="G19" s="40" t="n"/>
      <c r="H19" s="45" t="n"/>
      <c r="I19" s="45" t="n"/>
      <c r="J19" s="45" t="n"/>
      <c r="K19" s="45" t="n"/>
      <c r="L19" s="45" t="n"/>
    </row>
    <row r="20" customFormat="1" s="14">
      <c r="A20" s="164" t="n"/>
      <c r="C20" s="43" t="n"/>
      <c r="D20" s="165" t="n"/>
      <c r="G20" s="40" t="n"/>
      <c r="H20" s="45" t="n"/>
      <c r="I20" s="45" t="n"/>
      <c r="J20" s="45" t="n"/>
      <c r="K20" s="45" t="n"/>
      <c r="L20" s="45" t="n"/>
    </row>
    <row r="21" customFormat="1" s="14">
      <c r="A21" s="164" t="n"/>
      <c r="C21" s="43" t="n"/>
      <c r="D21" s="165" t="n"/>
      <c r="G21" s="40" t="n"/>
      <c r="H21" s="45" t="n"/>
      <c r="I21" s="45" t="n"/>
      <c r="J21" s="45" t="n"/>
      <c r="K21" s="45" t="n"/>
      <c r="L21" s="45" t="n"/>
    </row>
    <row r="22" customFormat="1" s="14">
      <c r="A22" s="164" t="n"/>
      <c r="C22" s="43" t="n"/>
      <c r="D22" s="165" t="n"/>
      <c r="G22" s="40" t="n"/>
      <c r="H22" s="45" t="n"/>
      <c r="I22" s="45" t="n"/>
      <c r="J22" s="45" t="n"/>
      <c r="K22" s="45" t="n"/>
      <c r="L22" s="45" t="n"/>
    </row>
    <row r="23" ht="16.15" customFormat="1" customHeight="1" s="14">
      <c r="A23" s="164" t="n"/>
      <c r="C23" s="43" t="n"/>
      <c r="D23" s="165" t="n"/>
      <c r="E23" s="29" t="n"/>
      <c r="G23" s="40" t="n"/>
      <c r="H23" s="45" t="n"/>
      <c r="I23" s="45" t="n"/>
      <c r="J23" s="45" t="n"/>
      <c r="K23" s="45" t="n"/>
      <c r="L23" s="45" t="n"/>
    </row>
    <row r="24" customFormat="1" s="14">
      <c r="A24" s="164" t="n"/>
      <c r="C24" s="43" t="n"/>
      <c r="D24" s="165" t="n"/>
      <c r="E24" s="29" t="n"/>
      <c r="F24" s="30" t="n"/>
    </row>
    <row r="25" customFormat="1" s="14">
      <c r="A25" s="164" t="n"/>
      <c r="C25" s="43" t="n"/>
      <c r="D25" s="165" t="n"/>
      <c r="E25" s="29" t="n"/>
      <c r="F25" s="30" t="n"/>
    </row>
    <row r="26" customFormat="1" s="14">
      <c r="A26" s="164" t="n"/>
      <c r="C26" s="43" t="n"/>
      <c r="D26" s="165" t="n"/>
      <c r="E26" s="29" t="n"/>
      <c r="F26" s="30" t="n"/>
    </row>
    <row r="27" ht="22.9" customFormat="1" customHeight="1" s="14">
      <c r="A27" s="184" t="n"/>
      <c r="B27" s="157" t="n"/>
      <c r="C27" s="47" t="n"/>
      <c r="D27" s="177" t="n"/>
    </row>
    <row r="33" customFormat="1" s="13">
      <c r="A33" s="34" t="inlineStr">
        <is>
          <t>序号</t>
        </is>
      </c>
      <c r="B33" s="49" t="inlineStr">
        <is>
          <t>分值</t>
        </is>
      </c>
      <c r="C33" s="50" t="inlineStr">
        <is>
          <t>应用云化 确定影响度的描述</t>
        </is>
      </c>
      <c r="D33" s="34" t="inlineStr">
        <is>
          <t>得分</t>
        </is>
      </c>
    </row>
    <row r="34" customFormat="1" s="14">
      <c r="A34" s="51" t="inlineStr">
        <is>
          <t>G2</t>
        </is>
      </c>
      <c r="B34" s="21" t="n">
        <v>0</v>
      </c>
      <c r="C34" s="52" t="inlineStr">
        <is>
          <t>应用只能物理环境下部署</t>
        </is>
      </c>
      <c r="D34" s="51" t="n">
        <v>4</v>
      </c>
    </row>
    <row r="35" customFormat="1" s="14">
      <c r="A35" s="175" t="n"/>
      <c r="B35" s="21" t="n">
        <v>1</v>
      </c>
      <c r="C35" s="52" t="inlineStr">
        <is>
          <t>应用有状态，可在虚拟环境下部署</t>
        </is>
      </c>
      <c r="D35" s="175" t="n"/>
    </row>
    <row r="36" customFormat="1" s="14">
      <c r="A36" s="175" t="n"/>
      <c r="B36" s="21" t="n">
        <v>2</v>
      </c>
      <c r="C36" s="52" t="inlineStr">
        <is>
          <t>应用有状态，可分布式部署</t>
        </is>
      </c>
      <c r="D36" s="175" t="n"/>
    </row>
    <row r="37" customFormat="1" s="14">
      <c r="A37" s="175" t="n"/>
      <c r="B37" s="21" t="n">
        <v>3</v>
      </c>
      <c r="C37" s="52" t="inlineStr">
        <is>
          <t>应用无状态，可分布式部署且部分应用微服务化</t>
        </is>
      </c>
      <c r="D37" s="175" t="n"/>
    </row>
    <row r="38" customFormat="1" s="14">
      <c r="A38" s="175" t="n"/>
      <c r="B38" s="21" t="n">
        <v>4</v>
      </c>
      <c r="C38" s="52" t="inlineStr">
        <is>
          <t>应用无状态，可分布式部署且应用全微服务化</t>
        </is>
      </c>
      <c r="D38" s="175" t="n"/>
    </row>
    <row r="39" customFormat="1" s="14">
      <c r="A39" s="176" t="n"/>
      <c r="B39" s="21" t="n">
        <v>5</v>
      </c>
      <c r="C39" s="52" t="inlineStr">
        <is>
          <t>敏态应用全微服务化</t>
        </is>
      </c>
      <c r="D39" s="176" t="n"/>
    </row>
    <row r="41" customFormat="1" s="13">
      <c r="A41" s="34" t="inlineStr">
        <is>
          <t>序号</t>
        </is>
      </c>
      <c r="B41" s="49" t="inlineStr">
        <is>
          <t>权重</t>
        </is>
      </c>
      <c r="C41" s="50" t="inlineStr">
        <is>
          <t>易修改性 确定影响度的描述</t>
        </is>
      </c>
      <c r="D41" s="34" t="inlineStr">
        <is>
          <t>总计</t>
        </is>
      </c>
    </row>
    <row r="42" customFormat="1" s="14">
      <c r="A42" s="51" t="inlineStr">
        <is>
          <t>G3</t>
        </is>
      </c>
      <c r="B42" s="53" t="inlineStr">
        <is>
          <t>业务规则的修改</t>
        </is>
      </c>
      <c r="C42" s="160" t="n"/>
      <c r="D42" s="51" t="n">
        <v>1</v>
      </c>
    </row>
    <row r="43" customFormat="1" s="14">
      <c r="A43" s="175" t="n"/>
      <c r="B43" s="21" t="n">
        <v>1</v>
      </c>
      <c r="C43" s="52" t="inlineStr">
        <is>
          <t>业务规则参数可以用户自己修改（作为1 项计数）</t>
        </is>
      </c>
      <c r="D43" s="175" t="n"/>
    </row>
    <row r="44" customFormat="1" s="14">
      <c r="A44" s="175" t="n"/>
      <c r="B44" s="21" t="n">
        <v>2</v>
      </c>
      <c r="C44" s="52" t="inlineStr">
        <is>
          <t>用户能进行简单的业务规则自定义（作为2 项计数）</t>
        </is>
      </c>
      <c r="D44" s="175" t="n"/>
    </row>
    <row r="45" customFormat="1" s="14">
      <c r="A45" s="175" t="n"/>
      <c r="B45" s="21" t="n">
        <v>3</v>
      </c>
      <c r="C45" s="52" t="inlineStr">
        <is>
          <t>用户能进行复杂的业务规则自定义（作为3 项计数）</t>
        </is>
      </c>
      <c r="D45" s="176" t="n"/>
    </row>
    <row r="46" customFormat="1" s="14">
      <c r="A46" s="175" t="n"/>
      <c r="B46" s="53" t="inlineStr">
        <is>
          <t>业务流程的自动化</t>
        </is>
      </c>
      <c r="C46" s="160" t="n"/>
      <c r="D46" s="51" t="n">
        <v>1</v>
      </c>
    </row>
    <row r="47" customFormat="1" s="14">
      <c r="A47" s="175" t="n"/>
      <c r="B47" s="21" t="n">
        <v>1</v>
      </c>
      <c r="C47" s="52" t="inlineStr">
        <is>
          <t>业务流程可以借助流程引擎自动实现（作为1 项计数）</t>
        </is>
      </c>
      <c r="D47" s="175" t="n"/>
    </row>
    <row r="48" customFormat="1" s="14">
      <c r="A48" s="175" t="n"/>
      <c r="B48" s="21" t="n">
        <v>2</v>
      </c>
      <c r="C48" s="52" t="inlineStr">
        <is>
          <t>业务流程可自定义（作为2 项计数）</t>
        </is>
      </c>
      <c r="D48" s="176" t="n"/>
    </row>
    <row r="49" customFormat="1" s="13">
      <c r="A49" s="175" t="n"/>
      <c r="B49" s="53" t="inlineStr">
        <is>
          <t>展现形式的个性化</t>
        </is>
      </c>
      <c r="C49" s="160" t="n"/>
      <c r="D49" s="51" t="n">
        <v>1</v>
      </c>
    </row>
    <row r="50" customFormat="1" s="14">
      <c r="A50" s="175" t="n"/>
      <c r="B50" s="21" t="n">
        <v>1</v>
      </c>
      <c r="C50" s="52" t="inlineStr">
        <is>
          <t>可以自定义查询（作为1 项计数）</t>
        </is>
      </c>
      <c r="D50" s="175" t="n"/>
    </row>
    <row r="51" customFormat="1" s="14">
      <c r="A51" s="175" t="n"/>
      <c r="B51" s="21" t="n">
        <v>2</v>
      </c>
      <c r="C51" s="52" t="inlineStr">
        <is>
          <t>对查询结果或者报表以图形化展示（作为1 项计数）</t>
        </is>
      </c>
      <c r="D51" s="175" t="n"/>
    </row>
    <row r="52" customFormat="1" s="14">
      <c r="A52" s="175" t="n"/>
      <c r="B52" s="21" t="n">
        <v>3</v>
      </c>
      <c r="C52" s="52" t="inlineStr">
        <is>
          <t>对查询结果或者报表以图形化的自由拖拽，自定义要获取的数据及表现形式（作为2 项计数）</t>
        </is>
      </c>
      <c r="D52" s="176" t="n"/>
    </row>
    <row r="53" customFormat="1" s="14">
      <c r="A53" s="175" t="n"/>
      <c r="B53" s="58" t="inlineStr">
        <is>
          <t>分值</t>
        </is>
      </c>
      <c r="C53" s="50" t="inlineStr">
        <is>
          <t>确定影响度的描述</t>
        </is>
      </c>
      <c r="D53" s="34" t="inlineStr">
        <is>
          <t>得分</t>
        </is>
      </c>
    </row>
    <row r="54" customFormat="1" s="14">
      <c r="A54" s="175" t="n"/>
      <c r="B54" s="59" t="n">
        <v>0</v>
      </c>
      <c r="C54" s="52" t="inlineStr">
        <is>
          <t>以上所有中的一个及以下项目</t>
        </is>
      </c>
      <c r="D54" s="51" t="n">
        <v>2</v>
      </c>
    </row>
    <row r="55" customFormat="1" s="14">
      <c r="A55" s="175" t="n"/>
      <c r="B55" s="59" t="n">
        <v>1</v>
      </c>
      <c r="C55" s="52" t="inlineStr">
        <is>
          <t>以上所有中的两个项目</t>
        </is>
      </c>
      <c r="D55" s="175" t="n"/>
    </row>
    <row r="56" customFormat="1" s="14">
      <c r="A56" s="175" t="n"/>
      <c r="B56" s="59" t="n">
        <v>2</v>
      </c>
      <c r="C56" s="52" t="inlineStr">
        <is>
          <t>以上所有中的三个项目</t>
        </is>
      </c>
      <c r="D56" s="175" t="n"/>
    </row>
    <row r="57" customFormat="1" s="13">
      <c r="A57" s="175" t="n"/>
      <c r="B57" s="59" t="n">
        <v>3</v>
      </c>
      <c r="C57" s="52" t="inlineStr">
        <is>
          <t>以上所有中的四个或者五个项目</t>
        </is>
      </c>
      <c r="D57" s="175" t="n"/>
    </row>
    <row r="58" customFormat="1" s="14">
      <c r="A58" s="175" t="n"/>
      <c r="B58" s="59" t="n">
        <v>4</v>
      </c>
      <c r="C58" s="52" t="inlineStr">
        <is>
          <t>以上所有中的六个项目</t>
        </is>
      </c>
      <c r="D58" s="175" t="n"/>
    </row>
    <row r="59" customFormat="1" s="14">
      <c r="A59" s="176" t="n"/>
      <c r="B59" s="59" t="n">
        <v>5</v>
      </c>
      <c r="C59" s="52" t="inlineStr">
        <is>
          <t>以上所有中的七个项目</t>
        </is>
      </c>
      <c r="D59" s="176" t="n"/>
    </row>
    <row r="60" customFormat="1" s="14">
      <c r="A60" s="60" t="n"/>
      <c r="B60" s="61" t="n"/>
      <c r="C60" s="62" t="n"/>
      <c r="D60" s="60" t="n"/>
    </row>
    <row r="61" customFormat="1" s="14">
      <c r="A61" s="34" t="inlineStr">
        <is>
          <t>序号</t>
        </is>
      </c>
      <c r="B61" s="49" t="inlineStr">
        <is>
          <t>分值</t>
        </is>
      </c>
      <c r="C61" s="50" t="inlineStr">
        <is>
          <t xml:space="preserve"> 可靠性  确定影响度的描述</t>
        </is>
      </c>
      <c r="D61" s="34" t="inlineStr">
        <is>
          <t>得分</t>
        </is>
      </c>
    </row>
    <row r="62" customFormat="1" s="14">
      <c r="A62" s="51" t="inlineStr">
        <is>
          <t>G4</t>
        </is>
      </c>
      <c r="B62" s="59" t="n">
        <v>0</v>
      </c>
      <c r="C62" s="63" t="inlineStr">
        <is>
          <t>应用系统仅采用了数据备份措施或者无可靠性要求</t>
        </is>
      </c>
      <c r="D62" s="51" t="n">
        <v>2</v>
      </c>
    </row>
    <row r="63" customFormat="1" s="14">
      <c r="A63" s="175" t="n"/>
      <c r="B63" s="59" t="n">
        <v>1</v>
      </c>
      <c r="C63" s="63" t="inlineStr">
        <is>
          <t>应用系统采用了数据高可用措施</t>
        </is>
      </c>
      <c r="D63" s="175" t="n"/>
    </row>
    <row r="64" customFormat="1" s="14">
      <c r="A64" s="175" t="n"/>
      <c r="B64" s="59" t="n">
        <v>2</v>
      </c>
      <c r="C64" s="63" t="inlineStr">
        <is>
          <t>应用系统采用了临时应急系统措施</t>
        </is>
      </c>
      <c r="D64" s="175" t="n"/>
    </row>
    <row r="65" customFormat="1" s="14">
      <c r="A65" s="175" t="n"/>
      <c r="B65" s="59" t="n">
        <v>3</v>
      </c>
      <c r="C65" s="63" t="inlineStr">
        <is>
          <t>应用系统采用了关键业务容灾措施</t>
        </is>
      </c>
      <c r="D65" s="175" t="n"/>
    </row>
    <row r="66" customFormat="1" s="13">
      <c r="A66" s="176" t="n"/>
      <c r="B66" s="59" t="n">
        <v>5</v>
      </c>
      <c r="C66" s="63" t="inlineStr">
        <is>
          <t>应用系统采用了全业务容灾措施</t>
        </is>
      </c>
      <c r="D66" s="176" t="n"/>
    </row>
    <row r="68" customFormat="1" s="14">
      <c r="A68" s="34" t="inlineStr">
        <is>
          <t>序号</t>
        </is>
      </c>
      <c r="B68" s="49" t="inlineStr">
        <is>
          <t>分值</t>
        </is>
      </c>
      <c r="C68" s="50" t="inlineStr">
        <is>
          <t>用户体验 确定影响度的描述</t>
        </is>
      </c>
      <c r="D68" s="34" t="inlineStr">
        <is>
          <t>得分</t>
        </is>
      </c>
    </row>
    <row r="69" ht="24" customFormat="1" customHeight="1" s="14">
      <c r="A69" s="51" t="inlineStr">
        <is>
          <t>G5</t>
        </is>
      </c>
      <c r="B69" s="21" t="n">
        <v>0</v>
      </c>
      <c r="C69" s="63" t="inlineStr">
        <is>
          <t>有简单的输入、易用的快捷功能键设置，例如右键设置、下拉菜单、导航条等实现目标功能的最少操作数原则，鼠标最短距离移动原则</t>
        </is>
      </c>
      <c r="D69" s="51" t="n">
        <v>3</v>
      </c>
    </row>
    <row r="70" customFormat="1" s="14">
      <c r="A70" s="175" t="n"/>
      <c r="B70" s="21" t="n">
        <v>1</v>
      </c>
      <c r="C70" s="63" t="inlineStr">
        <is>
          <t>界面支持3个及以上浏览器，且可以适配多类显示设备（如PAD、PC、手机、大屏等）</t>
        </is>
      </c>
      <c r="D70" s="175" t="n"/>
    </row>
    <row r="71" customFormat="1" s="14">
      <c r="A71" s="175" t="n"/>
      <c r="B71" s="21" t="n">
        <v>2</v>
      </c>
      <c r="C71" s="63" t="inlineStr">
        <is>
          <t>工具集的开发和扩展；简单音频I/O</t>
        </is>
      </c>
      <c r="D71" s="175" t="n"/>
    </row>
    <row r="72" customFormat="1" s="14">
      <c r="A72" s="175" t="n"/>
      <c r="B72" s="21" t="n">
        <v>3</v>
      </c>
      <c r="C72" s="63" t="inlineStr">
        <is>
          <t>中等复杂度的2D/3D、动态图形</t>
        </is>
      </c>
      <c r="D72" s="175" t="n"/>
    </row>
    <row r="73" customFormat="1" s="14">
      <c r="A73" s="175" t="n"/>
      <c r="B73" s="21" t="n">
        <v>4</v>
      </c>
      <c r="C73" s="63" t="inlineStr">
        <is>
          <t>自然语言的界面</t>
        </is>
      </c>
      <c r="D73" s="175" t="n"/>
    </row>
    <row r="74" customFormat="1" s="13">
      <c r="A74" s="176" t="n"/>
      <c r="B74" s="21" t="n">
        <v>5</v>
      </c>
      <c r="C74" s="63" t="inlineStr">
        <is>
          <t>虚拟现实的界面</t>
        </is>
      </c>
      <c r="D74" s="176" t="n"/>
    </row>
    <row r="77" customFormat="1" s="14">
      <c r="A77" s="34" t="inlineStr">
        <is>
          <t>序号</t>
        </is>
      </c>
      <c r="B77" s="49" t="inlineStr">
        <is>
          <t>分值</t>
        </is>
      </c>
      <c r="C77" s="50" t="inlineStr">
        <is>
          <t>架构合理性 确定影响度的描述</t>
        </is>
      </c>
      <c r="D77" s="34" t="inlineStr">
        <is>
          <t>得分</t>
        </is>
      </c>
    </row>
    <row r="78" customFormat="1" s="13">
      <c r="A78" s="51" t="inlineStr">
        <is>
          <t>G6</t>
        </is>
      </c>
      <c r="B78" s="59" t="n">
        <v>0</v>
      </c>
      <c r="C78" s="63" t="inlineStr">
        <is>
          <t>功能模块紧耦合；或者功能模块松耦合，但采用厂家私有协议，接口不开放</t>
        </is>
      </c>
      <c r="D78" s="51" t="n">
        <v>3</v>
      </c>
      <c r="E78" s="64" t="inlineStr">
        <is>
          <t>仅有中台性质系统为开放程度高</t>
        </is>
      </c>
    </row>
    <row r="79" customFormat="1" s="14">
      <c r="A79" s="175" t="n"/>
      <c r="B79" s="59" t="n">
        <v>1</v>
      </c>
      <c r="C79" s="63" t="inlineStr">
        <is>
          <t>功能模块松耦合，采用标准协议，接口不开放</t>
        </is>
      </c>
      <c r="D79" s="175" t="n"/>
    </row>
    <row r="80" customFormat="1" s="14">
      <c r="A80" s="175" t="n"/>
      <c r="B80" s="59" t="n">
        <v>2</v>
      </c>
      <c r="C80" s="63" t="inlineStr">
        <is>
          <t>功能模块松耦合，采用厂家私有协议，接口开放</t>
        </is>
      </c>
      <c r="D80" s="175" t="n"/>
    </row>
    <row r="81" customFormat="1" s="14">
      <c r="A81" s="175" t="n"/>
      <c r="B81" s="59" t="n">
        <v>3</v>
      </c>
      <c r="C81" s="63" t="inlineStr">
        <is>
          <t>功能模块松耦合，采用标准协议，接口开放</t>
        </is>
      </c>
      <c r="D81" s="175" t="n"/>
    </row>
    <row r="82" customFormat="1" s="14">
      <c r="A82" s="176" t="n"/>
      <c r="B82" s="59" t="n">
        <v>5</v>
      </c>
      <c r="C82" s="63" t="inlineStr">
        <is>
          <t>功能模块松耦合，采用标准协议，接口开放程度高</t>
        </is>
      </c>
      <c r="D82" s="176" t="n"/>
    </row>
    <row r="85" customFormat="1" s="13">
      <c r="A85" s="34" t="inlineStr">
        <is>
          <t>序号</t>
        </is>
      </c>
      <c r="B85" s="49" t="inlineStr">
        <is>
          <t>分值</t>
        </is>
      </c>
      <c r="C85" s="50" t="inlineStr">
        <is>
          <t>处理复杂性 确定影响度的描述</t>
        </is>
      </c>
      <c r="D85" s="34" t="inlineStr">
        <is>
          <t>得分</t>
        </is>
      </c>
    </row>
    <row r="86" customFormat="1" s="14">
      <c r="A86" s="51" t="inlineStr">
        <is>
          <t>G7</t>
        </is>
      </c>
      <c r="B86" s="21" t="n">
        <v>0</v>
      </c>
      <c r="C86" s="63" t="inlineStr">
        <is>
          <t>使用中等级别或以下级别的表达式计算</t>
        </is>
      </c>
      <c r="D86" s="51" t="n">
        <v>2</v>
      </c>
    </row>
    <row r="87" customFormat="1" s="14">
      <c r="A87" s="175" t="n"/>
      <c r="B87" s="21" t="n">
        <v>1</v>
      </c>
      <c r="C87" s="63" t="inlineStr">
        <is>
          <t>使用标准的数学和统计程序；基本的矩阵/向量运算</t>
        </is>
      </c>
      <c r="D87" s="175" t="n"/>
    </row>
    <row r="88" customFormat="1" s="14">
      <c r="A88" s="175" t="n"/>
      <c r="B88" s="21" t="n">
        <v>2</v>
      </c>
      <c r="C88" s="63" t="inlineStr">
        <is>
          <t>基本的数值分析：多变量插值、常微分方程；后台使用数据分析的截断舍位</t>
        </is>
      </c>
      <c r="D88" s="175" t="n"/>
    </row>
    <row r="89" customFormat="1" s="14">
      <c r="A89" s="175" t="n"/>
      <c r="B89" s="21" t="n">
        <v>3</v>
      </c>
      <c r="C89" s="63" t="inlineStr">
        <is>
          <t>困难但结构化的数值分析：降秩矩阵方程、偏微分方程；简单并行分析</t>
        </is>
      </c>
      <c r="D89" s="175" t="n"/>
    </row>
    <row r="90" customFormat="1" s="14">
      <c r="A90" s="175" t="n"/>
      <c r="B90" s="21" t="n">
        <v>4</v>
      </c>
      <c r="C90" s="63" t="inlineStr">
        <is>
          <t>复杂的并行分析</t>
        </is>
      </c>
      <c r="D90" s="175" t="n"/>
    </row>
    <row r="91" customFormat="1" s="14">
      <c r="A91" s="176" t="n"/>
      <c r="B91" s="21" t="n">
        <v>5</v>
      </c>
      <c r="C91" s="63" t="inlineStr">
        <is>
          <t>困难且非结构化的数值分布：对有噪声的随机数据进行高精确分析</t>
        </is>
      </c>
      <c r="D91" s="176" t="n"/>
    </row>
    <row r="93" customFormat="1" s="13">
      <c r="A93" s="34" t="inlineStr">
        <is>
          <t>序号</t>
        </is>
      </c>
      <c r="B93" s="49" t="inlineStr">
        <is>
          <t>分值</t>
        </is>
      </c>
      <c r="C93" s="50" t="inlineStr">
        <is>
          <t>安全性 确定影响度的描述</t>
        </is>
      </c>
      <c r="D93" s="34" t="inlineStr">
        <is>
          <t>得分</t>
        </is>
      </c>
    </row>
    <row r="94" customFormat="1" s="14">
      <c r="A94" s="51" t="inlineStr">
        <is>
          <t>G8</t>
        </is>
      </c>
      <c r="B94" s="21" t="n">
        <v>0</v>
      </c>
      <c r="C94" s="63" t="inlineStr">
        <is>
          <t>应用系统仅采取了其中1种安全性举措或者没有采取任何安全性举措</t>
        </is>
      </c>
      <c r="D94" s="51" t="n">
        <v>4</v>
      </c>
    </row>
    <row r="95" customFormat="1" s="14">
      <c r="A95" s="175" t="n"/>
      <c r="B95" s="21" t="n">
        <v>1</v>
      </c>
      <c r="C95" s="63" t="inlineStr">
        <is>
          <t>应用系统采取了其中2种安全性举措</t>
        </is>
      </c>
      <c r="D95" s="175" t="n"/>
    </row>
    <row r="96" customFormat="1" s="14">
      <c r="A96" s="175" t="n"/>
      <c r="B96" s="21" t="n">
        <v>2</v>
      </c>
      <c r="C96" s="63" t="inlineStr">
        <is>
          <t>应用系统采取了其中3种安全性举措</t>
        </is>
      </c>
      <c r="D96" s="175" t="n"/>
    </row>
    <row r="97" customFormat="1" s="14">
      <c r="A97" s="175" t="n"/>
      <c r="B97" s="21" t="n">
        <v>3</v>
      </c>
      <c r="C97" s="63" t="inlineStr">
        <is>
          <t>应用系统采取了其中4种安全性举措</t>
        </is>
      </c>
      <c r="D97" s="175" t="n"/>
    </row>
    <row r="98" customFormat="1" s="14">
      <c r="A98" s="175" t="n"/>
      <c r="B98" s="21" t="n">
        <v>4</v>
      </c>
      <c r="C98" s="63" t="inlineStr">
        <is>
          <t>应用系统采取了除了上述4种安全性举措之外，还有其他的1种安全性举措</t>
        </is>
      </c>
      <c r="D98" s="175" t="n"/>
    </row>
    <row r="99" customFormat="1" s="14">
      <c r="A99" s="176" t="n"/>
      <c r="B99" s="21" t="n">
        <v>5</v>
      </c>
      <c r="C99" s="63" t="inlineStr">
        <is>
          <t>应用系统采取了除了上述4种安全性举措之外，还有其他的至少2种安全性举措</t>
        </is>
      </c>
      <c r="D99" s="176" t="n"/>
    </row>
    <row r="101" customFormat="1" s="13">
      <c r="A101" s="34" t="inlineStr">
        <is>
          <t>序号</t>
        </is>
      </c>
      <c r="B101" s="49" t="inlineStr">
        <is>
          <t>分值</t>
        </is>
      </c>
      <c r="C101" s="50" t="inlineStr">
        <is>
          <t>事务处理量 确定影响度的描述</t>
        </is>
      </c>
      <c r="D101" s="34" t="inlineStr">
        <is>
          <t>得分</t>
        </is>
      </c>
    </row>
    <row r="102" customFormat="1" s="14">
      <c r="A102" s="51" t="inlineStr">
        <is>
          <t>G9</t>
        </is>
      </c>
      <c r="B102" s="21" t="n">
        <v>1</v>
      </c>
      <c r="C102" s="63" t="inlineStr">
        <is>
          <t>较低，如管理信息类、资源管理类、监控类以及主要采用智慧中台封装前端能力的系统等</t>
        </is>
      </c>
      <c r="D102" s="51" t="n">
        <v>1</v>
      </c>
    </row>
    <row r="103" ht="24" customFormat="1" customHeight="1" s="14">
      <c r="A103" s="175" t="n"/>
      <c r="B103" s="21" t="n">
        <v>2</v>
      </c>
      <c r="C103" s="63" t="inlineStr">
        <is>
          <t>一般，如：大数据平台类、业务平台、网关（如4A等）、电子渠道、省公司OA、数据中台、技术中台、能力运营中心、能力开放平台等</t>
        </is>
      </c>
      <c r="D103" s="175" t="n"/>
    </row>
    <row r="104" customFormat="1" s="14">
      <c r="A104" s="176" t="n"/>
      <c r="B104" s="21" t="n">
        <v>3</v>
      </c>
      <c r="C104" s="63" t="inlineStr">
        <is>
          <t>高，如：BOSS/CRM（含服务开通）、业务中台、清帐单查询等</t>
        </is>
      </c>
      <c r="D104" s="176" t="n"/>
    </row>
  </sheetData>
  <mergeCells count="32">
    <mergeCell ref="D18:D27"/>
    <mergeCell ref="E78:E82"/>
    <mergeCell ref="D62:D66"/>
    <mergeCell ref="D69:D74"/>
    <mergeCell ref="B46:C46"/>
    <mergeCell ref="D34:D39"/>
    <mergeCell ref="D102:D104"/>
    <mergeCell ref="D49:D52"/>
    <mergeCell ref="A94:A99"/>
    <mergeCell ref="A2:F2"/>
    <mergeCell ref="A102:A104"/>
    <mergeCell ref="A62:A66"/>
    <mergeCell ref="A42:A59"/>
    <mergeCell ref="A69:A74"/>
    <mergeCell ref="D86:D91"/>
    <mergeCell ref="B42:C42"/>
    <mergeCell ref="A3:B3"/>
    <mergeCell ref="B18:B27"/>
    <mergeCell ref="H17:L17"/>
    <mergeCell ref="A86:A91"/>
    <mergeCell ref="F19:F23"/>
    <mergeCell ref="D46:D48"/>
    <mergeCell ref="B49:C49"/>
    <mergeCell ref="A18:A27"/>
    <mergeCell ref="A78:A82"/>
    <mergeCell ref="D54:D59"/>
    <mergeCell ref="D42:D45"/>
    <mergeCell ref="A34:A39"/>
    <mergeCell ref="A13:E13"/>
    <mergeCell ref="D78:D82"/>
    <mergeCell ref="D94:D99"/>
    <mergeCell ref="F17:G18"/>
  </mergeCells>
  <pageMargins left="0.75" right="0.75" top="1" bottom="1" header="0.5" footer="0.5"/>
  <pageSetup orientation="portrait" paperSize="9" horizontalDpi="600" verticalDpi="600"/>
</worksheet>
</file>

<file path=xl/worksheets/sheet4.xml><?xml version="1.0" encoding="utf-8"?>
<worksheet xmlns="http://schemas.openxmlformats.org/spreadsheetml/2006/main">
  <sheetPr>
    <outlinePr summaryBelow="1" summaryRight="1"/>
    <pageSetUpPr/>
  </sheetPr>
  <dimension ref="A1:A498"/>
  <sheetViews>
    <sheetView workbookViewId="0">
      <selection activeCell="D40" sqref="D40"/>
    </sheetView>
  </sheetViews>
  <sheetFormatPr baseColWidth="8" defaultColWidth="9" defaultRowHeight="15.6"/>
  <cols>
    <col width="33.125" customWidth="1" style="112" min="1" max="1"/>
  </cols>
  <sheetData>
    <row r="1">
      <c r="A1" s="1" t="inlineStr">
        <is>
          <t>功能过程</t>
        </is>
      </c>
    </row>
    <row r="2">
      <c r="A2" s="2" t="inlineStr">
        <is>
          <t>CPE文档查询</t>
        </is>
      </c>
    </row>
    <row r="3">
      <c r="A3" s="2" t="inlineStr">
        <is>
          <t>CPE文档创建</t>
        </is>
      </c>
    </row>
    <row r="4">
      <c r="A4" s="2" t="inlineStr">
        <is>
          <t>CPE文档编辑</t>
        </is>
      </c>
    </row>
    <row r="5">
      <c r="A5" s="2" t="inlineStr">
        <is>
          <t>CPE文档删除</t>
        </is>
      </c>
    </row>
    <row r="6">
      <c r="A6" s="2" t="inlineStr">
        <is>
          <t>CPE文档详情查询</t>
        </is>
      </c>
    </row>
    <row r="7">
      <c r="A7" s="2" t="inlineStr">
        <is>
          <t>CPE文档导入</t>
        </is>
      </c>
    </row>
    <row r="8">
      <c r="A8" s="2" t="inlineStr">
        <is>
          <t>CPE文档导出</t>
        </is>
      </c>
    </row>
    <row r="9">
      <c r="A9" s="2" t="inlineStr">
        <is>
          <t>CPE数据格式校验</t>
        </is>
      </c>
    </row>
    <row r="10">
      <c r="A10" s="2" t="inlineStr">
        <is>
          <t>CISA VEX文档下载</t>
        </is>
      </c>
    </row>
    <row r="11">
      <c r="A11" s="2" t="inlineStr">
        <is>
          <t>CISA VEX文档创建</t>
        </is>
      </c>
    </row>
    <row r="12">
      <c r="A12" s="2" t="inlineStr">
        <is>
          <t>CISA VEX文档删除</t>
        </is>
      </c>
    </row>
    <row r="13">
      <c r="A13" s="2" t="inlineStr">
        <is>
          <t>CISA VEX文档导入</t>
        </is>
      </c>
    </row>
    <row r="14">
      <c r="A14" s="2" t="inlineStr">
        <is>
          <t>CISA VEX文档导出</t>
        </is>
      </c>
    </row>
    <row r="15">
      <c r="A15" s="2" t="inlineStr">
        <is>
          <t>CISA VEX文档查看</t>
        </is>
      </c>
    </row>
    <row r="16">
      <c r="A16" s="2" t="inlineStr">
        <is>
          <t>CISA VEX文档编辑</t>
        </is>
      </c>
    </row>
    <row r="17">
      <c r="A17" s="2" t="inlineStr">
        <is>
          <t>CISA单个VEX文档关联产品</t>
        </is>
      </c>
    </row>
    <row r="18">
      <c r="A18" s="2" t="inlineStr">
        <is>
          <t>修改基础模板</t>
        </is>
      </c>
    </row>
    <row r="19">
      <c r="A19" s="2" t="inlineStr">
        <is>
          <t>删除基础模板</t>
        </is>
      </c>
    </row>
    <row r="20">
      <c r="A20" s="2" t="inlineStr">
        <is>
          <t>导入基础模板</t>
        </is>
      </c>
    </row>
    <row r="21">
      <c r="A21" s="2" t="inlineStr">
        <is>
          <t>导出基础模板</t>
        </is>
      </c>
    </row>
    <row r="22">
      <c r="A22" s="2" t="inlineStr">
        <is>
          <t>查询基础模板</t>
        </is>
      </c>
    </row>
    <row r="23">
      <c r="A23" s="2" t="inlineStr">
        <is>
          <t>添加基础模板</t>
        </is>
      </c>
    </row>
    <row r="24">
      <c r="A24" s="2" t="inlineStr">
        <is>
          <t>问题文档拦截</t>
        </is>
      </c>
    </row>
    <row r="25">
      <c r="A25" s="3" t="inlineStr">
        <is>
          <t>已知风险资产组件查询</t>
        </is>
      </c>
    </row>
    <row r="26">
      <c r="A26" s="2" t="inlineStr">
        <is>
          <t>已知风险资产组件新增</t>
        </is>
      </c>
    </row>
    <row r="27">
      <c r="A27" s="2" t="inlineStr">
        <is>
          <t>已知风险资产组件删除</t>
        </is>
      </c>
    </row>
    <row r="28">
      <c r="A28" s="2" t="inlineStr">
        <is>
          <t>已知风险资产组件修改</t>
        </is>
      </c>
    </row>
    <row r="29">
      <c r="A29" s="4" t="inlineStr">
        <is>
          <t>整理资产指纹、CPE库、VEX文档数据(查询)</t>
        </is>
      </c>
    </row>
    <row r="30">
      <c r="A30" s="2" t="inlineStr">
        <is>
          <t>风险资产组件评分计算</t>
        </is>
      </c>
    </row>
    <row r="31">
      <c r="A31" s="2" t="inlineStr">
        <is>
          <t>风险资产组件评分手动调整</t>
        </is>
      </c>
    </row>
    <row r="32">
      <c r="A32" s="2" t="inlineStr">
        <is>
          <t>风险资产组件评分规则配置</t>
        </is>
      </c>
    </row>
    <row r="33">
      <c r="A33" s="2" t="inlineStr">
        <is>
          <t>未上传弱口令筛选</t>
        </is>
      </c>
    </row>
    <row r="34">
      <c r="A34" s="2" t="inlineStr">
        <is>
          <t>回传弱口令</t>
        </is>
      </c>
    </row>
    <row r="35">
      <c r="A35" s="2" t="inlineStr">
        <is>
          <t>创建预警专项任务</t>
        </is>
      </c>
    </row>
    <row r="36">
      <c r="A36" s="2" t="inlineStr">
        <is>
          <t>查看预警任务结果</t>
        </is>
      </c>
    </row>
    <row r="37">
      <c r="A37" s="5" t="inlineStr">
        <is>
          <t>查看修复决策策略</t>
        </is>
      </c>
    </row>
    <row r="38">
      <c r="A38" s="5" t="inlineStr">
        <is>
          <t>修改修复决策策略</t>
        </is>
      </c>
    </row>
    <row r="39">
      <c r="A39" s="5" t="inlineStr">
        <is>
          <t>删除修复决策策略</t>
        </is>
      </c>
    </row>
    <row r="40">
      <c r="A40" s="2" t="inlineStr">
        <is>
          <t>采集漏洞指纹</t>
        </is>
      </c>
    </row>
    <row r="41">
      <c r="A41" s="2" t="inlineStr">
        <is>
          <t>查看漏洞指纹</t>
        </is>
      </c>
    </row>
    <row r="42">
      <c r="A42" s="2" t="inlineStr">
        <is>
          <t>上传VEX文档</t>
        </is>
      </c>
    </row>
    <row r="43">
      <c r="A43" s="2" t="inlineStr">
        <is>
          <t>接收VEX文档</t>
        </is>
      </c>
    </row>
    <row r="44">
      <c r="A44" s="3" t="inlineStr">
        <is>
          <t>查看VEX文档信息</t>
        </is>
      </c>
    </row>
    <row r="45">
      <c r="A45" s="6" t="inlineStr">
        <is>
          <t>显示VEX文档信息</t>
        </is>
      </c>
    </row>
    <row r="46">
      <c r="A46" s="2" t="inlineStr">
        <is>
          <t>漏洞修复状态查询</t>
        </is>
      </c>
    </row>
    <row r="47">
      <c r="A47" s="2" t="inlineStr">
        <is>
          <t>漏洞修复状态更新</t>
        </is>
      </c>
    </row>
    <row r="48">
      <c r="A48" s="2" t="inlineStr">
        <is>
          <t>漏洞修复状态同步至资产管理平台</t>
        </is>
      </c>
    </row>
    <row r="49">
      <c r="A49" s="2" t="inlineStr">
        <is>
          <t>漏洞修复状态同步结果查询</t>
        </is>
      </c>
    </row>
    <row r="50">
      <c r="A50" s="2" t="inlineStr">
        <is>
          <t>数据一致性审批查询</t>
        </is>
      </c>
    </row>
    <row r="51">
      <c r="A51" s="2" t="inlineStr">
        <is>
          <t>数据一致性审批创建</t>
        </is>
      </c>
    </row>
    <row r="52">
      <c r="A52" s="2" t="inlineStr">
        <is>
          <t>数据一致性审批启动</t>
        </is>
      </c>
    </row>
    <row r="53">
      <c r="A53" s="2" t="inlineStr">
        <is>
          <t>数据一致性审批结果收集</t>
        </is>
      </c>
    </row>
    <row r="54">
      <c r="A54" s="3" t="inlineStr">
        <is>
          <t>保存新增的POC插件</t>
        </is>
      </c>
    </row>
    <row r="55">
      <c r="A55" s="3" t="inlineStr">
        <is>
          <t>新增的概念验证插件提交功能</t>
        </is>
      </c>
    </row>
    <row r="56">
      <c r="A56" s="3" t="inlineStr">
        <is>
          <t>提交新增的POC插件</t>
        </is>
      </c>
    </row>
    <row r="57">
      <c r="A57" s="2" t="inlineStr">
        <is>
          <t>上传POC插件文件到服务器</t>
        </is>
      </c>
    </row>
    <row r="58">
      <c r="A58" s="2" t="inlineStr">
        <is>
          <t>编辑未审核的POC插件</t>
        </is>
      </c>
    </row>
    <row r="59">
      <c r="A59" s="3" t="inlineStr">
        <is>
          <t>查看未审核的POC插件关联漏洞信息</t>
        </is>
      </c>
    </row>
    <row r="60">
      <c r="A60" s="2" t="inlineStr">
        <is>
          <t>查看POC插件的的生命周期记录</t>
        </is>
      </c>
    </row>
    <row r="61">
      <c r="A61" s="2" t="inlineStr">
        <is>
          <t>校验POC插件数据完整性</t>
        </is>
      </c>
    </row>
    <row r="62">
      <c r="A62" s="2" t="inlineStr">
        <is>
          <t>下载POC插件数据到本地</t>
        </is>
      </c>
    </row>
    <row r="63">
      <c r="A63" s="2" t="inlineStr">
        <is>
          <t>删除POC插件数据</t>
        </is>
      </c>
    </row>
    <row r="64">
      <c r="A64" s="2" t="inlineStr">
        <is>
          <t>新增插件模板信息</t>
        </is>
      </c>
    </row>
    <row r="65">
      <c r="A65" s="2" t="inlineStr">
        <is>
          <t>修改插件模板信息</t>
        </is>
      </c>
    </row>
    <row r="66">
      <c r="A66" s="2" t="inlineStr">
        <is>
          <t>下载插件模板信息</t>
        </is>
      </c>
    </row>
    <row r="67">
      <c r="A67" s="2" t="inlineStr">
        <is>
          <t>标记过时插件模板</t>
        </is>
      </c>
    </row>
    <row r="68">
      <c r="A68" s="2" t="inlineStr">
        <is>
          <t>删除过时插件模板</t>
        </is>
      </c>
    </row>
    <row r="69">
      <c r="A69" s="2" t="inlineStr">
        <is>
          <t>查看插件信息及其关联漏洞信息</t>
        </is>
      </c>
    </row>
    <row r="70">
      <c r="A70" s="7" t="inlineStr">
        <is>
          <t>插件功能有效性验证</t>
        </is>
      </c>
    </row>
    <row r="71">
      <c r="A71" s="8" t="inlineStr">
        <is>
          <t>插件基础安全性</t>
        </is>
      </c>
    </row>
    <row r="72">
      <c r="A72" s="2" t="inlineStr">
        <is>
          <t>提交到部侧漏管平台审核</t>
        </is>
      </c>
    </row>
    <row r="73">
      <c r="A73" s="4" t="inlineStr">
        <is>
          <t>插件等级评定</t>
        </is>
      </c>
    </row>
    <row r="74">
      <c r="A74" s="4" t="inlineStr">
        <is>
          <t>综合判定插件状态</t>
        </is>
      </c>
    </row>
    <row r="75">
      <c r="A75" s="4" t="inlineStr">
        <is>
          <t>部侧调用企业测接口同步审核结果</t>
        </is>
      </c>
    </row>
    <row r="76">
      <c r="A76" s="7" t="inlineStr">
        <is>
          <t>插件上线 / 归档</t>
        </is>
      </c>
    </row>
    <row r="77">
      <c r="A77" s="2" t="inlineStr">
        <is>
          <t>本地引擎离线导入插件</t>
        </is>
      </c>
    </row>
    <row r="78">
      <c r="A78" s="2" t="inlineStr">
        <is>
          <t>输入输出数据参数管理</t>
        </is>
      </c>
    </row>
    <row r="79">
      <c r="A79" s="3" t="inlineStr">
        <is>
          <t>用户提交POC任务</t>
        </is>
      </c>
    </row>
    <row r="80">
      <c r="A80" s="3" t="inlineStr">
        <is>
          <t>创建任务界面查询POC插件</t>
        </is>
      </c>
    </row>
    <row r="81">
      <c r="A81" s="2" t="inlineStr">
        <is>
          <t>查询产品漏洞</t>
        </is>
      </c>
    </row>
    <row r="82">
      <c r="A82" s="2" t="inlineStr">
        <is>
          <t>询选择任务接收人</t>
        </is>
      </c>
    </row>
    <row r="83">
      <c r="A83" s="2" t="inlineStr">
        <is>
          <t>查询选择资产范围</t>
        </is>
      </c>
    </row>
    <row r="84">
      <c r="A84" s="2" t="inlineStr">
        <is>
          <t>查询选择POC插件</t>
        </is>
      </c>
    </row>
    <row r="85">
      <c r="A85" s="2" t="inlineStr">
        <is>
          <t>设置扫描序列</t>
        </is>
      </c>
    </row>
    <row r="86">
      <c r="A86" s="2" t="inlineStr">
        <is>
          <t>任务追踪页面查看异常信息</t>
        </is>
      </c>
    </row>
    <row r="87">
      <c r="A87" s="2" t="inlineStr">
        <is>
          <t>任务追踪页面查看资产信息</t>
        </is>
      </c>
    </row>
    <row r="88">
      <c r="A88" s="2" t="inlineStr">
        <is>
          <t>任务追踪页面查看漏洞信息</t>
        </is>
      </c>
    </row>
    <row r="89">
      <c r="A89" s="2" t="inlineStr">
        <is>
          <t>任务追踪页面查看引擎信息</t>
        </is>
      </c>
    </row>
    <row r="90">
      <c r="A90" s="2" t="inlineStr">
        <is>
          <t>任务追踪页面导出任务结果</t>
        </is>
      </c>
    </row>
    <row r="91">
      <c r="A91" s="2" t="inlineStr">
        <is>
          <t>任务追踪页面查看任务全貌</t>
        </is>
      </c>
    </row>
    <row r="92">
      <c r="A92" s="4" t="inlineStr">
        <is>
          <t>导入POC验证结果文件</t>
        </is>
      </c>
    </row>
    <row r="93">
      <c r="A93" s="4" t="inlineStr">
        <is>
          <t>查询报告任务列表</t>
        </is>
      </c>
    </row>
    <row r="94">
      <c r="A94" s="4" t="inlineStr">
        <is>
          <t>查询报告模板</t>
        </is>
      </c>
    </row>
    <row r="95">
      <c r="A95" s="4" t="inlineStr">
        <is>
          <t>配置模板驱动</t>
        </is>
      </c>
    </row>
    <row r="96">
      <c r="A96" s="4" t="inlineStr">
        <is>
          <t>查看POC插件扫描任务报告列表</t>
        </is>
      </c>
    </row>
    <row r="97">
      <c r="A97" s="4" t="inlineStr">
        <is>
          <t>提交扫描报告生成请求</t>
        </is>
      </c>
    </row>
    <row r="98">
      <c r="A98" s="4" t="inlineStr">
        <is>
          <t>删除报告请求记录</t>
        </is>
      </c>
    </row>
    <row r="99">
      <c r="A99" s="4" t="inlineStr">
        <is>
          <t>查询报告任务明细</t>
        </is>
      </c>
    </row>
    <row r="100">
      <c r="A100" s="4" t="inlineStr">
        <is>
          <t>下载已生成的POC报告</t>
        </is>
      </c>
    </row>
    <row r="101">
      <c r="A101" s="4" t="inlineStr">
        <is>
          <t>批量压缩已生成的报告</t>
        </is>
      </c>
    </row>
    <row r="102">
      <c r="A102" s="4" t="inlineStr">
        <is>
          <t>查询压缩报告列表</t>
        </is>
      </c>
    </row>
    <row r="103">
      <c r="A103" s="4" t="inlineStr">
        <is>
          <t>批量删除已压缩报告</t>
        </is>
      </c>
    </row>
    <row r="104">
      <c r="A104" s="4" t="inlineStr">
        <is>
          <t>查询压缩任务明细</t>
        </is>
      </c>
    </row>
    <row r="105">
      <c r="A105" s="4" t="inlineStr">
        <is>
          <t>下载已压缩报告</t>
        </is>
      </c>
    </row>
    <row r="106">
      <c r="A106" s="4" t="inlineStr">
        <is>
          <t>下载压缩报告中单个报告</t>
        </is>
      </c>
    </row>
    <row r="107">
      <c r="A107" s="2" t="inlineStr">
        <is>
          <t>查看检测插件状态</t>
        </is>
      </c>
    </row>
    <row r="108">
      <c r="A108" s="2" t="inlineStr">
        <is>
          <t>查看POC插件类型视图</t>
        </is>
      </c>
    </row>
    <row r="109">
      <c r="A109" s="2" t="inlineStr">
        <is>
          <t>查看漏洞类型统计视图</t>
        </is>
      </c>
    </row>
    <row r="110">
      <c r="A110" s="2" t="inlineStr">
        <is>
          <t>查看插件等级统计视图</t>
        </is>
      </c>
    </row>
    <row r="111">
      <c r="A111" s="2" t="inlineStr">
        <is>
          <t>查看漏洞时间趋势统计视图</t>
        </is>
      </c>
    </row>
    <row r="112">
      <c r="A112" s="2" t="inlineStr">
        <is>
          <t>查看POC检测结果IP风险率</t>
        </is>
      </c>
    </row>
    <row r="113">
      <c r="A113" s="3" t="inlineStr">
        <is>
          <t>查看POC检测结果端口风险率</t>
        </is>
      </c>
    </row>
    <row r="114">
      <c r="A114" s="2" t="inlineStr">
        <is>
          <t>查看POC检测结果协议风险率</t>
        </is>
      </c>
    </row>
    <row r="115">
      <c r="A115" s="2" t="inlineStr">
        <is>
          <t>查看部企接口列表</t>
        </is>
      </c>
    </row>
    <row r="116">
      <c r="A116" s="2" t="inlineStr">
        <is>
          <t>查看部企接口调用记录</t>
        </is>
      </c>
    </row>
    <row r="117">
      <c r="A117" s="2" t="inlineStr">
        <is>
          <t>查看部企接口调用内容</t>
        </is>
      </c>
    </row>
    <row r="118">
      <c r="A118" s="2" t="inlineStr">
        <is>
          <t>修改部企接口配置信息</t>
        </is>
      </c>
    </row>
    <row r="119">
      <c r="A119" s="8" t="inlineStr">
        <is>
          <t>查看平台接口列表</t>
        </is>
      </c>
    </row>
    <row r="120">
      <c r="A120" s="4" t="inlineStr">
        <is>
          <t>查看平台接口调用记录</t>
        </is>
      </c>
    </row>
    <row r="121">
      <c r="A121" s="4" t="inlineStr">
        <is>
          <t>查看平台调用接口过程</t>
        </is>
      </c>
    </row>
    <row r="122">
      <c r="A122" s="4" t="inlineStr">
        <is>
          <t>修改平台接口配置</t>
        </is>
      </c>
    </row>
    <row r="123">
      <c r="A123" s="4" t="inlineStr">
        <is>
          <t>查看服务内部接口列表</t>
        </is>
      </c>
    </row>
    <row r="124">
      <c r="A124" s="4" t="inlineStr">
        <is>
          <t>查看服务内部接口配置内容</t>
        </is>
      </c>
    </row>
    <row r="125">
      <c r="A125" s="4" t="inlineStr">
        <is>
          <t>查看服务内部接口日志</t>
        </is>
      </c>
    </row>
    <row r="126">
      <c r="A126" s="4" t="inlineStr">
        <is>
          <t>查看服务内部接口调用内容</t>
        </is>
      </c>
    </row>
    <row r="127">
      <c r="A127" s="4" t="inlineStr">
        <is>
          <t>修改服务内部接口配置</t>
        </is>
      </c>
    </row>
    <row r="128">
      <c r="A128" s="3" t="inlineStr">
        <is>
          <t>修改判定规则</t>
        </is>
      </c>
    </row>
    <row r="129">
      <c r="A129" s="2" t="inlineStr">
        <is>
          <t>分页展示规则</t>
        </is>
      </c>
    </row>
    <row r="130">
      <c r="A130" s="2" t="inlineStr">
        <is>
          <t>删除判定规则</t>
        </is>
      </c>
    </row>
    <row r="131">
      <c r="A131" s="2" t="inlineStr">
        <is>
          <t>导入判定规则</t>
        </is>
      </c>
    </row>
    <row r="132">
      <c r="A132" s="2" t="inlineStr">
        <is>
          <t>导出判定规则</t>
        </is>
      </c>
    </row>
    <row r="133">
      <c r="A133" s="2" t="inlineStr">
        <is>
          <t>新建判定规则</t>
        </is>
      </c>
    </row>
    <row r="134">
      <c r="A134" s="2" t="inlineStr">
        <is>
          <t>条件搜索规则</t>
        </is>
      </c>
    </row>
    <row r="135">
      <c r="A135" s="2" t="inlineStr">
        <is>
          <t>漏洞归属划分</t>
        </is>
      </c>
    </row>
    <row r="136">
      <c r="A136" s="2" t="inlineStr">
        <is>
          <t>手动修改漏洞归属</t>
        </is>
      </c>
    </row>
    <row r="137">
      <c r="A137" s="3" t="inlineStr">
        <is>
          <t>本次修改信息汇总统计</t>
        </is>
      </c>
    </row>
    <row r="138">
      <c r="A138" s="3" t="inlineStr">
        <is>
          <t>确认并提交修改</t>
        </is>
      </c>
    </row>
    <row r="139">
      <c r="A139" s="2" t="inlineStr">
        <is>
          <t>选择待调整漏洞</t>
        </is>
      </c>
    </row>
    <row r="140">
      <c r="A140" s="2" t="inlineStr">
        <is>
          <t>业务系统风险统计</t>
        </is>
      </c>
    </row>
    <row r="141">
      <c r="A141" s="2" t="inlineStr">
        <is>
          <t>内外网分类统计</t>
        </is>
      </c>
    </row>
    <row r="142">
      <c r="A142" s="2" t="inlineStr">
        <is>
          <t>组织机构分析</t>
        </is>
      </c>
    </row>
    <row r="143">
      <c r="A143" s="2" t="inlineStr">
        <is>
          <t>统计报表生成</t>
        </is>
      </c>
    </row>
    <row r="144">
      <c r="A144" s="2" t="inlineStr">
        <is>
          <t>责任人统计分析</t>
        </is>
      </c>
    </row>
    <row r="145">
      <c r="A145" s="2" t="inlineStr">
        <is>
          <t>风险分布图</t>
        </is>
      </c>
    </row>
    <row r="146">
      <c r="A146" s="2" t="inlineStr">
        <is>
          <t>高中低危统计</t>
        </is>
      </c>
    </row>
    <row r="147">
      <c r="A147" s="2" t="inlineStr">
        <is>
          <t>关联关系评定</t>
        </is>
      </c>
    </row>
    <row r="148">
      <c r="A148" s="2" t="inlineStr">
        <is>
          <t>漏洞关联关系自动更新</t>
        </is>
      </c>
    </row>
    <row r="149">
      <c r="A149" s="2" t="inlineStr">
        <is>
          <t>资产变更监控</t>
        </is>
      </c>
    </row>
    <row r="150">
      <c r="A150" s="3" t="inlineStr">
        <is>
          <t>新增资产变更历史</t>
        </is>
      </c>
    </row>
    <row r="151">
      <c r="A151" s="3" t="inlineStr">
        <is>
          <t>新增资产变更日志</t>
        </is>
      </c>
    </row>
    <row r="152">
      <c r="A152" s="3" t="inlineStr">
        <is>
          <t>查看资产变更历史</t>
        </is>
      </c>
    </row>
    <row r="153">
      <c r="A153" s="3" t="inlineStr">
        <is>
          <t>查看历史日志</t>
        </is>
      </c>
    </row>
    <row r="154">
      <c r="A154" s="2" t="inlineStr">
        <is>
          <t>手动补录数据</t>
        </is>
      </c>
    </row>
    <row r="155">
      <c r="A155" s="2" t="inlineStr">
        <is>
          <t>数据校验反馈</t>
        </is>
      </c>
    </row>
    <row r="156">
      <c r="A156" s="2" t="inlineStr">
        <is>
          <t>自动同步数据</t>
        </is>
      </c>
    </row>
    <row r="157">
      <c r="A157" s="2" t="inlineStr">
        <is>
          <t>资产建模构建</t>
        </is>
      </c>
    </row>
    <row r="158">
      <c r="A158" s="9" t="inlineStr">
        <is>
          <t>查看资产统计概览</t>
        </is>
      </c>
    </row>
    <row r="159">
      <c r="A159" s="10" t="inlineStr">
        <is>
          <t>查看新增资产趋势</t>
        </is>
      </c>
    </row>
    <row r="160">
      <c r="A160" s="9" t="inlineStr">
        <is>
          <t>查看漏洞端口统计</t>
        </is>
      </c>
    </row>
    <row r="161">
      <c r="A161" s="9" t="inlineStr">
        <is>
          <t>用户查看主机资产列表</t>
        </is>
      </c>
    </row>
    <row r="162">
      <c r="A162" s="9" t="inlineStr">
        <is>
          <t>新增主机资产列表</t>
        </is>
      </c>
    </row>
    <row r="163">
      <c r="A163" s="9" t="inlineStr">
        <is>
          <t>编辑主机资产列表</t>
        </is>
      </c>
    </row>
    <row r="164">
      <c r="A164" s="9" t="inlineStr">
        <is>
          <t>删除主机资产列表</t>
        </is>
      </c>
    </row>
    <row r="165">
      <c r="A165" s="9" t="inlineStr">
        <is>
          <t>主机资产列表详情查看</t>
        </is>
      </c>
    </row>
    <row r="166">
      <c r="A166" s="9" t="inlineStr">
        <is>
          <t>主机资产列表导出模板</t>
        </is>
      </c>
    </row>
    <row r="167">
      <c r="A167" s="9" t="inlineStr">
        <is>
          <t>导入主机资产列表</t>
        </is>
      </c>
    </row>
    <row r="168">
      <c r="A168" s="9" t="inlineStr">
        <is>
          <t>导出主机列表</t>
        </is>
      </c>
    </row>
    <row r="169">
      <c r="A169" s="9" t="inlineStr">
        <is>
          <t>用户查看web资产列表</t>
        </is>
      </c>
    </row>
    <row r="170">
      <c r="A170" s="9" t="inlineStr">
        <is>
          <t>新增web资产列表</t>
        </is>
      </c>
    </row>
    <row r="171">
      <c r="A171" s="9" t="inlineStr">
        <is>
          <t>编辑web资产列表</t>
        </is>
      </c>
    </row>
    <row r="172">
      <c r="A172" s="9" t="inlineStr">
        <is>
          <t>删除web资产列表</t>
        </is>
      </c>
    </row>
    <row r="173">
      <c r="A173" s="9" t="inlineStr">
        <is>
          <t>web资产列表详情查看</t>
        </is>
      </c>
    </row>
    <row r="174">
      <c r="A174" s="9" t="inlineStr">
        <is>
          <t>web资产列表导出模板</t>
        </is>
      </c>
    </row>
    <row r="175">
      <c r="A175" s="9" t="inlineStr">
        <is>
          <t>导入web资产列表</t>
        </is>
      </c>
    </row>
    <row r="176">
      <c r="A176" s="9" t="inlineStr">
        <is>
          <t>导出web资产列表</t>
        </is>
      </c>
    </row>
    <row r="177">
      <c r="A177" s="9" t="inlineStr">
        <is>
          <t>查看主机风险分布</t>
        </is>
      </c>
    </row>
    <row r="178">
      <c r="A178" s="9" t="inlineStr">
        <is>
          <t>查看配置风险分布</t>
        </is>
      </c>
    </row>
    <row r="179">
      <c r="A179" s="9" t="inlineStr">
        <is>
          <t>查看服务漏洞分布</t>
        </is>
      </c>
    </row>
    <row r="180">
      <c r="A180" s="9" t="inlineStr">
        <is>
          <t>查看应用漏洞分布</t>
        </is>
      </c>
    </row>
    <row r="181">
      <c r="A181" s="9" t="inlineStr">
        <is>
          <t>查看系统漏洞分布</t>
        </is>
      </c>
    </row>
    <row r="182">
      <c r="A182" s="9" t="inlineStr">
        <is>
          <t>查看威胁漏洞分布</t>
        </is>
      </c>
    </row>
    <row r="183">
      <c r="A183" s="9" t="inlineStr">
        <is>
          <t>查看漏洞时间趋势</t>
        </is>
      </c>
    </row>
    <row r="184">
      <c r="A184" s="9" t="inlineStr">
        <is>
          <t>查看年份漏洞分布</t>
        </is>
      </c>
    </row>
    <row r="185">
      <c r="A185" s="9" t="inlineStr">
        <is>
          <t>查看脆弱账号列表</t>
        </is>
      </c>
    </row>
    <row r="186">
      <c r="A186" s="9" t="inlineStr">
        <is>
          <t>新增脆弱账号</t>
        </is>
      </c>
    </row>
    <row r="187">
      <c r="A187" s="9" t="inlineStr">
        <is>
          <t>编辑脆弱账号</t>
        </is>
      </c>
    </row>
    <row r="188">
      <c r="A188" s="9" t="inlineStr">
        <is>
          <t>查看脆弱账号详情</t>
        </is>
      </c>
    </row>
    <row r="189">
      <c r="A189" s="9" t="inlineStr">
        <is>
          <t>删除脆弱账号</t>
        </is>
      </c>
    </row>
    <row r="190">
      <c r="A190" s="9" t="inlineStr">
        <is>
          <t>脆弱账号导出模板</t>
        </is>
      </c>
    </row>
    <row r="191">
      <c r="A191" s="9" t="inlineStr">
        <is>
          <t>导入脆弱账号</t>
        </is>
      </c>
    </row>
    <row r="192">
      <c r="A192" s="9" t="inlineStr">
        <is>
          <t>导出脆弱账号列表</t>
        </is>
      </c>
    </row>
    <row r="193">
      <c r="A193" s="9" t="inlineStr">
        <is>
          <t>查看账号风险分布</t>
        </is>
      </c>
    </row>
    <row r="194">
      <c r="A194" s="9" t="inlineStr">
        <is>
          <t>用户查看节点属性</t>
        </is>
      </c>
    </row>
    <row r="195">
      <c r="A195" s="9" t="inlineStr">
        <is>
          <t>查看设备类型分布</t>
        </is>
      </c>
    </row>
    <row r="196">
      <c r="A196" s="9" t="inlineStr">
        <is>
          <t>用户查看节点主机漏洞风险等级分布</t>
        </is>
      </c>
    </row>
    <row r="197">
      <c r="A197" s="9" t="inlineStr">
        <is>
          <t>用户查看下级节点信息</t>
        </is>
      </c>
    </row>
    <row r="198">
      <c r="A198" s="9" t="inlineStr">
        <is>
          <t>用户查看主机风险等级列表</t>
        </is>
      </c>
    </row>
    <row r="199">
      <c r="A199" s="9" t="inlineStr">
        <is>
          <t>用户查看节点下漏洞分布</t>
        </is>
      </c>
    </row>
    <row r="200">
      <c r="A200" s="9" t="inlineStr">
        <is>
          <t>用户查看主机风险等级信息</t>
        </is>
      </c>
    </row>
    <row r="201">
      <c r="A201" s="9" t="inlineStr">
        <is>
          <t>用户查看主机概况信息</t>
        </is>
      </c>
    </row>
    <row r="202">
      <c r="A202" s="9" t="inlineStr">
        <is>
          <t>查看主机端口列表</t>
        </is>
      </c>
    </row>
    <row r="203">
      <c r="A203" s="9" t="inlineStr">
        <is>
          <t>用户查看主机漏洞概况信息</t>
        </is>
      </c>
    </row>
    <row r="204">
      <c r="A204" s="9" t="inlineStr">
        <is>
          <t>用户查看主机漏洞详情</t>
        </is>
      </c>
    </row>
    <row r="205">
      <c r="A205" s="9" t="inlineStr">
        <is>
          <t>用户查看资产属性</t>
        </is>
      </c>
    </row>
    <row r="206">
      <c r="A206" s="9" t="inlineStr">
        <is>
          <t>查看资产类型分布</t>
        </is>
      </c>
    </row>
    <row r="207">
      <c r="A207" s="9" t="inlineStr">
        <is>
          <t>查看资产风险趋势</t>
        </is>
      </c>
    </row>
    <row r="208">
      <c r="A208" s="9" t="inlineStr">
        <is>
          <t>查看端口风险分布</t>
        </is>
      </c>
    </row>
    <row r="209">
      <c r="A209" s="9" t="inlineStr">
        <is>
          <t>查看漏洞修复趋势</t>
        </is>
      </c>
    </row>
    <row r="210">
      <c r="A210" s="9" t="inlineStr">
        <is>
          <t>查看漏洞类型分布</t>
        </is>
      </c>
    </row>
    <row r="211">
      <c r="A211" s="9" t="inlineStr">
        <is>
          <t>查看主机在线分布</t>
        </is>
      </c>
    </row>
    <row r="212">
      <c r="A212" s="9" t="inlineStr">
        <is>
          <t>查看资产系统分布</t>
        </is>
      </c>
    </row>
    <row r="213">
      <c r="A213" s="9" t="inlineStr">
        <is>
          <t>查看资产厂商分布</t>
        </is>
      </c>
    </row>
    <row r="214">
      <c r="A214" s="9" t="inlineStr">
        <is>
          <t>查看资产型号分布</t>
        </is>
      </c>
    </row>
    <row r="215">
      <c r="A215" s="9" t="inlineStr">
        <is>
          <t>查看服务端口分布</t>
        </is>
      </c>
    </row>
    <row r="216">
      <c r="A216" s="9" t="inlineStr">
        <is>
          <t>查看漏洞影响分布</t>
        </is>
      </c>
    </row>
    <row r="217">
      <c r="A217" s="9" t="inlineStr">
        <is>
          <t>查看漏洞利用分布</t>
        </is>
      </c>
    </row>
    <row r="218">
      <c r="A218" s="9" t="inlineStr">
        <is>
          <t>新增漏洞知识库条目</t>
        </is>
      </c>
    </row>
    <row r="219">
      <c r="A219" s="9" t="inlineStr">
        <is>
          <t>编辑漏洞知识库条目</t>
        </is>
      </c>
    </row>
    <row r="220">
      <c r="A220" s="9" t="inlineStr">
        <is>
          <t>查询漏洞知识库</t>
        </is>
      </c>
    </row>
    <row r="221">
      <c r="A221" s="9" t="inlineStr">
        <is>
          <t>漏洞知识库导出模板</t>
        </is>
      </c>
    </row>
    <row r="222">
      <c r="A222" s="9" t="inlineStr">
        <is>
          <t>导入漏洞知识库数据</t>
        </is>
      </c>
    </row>
    <row r="223">
      <c r="A223" s="9" t="inlineStr">
        <is>
          <t>导出漏洞知识库数据</t>
        </is>
      </c>
    </row>
    <row r="224">
      <c r="A224" s="9" t="inlineStr">
        <is>
          <t>删除无用知识库条目</t>
        </is>
      </c>
    </row>
    <row r="225">
      <c r="A225" s="9" t="inlineStr">
        <is>
          <t>查看漏洞知识库数据详情</t>
        </is>
      </c>
    </row>
    <row r="226">
      <c r="A226" s="2" t="inlineStr">
        <is>
          <t>上报靶标资产</t>
        </is>
      </c>
    </row>
    <row r="227">
      <c r="A227" s="2" t="inlineStr">
        <is>
          <t>接收部侧靶标数据</t>
        </is>
      </c>
    </row>
    <row r="228">
      <c r="A228" s="3" t="inlineStr">
        <is>
          <t>查看靶标资产列表</t>
        </is>
      </c>
    </row>
    <row r="229">
      <c r="A229" s="3" t="inlineStr">
        <is>
          <t>显示靶标资产列表</t>
        </is>
      </c>
    </row>
    <row r="230">
      <c r="A230" s="3" t="inlineStr">
        <is>
          <t>上报部侧靶标数据</t>
        </is>
      </c>
    </row>
    <row r="231">
      <c r="A231" s="3" t="inlineStr">
        <is>
          <t>解析部侧靶标数据</t>
        </is>
      </c>
    </row>
    <row r="232">
      <c r="A232" s="2" t="inlineStr">
        <is>
          <t>上报下载</t>
        </is>
      </c>
    </row>
    <row r="233">
      <c r="A233" s="2" t="inlineStr">
        <is>
          <t>导入靶标</t>
        </is>
      </c>
    </row>
    <row r="234">
      <c r="A234" s="2" t="inlineStr">
        <is>
          <t>导出靶标</t>
        </is>
      </c>
    </row>
    <row r="235">
      <c r="A235" s="2" t="inlineStr">
        <is>
          <t>查看靶标</t>
        </is>
      </c>
    </row>
    <row r="236">
      <c r="A236" s="2" t="inlineStr">
        <is>
          <t>编辑靶标</t>
        </is>
      </c>
    </row>
    <row r="237">
      <c r="A237" s="2" t="inlineStr">
        <is>
          <t>创建靶标环境</t>
        </is>
      </c>
    </row>
    <row r="238">
      <c r="A238" s="3" t="inlineStr">
        <is>
          <t>修改靶标环境</t>
        </is>
      </c>
    </row>
    <row r="239">
      <c r="A239" s="3" t="inlineStr">
        <is>
          <t>调整靶标环境</t>
        </is>
      </c>
    </row>
    <row r="240">
      <c r="A240" s="2" t="inlineStr">
        <is>
          <t>系统漏洞等效防护处置</t>
        </is>
      </c>
    </row>
    <row r="241">
      <c r="A241" s="2" t="inlineStr">
        <is>
          <t>配置漏洞等效防护策略</t>
        </is>
      </c>
    </row>
    <row r="242">
      <c r="A242" s="2" t="inlineStr">
        <is>
          <t>修改处置接口配置</t>
        </is>
      </c>
    </row>
    <row r="243">
      <c r="A243" s="3" t="inlineStr">
        <is>
          <t>启停处置接口配置</t>
        </is>
      </c>
    </row>
    <row r="244">
      <c r="A244" s="3" t="inlineStr">
        <is>
          <t>停用处置接口配置</t>
        </is>
      </c>
    </row>
    <row r="245">
      <c r="A245" s="2" t="inlineStr">
        <is>
          <t>删除处置接口配置</t>
        </is>
      </c>
    </row>
    <row r="246">
      <c r="A246" s="2" t="inlineStr">
        <is>
          <t>新增处置接口配置</t>
        </is>
      </c>
    </row>
    <row r="247">
      <c r="A247" s="2" t="inlineStr">
        <is>
          <t>查询处置接口配置</t>
        </is>
      </c>
    </row>
    <row r="248">
      <c r="A248" s="3" t="inlineStr">
        <is>
          <t>安全设备处置接口配置模版导出</t>
        </is>
      </c>
    </row>
    <row r="249">
      <c r="A249" s="3" t="inlineStr">
        <is>
          <t>安全设备处置接口配置数据导出</t>
        </is>
      </c>
    </row>
    <row r="250">
      <c r="A250" s="3" t="inlineStr">
        <is>
          <t>安全设备接口配置数据导入</t>
        </is>
      </c>
    </row>
    <row r="251">
      <c r="A251" s="3" t="inlineStr">
        <is>
          <t>记录产品漏洞验证任务下发调用记录</t>
        </is>
      </c>
    </row>
    <row r="252">
      <c r="A252" s="3" t="inlineStr">
        <is>
          <t>记录产品漏洞验证日志</t>
        </is>
      </c>
    </row>
    <row r="253">
      <c r="A253" s="3" t="inlineStr">
        <is>
          <t>记录修复工单回传接口调用记录</t>
        </is>
      </c>
    </row>
    <row r="254">
      <c r="A254" s="3" t="inlineStr">
        <is>
          <t>记录修复工单回传日志</t>
        </is>
      </c>
    </row>
    <row r="255">
      <c r="A255" s="3" t="inlineStr">
        <is>
          <t>记录修复工单派发接口调用记录</t>
        </is>
      </c>
    </row>
    <row r="256">
      <c r="A256" s="3" t="inlineStr">
        <is>
          <t>记录修复工单指派日志</t>
        </is>
      </c>
    </row>
    <row r="257">
      <c r="A257" s="3" t="inlineStr">
        <is>
          <t>记录弱口令扫描任务下发调用记录</t>
        </is>
      </c>
    </row>
    <row r="258">
      <c r="A258" s="3" t="inlineStr">
        <is>
          <t>记录弱口令扫描任务下发日志</t>
        </is>
      </c>
    </row>
    <row r="259">
      <c r="A259" s="3" t="inlineStr">
        <is>
          <t>记录弱口令扫描结果获取调用记录</t>
        </is>
      </c>
    </row>
    <row r="260">
      <c r="A260" s="3" t="inlineStr">
        <is>
          <t>记录弱口令扫描结果获取日志</t>
        </is>
      </c>
    </row>
    <row r="261">
      <c r="A261" s="3" t="inlineStr">
        <is>
          <t>记录弱口令扫描进度获取调用记录</t>
        </is>
      </c>
    </row>
    <row r="262">
      <c r="A262" s="3" t="inlineStr">
        <is>
          <t>记录弱口令扫描进度获取日志</t>
        </is>
      </c>
    </row>
    <row r="263">
      <c r="A263" s="3" t="inlineStr">
        <is>
          <t>记录漏洞扫描任务下发调用记录</t>
        </is>
      </c>
    </row>
    <row r="264">
      <c r="A264" s="3" t="inlineStr">
        <is>
          <t>记录漏洞扫描任务下发日志</t>
        </is>
      </c>
    </row>
    <row r="265">
      <c r="A265" s="3" t="inlineStr">
        <is>
          <t>记录漏洞扫描结果获取调用记录</t>
        </is>
      </c>
    </row>
    <row r="266">
      <c r="A266" s="3" t="inlineStr">
        <is>
          <t>记录漏洞扫描结果获取日志</t>
        </is>
      </c>
    </row>
    <row r="267">
      <c r="A267" s="3" t="inlineStr">
        <is>
          <t>记录漏洞扫描进度获取调用记录</t>
        </is>
      </c>
    </row>
    <row r="268">
      <c r="A268" s="3" t="inlineStr">
        <is>
          <t>记录漏洞扫描进度获取日志</t>
        </is>
      </c>
    </row>
    <row r="269">
      <c r="A269" s="3" t="inlineStr">
        <is>
          <t>记录漏洞预警任务下发调用记录</t>
        </is>
      </c>
    </row>
    <row r="270">
      <c r="A270" s="3" t="inlineStr">
        <is>
          <t>记录漏洞预警任务下发日志</t>
        </is>
      </c>
    </row>
    <row r="271">
      <c r="A271" s="3" t="inlineStr">
        <is>
          <t>记录漏洞预警任务结果获取调用记录</t>
        </is>
      </c>
    </row>
    <row r="272">
      <c r="A272" s="3" t="inlineStr">
        <is>
          <t>记录漏洞预警任务结果获取日志</t>
        </is>
      </c>
    </row>
    <row r="273">
      <c r="A273" s="3" t="inlineStr">
        <is>
          <t>记录漏洞预警任务进度获取调用记录</t>
        </is>
      </c>
    </row>
    <row r="274">
      <c r="A274" s="3" t="inlineStr">
        <is>
          <t>记录漏洞预警任务进度获取日志</t>
        </is>
      </c>
    </row>
    <row r="275">
      <c r="A275" s="2" t="inlineStr">
        <is>
          <t>记录防护策略下发日志</t>
        </is>
      </c>
    </row>
    <row r="276">
      <c r="A276" s="2" t="inlineStr">
        <is>
          <t>查看响应审计策略列表</t>
        </is>
      </c>
    </row>
    <row r="277">
      <c r="A277" s="2" t="inlineStr">
        <is>
          <t>新增响应审计策略列表</t>
        </is>
      </c>
    </row>
    <row r="278">
      <c r="A278" s="2" t="inlineStr">
        <is>
          <t>修改响应审计策略列表</t>
        </is>
      </c>
    </row>
    <row r="279">
      <c r="A279" s="2" t="inlineStr">
        <is>
          <t>下载审计报告</t>
        </is>
      </c>
    </row>
    <row r="280">
      <c r="A280" s="3" t="inlineStr">
        <is>
          <t>查询审计报告记录</t>
        </is>
      </c>
    </row>
    <row r="281">
      <c r="A281" s="2" t="inlineStr">
        <is>
          <t>生成审计报告</t>
        </is>
      </c>
    </row>
    <row r="282">
      <c r="A282" s="3" t="inlineStr">
        <is>
          <t>查看审计响应合规性列表</t>
        </is>
      </c>
    </row>
    <row r="283">
      <c r="A283" s="3" t="inlineStr">
        <is>
          <t>查询接口调用记录列表</t>
        </is>
      </c>
    </row>
    <row r="284">
      <c r="A284" s="3" t="inlineStr">
        <is>
          <t>查询日志列表</t>
        </is>
      </c>
    </row>
    <row r="285">
      <c r="A285" s="2" t="inlineStr">
        <is>
          <t>下发漏洞修复工单</t>
        </is>
      </c>
    </row>
    <row r="286">
      <c r="A286" s="2" t="inlineStr">
        <is>
          <t>查询漏洞扫描设备列表</t>
        </is>
      </c>
    </row>
    <row r="287">
      <c r="A287" s="2" t="inlineStr">
        <is>
          <t>查询BAS设备列表</t>
        </is>
      </c>
    </row>
    <row r="288">
      <c r="A288" s="2" t="inlineStr">
        <is>
          <t>修改漏洞修复工单</t>
        </is>
      </c>
    </row>
    <row r="289">
      <c r="A289" s="2" t="inlineStr">
        <is>
          <t>创建漏洞修复工单</t>
        </is>
      </c>
    </row>
    <row r="290">
      <c r="A290" s="2" t="inlineStr">
        <is>
          <t>查询漏洞修复工单</t>
        </is>
      </c>
    </row>
    <row r="291">
      <c r="A291" s="2" t="inlineStr">
        <is>
          <t>删除漏洞修复工单</t>
        </is>
      </c>
    </row>
    <row r="292">
      <c r="A292" s="2" t="inlineStr">
        <is>
          <t>配置漏洞修复核验方式</t>
        </is>
      </c>
    </row>
    <row r="293">
      <c r="A293" s="2" t="inlineStr">
        <is>
          <t>BAS平台接口调用配置</t>
        </is>
      </c>
    </row>
    <row r="294">
      <c r="A294" s="2" t="inlineStr">
        <is>
          <t>验证指令配置</t>
        </is>
      </c>
    </row>
    <row r="295">
      <c r="A295" s="11" t="inlineStr">
        <is>
          <t>报告下载</t>
        </is>
      </c>
    </row>
    <row r="296">
      <c r="A296" s="5" t="inlineStr">
        <is>
          <t>报告列表查询</t>
        </is>
      </c>
    </row>
    <row r="297">
      <c r="A297" s="5" t="inlineStr">
        <is>
          <t>报告模板查询</t>
        </is>
      </c>
    </row>
    <row r="298">
      <c r="A298" s="5" t="inlineStr">
        <is>
          <t>生成修复核验报告</t>
        </is>
      </c>
    </row>
    <row r="299">
      <c r="A299" s="2" t="inlineStr">
        <is>
          <t>配置漏洞修复核验报告模板</t>
        </is>
      </c>
    </row>
    <row r="300">
      <c r="A300" s="2" t="inlineStr">
        <is>
          <t>推送记录查询</t>
        </is>
      </c>
    </row>
    <row r="301">
      <c r="A301" s="2" t="inlineStr">
        <is>
          <t>配置报告推送规则</t>
        </is>
      </c>
    </row>
    <row r="302">
      <c r="A302" s="3" t="inlineStr">
        <is>
          <t>跨级联动扫描排查</t>
        </is>
      </c>
    </row>
    <row r="303">
      <c r="A303" s="2" t="inlineStr">
        <is>
          <t>跨级联动漏洞核验</t>
        </is>
      </c>
    </row>
    <row r="304">
      <c r="A304" s="3" t="inlineStr">
        <is>
          <t>跨级联动漏洞验证</t>
        </is>
      </c>
    </row>
    <row r="305">
      <c r="A305" s="3" t="inlineStr">
        <is>
          <t>查询自定义业务场景</t>
        </is>
      </c>
    </row>
    <row r="306">
      <c r="A306" s="2" t="inlineStr">
        <is>
          <t>添加自定义业务场景</t>
        </is>
      </c>
    </row>
    <row r="307">
      <c r="A307" s="2" t="inlineStr">
        <is>
          <t>编辑自定义业务场景</t>
        </is>
      </c>
    </row>
    <row r="308">
      <c r="A308" s="2" t="inlineStr">
        <is>
          <t>删除自定义业务场景</t>
        </is>
      </c>
    </row>
    <row r="309">
      <c r="A309" s="3" t="inlineStr">
        <is>
          <t>自定义业务场景启停</t>
        </is>
      </c>
    </row>
    <row r="310">
      <c r="A310" s="10" t="inlineStr">
        <is>
          <t>启用自定义业务场景</t>
        </is>
      </c>
    </row>
    <row r="311">
      <c r="A311" s="3" t="inlineStr">
        <is>
          <t>业务场景数据导出</t>
        </is>
      </c>
    </row>
    <row r="312">
      <c r="A312" s="10" t="inlineStr">
        <is>
          <t>停用自定义业务场景</t>
        </is>
      </c>
    </row>
    <row r="313">
      <c r="A313" s="2" t="inlineStr">
        <is>
          <t>配置执行流程策略</t>
        </is>
      </c>
    </row>
    <row r="314">
      <c r="A314" s="2" t="inlineStr">
        <is>
          <t>分析漏洞场景影响</t>
        </is>
      </c>
    </row>
    <row r="315">
      <c r="A315" s="2" t="inlineStr">
        <is>
          <t>生成漏洞风险防御建议</t>
        </is>
      </c>
    </row>
    <row r="316">
      <c r="A316" s="3" t="inlineStr">
        <is>
          <t>修复失败原因漏洞统计</t>
        </is>
      </c>
    </row>
    <row r="317">
      <c r="A317" s="3" t="inlineStr">
        <is>
          <t>入口系统漏洞数统计</t>
        </is>
      </c>
    </row>
    <row r="318">
      <c r="A318" s="3" t="inlineStr">
        <is>
          <t>关联分析覆盖数统计</t>
        </is>
      </c>
    </row>
    <row r="319">
      <c r="A319" s="3" t="inlineStr">
        <is>
          <t>关联分析覆盖统计</t>
        </is>
      </c>
    </row>
    <row r="320">
      <c r="A320" s="3" t="inlineStr">
        <is>
          <t>已扫描产品漏洞统计</t>
        </is>
      </c>
    </row>
    <row r="321">
      <c r="A321" s="3" t="inlineStr">
        <is>
          <t>已扫描口令字典统计</t>
        </is>
      </c>
    </row>
    <row r="322">
      <c r="A322" s="3" t="inlineStr">
        <is>
          <t>应扫描产品漏洞统计</t>
        </is>
      </c>
    </row>
    <row r="323">
      <c r="A323" s="3" t="inlineStr">
        <is>
          <t>应扫描口令字典统计</t>
        </is>
      </c>
    </row>
    <row r="324">
      <c r="A324" s="3" t="inlineStr">
        <is>
          <t>漏洞扫描任务应覆盖资产总数统计</t>
        </is>
      </c>
    </row>
    <row r="325">
      <c r="A325" s="3" t="inlineStr">
        <is>
          <t>应覆盖资产总数统计</t>
        </is>
      </c>
    </row>
    <row r="326">
      <c r="A326" s="3" t="inlineStr">
        <is>
          <t>弱口令扫描应覆盖资产数统计</t>
        </is>
      </c>
    </row>
    <row r="327">
      <c r="A327" s="3" t="inlineStr">
        <is>
          <t>弱口令扫描覆盖统计</t>
        </is>
      </c>
    </row>
    <row r="328">
      <c r="A328" s="3" t="inlineStr">
        <is>
          <t>待验证系统漏洞统计</t>
        </is>
      </c>
    </row>
    <row r="329">
      <c r="A329" s="3" t="inlineStr">
        <is>
          <t>待核实系统漏洞统计</t>
        </is>
      </c>
    </row>
    <row r="330">
      <c r="A330" s="3" t="inlineStr">
        <is>
          <t>验证有效系统漏洞数统计</t>
        </is>
      </c>
    </row>
    <row r="331">
      <c r="A331" s="3" t="inlineStr">
        <is>
          <t>有效系统漏洞数统计</t>
        </is>
      </c>
    </row>
    <row r="332">
      <c r="A332" s="3" t="inlineStr">
        <is>
          <t>未排查资产数量统计</t>
        </is>
      </c>
    </row>
    <row r="333">
      <c r="A333" s="3" t="inlineStr">
        <is>
          <t>未闭环系统漏洞统计</t>
        </is>
      </c>
    </row>
    <row r="334">
      <c r="A334" s="3" t="inlineStr">
        <is>
          <t>漏洞扫描实际覆盖资产统计</t>
        </is>
      </c>
    </row>
    <row r="335">
      <c r="A335" s="3" t="inlineStr">
        <is>
          <t>漏洞扫描覆盖资产统计</t>
        </is>
      </c>
    </row>
    <row r="336">
      <c r="A336" s="3" t="inlineStr">
        <is>
          <t>系统漏洞修复数统计</t>
        </is>
      </c>
    </row>
    <row r="337">
      <c r="A337" s="3" t="inlineStr">
        <is>
          <t>系统漏洞修复成功统计</t>
        </is>
      </c>
    </row>
    <row r="338">
      <c r="A338" s="3" t="inlineStr">
        <is>
          <t>系统漏洞初始修复数统计</t>
        </is>
      </c>
    </row>
    <row r="339">
      <c r="A339" s="3" t="inlineStr">
        <is>
          <t>系统漏洞初始修复统计</t>
        </is>
      </c>
    </row>
    <row r="340">
      <c r="A340" s="3" t="inlineStr">
        <is>
          <t>误报系统漏洞数统计</t>
        </is>
      </c>
    </row>
    <row r="341">
      <c r="A341" s="2" t="inlineStr">
        <is>
          <t>VPT风险等级统计</t>
        </is>
      </c>
    </row>
    <row r="342">
      <c r="A342" s="3" t="inlineStr">
        <is>
          <t>产品漏洞覆盖率统计</t>
        </is>
      </c>
    </row>
    <row r="343">
      <c r="A343" s="3" t="inlineStr">
        <is>
          <t>弱口令扫描检测周期统计</t>
        </is>
      </c>
    </row>
    <row r="344">
      <c r="A344" s="3" t="inlineStr">
        <is>
          <t>弱口令扫描资产覆盖率统计</t>
        </is>
      </c>
    </row>
    <row r="345">
      <c r="A345" s="3" t="inlineStr">
        <is>
          <t>弱口令覆盖率统计</t>
        </is>
      </c>
    </row>
    <row r="346">
      <c r="A346" s="3" t="inlineStr">
        <is>
          <t>有效漏洞率统计</t>
        </is>
      </c>
    </row>
    <row r="347">
      <c r="A347" s="3" t="inlineStr">
        <is>
          <t>未排查原因比例统计</t>
        </is>
      </c>
    </row>
    <row r="348">
      <c r="A348" s="3" t="inlineStr">
        <is>
          <t>未闭环漏洞一致率统计</t>
        </is>
      </c>
    </row>
    <row r="349">
      <c r="A349" s="3" t="inlineStr">
        <is>
          <t>漏洞修复成功率统计</t>
        </is>
      </c>
    </row>
    <row r="350">
      <c r="A350" s="3" t="inlineStr">
        <is>
          <t>漏洞关联分析资产覆盖率统计</t>
        </is>
      </c>
    </row>
    <row r="351">
      <c r="A351" s="3" t="inlineStr">
        <is>
          <t>漏洞初始修复率统计</t>
        </is>
      </c>
    </row>
    <row r="352">
      <c r="A352" s="3" t="inlineStr">
        <is>
          <t>漏洞失败原因比例统计</t>
        </is>
      </c>
    </row>
    <row r="353">
      <c r="A353" s="3" t="inlineStr">
        <is>
          <t>漏洞平均修复时间(已验证)统计</t>
        </is>
      </c>
    </row>
    <row r="354">
      <c r="A354" s="3" t="inlineStr">
        <is>
          <t>漏洞扫描资产覆盖率统计</t>
        </is>
      </c>
    </row>
    <row r="355">
      <c r="A355" s="3" t="inlineStr">
        <is>
          <t>漏洞未验证率统计</t>
        </is>
      </c>
    </row>
    <row r="356">
      <c r="A356" s="3" t="inlineStr">
        <is>
          <t>漏洞误报率统计</t>
        </is>
      </c>
    </row>
    <row r="357">
      <c r="A357" s="2" t="inlineStr">
        <is>
          <t>查询任务列表</t>
        </is>
      </c>
    </row>
    <row r="358">
      <c r="A358" s="2" t="inlineStr">
        <is>
          <t>查询弱口令检测任务分配列表</t>
        </is>
      </c>
    </row>
    <row r="359">
      <c r="A359" s="2" t="inlineStr">
        <is>
          <t>查询弱口令检测任务</t>
        </is>
      </c>
    </row>
    <row r="360">
      <c r="A360" s="4" t="inlineStr">
        <is>
          <t>导入POC开发记录漏洞</t>
        </is>
      </c>
    </row>
    <row r="361">
      <c r="A361" s="4" t="inlineStr">
        <is>
          <t>POC开发结果模板下载功能</t>
        </is>
      </c>
    </row>
    <row r="362">
      <c r="A362" s="4" t="inlineStr">
        <is>
          <t>POC开发结果文件导入功能</t>
        </is>
      </c>
    </row>
    <row r="363">
      <c r="A363" s="4" t="inlineStr">
        <is>
          <t>POC开发结果附件上传功能</t>
        </is>
      </c>
    </row>
    <row r="364">
      <c r="A364" s="4" t="inlineStr">
        <is>
          <t>POC开发记录台账信息查询</t>
        </is>
      </c>
    </row>
    <row r="365">
      <c r="A365" s="4" t="inlineStr">
        <is>
          <t>修改已POC开发记录详细内容</t>
        </is>
      </c>
    </row>
    <row r="366">
      <c r="A366" s="4" t="inlineStr">
        <is>
          <t>删除POC验证无效漏洞记录</t>
        </is>
      </c>
    </row>
    <row r="367">
      <c r="A367" s="4" t="inlineStr">
        <is>
          <t>POC验证漏洞状态变更记录</t>
        </is>
      </c>
    </row>
    <row r="368">
      <c r="A368" s="2" t="inlineStr">
        <is>
          <t>录入漏洞挖掘结果</t>
        </is>
      </c>
    </row>
    <row r="369">
      <c r="A369" s="2" t="inlineStr">
        <is>
          <t>下载漏洞挖掘文件模板</t>
        </is>
      </c>
    </row>
    <row r="370">
      <c r="A370" s="2" t="inlineStr">
        <is>
          <t>录入漏洞发掘结果文件</t>
        </is>
      </c>
    </row>
    <row r="371">
      <c r="A371" s="2" t="inlineStr">
        <is>
          <t>漏洞挖掘附件上传管理</t>
        </is>
      </c>
    </row>
    <row r="372">
      <c r="A372" s="2" t="inlineStr">
        <is>
          <t>漏洞挖掘记录台账信息查询</t>
        </is>
      </c>
    </row>
    <row r="373">
      <c r="A373" s="2" t="inlineStr">
        <is>
          <t>修改漏洞挖掘详细内容</t>
        </is>
      </c>
    </row>
    <row r="374">
      <c r="A374" s="2" t="inlineStr">
        <is>
          <t>删除无效漏洞挖掘详细内容</t>
        </is>
      </c>
    </row>
    <row r="375">
      <c r="A375" s="3" t="inlineStr">
        <is>
          <t>更新漏洞挖掘的漏洞状态</t>
        </is>
      </c>
    </row>
    <row r="376">
      <c r="A376" s="8" t="inlineStr">
        <is>
          <t>录入渗透测试的漏洞信息</t>
        </is>
      </c>
    </row>
    <row r="377">
      <c r="A377" s="4" t="inlineStr">
        <is>
          <t>下载渗透测试结果模板文件</t>
        </is>
      </c>
    </row>
    <row r="378">
      <c r="A378" s="8" t="inlineStr">
        <is>
          <t>导入渗透测试的漏洞结果文件</t>
        </is>
      </c>
    </row>
    <row r="379">
      <c r="A379" s="8" t="inlineStr">
        <is>
          <t>渗透测试附件证明材料上传</t>
        </is>
      </c>
    </row>
    <row r="380">
      <c r="A380" s="4" t="inlineStr">
        <is>
          <t>更新渗透测试漏洞状态</t>
        </is>
      </c>
    </row>
    <row r="381">
      <c r="A381" s="4" t="inlineStr">
        <is>
          <t>渗透测试记录台账信息查询</t>
        </is>
      </c>
    </row>
    <row r="382">
      <c r="A382" s="4" t="inlineStr">
        <is>
          <t>修改渗透测试记录详细内容</t>
        </is>
      </c>
    </row>
    <row r="383">
      <c r="A383" s="4" t="inlineStr">
        <is>
          <t>删除无效渗透测试记录记录</t>
        </is>
      </c>
    </row>
    <row r="384">
      <c r="A384" s="2" t="inlineStr">
        <is>
          <t>查看业务执行记录</t>
        </is>
      </c>
    </row>
    <row r="385">
      <c r="A385" s="2" t="inlineStr">
        <is>
          <t>修改业务执行记录</t>
        </is>
      </c>
    </row>
    <row r="386">
      <c r="A386" s="2" t="inlineStr">
        <is>
          <t>删除业务执行记录</t>
        </is>
      </c>
    </row>
    <row r="387">
      <c r="A387" s="2" t="inlineStr">
        <is>
          <t>管理流程节点状态</t>
        </is>
      </c>
    </row>
    <row r="388">
      <c r="A388" s="4" t="inlineStr">
        <is>
          <t>查看漏洞生命周期</t>
        </is>
      </c>
    </row>
    <row r="389">
      <c r="A389" s="2" t="inlineStr">
        <is>
          <t>查询POC引擎列表</t>
        </is>
      </c>
    </row>
    <row r="390">
      <c r="A390" s="2" t="inlineStr">
        <is>
          <t>查询POC引擎规划列表</t>
        </is>
      </c>
    </row>
    <row r="391">
      <c r="A391" s="2" t="inlineStr">
        <is>
          <t>新增POC引擎规划</t>
        </is>
      </c>
    </row>
    <row r="392">
      <c r="A392" s="2" t="inlineStr">
        <is>
          <t>修改POC引擎规划</t>
        </is>
      </c>
    </row>
    <row r="393">
      <c r="A393" s="2" t="inlineStr">
        <is>
          <t>删除单个POC引擎规划</t>
        </is>
      </c>
    </row>
    <row r="394">
      <c r="A394" s="2" t="inlineStr">
        <is>
          <t>批量删除POC引擎规划</t>
        </is>
      </c>
    </row>
    <row r="395">
      <c r="A395" s="2" t="inlineStr">
        <is>
          <t>查询等效防护设备列表</t>
        </is>
      </c>
    </row>
    <row r="396">
      <c r="A396" s="2" t="inlineStr">
        <is>
          <t>查询规划列表</t>
        </is>
      </c>
    </row>
    <row r="397">
      <c r="A397" s="2" t="inlineStr">
        <is>
          <t>新增等效防护设备规划</t>
        </is>
      </c>
    </row>
    <row r="398">
      <c r="A398" s="2" t="inlineStr">
        <is>
          <t>修改等效防护设备规划</t>
        </is>
      </c>
    </row>
    <row r="399">
      <c r="A399" s="2" t="inlineStr">
        <is>
          <t>删除等效防护设备规划</t>
        </is>
      </c>
    </row>
    <row r="400">
      <c r="A400" s="2" t="inlineStr">
        <is>
          <t>批量删除规划</t>
        </is>
      </c>
    </row>
    <row r="401">
      <c r="A401" s="2" t="inlineStr">
        <is>
          <t>查询资产覆盖范围</t>
        </is>
      </c>
    </row>
    <row r="402">
      <c r="A402" s="2" t="inlineStr">
        <is>
          <t>新增资产覆盖范围</t>
        </is>
      </c>
    </row>
    <row r="403">
      <c r="A403" s="2" t="inlineStr">
        <is>
          <t>修改资产覆盖范围</t>
        </is>
      </c>
    </row>
    <row r="404">
      <c r="A404" s="2" t="inlineStr">
        <is>
          <t>删除资产覆盖范围</t>
        </is>
      </c>
    </row>
    <row r="405">
      <c r="A405" s="2" t="inlineStr">
        <is>
          <t>查询扫描密度配置</t>
        </is>
      </c>
    </row>
    <row r="406">
      <c r="A406" s="2" t="inlineStr">
        <is>
          <t>新增扫描密度配置</t>
        </is>
      </c>
    </row>
    <row r="407">
      <c r="A407" s="2" t="inlineStr">
        <is>
          <t>修改扫描密度配置</t>
        </is>
      </c>
    </row>
    <row r="408">
      <c r="A408" s="2" t="inlineStr">
        <is>
          <t>删除扫描密度配置</t>
        </is>
      </c>
    </row>
    <row r="409">
      <c r="A409" s="2" t="inlineStr">
        <is>
          <t>查询防护指标</t>
        </is>
      </c>
    </row>
    <row r="410">
      <c r="A410" s="2" t="inlineStr">
        <is>
          <t>新增防护指标</t>
        </is>
      </c>
    </row>
    <row r="411">
      <c r="A411" s="2" t="inlineStr">
        <is>
          <t>修改防护指标</t>
        </is>
      </c>
    </row>
    <row r="412">
      <c r="A412" s="2" t="inlineStr">
        <is>
          <t>删除防护指标</t>
        </is>
      </c>
    </row>
    <row r="413">
      <c r="A413" s="2" t="inlineStr">
        <is>
          <t>查询防护设备</t>
        </is>
      </c>
    </row>
    <row r="414">
      <c r="A414" s="2" t="inlineStr">
        <is>
          <t>新增防护设备</t>
        </is>
      </c>
    </row>
    <row r="415">
      <c r="A415" s="2" t="inlineStr">
        <is>
          <t>修改防护设备</t>
        </is>
      </c>
    </row>
    <row r="416">
      <c r="A416" s="2" t="inlineStr">
        <is>
          <t>删除防护设备</t>
        </is>
      </c>
    </row>
    <row r="417">
      <c r="A417" s="2" t="inlineStr">
        <is>
          <t>任务分配策略新增</t>
        </is>
      </c>
    </row>
    <row r="418">
      <c r="A418" s="2" t="inlineStr">
        <is>
          <t>任务分配策略查询</t>
        </is>
      </c>
    </row>
    <row r="419">
      <c r="A419" s="2" t="inlineStr">
        <is>
          <t>任务分配策略修改</t>
        </is>
      </c>
    </row>
    <row r="420">
      <c r="A420" s="2" t="inlineStr">
        <is>
          <t>任务分配策略删除</t>
        </is>
      </c>
    </row>
    <row r="421">
      <c r="A421" s="2" t="inlineStr">
        <is>
          <t>扫描过程日志存储</t>
        </is>
      </c>
    </row>
    <row r="422">
      <c r="A422" s="2" t="inlineStr">
        <is>
          <t>跟据策略参数自动扫描任务</t>
        </is>
      </c>
    </row>
    <row r="423">
      <c r="A423" s="2" t="inlineStr">
        <is>
          <t>自动化执行步骤修改</t>
        </is>
      </c>
    </row>
    <row r="424">
      <c r="A424" s="2" t="inlineStr">
        <is>
          <t>自动化执行步骤删除</t>
        </is>
      </c>
    </row>
    <row r="425">
      <c r="A425" s="2" t="inlineStr">
        <is>
          <t>自动化执行步骤新增</t>
        </is>
      </c>
    </row>
    <row r="426">
      <c r="A426" s="2" t="inlineStr">
        <is>
          <t>自动化执行步骤查询</t>
        </is>
      </c>
    </row>
    <row r="427">
      <c r="A427" s="10" t="inlineStr">
        <is>
          <t>创建工单状态记录</t>
        </is>
      </c>
    </row>
    <row r="428">
      <c r="A428" s="9" t="inlineStr">
        <is>
          <t>变更工单状态</t>
        </is>
      </c>
    </row>
    <row r="429">
      <c r="A429" s="2" t="inlineStr">
        <is>
          <t>导出状态变化日志</t>
        </is>
      </c>
    </row>
    <row r="430">
      <c r="A430" s="2" t="inlineStr">
        <is>
          <t>查看历史状态</t>
        </is>
      </c>
    </row>
    <row r="431">
      <c r="A431" s="2" t="inlineStr">
        <is>
          <t>过滤查询</t>
        </is>
      </c>
    </row>
    <row r="432">
      <c r="A432" s="2" t="inlineStr">
        <is>
          <t>修改异常捕捉规则</t>
        </is>
      </c>
    </row>
    <row r="433">
      <c r="A433" s="2" t="inlineStr">
        <is>
          <t>新增捕捉规则</t>
        </is>
      </c>
    </row>
    <row r="434">
      <c r="A434" s="2" t="inlineStr">
        <is>
          <t>查询异常记录</t>
        </is>
      </c>
    </row>
    <row r="435">
      <c r="A435" s="9" t="inlineStr">
        <is>
          <t>上报通过审核</t>
        </is>
      </c>
    </row>
    <row r="436">
      <c r="A436" s="2" t="inlineStr">
        <is>
          <t>修改上报批次</t>
        </is>
      </c>
    </row>
    <row r="437">
      <c r="A437" s="9" t="inlineStr">
        <is>
          <t>修改上报结果</t>
        </is>
      </c>
    </row>
    <row r="438">
      <c r="A438" s="2" t="inlineStr">
        <is>
          <t>删除上报批次</t>
        </is>
      </c>
    </row>
    <row r="439">
      <c r="A439" s="2" t="inlineStr">
        <is>
          <t>导出上报批次</t>
        </is>
      </c>
    </row>
    <row r="440">
      <c r="A440" s="2" t="inlineStr">
        <is>
          <t>新增上报批次</t>
        </is>
      </c>
    </row>
    <row r="441">
      <c r="A441" s="3" t="inlineStr">
        <is>
          <t>查看上报批次详情</t>
        </is>
      </c>
    </row>
    <row r="442">
      <c r="A442" s="3" t="inlineStr">
        <is>
          <t>条件搜索</t>
        </is>
      </c>
    </row>
    <row r="443">
      <c r="A443" s="3" t="inlineStr">
        <is>
          <t>查询上报批次</t>
        </is>
      </c>
    </row>
    <row r="444">
      <c r="A444" s="3" t="inlineStr">
        <is>
          <t>结果上报记录列表查看</t>
        </is>
      </c>
    </row>
    <row r="445">
      <c r="A445" s="3" t="inlineStr">
        <is>
          <t>条件查询检索</t>
        </is>
      </c>
    </row>
    <row r="446">
      <c r="A446" s="3" t="inlineStr">
        <is>
          <t>结果上报记录详情查看</t>
        </is>
      </c>
    </row>
    <row r="447">
      <c r="A447" s="3" t="inlineStr">
        <is>
          <t>结果上报记录查看</t>
        </is>
      </c>
    </row>
    <row r="448">
      <c r="A448" s="2" t="inlineStr">
        <is>
          <t>接收口令字典</t>
        </is>
      </c>
    </row>
    <row r="449">
      <c r="A449" s="2" t="inlineStr">
        <is>
          <t>同步口令字典</t>
        </is>
      </c>
    </row>
    <row r="450">
      <c r="A450" s="2" t="inlineStr">
        <is>
          <t>口令字典批量同步至扫描器</t>
        </is>
      </c>
    </row>
    <row r="451">
      <c r="A451" s="2" t="inlineStr">
        <is>
          <t>记录口令字典同步历史</t>
        </is>
      </c>
    </row>
    <row r="452">
      <c r="A452" s="2" t="inlineStr">
        <is>
          <t>查询口令字典同步历史</t>
        </is>
      </c>
    </row>
    <row r="453">
      <c r="A453" s="2" t="inlineStr">
        <is>
          <t>查询口令字典列表</t>
        </is>
      </c>
    </row>
    <row r="454">
      <c r="A454" s="2" t="inlineStr">
        <is>
          <t>新增口令字典</t>
        </is>
      </c>
    </row>
    <row r="455">
      <c r="A455" s="2" t="inlineStr">
        <is>
          <t>修改口令字典</t>
        </is>
      </c>
    </row>
    <row r="456">
      <c r="A456" s="2" t="inlineStr">
        <is>
          <t>删除口令字典</t>
        </is>
      </c>
    </row>
    <row r="457">
      <c r="A457" s="2" t="inlineStr">
        <is>
          <t>批量删除口令字典</t>
        </is>
      </c>
    </row>
    <row r="458">
      <c r="A458" s="2" t="inlineStr">
        <is>
          <t>查询用户名口令字典</t>
        </is>
      </c>
    </row>
    <row r="459">
      <c r="A459" s="2" t="inlineStr">
        <is>
          <t>查询用户名密码字典</t>
        </is>
      </c>
    </row>
    <row r="460">
      <c r="A460" s="2" t="inlineStr">
        <is>
          <t>查询密码口令字典</t>
        </is>
      </c>
    </row>
    <row r="461">
      <c r="A461" s="2" t="inlineStr">
        <is>
          <t>口令字典导入</t>
        </is>
      </c>
    </row>
    <row r="462">
      <c r="A462" s="2" t="inlineStr">
        <is>
          <t>口令字典导出</t>
        </is>
      </c>
    </row>
    <row r="463">
      <c r="A463" s="2" t="inlineStr">
        <is>
          <t>口令字典批量导入</t>
        </is>
      </c>
    </row>
    <row r="464">
      <c r="A464" s="2" t="inlineStr">
        <is>
          <t>弱口令列表查询</t>
        </is>
      </c>
    </row>
    <row r="465">
      <c r="A465" s="2" t="inlineStr">
        <is>
          <t>新增弱口令配置</t>
        </is>
      </c>
    </row>
    <row r="466">
      <c r="A466" s="2" t="inlineStr">
        <is>
          <t>修改弱口令配置</t>
        </is>
      </c>
    </row>
    <row r="467">
      <c r="A467" s="2" t="inlineStr">
        <is>
          <t>删除弱口令配置</t>
        </is>
      </c>
    </row>
    <row r="468">
      <c r="A468" s="2" t="inlineStr">
        <is>
          <t>批量删除弱口令</t>
        </is>
      </c>
    </row>
    <row r="469">
      <c r="A469" s="2" t="inlineStr">
        <is>
          <t>查询弱口令检测任务列表</t>
        </is>
      </c>
    </row>
    <row r="470">
      <c r="A470" s="2" t="inlineStr">
        <is>
          <t>新增弱口令检测任务</t>
        </is>
      </c>
    </row>
    <row r="471">
      <c r="A471" s="2" t="inlineStr">
        <is>
          <t>修改弱口令检测任务</t>
        </is>
      </c>
    </row>
    <row r="472">
      <c r="A472" s="2" t="inlineStr">
        <is>
          <t>删除弱口令检测任务</t>
        </is>
      </c>
    </row>
    <row r="473">
      <c r="A473" s="2" t="inlineStr">
        <is>
          <t>弱口令检测立即执行</t>
        </is>
      </c>
    </row>
    <row r="474">
      <c r="A474" s="2" t="inlineStr">
        <is>
          <t>弱口令检测定期执行</t>
        </is>
      </c>
    </row>
    <row r="475">
      <c r="A475" s="2" t="inlineStr">
        <is>
          <t>弱口令检测进度监控</t>
        </is>
      </c>
    </row>
    <row r="476">
      <c r="A476" s="2" t="inlineStr">
        <is>
          <t>查询弱口令汇总</t>
        </is>
      </c>
    </row>
    <row r="477">
      <c r="A477" s="2" t="inlineStr">
        <is>
          <t>查询弱口令影响资产</t>
        </is>
      </c>
    </row>
    <row r="478">
      <c r="A478" s="2" t="inlineStr">
        <is>
          <t>查询弱口令检测任务资产</t>
        </is>
      </c>
    </row>
    <row r="479">
      <c r="A479" s="2" t="inlineStr">
        <is>
          <t>查询弱口令检测任务列表</t>
        </is>
      </c>
    </row>
    <row r="480">
      <c r="A480" s="2" t="inlineStr">
        <is>
          <t>查询弱口令列表</t>
        </is>
      </c>
    </row>
    <row r="481">
      <c r="A481" s="2" t="inlineStr">
        <is>
          <t>查询漏洞扫描设备列表</t>
        </is>
      </c>
    </row>
    <row r="482">
      <c r="A482" s="2" t="inlineStr">
        <is>
          <t>查询设备规划列表</t>
        </is>
      </c>
    </row>
    <row r="483">
      <c r="A483" s="2" t="inlineStr">
        <is>
          <t>新增设备规划</t>
        </is>
      </c>
    </row>
    <row r="484">
      <c r="A484" s="2" t="inlineStr">
        <is>
          <t>修改设备规划</t>
        </is>
      </c>
    </row>
    <row r="485">
      <c r="A485" s="2" t="inlineStr">
        <is>
          <t>删除单个设备规划</t>
        </is>
      </c>
    </row>
    <row r="486">
      <c r="A486" s="2" t="inlineStr">
        <is>
          <t>批量删除设备规划</t>
        </is>
      </c>
    </row>
    <row r="487">
      <c r="A487" s="2" t="inlineStr">
        <is>
          <t>查询扫描设备</t>
        </is>
      </c>
    </row>
    <row r="488">
      <c r="A488" s="2" t="inlineStr">
        <is>
          <t>新增扫描设备</t>
        </is>
      </c>
    </row>
    <row r="489">
      <c r="A489" s="2" t="inlineStr">
        <is>
          <t>修改扫描设备</t>
        </is>
      </c>
    </row>
    <row r="490">
      <c r="A490" s="2" t="inlineStr">
        <is>
          <t>删除扫描设备</t>
        </is>
      </c>
    </row>
    <row r="491">
      <c r="A491" s="9" t="inlineStr">
        <is>
          <t>设备可用性监控</t>
        </is>
      </c>
    </row>
    <row r="492">
      <c r="A492" s="9" t="inlineStr">
        <is>
          <t>CF卡信息监控</t>
        </is>
      </c>
    </row>
    <row r="493">
      <c r="A493" s="9" t="inlineStr">
        <is>
          <t>CPU信息监控</t>
        </is>
      </c>
    </row>
    <row r="494">
      <c r="A494" s="9" t="inlineStr">
        <is>
          <t>内存信息监控</t>
        </is>
      </c>
    </row>
    <row r="495">
      <c r="A495" s="9" t="inlineStr">
        <is>
          <t>流量信息监控</t>
        </is>
      </c>
    </row>
    <row r="496">
      <c r="A496" s="9" t="inlineStr">
        <is>
          <t>磁盘信息监控</t>
        </is>
      </c>
    </row>
    <row r="497">
      <c r="A497" s="9" t="inlineStr">
        <is>
          <t>系统漏洞监控</t>
        </is>
      </c>
    </row>
    <row r="498">
      <c r="A498" s="9" t="inlineStr">
        <is>
          <t>系统版本信息监控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Ren</dc:creator>
  <dcterms:created xmlns:dcterms="http://purl.org/dc/terms/" xmlns:xsi="http://www.w3.org/2001/XMLSchema-instance" xsi:type="dcterms:W3CDTF">1996-12-17T01:32:00Z</dcterms:created>
  <dcterms:modified xmlns:dcterms="http://purl.org/dc/terms/" xmlns:xsi="http://www.w3.org/2001/XMLSchema-instance" xsi:type="dcterms:W3CDTF">2026-05-25T08:43:36Z</dcterms:modified>
  <cp:lastModifiedBy>张明峰</cp:lastModifiedBy>
  <cp:revision>1</cp:revision>
</cp:coreProperties>
</file>

<file path=docProps/custom.xml><?xml version="1.0" encoding="utf-8"?>
<Properties xmlns="http://schemas.openxmlformats.org/officeDocument/2006/custom-properties">
  <property name="MmExcelLinker_906C69A3_41FD_4973_9FB2_54559DEDE127" fmtid="{D5CDD505-2E9C-101B-9397-08002B2CF9AE}" pid="2">
    <vt:lpwstr xmlns:vt="http://schemas.openxmlformats.org/officeDocument/2006/docPropsVTypes">86</vt:lpwstr>
  </property>
  <property name="KSOProductBuildVer" fmtid="{D5CDD505-2E9C-101B-9397-08002B2CF9AE}" pid="3">
    <vt:lpwstr xmlns:vt="http://schemas.openxmlformats.org/officeDocument/2006/docPropsVTypes">2052-12.1.0.26375</vt:lpwstr>
  </property>
  <property name="ICV" fmtid="{D5CDD505-2E9C-101B-9397-08002B2CF9AE}" pid="4">
    <vt:lpwstr xmlns:vt="http://schemas.openxmlformats.org/officeDocument/2006/docPropsVTypes">13A1182185254D809086F7B93F3096AD_13</vt:lpwstr>
  </property>
  <property name="KSOReadingLayout" fmtid="{D5CDD505-2E9C-101B-9397-08002B2CF9AE}" pid="5">
    <vt:bool xmlns:vt="http://schemas.openxmlformats.org/officeDocument/2006/docPropsVTypes">1</vt:bool>
  </property>
  <property name="CalculationRule" fmtid="{D5CDD505-2E9C-101B-9397-08002B2CF9AE}" pid="6">
    <vt:i4 xmlns:vt="http://schemas.openxmlformats.org/officeDocument/2006/docPropsVTypes">0</vt:i4>
  </property>
</Properties>
</file>